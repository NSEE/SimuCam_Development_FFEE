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DEB_Area\References\"/>
    </mc:Choice>
  </mc:AlternateContent>
  <xr:revisionPtr revIDLastSave="0" documentId="13_ncr:1_{F602570E-C57F-4CE0-9372-5D00FE1D1FC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Main!$B$3:$BT$106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109" i="1" l="1"/>
  <c r="AU109" i="1"/>
  <c r="AT109" i="1"/>
  <c r="AS109" i="1"/>
  <c r="AR109" i="1"/>
  <c r="AQ109" i="1"/>
  <c r="AP109" i="1"/>
  <c r="AO109" i="1"/>
  <c r="AZ109" i="1" s="1"/>
  <c r="AN109" i="1"/>
  <c r="AM109" i="1"/>
  <c r="AL109" i="1"/>
  <c r="AK109" i="1"/>
  <c r="AJ109" i="1"/>
  <c r="AI109" i="1"/>
  <c r="AH109" i="1"/>
  <c r="AG109" i="1"/>
  <c r="AY109" i="1" s="1"/>
  <c r="AF109" i="1"/>
  <c r="AE109" i="1"/>
  <c r="AD109" i="1"/>
  <c r="AC109" i="1"/>
  <c r="AB109" i="1"/>
  <c r="AA109" i="1"/>
  <c r="Z109" i="1"/>
  <c r="Y109" i="1"/>
  <c r="AX109" i="1" s="1"/>
  <c r="X109" i="1"/>
  <c r="W109" i="1"/>
  <c r="V109" i="1"/>
  <c r="U109" i="1"/>
  <c r="T109" i="1"/>
  <c r="S109" i="1"/>
  <c r="R109" i="1"/>
  <c r="Q109" i="1"/>
  <c r="AW109" i="1" s="1"/>
  <c r="AV108" i="1"/>
  <c r="AU108" i="1"/>
  <c r="AT108" i="1"/>
  <c r="AS108" i="1"/>
  <c r="AR108" i="1"/>
  <c r="AQ108" i="1"/>
  <c r="AP108" i="1"/>
  <c r="AO108" i="1"/>
  <c r="AZ108" i="1" s="1"/>
  <c r="AN108" i="1"/>
  <c r="AM108" i="1"/>
  <c r="AL108" i="1"/>
  <c r="AK108" i="1"/>
  <c r="AJ108" i="1"/>
  <c r="AI108" i="1"/>
  <c r="AH108" i="1"/>
  <c r="AG108" i="1"/>
  <c r="AY108" i="1" s="1"/>
  <c r="AF108" i="1"/>
  <c r="AE108" i="1"/>
  <c r="AD108" i="1"/>
  <c r="AC108" i="1"/>
  <c r="AB108" i="1"/>
  <c r="AA108" i="1"/>
  <c r="Z108" i="1"/>
  <c r="Y108" i="1"/>
  <c r="AX108" i="1" s="1"/>
  <c r="X108" i="1"/>
  <c r="W108" i="1"/>
  <c r="V108" i="1"/>
  <c r="U108" i="1"/>
  <c r="T108" i="1"/>
  <c r="S108" i="1"/>
  <c r="R108" i="1"/>
  <c r="Q108" i="1"/>
  <c r="AW108" i="1" s="1"/>
  <c r="AV107" i="1"/>
  <c r="AU107" i="1"/>
  <c r="AT107" i="1"/>
  <c r="AS107" i="1"/>
  <c r="AR107" i="1"/>
  <c r="AQ107" i="1"/>
  <c r="AP107" i="1"/>
  <c r="AO107" i="1"/>
  <c r="AZ107" i="1" s="1"/>
  <c r="AN107" i="1"/>
  <c r="AM107" i="1"/>
  <c r="AL107" i="1"/>
  <c r="AK107" i="1"/>
  <c r="AJ107" i="1"/>
  <c r="AI107" i="1"/>
  <c r="AH107" i="1"/>
  <c r="AG107" i="1"/>
  <c r="AY107" i="1" s="1"/>
  <c r="AF107" i="1"/>
  <c r="AE107" i="1"/>
  <c r="AD107" i="1"/>
  <c r="AC107" i="1"/>
  <c r="AB107" i="1"/>
  <c r="AA107" i="1"/>
  <c r="Z107" i="1"/>
  <c r="Y107" i="1"/>
  <c r="AX107" i="1" s="1"/>
  <c r="X107" i="1"/>
  <c r="W107" i="1"/>
  <c r="V107" i="1"/>
  <c r="U107" i="1"/>
  <c r="T107" i="1"/>
  <c r="S107" i="1"/>
  <c r="R107" i="1"/>
  <c r="Q107" i="1"/>
  <c r="AW107" i="1" s="1"/>
  <c r="N109" i="1"/>
  <c r="N108" i="1"/>
  <c r="N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51" i="1"/>
  <c r="N15" i="1"/>
  <c r="N14" i="1"/>
  <c r="N13" i="1"/>
  <c r="N12" i="1"/>
  <c r="BJ107" i="1" l="1"/>
  <c r="BB107" i="1"/>
  <c r="BF107" i="1" s="1"/>
  <c r="BR108" i="1"/>
  <c r="BN108" i="1"/>
  <c r="BJ108" i="1"/>
  <c r="BB108" i="1"/>
  <c r="BF108" i="1" s="1"/>
  <c r="BS108" i="1"/>
  <c r="BO108" i="1"/>
  <c r="BK108" i="1"/>
  <c r="BC108" i="1"/>
  <c r="BG108" i="1" s="1"/>
  <c r="BR109" i="1"/>
  <c r="BN109" i="1"/>
  <c r="BJ109" i="1"/>
  <c r="BB109" i="1"/>
  <c r="BF109" i="1" s="1"/>
  <c r="BQ107" i="1"/>
  <c r="BM107" i="1"/>
  <c r="BI107" i="1"/>
  <c r="BA107" i="1"/>
  <c r="BE107" i="1" s="1"/>
  <c r="BQ108" i="1"/>
  <c r="BM108" i="1"/>
  <c r="BI108" i="1"/>
  <c r="BA108" i="1"/>
  <c r="BE108" i="1" s="1"/>
  <c r="BT108" i="1"/>
  <c r="BP108" i="1"/>
  <c r="BL108" i="1"/>
  <c r="BD108" i="1"/>
  <c r="BH108" i="1" s="1"/>
  <c r="BL109" i="1"/>
  <c r="BD109" i="1"/>
  <c r="BH109" i="1" s="1"/>
  <c r="BS107" i="1"/>
  <c r="BO107" i="1"/>
  <c r="BK107" i="1"/>
  <c r="BC107" i="1"/>
  <c r="BG107" i="1" s="1"/>
  <c r="BT107" i="1"/>
  <c r="BP107" i="1"/>
  <c r="BL107" i="1"/>
  <c r="BD107" i="1"/>
  <c r="BH107" i="1" s="1"/>
  <c r="BQ109" i="1"/>
  <c r="BM109" i="1"/>
  <c r="BI109" i="1"/>
  <c r="BA109" i="1"/>
  <c r="BE109" i="1" s="1"/>
  <c r="BS109" i="1"/>
  <c r="BO109" i="1"/>
  <c r="BP109" i="1" s="1"/>
  <c r="BT109" i="1" s="1"/>
  <c r="BK109" i="1"/>
  <c r="BC109" i="1"/>
  <c r="BG109" i="1" s="1"/>
  <c r="AZ44" i="1"/>
  <c r="BT44" i="1" s="1"/>
  <c r="AW45" i="1"/>
  <c r="BQ45" i="1" s="1"/>
  <c r="AX45" i="1"/>
  <c r="BB45" i="1" s="1"/>
  <c r="BF45" i="1" s="1"/>
  <c r="AZ45" i="1"/>
  <c r="BD45" i="1" s="1"/>
  <c r="BH45" i="1" s="1"/>
  <c r="AW46" i="1"/>
  <c r="BI46" i="1" s="1"/>
  <c r="AX46" i="1"/>
  <c r="BB46" i="1" s="1"/>
  <c r="BF46" i="1" s="1"/>
  <c r="AY46" i="1"/>
  <c r="BK46" i="1" s="1"/>
  <c r="AZ46" i="1"/>
  <c r="BD46" i="1" s="1"/>
  <c r="BH46" i="1" s="1"/>
  <c r="AZ48" i="1"/>
  <c r="BP48" i="1" s="1"/>
  <c r="AW59" i="1"/>
  <c r="BA59" i="1" s="1"/>
  <c r="BE59" i="1" s="1"/>
  <c r="AZ59" i="1"/>
  <c r="BT59" i="1" s="1"/>
  <c r="AZ74" i="1"/>
  <c r="BT74" i="1" s="1"/>
  <c r="AW77" i="1"/>
  <c r="BA77" i="1" s="1"/>
  <c r="BE77" i="1" s="1"/>
  <c r="AX77" i="1"/>
  <c r="BJ77" i="1" s="1"/>
  <c r="AY77" i="1"/>
  <c r="BK77" i="1" s="1"/>
  <c r="AZ77" i="1"/>
  <c r="BT77" i="1" s="1"/>
  <c r="AW78" i="1"/>
  <c r="BM78" i="1" s="1"/>
  <c r="AX78" i="1"/>
  <c r="BB78" i="1" s="1"/>
  <c r="BF78" i="1" s="1"/>
  <c r="AZ82" i="1"/>
  <c r="BT82" i="1" s="1"/>
  <c r="AX83" i="1"/>
  <c r="BN83" i="1" s="1"/>
  <c r="AY83" i="1"/>
  <c r="BK83" i="1" s="1"/>
  <c r="AZ83" i="1"/>
  <c r="BL83" i="1" s="1"/>
  <c r="AY84" i="1"/>
  <c r="BC84" i="1" s="1"/>
  <c r="BG84" i="1" s="1"/>
  <c r="AZ86" i="1"/>
  <c r="BL86" i="1" s="1"/>
  <c r="AW88" i="1"/>
  <c r="BI88" i="1" s="1"/>
  <c r="AX88" i="1"/>
  <c r="BJ88" i="1" s="1"/>
  <c r="AX92" i="1"/>
  <c r="BN92" i="1" s="1"/>
  <c r="AX96" i="1"/>
  <c r="BJ96" i="1" s="1"/>
  <c r="AY96" i="1"/>
  <c r="BO96" i="1" s="1"/>
  <c r="AZ96" i="1"/>
  <c r="BL96" i="1" s="1"/>
  <c r="AW96" i="1"/>
  <c r="BM96" i="1" s="1"/>
  <c r="AW84" i="1"/>
  <c r="BQ84" i="1" s="1"/>
  <c r="AY78" i="1"/>
  <c r="BK78" i="1" s="1"/>
  <c r="AZ78" i="1"/>
  <c r="BT78" i="1" s="1"/>
  <c r="AW83" i="1"/>
  <c r="BM83" i="1" s="1"/>
  <c r="AX84" i="1"/>
  <c r="BB84" i="1" s="1"/>
  <c r="BF84" i="1" s="1"/>
  <c r="AZ84" i="1"/>
  <c r="BT84" i="1" s="1"/>
  <c r="AZ57" i="1"/>
  <c r="BL57" i="1" s="1"/>
  <c r="AZ76" i="1"/>
  <c r="BP76" i="1" s="1"/>
  <c r="AY45" i="1"/>
  <c r="BK45" i="1" s="1"/>
  <c r="AZ80" i="1"/>
  <c r="BP80" i="1" s="1"/>
  <c r="AY26" i="1"/>
  <c r="AY24" i="1"/>
  <c r="BC24" i="1" s="1"/>
  <c r="BG24" i="1" s="1"/>
  <c r="AZ69" i="1"/>
  <c r="BT69" i="1" s="1"/>
  <c r="AW8" i="1"/>
  <c r="BM8" i="1" s="1"/>
  <c r="AY8" i="1"/>
  <c r="BC8" i="1" s="1"/>
  <c r="BG8" i="1" s="1"/>
  <c r="AZ8" i="1"/>
  <c r="BL8" i="1" s="1"/>
  <c r="AW9" i="1"/>
  <c r="BI9" i="1" s="1"/>
  <c r="AY9" i="1"/>
  <c r="BS9" i="1" s="1"/>
  <c r="AZ9" i="1"/>
  <c r="AW10" i="1"/>
  <c r="BI10" i="1" s="1"/>
  <c r="AY10" i="1"/>
  <c r="AZ10" i="1"/>
  <c r="BL10" i="1" s="1"/>
  <c r="AW11" i="1"/>
  <c r="BQ11" i="1" s="1"/>
  <c r="AY11" i="1"/>
  <c r="BK11" i="1" s="1"/>
  <c r="AZ11" i="1"/>
  <c r="BD11" i="1" s="1"/>
  <c r="BH11" i="1" s="1"/>
  <c r="AW12" i="1"/>
  <c r="BM12" i="1" s="1"/>
  <c r="AY12" i="1"/>
  <c r="AZ12" i="1"/>
  <c r="BD12" i="1" s="1"/>
  <c r="BH12" i="1" s="1"/>
  <c r="AW13" i="1"/>
  <c r="BI13" i="1" s="1"/>
  <c r="AZ13" i="1"/>
  <c r="BL13" i="1" s="1"/>
  <c r="AW14" i="1"/>
  <c r="BM14" i="1" s="1"/>
  <c r="AZ14" i="1"/>
  <c r="AW15" i="1"/>
  <c r="BI15" i="1" s="1"/>
  <c r="AZ15" i="1"/>
  <c r="BD15" i="1" s="1"/>
  <c r="BH15" i="1" s="1"/>
  <c r="AW16" i="1"/>
  <c r="AZ16" i="1"/>
  <c r="AW17" i="1"/>
  <c r="BQ17" i="1" s="1"/>
  <c r="AZ17" i="1"/>
  <c r="BD17" i="1" s="1"/>
  <c r="BH17" i="1" s="1"/>
  <c r="AW18" i="1"/>
  <c r="BM18" i="1" s="1"/>
  <c r="AZ18" i="1"/>
  <c r="BP18" i="1" s="1"/>
  <c r="AW19" i="1"/>
  <c r="BA19" i="1" s="1"/>
  <c r="BE19" i="1" s="1"/>
  <c r="AZ19" i="1"/>
  <c r="BD19" i="1" s="1"/>
  <c r="BH19" i="1" s="1"/>
  <c r="AW20" i="1"/>
  <c r="AZ20" i="1"/>
  <c r="BT20" i="1" s="1"/>
  <c r="AW21" i="1"/>
  <c r="BM21" i="1" s="1"/>
  <c r="AZ21" i="1"/>
  <c r="BL21" i="1" s="1"/>
  <c r="AW22" i="1"/>
  <c r="BA22" i="1" s="1"/>
  <c r="BE22" i="1" s="1"/>
  <c r="AZ22" i="1"/>
  <c r="BP22" i="1" s="1"/>
  <c r="AW23" i="1"/>
  <c r="BQ23" i="1" s="1"/>
  <c r="AZ23" i="1"/>
  <c r="BP23" i="1" s="1"/>
  <c r="AW24" i="1"/>
  <c r="BA24" i="1" s="1"/>
  <c r="BE24" i="1" s="1"/>
  <c r="AW25" i="1"/>
  <c r="BA25" i="1" s="1"/>
  <c r="BE25" i="1" s="1"/>
  <c r="AX25" i="1"/>
  <c r="BJ25" i="1" s="1"/>
  <c r="AY25" i="1"/>
  <c r="BC25" i="1" s="1"/>
  <c r="BG25" i="1" s="1"/>
  <c r="AZ25" i="1"/>
  <c r="AW26" i="1"/>
  <c r="BI26" i="1" s="1"/>
  <c r="AW27" i="1"/>
  <c r="BQ27" i="1" s="1"/>
  <c r="AX27" i="1"/>
  <c r="BB27" i="1" s="1"/>
  <c r="BF27" i="1" s="1"/>
  <c r="AX8" i="1"/>
  <c r="AX9" i="1"/>
  <c r="BB9" i="1" s="1"/>
  <c r="BF9" i="1" s="1"/>
  <c r="AX10" i="1"/>
  <c r="BJ10" i="1" s="1"/>
  <c r="AX11" i="1"/>
  <c r="BB11" i="1" s="1"/>
  <c r="BF11" i="1" s="1"/>
  <c r="AX12" i="1"/>
  <c r="BJ12" i="1" s="1"/>
  <c r="AX13" i="1"/>
  <c r="BJ13" i="1" s="1"/>
  <c r="AY13" i="1"/>
  <c r="BK13" i="1" s="1"/>
  <c r="AX14" i="1"/>
  <c r="BJ14" i="1" s="1"/>
  <c r="AY14" i="1"/>
  <c r="AX15" i="1"/>
  <c r="BJ15" i="1" s="1"/>
  <c r="AY15" i="1"/>
  <c r="BK15" i="1" s="1"/>
  <c r="AX16" i="1"/>
  <c r="BN16" i="1" s="1"/>
  <c r="AY16" i="1"/>
  <c r="AX17" i="1"/>
  <c r="BJ17" i="1" s="1"/>
  <c r="AY17" i="1"/>
  <c r="BO17" i="1" s="1"/>
  <c r="AX18" i="1"/>
  <c r="BR18" i="1" s="1"/>
  <c r="AY18" i="1"/>
  <c r="AX19" i="1"/>
  <c r="BJ19" i="1" s="1"/>
  <c r="AY19" i="1"/>
  <c r="BS19" i="1" s="1"/>
  <c r="AX20" i="1"/>
  <c r="BB20" i="1" s="1"/>
  <c r="BF20" i="1" s="1"/>
  <c r="AY20" i="1"/>
  <c r="AX21" i="1"/>
  <c r="BJ21" i="1" s="1"/>
  <c r="AY21" i="1"/>
  <c r="BO21" i="1" s="1"/>
  <c r="AX22" i="1"/>
  <c r="BJ22" i="1" s="1"/>
  <c r="AY22" i="1"/>
  <c r="BS22" i="1" s="1"/>
  <c r="AX23" i="1"/>
  <c r="BJ23" i="1" s="1"/>
  <c r="AY23" i="1"/>
  <c r="BO23" i="1" s="1"/>
  <c r="AX24" i="1"/>
  <c r="BB24" i="1" s="1"/>
  <c r="BF24" i="1" s="1"/>
  <c r="AX26" i="1"/>
  <c r="BN26" i="1" s="1"/>
  <c r="BO26" i="1" s="1"/>
  <c r="AW49" i="1"/>
  <c r="BQ49" i="1" s="1"/>
  <c r="AX49" i="1"/>
  <c r="BJ49" i="1" s="1"/>
  <c r="AY49" i="1"/>
  <c r="BK49" i="1" s="1"/>
  <c r="AZ49" i="1"/>
  <c r="BD49" i="1" s="1"/>
  <c r="BH49" i="1" s="1"/>
  <c r="AW50" i="1"/>
  <c r="BA50" i="1" s="1"/>
  <c r="BE50" i="1" s="1"/>
  <c r="AX50" i="1"/>
  <c r="BJ50" i="1" s="1"/>
  <c r="AY50" i="1"/>
  <c r="BS50" i="1" s="1"/>
  <c r="AZ50" i="1"/>
  <c r="BT50" i="1" s="1"/>
  <c r="AW60" i="1"/>
  <c r="BI60" i="1" s="1"/>
  <c r="AX60" i="1"/>
  <c r="BN60" i="1" s="1"/>
  <c r="AY60" i="1"/>
  <c r="BK60" i="1" s="1"/>
  <c r="AZ60" i="1"/>
  <c r="BP60" i="1" s="1"/>
  <c r="AW61" i="1"/>
  <c r="BM61" i="1" s="1"/>
  <c r="AZ67" i="1"/>
  <c r="BD67" i="1" s="1"/>
  <c r="BH67" i="1" s="1"/>
  <c r="AY27" i="1"/>
  <c r="BC27" i="1" s="1"/>
  <c r="BG27" i="1" s="1"/>
  <c r="AZ27" i="1"/>
  <c r="BL27" i="1" s="1"/>
  <c r="AW28" i="1"/>
  <c r="BA28" i="1" s="1"/>
  <c r="BE28" i="1" s="1"/>
  <c r="AX28" i="1"/>
  <c r="BB28" i="1" s="1"/>
  <c r="BF28" i="1" s="1"/>
  <c r="AY28" i="1"/>
  <c r="BC28" i="1" s="1"/>
  <c r="BG28" i="1" s="1"/>
  <c r="AZ28" i="1"/>
  <c r="BP28" i="1" s="1"/>
  <c r="AW29" i="1"/>
  <c r="BA29" i="1" s="1"/>
  <c r="BE29" i="1" s="1"/>
  <c r="AX29" i="1"/>
  <c r="BR29" i="1" s="1"/>
  <c r="AY29" i="1"/>
  <c r="BC29" i="1" s="1"/>
  <c r="BG29" i="1" s="1"/>
  <c r="AZ29" i="1"/>
  <c r="BL29" i="1" s="1"/>
  <c r="AW30" i="1"/>
  <c r="BM30" i="1" s="1"/>
  <c r="AX30" i="1"/>
  <c r="AY30" i="1"/>
  <c r="BC30" i="1" s="1"/>
  <c r="BG30" i="1" s="1"/>
  <c r="AZ30" i="1"/>
  <c r="AW31" i="1"/>
  <c r="BA31" i="1" s="1"/>
  <c r="BE31" i="1" s="1"/>
  <c r="AX31" i="1"/>
  <c r="AY31" i="1"/>
  <c r="BK31" i="1" s="1"/>
  <c r="AZ31" i="1"/>
  <c r="BL31" i="1" s="1"/>
  <c r="AW32" i="1"/>
  <c r="AX32" i="1"/>
  <c r="AY32" i="1"/>
  <c r="BC32" i="1" s="1"/>
  <c r="BG32" i="1" s="1"/>
  <c r="AZ32" i="1"/>
  <c r="BP32" i="1" s="1"/>
  <c r="AW33" i="1"/>
  <c r="BA33" i="1" s="1"/>
  <c r="BE33" i="1" s="1"/>
  <c r="AX33" i="1"/>
  <c r="BR33" i="1" s="1"/>
  <c r="AY33" i="1"/>
  <c r="BC33" i="1" s="1"/>
  <c r="BG33" i="1" s="1"/>
  <c r="AZ33" i="1"/>
  <c r="BL33" i="1" s="1"/>
  <c r="AW34" i="1"/>
  <c r="AX34" i="1"/>
  <c r="BJ34" i="1" s="1"/>
  <c r="AY34" i="1"/>
  <c r="BC34" i="1" s="1"/>
  <c r="BG34" i="1" s="1"/>
  <c r="AZ34" i="1"/>
  <c r="BP34" i="1" s="1"/>
  <c r="AW35" i="1"/>
  <c r="BM35" i="1" s="1"/>
  <c r="AX35" i="1"/>
  <c r="BJ35" i="1" s="1"/>
  <c r="AY35" i="1"/>
  <c r="BK35" i="1" s="1"/>
  <c r="AZ35" i="1"/>
  <c r="BL35" i="1" s="1"/>
  <c r="AW36" i="1"/>
  <c r="BQ36" i="1" s="1"/>
  <c r="AX36" i="1"/>
  <c r="AY36" i="1"/>
  <c r="BO36" i="1" s="1"/>
  <c r="AZ36" i="1"/>
  <c r="BD36" i="1" s="1"/>
  <c r="BH36" i="1" s="1"/>
  <c r="AW37" i="1"/>
  <c r="BI37" i="1" s="1"/>
  <c r="AX37" i="1"/>
  <c r="BJ37" i="1" s="1"/>
  <c r="AY37" i="1"/>
  <c r="BO37" i="1" s="1"/>
  <c r="AZ37" i="1"/>
  <c r="BP37" i="1" s="1"/>
  <c r="AW38" i="1"/>
  <c r="BQ38" i="1" s="1"/>
  <c r="AX38" i="1"/>
  <c r="BJ38" i="1" s="1"/>
  <c r="AY38" i="1"/>
  <c r="AZ38" i="1"/>
  <c r="AW39" i="1"/>
  <c r="BI39" i="1" s="1"/>
  <c r="AX39" i="1"/>
  <c r="AY39" i="1"/>
  <c r="BC39" i="1" s="1"/>
  <c r="BG39" i="1" s="1"/>
  <c r="AZ39" i="1"/>
  <c r="BL39" i="1" s="1"/>
  <c r="AW40" i="1"/>
  <c r="BQ40" i="1" s="1"/>
  <c r="AX40" i="1"/>
  <c r="AY40" i="1"/>
  <c r="BS40" i="1" s="1"/>
  <c r="AZ40" i="1"/>
  <c r="BD40" i="1" s="1"/>
  <c r="BH40" i="1" s="1"/>
  <c r="AW41" i="1"/>
  <c r="BM41" i="1" s="1"/>
  <c r="AX41" i="1"/>
  <c r="BJ41" i="1" s="1"/>
  <c r="AY41" i="1"/>
  <c r="BK41" i="1" s="1"/>
  <c r="AZ41" i="1"/>
  <c r="BD41" i="1" s="1"/>
  <c r="BH41" i="1" s="1"/>
  <c r="AW42" i="1"/>
  <c r="BQ42" i="1" s="1"/>
  <c r="AX42" i="1"/>
  <c r="BR42" i="1" s="1"/>
  <c r="AY42" i="1"/>
  <c r="BC42" i="1" s="1"/>
  <c r="BG42" i="1" s="1"/>
  <c r="AZ42" i="1"/>
  <c r="BD42" i="1" s="1"/>
  <c r="BH42" i="1" s="1"/>
  <c r="AW43" i="1"/>
  <c r="BQ43" i="1" s="1"/>
  <c r="AW44" i="1"/>
  <c r="BI44" i="1" s="1"/>
  <c r="AX44" i="1"/>
  <c r="BJ44" i="1" s="1"/>
  <c r="AY44" i="1"/>
  <c r="BK44" i="1" s="1"/>
  <c r="AW52" i="1"/>
  <c r="BI52" i="1" s="1"/>
  <c r="AX52" i="1"/>
  <c r="BR52" i="1" s="1"/>
  <c r="AY52" i="1"/>
  <c r="BK52" i="1" s="1"/>
  <c r="AZ52" i="1"/>
  <c r="AW53" i="1"/>
  <c r="BI53" i="1" s="1"/>
  <c r="AX53" i="1"/>
  <c r="BJ53" i="1" s="1"/>
  <c r="AY53" i="1"/>
  <c r="BS53" i="1" s="1"/>
  <c r="AZ53" i="1"/>
  <c r="BD53" i="1" s="1"/>
  <c r="BH53" i="1" s="1"/>
  <c r="AW54" i="1"/>
  <c r="BI54" i="1" s="1"/>
  <c r="AX54" i="1"/>
  <c r="AY54" i="1"/>
  <c r="BS54" i="1" s="1"/>
  <c r="AZ54" i="1"/>
  <c r="BD54" i="1" s="1"/>
  <c r="BH54" i="1" s="1"/>
  <c r="AY55" i="1"/>
  <c r="BO55" i="1" s="1"/>
  <c r="AZ55" i="1"/>
  <c r="AY57" i="1"/>
  <c r="BS57" i="1" s="1"/>
  <c r="AZ72" i="1"/>
  <c r="BD72" i="1" s="1"/>
  <c r="BH72" i="1" s="1"/>
  <c r="AX43" i="1"/>
  <c r="AY43" i="1"/>
  <c r="BC43" i="1" s="1"/>
  <c r="BG43" i="1" s="1"/>
  <c r="AZ43" i="1"/>
  <c r="BT43" i="1" s="1"/>
  <c r="AW48" i="1"/>
  <c r="BA48" i="1" s="1"/>
  <c r="BE48" i="1" s="1"/>
  <c r="AX48" i="1"/>
  <c r="BB48" i="1" s="1"/>
  <c r="BF48" i="1" s="1"/>
  <c r="AY48" i="1"/>
  <c r="AW51" i="1"/>
  <c r="BI51" i="1" s="1"/>
  <c r="AX51" i="1"/>
  <c r="BR51" i="1" s="1"/>
  <c r="AY51" i="1"/>
  <c r="BK51" i="1" s="1"/>
  <c r="AZ51" i="1"/>
  <c r="AW58" i="1"/>
  <c r="BA58" i="1" s="1"/>
  <c r="BE58" i="1" s="1"/>
  <c r="AX58" i="1"/>
  <c r="BJ58" i="1" s="1"/>
  <c r="AY58" i="1"/>
  <c r="BC58" i="1" s="1"/>
  <c r="BG58" i="1" s="1"/>
  <c r="AZ58" i="1"/>
  <c r="AW71" i="1"/>
  <c r="BM71" i="1" s="1"/>
  <c r="AX71" i="1"/>
  <c r="BJ71" i="1" s="1"/>
  <c r="AY71" i="1"/>
  <c r="BS71" i="1" s="1"/>
  <c r="AZ71" i="1"/>
  <c r="BD71" i="1" s="1"/>
  <c r="BH71" i="1" s="1"/>
  <c r="AW72" i="1"/>
  <c r="BI72" i="1" s="1"/>
  <c r="AX72" i="1"/>
  <c r="BJ72" i="1" s="1"/>
  <c r="AY72" i="1"/>
  <c r="BC72" i="1" s="1"/>
  <c r="BG72" i="1" s="1"/>
  <c r="AW81" i="1"/>
  <c r="AX81" i="1"/>
  <c r="BN81" i="1" s="1"/>
  <c r="AY81" i="1"/>
  <c r="BO81" i="1" s="1"/>
  <c r="AZ81" i="1"/>
  <c r="BT81" i="1" s="1"/>
  <c r="AW82" i="1"/>
  <c r="BM82" i="1" s="1"/>
  <c r="AX82" i="1"/>
  <c r="BJ82" i="1" s="1"/>
  <c r="AY82" i="1"/>
  <c r="BS82" i="1" s="1"/>
  <c r="AX86" i="1"/>
  <c r="BJ86" i="1" s="1"/>
  <c r="AW87" i="1"/>
  <c r="BI87" i="1" s="1"/>
  <c r="AX87" i="1"/>
  <c r="BB87" i="1" s="1"/>
  <c r="BF87" i="1" s="1"/>
  <c r="AY87" i="1"/>
  <c r="BS87" i="1" s="1"/>
  <c r="AZ87" i="1"/>
  <c r="BL87" i="1" s="1"/>
  <c r="AZ92" i="1"/>
  <c r="AW93" i="1"/>
  <c r="BM93" i="1" s="1"/>
  <c r="AX93" i="1"/>
  <c r="BR93" i="1" s="1"/>
  <c r="AY93" i="1"/>
  <c r="BC93" i="1" s="1"/>
  <c r="BG93" i="1" s="1"/>
  <c r="AZ93" i="1"/>
  <c r="BL93" i="1" s="1"/>
  <c r="AW94" i="1"/>
  <c r="BI94" i="1" s="1"/>
  <c r="AX94" i="1"/>
  <c r="BR94" i="1" s="1"/>
  <c r="AY94" i="1"/>
  <c r="BK94" i="1" s="1"/>
  <c r="AZ94" i="1"/>
  <c r="BP94" i="1" s="1"/>
  <c r="AW99" i="1"/>
  <c r="BM99" i="1" s="1"/>
  <c r="AX99" i="1"/>
  <c r="BR99" i="1" s="1"/>
  <c r="AY99" i="1"/>
  <c r="BS99" i="1" s="1"/>
  <c r="AZ99" i="1"/>
  <c r="BD99" i="1" s="1"/>
  <c r="BH99" i="1" s="1"/>
  <c r="AW103" i="1"/>
  <c r="BQ103" i="1" s="1"/>
  <c r="AX103" i="1"/>
  <c r="BB103" i="1" s="1"/>
  <c r="BF103" i="1" s="1"/>
  <c r="AY103" i="1"/>
  <c r="BC103" i="1" s="1"/>
  <c r="BG103" i="1" s="1"/>
  <c r="AZ103" i="1"/>
  <c r="BD103" i="1" s="1"/>
  <c r="BH103" i="1" s="1"/>
  <c r="AW104" i="1"/>
  <c r="BM104" i="1" s="1"/>
  <c r="AX104" i="1"/>
  <c r="BB104" i="1" s="1"/>
  <c r="BF104" i="1" s="1"/>
  <c r="AY104" i="1"/>
  <c r="BS104" i="1" s="1"/>
  <c r="AZ104" i="1"/>
  <c r="BL104" i="1" s="1"/>
  <c r="AW105" i="1"/>
  <c r="BM105" i="1" s="1"/>
  <c r="AX105" i="1"/>
  <c r="BN105" i="1" s="1"/>
  <c r="AY105" i="1"/>
  <c r="BC105" i="1" s="1"/>
  <c r="BG105" i="1" s="1"/>
  <c r="AZ105" i="1"/>
  <c r="BL105" i="1" s="1"/>
  <c r="AW106" i="1"/>
  <c r="AX106" i="1"/>
  <c r="BB106" i="1" s="1"/>
  <c r="BF106" i="1" s="1"/>
  <c r="AY106" i="1"/>
  <c r="BK106" i="1" s="1"/>
  <c r="AZ106" i="1"/>
  <c r="BL106" i="1" s="1"/>
  <c r="AY61" i="1"/>
  <c r="BK61" i="1" s="1"/>
  <c r="AW62" i="1"/>
  <c r="BI62" i="1" s="1"/>
  <c r="AZ62" i="1"/>
  <c r="BL62" i="1" s="1"/>
  <c r="AX63" i="1"/>
  <c r="BB63" i="1" s="1"/>
  <c r="BF63" i="1" s="1"/>
  <c r="AW64" i="1"/>
  <c r="BI64" i="1" s="1"/>
  <c r="AZ64" i="1"/>
  <c r="BL64" i="1" s="1"/>
  <c r="AX65" i="1"/>
  <c r="BR65" i="1" s="1"/>
  <c r="AW66" i="1"/>
  <c r="AY66" i="1"/>
  <c r="BC66" i="1" s="1"/>
  <c r="BG66" i="1" s="1"/>
  <c r="AZ66" i="1"/>
  <c r="BL66" i="1" s="1"/>
  <c r="AX70" i="1"/>
  <c r="BB70" i="1" s="1"/>
  <c r="BF70" i="1" s="1"/>
  <c r="AZ70" i="1"/>
  <c r="AX73" i="1"/>
  <c r="BJ73" i="1" s="1"/>
  <c r="AZ73" i="1"/>
  <c r="BD73" i="1" s="1"/>
  <c r="BH73" i="1" s="1"/>
  <c r="AX74" i="1"/>
  <c r="BB74" i="1" s="1"/>
  <c r="BF74" i="1" s="1"/>
  <c r="AY79" i="1"/>
  <c r="BS79" i="1" s="1"/>
  <c r="AZ79" i="1"/>
  <c r="BD79" i="1" s="1"/>
  <c r="BH79" i="1" s="1"/>
  <c r="AX80" i="1"/>
  <c r="BB80" i="1" s="1"/>
  <c r="BF80" i="1" s="1"/>
  <c r="AY80" i="1"/>
  <c r="BK80" i="1" s="1"/>
  <c r="AX90" i="1"/>
  <c r="BB90" i="1" s="1"/>
  <c r="BF90" i="1" s="1"/>
  <c r="AZ90" i="1"/>
  <c r="BD90" i="1" s="1"/>
  <c r="BH90" i="1" s="1"/>
  <c r="AW91" i="1"/>
  <c r="BQ91" i="1" s="1"/>
  <c r="AX91" i="1"/>
  <c r="BJ91" i="1" s="1"/>
  <c r="AY91" i="1"/>
  <c r="BK91" i="1" s="1"/>
  <c r="AZ91" i="1"/>
  <c r="BL91" i="1" s="1"/>
  <c r="AX61" i="1"/>
  <c r="BN61" i="1" s="1"/>
  <c r="AZ61" i="1"/>
  <c r="BT61" i="1" s="1"/>
  <c r="AX62" i="1"/>
  <c r="BJ62" i="1" s="1"/>
  <c r="AY62" i="1"/>
  <c r="BO62" i="1" s="1"/>
  <c r="AW63" i="1"/>
  <c r="BA63" i="1" s="1"/>
  <c r="BE63" i="1" s="1"/>
  <c r="AY63" i="1"/>
  <c r="BO63" i="1" s="1"/>
  <c r="AZ63" i="1"/>
  <c r="BT63" i="1" s="1"/>
  <c r="AX64" i="1"/>
  <c r="BR64" i="1" s="1"/>
  <c r="AY64" i="1"/>
  <c r="AW65" i="1"/>
  <c r="AY65" i="1"/>
  <c r="BS65" i="1" s="1"/>
  <c r="AZ65" i="1"/>
  <c r="BD65" i="1" s="1"/>
  <c r="BH65" i="1" s="1"/>
  <c r="AX66" i="1"/>
  <c r="BJ66" i="1" s="1"/>
  <c r="AW67" i="1"/>
  <c r="BI67" i="1" s="1"/>
  <c r="AW70" i="1"/>
  <c r="BA70" i="1" s="1"/>
  <c r="BE70" i="1" s="1"/>
  <c r="AY70" i="1"/>
  <c r="BS70" i="1" s="1"/>
  <c r="AW73" i="1"/>
  <c r="BA73" i="1" s="1"/>
  <c r="BE73" i="1" s="1"/>
  <c r="AY73" i="1"/>
  <c r="BS73" i="1" s="1"/>
  <c r="AW74" i="1"/>
  <c r="AY74" i="1"/>
  <c r="BK74" i="1" s="1"/>
  <c r="AW79" i="1"/>
  <c r="BA79" i="1" s="1"/>
  <c r="BE79" i="1" s="1"/>
  <c r="AX79" i="1"/>
  <c r="BJ79" i="1" s="1"/>
  <c r="AW80" i="1"/>
  <c r="AZ88" i="1"/>
  <c r="BL88" i="1" s="1"/>
  <c r="AW95" i="1"/>
  <c r="BM95" i="1" s="1"/>
  <c r="AX95" i="1"/>
  <c r="BR95" i="1" s="1"/>
  <c r="AY95" i="1"/>
  <c r="BC95" i="1" s="1"/>
  <c r="BG95" i="1" s="1"/>
  <c r="AZ95" i="1"/>
  <c r="BL95" i="1" s="1"/>
  <c r="AW97" i="1"/>
  <c r="BQ97" i="1" s="1"/>
  <c r="AX97" i="1"/>
  <c r="BN97" i="1" s="1"/>
  <c r="AY97" i="1"/>
  <c r="BS97" i="1" s="1"/>
  <c r="AZ97" i="1"/>
  <c r="BL97" i="1" s="1"/>
  <c r="AW98" i="1"/>
  <c r="BA98" i="1" s="1"/>
  <c r="BE98" i="1" s="1"/>
  <c r="AX98" i="1"/>
  <c r="BR98" i="1" s="1"/>
  <c r="AY98" i="1"/>
  <c r="BS98" i="1" s="1"/>
  <c r="AZ98" i="1"/>
  <c r="AW100" i="1"/>
  <c r="BA100" i="1" s="1"/>
  <c r="BE100" i="1" s="1"/>
  <c r="AX100" i="1"/>
  <c r="BJ100" i="1" s="1"/>
  <c r="AY100" i="1"/>
  <c r="BK100" i="1" s="1"/>
  <c r="AZ100" i="1"/>
  <c r="BL100" i="1" s="1"/>
  <c r="AW101" i="1"/>
  <c r="BI101" i="1" s="1"/>
  <c r="AX101" i="1"/>
  <c r="BB101" i="1" s="1"/>
  <c r="BF101" i="1" s="1"/>
  <c r="AY101" i="1"/>
  <c r="BC101" i="1" s="1"/>
  <c r="BG101" i="1" s="1"/>
  <c r="AZ101" i="1"/>
  <c r="AW47" i="1"/>
  <c r="BA47" i="1" s="1"/>
  <c r="BE47" i="1" s="1"/>
  <c r="AX47" i="1"/>
  <c r="BJ47" i="1" s="1"/>
  <c r="AY47" i="1"/>
  <c r="BK47" i="1" s="1"/>
  <c r="AZ47" i="1"/>
  <c r="BD47" i="1" s="1"/>
  <c r="BH47" i="1" s="1"/>
  <c r="AW56" i="1"/>
  <c r="BA56" i="1" s="1"/>
  <c r="BE56" i="1" s="1"/>
  <c r="AX56" i="1"/>
  <c r="BN56" i="1" s="1"/>
  <c r="AY56" i="1"/>
  <c r="BK56" i="1" s="1"/>
  <c r="AZ56" i="1"/>
  <c r="BL56" i="1" s="1"/>
  <c r="AW57" i="1"/>
  <c r="BI57" i="1" s="1"/>
  <c r="AY59" i="1"/>
  <c r="BO59" i="1" s="1"/>
  <c r="AX67" i="1"/>
  <c r="AX68" i="1"/>
  <c r="BB68" i="1" s="1"/>
  <c r="BF68" i="1" s="1"/>
  <c r="AW75" i="1"/>
  <c r="BM75" i="1" s="1"/>
  <c r="AX75" i="1"/>
  <c r="BR75" i="1" s="1"/>
  <c r="AY75" i="1"/>
  <c r="BC75" i="1" s="1"/>
  <c r="BG75" i="1" s="1"/>
  <c r="AZ75" i="1"/>
  <c r="BP75" i="1" s="1"/>
  <c r="AW76" i="1"/>
  <c r="BA76" i="1" s="1"/>
  <c r="BE76" i="1" s="1"/>
  <c r="AX76" i="1"/>
  <c r="BJ76" i="1" s="1"/>
  <c r="AY76" i="1"/>
  <c r="BK76" i="1" s="1"/>
  <c r="AW92" i="1"/>
  <c r="BM92" i="1" s="1"/>
  <c r="AW102" i="1"/>
  <c r="BI102" i="1" s="1"/>
  <c r="AX102" i="1"/>
  <c r="BJ102" i="1" s="1"/>
  <c r="AY102" i="1"/>
  <c r="BS102" i="1" s="1"/>
  <c r="AZ102" i="1"/>
  <c r="BT102" i="1" s="1"/>
  <c r="BL44" i="1"/>
  <c r="AZ24" i="1"/>
  <c r="AZ26" i="1"/>
  <c r="AW68" i="1"/>
  <c r="BI77" i="1"/>
  <c r="AW55" i="1"/>
  <c r="BA78" i="1"/>
  <c r="BE78" i="1" s="1"/>
  <c r="AW69" i="1"/>
  <c r="AW85" i="1"/>
  <c r="AX55" i="1"/>
  <c r="AX57" i="1"/>
  <c r="AX59" i="1"/>
  <c r="AX69" i="1"/>
  <c r="AY68" i="1"/>
  <c r="AZ68" i="1"/>
  <c r="BO78" i="1"/>
  <c r="AW89" i="1"/>
  <c r="AY67" i="1"/>
  <c r="AY69" i="1"/>
  <c r="AX85" i="1"/>
  <c r="AY85" i="1"/>
  <c r="AZ85" i="1"/>
  <c r="AX89" i="1"/>
  <c r="AY89" i="1"/>
  <c r="AZ89" i="1"/>
  <c r="AW86" i="1"/>
  <c r="AW90" i="1"/>
  <c r="AY86" i="1"/>
  <c r="AY88" i="1"/>
  <c r="AY90" i="1"/>
  <c r="AY92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N4" i="1"/>
  <c r="N5" i="1"/>
  <c r="N6" i="1"/>
  <c r="N7" i="1"/>
  <c r="N8" i="1"/>
  <c r="N9" i="1"/>
  <c r="N10" i="1"/>
  <c r="BH3" i="1"/>
  <c r="BG3" i="1"/>
  <c r="BF3" i="1"/>
  <c r="BE3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1" i="1"/>
  <c r="BN107" i="1" l="1"/>
  <c r="BR107" i="1" s="1"/>
  <c r="BO83" i="1"/>
  <c r="BL48" i="1"/>
  <c r="BT23" i="1"/>
  <c r="BS96" i="1"/>
  <c r="BL80" i="1"/>
  <c r="BR24" i="1"/>
  <c r="BM88" i="1"/>
  <c r="BN88" i="1" s="1"/>
  <c r="BP84" i="1"/>
  <c r="BB14" i="1"/>
  <c r="BF14" i="1" s="1"/>
  <c r="BB88" i="1"/>
  <c r="BF88" i="1" s="1"/>
  <c r="BB77" i="1"/>
  <c r="BF77" i="1" s="1"/>
  <c r="BJ46" i="1"/>
  <c r="BA45" i="1"/>
  <c r="BE45" i="1" s="1"/>
  <c r="BD96" i="1"/>
  <c r="BH96" i="1" s="1"/>
  <c r="BR78" i="1"/>
  <c r="BD83" i="1"/>
  <c r="BH83" i="1" s="1"/>
  <c r="BO54" i="1"/>
  <c r="BP54" i="1" s="1"/>
  <c r="BK27" i="1"/>
  <c r="BJ78" i="1"/>
  <c r="BN77" i="1"/>
  <c r="BO77" i="1" s="1"/>
  <c r="BT83" i="1"/>
  <c r="BM59" i="1"/>
  <c r="BM45" i="1"/>
  <c r="BN45" i="1" s="1"/>
  <c r="BO45" i="1" s="1"/>
  <c r="BP45" i="1" s="1"/>
  <c r="BN78" i="1"/>
  <c r="BR77" i="1"/>
  <c r="BP83" i="1"/>
  <c r="BI59" i="1"/>
  <c r="BI45" i="1"/>
  <c r="BR92" i="1"/>
  <c r="BI96" i="1"/>
  <c r="BO84" i="1"/>
  <c r="BA83" i="1"/>
  <c r="BE83" i="1" s="1"/>
  <c r="BP59" i="1"/>
  <c r="BQ96" i="1"/>
  <c r="BL59" i="1"/>
  <c r="BC46" i="1"/>
  <c r="BG46" i="1" s="1"/>
  <c r="BP96" i="1"/>
  <c r="BI83" i="1"/>
  <c r="BJ45" i="1"/>
  <c r="BP82" i="1"/>
  <c r="BM10" i="1"/>
  <c r="BK84" i="1"/>
  <c r="BD76" i="1"/>
  <c r="BH76" i="1" s="1"/>
  <c r="BB92" i="1"/>
  <c r="BF92" i="1" s="1"/>
  <c r="BD82" i="1"/>
  <c r="BH82" i="1" s="1"/>
  <c r="BC96" i="1"/>
  <c r="BG96" i="1" s="1"/>
  <c r="BS78" i="1"/>
  <c r="BS83" i="1"/>
  <c r="BD84" i="1"/>
  <c r="BH84" i="1" s="1"/>
  <c r="BI78" i="1"/>
  <c r="BT80" i="1"/>
  <c r="BQ77" i="1"/>
  <c r="BP44" i="1"/>
  <c r="BJ27" i="1"/>
  <c r="BD48" i="1"/>
  <c r="BH48" i="1" s="1"/>
  <c r="BD44" i="1"/>
  <c r="BH44" i="1" s="1"/>
  <c r="BA46" i="1"/>
  <c r="BE46" i="1" s="1"/>
  <c r="BL19" i="1"/>
  <c r="BR20" i="1"/>
  <c r="BQ12" i="1"/>
  <c r="BK96" i="1"/>
  <c r="BC78" i="1"/>
  <c r="BG78" i="1" s="1"/>
  <c r="BA88" i="1"/>
  <c r="BE88" i="1" s="1"/>
  <c r="BC83" i="1"/>
  <c r="BG83" i="1" s="1"/>
  <c r="BR81" i="1"/>
  <c r="BL84" i="1"/>
  <c r="BM77" i="1"/>
  <c r="BS37" i="1"/>
  <c r="BT48" i="1"/>
  <c r="BM46" i="1"/>
  <c r="BN46" i="1" s="1"/>
  <c r="BB18" i="1"/>
  <c r="BF18" i="1" s="1"/>
  <c r="BQ88" i="1"/>
  <c r="BC50" i="1"/>
  <c r="BG50" i="1" s="1"/>
  <c r="BM58" i="1"/>
  <c r="BC31" i="1"/>
  <c r="BG31" i="1" s="1"/>
  <c r="BO49" i="1"/>
  <c r="BO60" i="1"/>
  <c r="BL15" i="1"/>
  <c r="BR16" i="1"/>
  <c r="BC9" i="1"/>
  <c r="BG9" i="1" s="1"/>
  <c r="BI103" i="1"/>
  <c r="BK32" i="1"/>
  <c r="BT91" i="1"/>
  <c r="BC74" i="1"/>
  <c r="BG74" i="1" s="1"/>
  <c r="BA94" i="1"/>
  <c r="BE94" i="1" s="1"/>
  <c r="BO52" i="1"/>
  <c r="BP52" i="1" s="1"/>
  <c r="BC41" i="1"/>
  <c r="BG41" i="1" s="1"/>
  <c r="BK28" i="1"/>
  <c r="BA96" i="1"/>
  <c r="BE96" i="1" s="1"/>
  <c r="BS84" i="1"/>
  <c r="BC77" i="1"/>
  <c r="BG77" i="1" s="1"/>
  <c r="BJ92" i="1"/>
  <c r="BL82" i="1"/>
  <c r="BD59" i="1"/>
  <c r="BH59" i="1" s="1"/>
  <c r="BP20" i="1"/>
  <c r="BM84" i="1"/>
  <c r="BN84" i="1" s="1"/>
  <c r="BP77" i="1"/>
  <c r="BB96" i="1"/>
  <c r="BF96" i="1" s="1"/>
  <c r="BJ83" i="1"/>
  <c r="BL77" i="1"/>
  <c r="BP74" i="1"/>
  <c r="BR96" i="1"/>
  <c r="BN96" i="1"/>
  <c r="BD86" i="1"/>
  <c r="BH86" i="1" s="1"/>
  <c r="BR83" i="1"/>
  <c r="BT86" i="1"/>
  <c r="BA84" i="1"/>
  <c r="BE84" i="1" s="1"/>
  <c r="BL45" i="1"/>
  <c r="BP86" i="1"/>
  <c r="BB83" i="1"/>
  <c r="BF83" i="1" s="1"/>
  <c r="BI84" i="1"/>
  <c r="BD77" i="1"/>
  <c r="BH77" i="1" s="1"/>
  <c r="BD74" i="1"/>
  <c r="BH74" i="1" s="1"/>
  <c r="BL46" i="1"/>
  <c r="BL74" i="1"/>
  <c r="BA105" i="1"/>
  <c r="BE105" i="1" s="1"/>
  <c r="BO61" i="1"/>
  <c r="BK66" i="1"/>
  <c r="BK39" i="1"/>
  <c r="BK30" i="1"/>
  <c r="BD88" i="1"/>
  <c r="BH88" i="1" s="1"/>
  <c r="BC40" i="1"/>
  <c r="BG40" i="1" s="1"/>
  <c r="BQ99" i="1"/>
  <c r="BN82" i="1"/>
  <c r="BA104" i="1"/>
  <c r="BE104" i="1" s="1"/>
  <c r="BJ87" i="1"/>
  <c r="BC53" i="1"/>
  <c r="BG53" i="1" s="1"/>
  <c r="BO57" i="1"/>
  <c r="BP57" i="1" s="1"/>
  <c r="BP43" i="1"/>
  <c r="BI93" i="1"/>
  <c r="BS36" i="1"/>
  <c r="BD57" i="1"/>
  <c r="BH57" i="1" s="1"/>
  <c r="BI18" i="1"/>
  <c r="BP78" i="1"/>
  <c r="BL78" i="1"/>
  <c r="BT32" i="1"/>
  <c r="BM11" i="1"/>
  <c r="BQ53" i="1"/>
  <c r="BI28" i="1"/>
  <c r="BR21" i="1"/>
  <c r="BK105" i="1"/>
  <c r="BS58" i="1"/>
  <c r="BC15" i="1"/>
  <c r="BG15" i="1" s="1"/>
  <c r="BJ84" i="1"/>
  <c r="BC45" i="1"/>
  <c r="BG45" i="1" s="1"/>
  <c r="BC91" i="1"/>
  <c r="BG91" i="1" s="1"/>
  <c r="BL69" i="1"/>
  <c r="BB49" i="1"/>
  <c r="BF49" i="1" s="1"/>
  <c r="BN10" i="1"/>
  <c r="BO10" i="1" s="1"/>
  <c r="BD78" i="1"/>
  <c r="BH78" i="1" s="1"/>
  <c r="BA23" i="1"/>
  <c r="BE23" i="1" s="1"/>
  <c r="BD50" i="1"/>
  <c r="BH50" i="1" s="1"/>
  <c r="BT60" i="1"/>
  <c r="BM13" i="1"/>
  <c r="BN13" i="1" s="1"/>
  <c r="BO13" i="1" s="1"/>
  <c r="BP13" i="1" s="1"/>
  <c r="BR13" i="1" s="1"/>
  <c r="BD97" i="1"/>
  <c r="BH97" i="1" s="1"/>
  <c r="BC70" i="1"/>
  <c r="BG70" i="1" s="1"/>
  <c r="BR103" i="1"/>
  <c r="BL54" i="1"/>
  <c r="BO87" i="1"/>
  <c r="BQ75" i="1"/>
  <c r="BB105" i="1"/>
  <c r="BF105" i="1" s="1"/>
  <c r="BM62" i="1"/>
  <c r="BJ104" i="1"/>
  <c r="BA102" i="1"/>
  <c r="BE102" i="1" s="1"/>
  <c r="BM100" i="1"/>
  <c r="BM73" i="1"/>
  <c r="BN73" i="1" s="1"/>
  <c r="BB58" i="1"/>
  <c r="BF58" i="1" s="1"/>
  <c r="BB66" i="1"/>
  <c r="BF66" i="1" s="1"/>
  <c r="BL53" i="1"/>
  <c r="BC44" i="1"/>
  <c r="BG44" i="1" s="1"/>
  <c r="BQ72" i="1"/>
  <c r="BK42" i="1"/>
  <c r="BN12" i="1"/>
  <c r="BS8" i="1"/>
  <c r="BP73" i="1"/>
  <c r="BA57" i="1"/>
  <c r="BE57" i="1" s="1"/>
  <c r="BP95" i="1"/>
  <c r="BQ100" i="1"/>
  <c r="BM97" i="1"/>
  <c r="BS62" i="1"/>
  <c r="BA71" i="1"/>
  <c r="BE71" i="1" s="1"/>
  <c r="BL79" i="1"/>
  <c r="BC73" i="1"/>
  <c r="BG73" i="1" s="1"/>
  <c r="BP61" i="1"/>
  <c r="BI41" i="1"/>
  <c r="BS80" i="1"/>
  <c r="BK72" i="1"/>
  <c r="BM37" i="1"/>
  <c r="BN37" i="1" s="1"/>
  <c r="BR37" i="1" s="1"/>
  <c r="BM25" i="1"/>
  <c r="BK99" i="1"/>
  <c r="BN79" i="1"/>
  <c r="BC71" i="1"/>
  <c r="BG71" i="1" s="1"/>
  <c r="BJ105" i="1"/>
  <c r="BQ95" i="1"/>
  <c r="BK82" i="1"/>
  <c r="BJ80" i="1"/>
  <c r="BO72" i="1"/>
  <c r="BB71" i="1"/>
  <c r="BF71" i="1" s="1"/>
  <c r="BI91" i="1"/>
  <c r="BD81" i="1"/>
  <c r="BH81" i="1" s="1"/>
  <c r="BT76" i="1"/>
  <c r="BI73" i="1"/>
  <c r="BB61" i="1"/>
  <c r="BF61" i="1" s="1"/>
  <c r="BN58" i="1"/>
  <c r="BM54" i="1"/>
  <c r="BM33" i="1"/>
  <c r="BL76" i="1"/>
  <c r="BT66" i="1"/>
  <c r="BS59" i="1"/>
  <c r="BI56" i="1"/>
  <c r="BR105" i="1"/>
  <c r="BN103" i="1"/>
  <c r="BO103" i="1" s="1"/>
  <c r="BP103" i="1" s="1"/>
  <c r="BI95" i="1"/>
  <c r="BO82" i="1"/>
  <c r="BN80" i="1"/>
  <c r="BB72" i="1"/>
  <c r="BF72" i="1" s="1"/>
  <c r="BB86" i="1"/>
  <c r="BF86" i="1" s="1"/>
  <c r="BS81" i="1"/>
  <c r="BQ76" i="1"/>
  <c r="BJ61" i="1"/>
  <c r="BB93" i="1"/>
  <c r="BF93" i="1" s="1"/>
  <c r="BQ54" i="1"/>
  <c r="BM28" i="1"/>
  <c r="BN28" i="1" s="1"/>
  <c r="BB102" i="1"/>
  <c r="BF102" i="1" s="1"/>
  <c r="BR100" i="1"/>
  <c r="BJ74" i="1"/>
  <c r="BK73" i="1"/>
  <c r="BM39" i="1"/>
  <c r="BB65" i="1"/>
  <c r="BF65" i="1" s="1"/>
  <c r="BT62" i="1"/>
  <c r="BA42" i="1"/>
  <c r="BE42" i="1" s="1"/>
  <c r="BK104" i="1"/>
  <c r="BN101" i="1"/>
  <c r="BJ97" i="1"/>
  <c r="BK103" i="1"/>
  <c r="BO80" i="1"/>
  <c r="BR76" i="1"/>
  <c r="BM67" i="1"/>
  <c r="BN67" i="1" s="1"/>
  <c r="BD87" i="1"/>
  <c r="BH87" i="1" s="1"/>
  <c r="BB75" i="1"/>
  <c r="BF75" i="1" s="1"/>
  <c r="BP81" i="1"/>
  <c r="BJ65" i="1"/>
  <c r="BK93" i="1"/>
  <c r="BS55" i="1"/>
  <c r="BM29" i="1"/>
  <c r="BM79" i="1"/>
  <c r="BI79" i="1"/>
  <c r="BI48" i="1"/>
  <c r="BM48" i="1"/>
  <c r="BP72" i="1"/>
  <c r="BL72" i="1"/>
  <c r="BT72" i="1"/>
  <c r="BD52" i="1"/>
  <c r="BH52" i="1" s="1"/>
  <c r="BL52" i="1"/>
  <c r="BL50" i="1"/>
  <c r="BP50" i="1"/>
  <c r="BK18" i="1"/>
  <c r="BC18" i="1"/>
  <c r="BG18" i="1" s="1"/>
  <c r="BK16" i="1"/>
  <c r="BC16" i="1"/>
  <c r="BG16" i="1" s="1"/>
  <c r="BN8" i="1"/>
  <c r="BR8" i="1"/>
  <c r="BD25" i="1"/>
  <c r="BH25" i="1" s="1"/>
  <c r="BL25" i="1"/>
  <c r="BA20" i="1"/>
  <c r="BE20" i="1" s="1"/>
  <c r="BI20" i="1"/>
  <c r="BM16" i="1"/>
  <c r="BI16" i="1"/>
  <c r="BO12" i="1"/>
  <c r="BP12" i="1" s="1"/>
  <c r="BS12" i="1"/>
  <c r="BD9" i="1"/>
  <c r="BH9" i="1" s="1"/>
  <c r="BT9" i="1"/>
  <c r="BC26" i="1"/>
  <c r="BG26" i="1" s="1"/>
  <c r="BK26" i="1"/>
  <c r="BQ101" i="1"/>
  <c r="BA101" i="1"/>
  <c r="BE101" i="1" s="1"/>
  <c r="BQ98" i="1"/>
  <c r="BI98" i="1"/>
  <c r="BK64" i="1"/>
  <c r="BO64" i="1"/>
  <c r="BD30" i="1"/>
  <c r="BH30" i="1" s="1"/>
  <c r="BL30" i="1"/>
  <c r="BJ106" i="1"/>
  <c r="BM102" i="1"/>
  <c r="BN102" i="1" s="1"/>
  <c r="BM101" i="1"/>
  <c r="BJ103" i="1"/>
  <c r="BA95" i="1"/>
  <c r="BE95" i="1" s="1"/>
  <c r="BI100" i="1"/>
  <c r="BM98" i="1"/>
  <c r="BC82" i="1"/>
  <c r="BG82" i="1" s="1"/>
  <c r="BR80" i="1"/>
  <c r="BI97" i="1"/>
  <c r="BC87" i="1"/>
  <c r="BG87" i="1" s="1"/>
  <c r="BC81" i="1"/>
  <c r="BG81" i="1" s="1"/>
  <c r="BA91" i="1"/>
  <c r="BE91" i="1" s="1"/>
  <c r="BM76" i="1"/>
  <c r="BL73" i="1"/>
  <c r="BQ73" i="1"/>
  <c r="BR61" i="1"/>
  <c r="BR58" i="1"/>
  <c r="BQ57" i="1"/>
  <c r="BJ93" i="1"/>
  <c r="BA75" i="1"/>
  <c r="BE75" i="1" s="1"/>
  <c r="BD66" i="1"/>
  <c r="BH66" i="1" s="1"/>
  <c r="BA62" i="1"/>
  <c r="BE62" i="1" s="1"/>
  <c r="BL34" i="1"/>
  <c r="BA97" i="1"/>
  <c r="BE97" i="1" s="1"/>
  <c r="BK87" i="1"/>
  <c r="BK81" i="1"/>
  <c r="BM91" i="1"/>
  <c r="BI76" i="1"/>
  <c r="BT73" i="1"/>
  <c r="BM57" i="1"/>
  <c r="BN93" i="1"/>
  <c r="BO93" i="1" s="1"/>
  <c r="BI75" i="1"/>
  <c r="BP66" i="1"/>
  <c r="BL41" i="1"/>
  <c r="BL37" i="1"/>
  <c r="BT49" i="1"/>
  <c r="BL40" i="1"/>
  <c r="BL28" i="1"/>
  <c r="BN104" i="1"/>
  <c r="BC104" i="1"/>
  <c r="BG104" i="1" s="1"/>
  <c r="BD102" i="1"/>
  <c r="BH102" i="1" s="1"/>
  <c r="BC99" i="1"/>
  <c r="BG99" i="1" s="1"/>
  <c r="BM106" i="1"/>
  <c r="BJ101" i="1"/>
  <c r="BN100" i="1"/>
  <c r="BB91" i="1"/>
  <c r="BF91" i="1" s="1"/>
  <c r="BN76" i="1"/>
  <c r="BO76" i="1" s="1"/>
  <c r="BN74" i="1"/>
  <c r="BO74" i="1" s="1"/>
  <c r="BT87" i="1"/>
  <c r="BR79" i="1"/>
  <c r="BJ75" i="1"/>
  <c r="BK71" i="1"/>
  <c r="BL65" i="1"/>
  <c r="BD61" i="1"/>
  <c r="BH61" i="1" s="1"/>
  <c r="BJ70" i="1"/>
  <c r="BP62" i="1"/>
  <c r="BB56" i="1"/>
  <c r="BF56" i="1" s="1"/>
  <c r="BK54" i="1"/>
  <c r="BD80" i="1"/>
  <c r="BH80" i="1" s="1"/>
  <c r="BS63" i="1"/>
  <c r="BK29" i="1"/>
  <c r="BB44" i="1"/>
  <c r="BF44" i="1" s="1"/>
  <c r="BK34" i="1"/>
  <c r="BM64" i="1"/>
  <c r="BR22" i="1"/>
  <c r="BJ11" i="1"/>
  <c r="BS25" i="1"/>
  <c r="BP10" i="1"/>
  <c r="BD94" i="1"/>
  <c r="BH94" i="1" s="1"/>
  <c r="BD69" i="1"/>
  <c r="BH69" i="1" s="1"/>
  <c r="BR60" i="1"/>
  <c r="BL11" i="1"/>
  <c r="BI27" i="1"/>
  <c r="BI19" i="1"/>
  <c r="BC106" i="1"/>
  <c r="BG106" i="1" s="1"/>
  <c r="BO104" i="1"/>
  <c r="BO99" i="1"/>
  <c r="BP99" i="1" s="1"/>
  <c r="BR101" i="1"/>
  <c r="BC94" i="1"/>
  <c r="BG94" i="1" s="1"/>
  <c r="BB97" i="1"/>
  <c r="BF97" i="1" s="1"/>
  <c r="BB100" i="1"/>
  <c r="BF100" i="1" s="1"/>
  <c r="BR91" i="1"/>
  <c r="BN91" i="1"/>
  <c r="BO91" i="1" s="1"/>
  <c r="BC80" i="1"/>
  <c r="BG80" i="1" s="1"/>
  <c r="BB76" i="1"/>
  <c r="BF76" i="1" s="1"/>
  <c r="BR74" i="1"/>
  <c r="BS72" i="1"/>
  <c r="BP87" i="1"/>
  <c r="BB79" i="1"/>
  <c r="BF79" i="1" s="1"/>
  <c r="BN75" i="1"/>
  <c r="BO75" i="1" s="1"/>
  <c r="BS75" i="1" s="1"/>
  <c r="BO73" i="1"/>
  <c r="BO71" i="1"/>
  <c r="BL81" i="1"/>
  <c r="BN65" i="1"/>
  <c r="BL61" i="1"/>
  <c r="BO58" i="1"/>
  <c r="BD75" i="1"/>
  <c r="BH75" i="1" s="1"/>
  <c r="BD62" i="1"/>
  <c r="BH62" i="1" s="1"/>
  <c r="BK59" i="1"/>
  <c r="BJ56" i="1"/>
  <c r="BC51" i="1"/>
  <c r="BG51" i="1" s="1"/>
  <c r="BC63" i="1"/>
  <c r="BG63" i="1" s="1"/>
  <c r="BQ52" i="1"/>
  <c r="BM49" i="1"/>
  <c r="BN49" i="1" s="1"/>
  <c r="BK24" i="1"/>
  <c r="BI35" i="1"/>
  <c r="BL12" i="1"/>
  <c r="BM9" i="1"/>
  <c r="BN9" i="1" s="1"/>
  <c r="BB13" i="1"/>
  <c r="BF13" i="1" s="1"/>
  <c r="BS23" i="1"/>
  <c r="BS21" i="1"/>
  <c r="BC19" i="1"/>
  <c r="BG19" i="1" s="1"/>
  <c r="BC13" i="1"/>
  <c r="BG13" i="1" s="1"/>
  <c r="BQ21" i="1"/>
  <c r="BM15" i="1"/>
  <c r="BN15" i="1" s="1"/>
  <c r="BO15" i="1" s="1"/>
  <c r="BP15" i="1" s="1"/>
  <c r="BL99" i="1"/>
  <c r="BR97" i="1"/>
  <c r="BT67" i="1"/>
  <c r="BK58" i="1"/>
  <c r="BC59" i="1"/>
  <c r="BG59" i="1" s="1"/>
  <c r="BR56" i="1"/>
  <c r="BK63" i="1"/>
  <c r="BA54" i="1"/>
  <c r="BE54" i="1" s="1"/>
  <c r="BN25" i="1"/>
  <c r="BB23" i="1"/>
  <c r="BF23" i="1" s="1"/>
  <c r="BC17" i="1"/>
  <c r="BG17" i="1" s="1"/>
  <c r="BA17" i="1"/>
  <c r="BE17" i="1" s="1"/>
  <c r="BP21" i="1"/>
  <c r="BC102" i="1"/>
  <c r="BG102" i="1" s="1"/>
  <c r="BO102" i="1"/>
  <c r="BB67" i="1"/>
  <c r="BF67" i="1" s="1"/>
  <c r="BJ67" i="1"/>
  <c r="BC100" i="1"/>
  <c r="BG100" i="1" s="1"/>
  <c r="BO100" i="1"/>
  <c r="BP100" i="1" s="1"/>
  <c r="BD92" i="1"/>
  <c r="BH92" i="1" s="1"/>
  <c r="BP92" i="1"/>
  <c r="BT92" i="1"/>
  <c r="BI81" i="1"/>
  <c r="BA81" i="1"/>
  <c r="BE81" i="1" s="1"/>
  <c r="BM81" i="1"/>
  <c r="BL51" i="1"/>
  <c r="BD51" i="1"/>
  <c r="BH51" i="1" s="1"/>
  <c r="BT51" i="1"/>
  <c r="BD55" i="1"/>
  <c r="BH55" i="1" s="1"/>
  <c r="BL55" i="1"/>
  <c r="BJ52" i="1"/>
  <c r="BB52" i="1"/>
  <c r="BF52" i="1" s="1"/>
  <c r="BN52" i="1"/>
  <c r="BB41" i="1"/>
  <c r="BF41" i="1" s="1"/>
  <c r="BR41" i="1"/>
  <c r="BN41" i="1"/>
  <c r="BO41" i="1" s="1"/>
  <c r="BP41" i="1" s="1"/>
  <c r="BN39" i="1"/>
  <c r="BJ39" i="1"/>
  <c r="BB39" i="1"/>
  <c r="BF39" i="1" s="1"/>
  <c r="BB31" i="1"/>
  <c r="BF31" i="1" s="1"/>
  <c r="BR31" i="1"/>
  <c r="BN31" i="1"/>
  <c r="BO31" i="1" s="1"/>
  <c r="BP31" i="1" s="1"/>
  <c r="BD104" i="1"/>
  <c r="BH104" i="1" s="1"/>
  <c r="BD105" i="1"/>
  <c r="BH105" i="1" s="1"/>
  <c r="BK98" i="1"/>
  <c r="BK97" i="1"/>
  <c r="BL103" i="1"/>
  <c r="BS100" i="1"/>
  <c r="BL92" i="1"/>
  <c r="BJ28" i="1"/>
  <c r="BN30" i="1"/>
  <c r="BO56" i="1"/>
  <c r="BP56" i="1" s="1"/>
  <c r="BC56" i="1"/>
  <c r="BG56" i="1" s="1"/>
  <c r="BS56" i="1"/>
  <c r="BA74" i="1"/>
  <c r="BE74" i="1" s="1"/>
  <c r="BM74" i="1"/>
  <c r="BQ74" i="1"/>
  <c r="BO65" i="1"/>
  <c r="BK65" i="1"/>
  <c r="BC65" i="1"/>
  <c r="BG65" i="1" s="1"/>
  <c r="BB62" i="1"/>
  <c r="BF62" i="1" s="1"/>
  <c r="BR62" i="1"/>
  <c r="BN62" i="1"/>
  <c r="BC79" i="1"/>
  <c r="BG79" i="1" s="1"/>
  <c r="BO79" i="1"/>
  <c r="BQ66" i="1"/>
  <c r="BM66" i="1"/>
  <c r="BN66" i="1" s="1"/>
  <c r="BI66" i="1"/>
  <c r="BL94" i="1"/>
  <c r="BT94" i="1"/>
  <c r="BQ87" i="1"/>
  <c r="BM87" i="1"/>
  <c r="BN87" i="1" s="1"/>
  <c r="BA87" i="1"/>
  <c r="BE87" i="1" s="1"/>
  <c r="BP71" i="1"/>
  <c r="BT71" i="1"/>
  <c r="BL71" i="1"/>
  <c r="BO48" i="1"/>
  <c r="BK48" i="1"/>
  <c r="BC48" i="1"/>
  <c r="BG48" i="1" s="1"/>
  <c r="BJ54" i="1"/>
  <c r="BB54" i="1"/>
  <c r="BF54" i="1" s="1"/>
  <c r="BR54" i="1"/>
  <c r="BM44" i="1"/>
  <c r="BQ44" i="1"/>
  <c r="BA44" i="1"/>
  <c r="BE44" i="1" s="1"/>
  <c r="BN33" i="1"/>
  <c r="BO33" i="1" s="1"/>
  <c r="BP33" i="1" s="1"/>
  <c r="BJ33" i="1"/>
  <c r="BB33" i="1"/>
  <c r="BF33" i="1" s="1"/>
  <c r="BD106" i="1"/>
  <c r="BH106" i="1" s="1"/>
  <c r="BP104" i="1"/>
  <c r="BC76" i="1"/>
  <c r="BG76" i="1" s="1"/>
  <c r="BI74" i="1"/>
  <c r="BC47" i="1"/>
  <c r="BG47" i="1" s="1"/>
  <c r="BS47" i="1"/>
  <c r="BO47" i="1"/>
  <c r="BP47" i="1" s="1"/>
  <c r="BS101" i="1"/>
  <c r="BK101" i="1"/>
  <c r="BO98" i="1"/>
  <c r="BP98" i="1" s="1"/>
  <c r="BC98" i="1"/>
  <c r="BG98" i="1" s="1"/>
  <c r="BO97" i="1"/>
  <c r="BP97" i="1" s="1"/>
  <c r="BC97" i="1"/>
  <c r="BG97" i="1" s="1"/>
  <c r="BI80" i="1"/>
  <c r="BA80" i="1"/>
  <c r="BE80" i="1" s="1"/>
  <c r="BM80" i="1"/>
  <c r="BQ70" i="1"/>
  <c r="BM70" i="1"/>
  <c r="BN70" i="1" s="1"/>
  <c r="BI70" i="1"/>
  <c r="BL63" i="1"/>
  <c r="BD63" i="1"/>
  <c r="BH63" i="1" s="1"/>
  <c r="BP63" i="1"/>
  <c r="BN90" i="1"/>
  <c r="BO90" i="1" s="1"/>
  <c r="BJ90" i="1"/>
  <c r="BR90" i="1"/>
  <c r="BT70" i="1"/>
  <c r="BL70" i="1"/>
  <c r="BR63" i="1"/>
  <c r="BN63" i="1"/>
  <c r="BJ63" i="1"/>
  <c r="BP93" i="1"/>
  <c r="BD93" i="1"/>
  <c r="BH93" i="1" s="1"/>
  <c r="BT93" i="1"/>
  <c r="BI82" i="1"/>
  <c r="BA82" i="1"/>
  <c r="BE82" i="1" s="1"/>
  <c r="BD58" i="1"/>
  <c r="BH58" i="1" s="1"/>
  <c r="BL58" i="1"/>
  <c r="BP58" i="1"/>
  <c r="BS43" i="1"/>
  <c r="BO43" i="1"/>
  <c r="BK43" i="1"/>
  <c r="BB53" i="1"/>
  <c r="BF53" i="1" s="1"/>
  <c r="BN53" i="1"/>
  <c r="BR53" i="1"/>
  <c r="BN42" i="1"/>
  <c r="BJ42" i="1"/>
  <c r="BB42" i="1"/>
  <c r="BF42" i="1" s="1"/>
  <c r="BB40" i="1"/>
  <c r="BF40" i="1" s="1"/>
  <c r="BR40" i="1"/>
  <c r="BN40" i="1"/>
  <c r="BB38" i="1"/>
  <c r="BF38" i="1" s="1"/>
  <c r="BR38" i="1"/>
  <c r="BN38" i="1"/>
  <c r="BN36" i="1"/>
  <c r="BJ36" i="1"/>
  <c r="BB36" i="1"/>
  <c r="BF36" i="1" s="1"/>
  <c r="BB35" i="1"/>
  <c r="BF35" i="1" s="1"/>
  <c r="BR35" i="1"/>
  <c r="BN35" i="1"/>
  <c r="BJ32" i="1"/>
  <c r="BB32" i="1"/>
  <c r="BF32" i="1" s="1"/>
  <c r="BJ30" i="1"/>
  <c r="BB30" i="1"/>
  <c r="BF30" i="1" s="1"/>
  <c r="BN29" i="1"/>
  <c r="BO29" i="1" s="1"/>
  <c r="BP29" i="1" s="1"/>
  <c r="BJ29" i="1"/>
  <c r="BB29" i="1"/>
  <c r="BF29" i="1" s="1"/>
  <c r="BT104" i="1"/>
  <c r="BK102" i="1"/>
  <c r="BK95" i="1"/>
  <c r="BO101" i="1"/>
  <c r="BP101" i="1" s="1"/>
  <c r="BK79" i="1"/>
  <c r="BK75" i="1"/>
  <c r="BT58" i="1"/>
  <c r="BP51" i="1"/>
  <c r="BS48" i="1"/>
  <c r="BN54" i="1"/>
  <c r="BR39" i="1"/>
  <c r="BB37" i="1"/>
  <c r="BF37" i="1" s="1"/>
  <c r="BJ31" i="1"/>
  <c r="BA66" i="1"/>
  <c r="BE66" i="1" s="1"/>
  <c r="BJ40" i="1"/>
  <c r="BR36" i="1"/>
  <c r="BB34" i="1"/>
  <c r="BF34" i="1" s="1"/>
  <c r="BP69" i="1"/>
  <c r="BI92" i="1"/>
  <c r="BB64" i="1"/>
  <c r="BF64" i="1" s="1"/>
  <c r="BJ68" i="1"/>
  <c r="BB60" i="1"/>
  <c r="BF60" i="1" s="1"/>
  <c r="BB25" i="1"/>
  <c r="BF25" i="1" s="1"/>
  <c r="BP11" i="1"/>
  <c r="BC10" i="1"/>
  <c r="BG10" i="1" s="1"/>
  <c r="BQ9" i="1"/>
  <c r="BC23" i="1"/>
  <c r="BG23" i="1" s="1"/>
  <c r="BC21" i="1"/>
  <c r="BG21" i="1" s="1"/>
  <c r="BK19" i="1"/>
  <c r="BK17" i="1"/>
  <c r="BR10" i="1"/>
  <c r="BM27" i="1"/>
  <c r="BI23" i="1"/>
  <c r="BA21" i="1"/>
  <c r="BE21" i="1" s="1"/>
  <c r="BM19" i="1"/>
  <c r="BN19" i="1" s="1"/>
  <c r="BI17" i="1"/>
  <c r="BB50" i="1"/>
  <c r="BF50" i="1" s="1"/>
  <c r="BJ60" i="1"/>
  <c r="BR25" i="1"/>
  <c r="BT11" i="1"/>
  <c r="BK10" i="1"/>
  <c r="BA9" i="1"/>
  <c r="BE9" i="1" s="1"/>
  <c r="BK23" i="1"/>
  <c r="BK21" i="1"/>
  <c r="BO19" i="1"/>
  <c r="BS17" i="1"/>
  <c r="BB10" i="1"/>
  <c r="BF10" i="1" s="1"/>
  <c r="BA27" i="1"/>
  <c r="BE27" i="1" s="1"/>
  <c r="BM23" i="1"/>
  <c r="BN23" i="1" s="1"/>
  <c r="BI21" i="1"/>
  <c r="BQ19" i="1"/>
  <c r="BM17" i="1"/>
  <c r="BA15" i="1"/>
  <c r="BE15" i="1" s="1"/>
  <c r="BA13" i="1"/>
  <c r="BE13" i="1" s="1"/>
  <c r="BP55" i="1"/>
  <c r="BP17" i="1"/>
  <c r="BL102" i="1"/>
  <c r="BI106" i="1"/>
  <c r="BT95" i="1"/>
  <c r="BA106" i="1"/>
  <c r="BE106" i="1" s="1"/>
  <c r="BD101" i="1"/>
  <c r="BH101" i="1" s="1"/>
  <c r="BD98" i="1"/>
  <c r="BH98" i="1" s="1"/>
  <c r="BI105" i="1"/>
  <c r="BI99" i="1"/>
  <c r="BP91" i="1"/>
  <c r="BR82" i="1"/>
  <c r="BA103" i="1"/>
  <c r="BE103" i="1" s="1"/>
  <c r="BB81" i="1"/>
  <c r="BF81" i="1" s="1"/>
  <c r="BK70" i="1"/>
  <c r="BM94" i="1"/>
  <c r="BP90" i="1"/>
  <c r="BT65" i="1"/>
  <c r="BS61" i="1"/>
  <c r="BL75" i="1"/>
  <c r="BO66" i="1"/>
  <c r="BC62" i="1"/>
  <c r="BG62" i="1" s="1"/>
  <c r="BD56" i="1"/>
  <c r="BH56" i="1" s="1"/>
  <c r="BK53" i="1"/>
  <c r="BS52" i="1"/>
  <c r="BK50" i="1"/>
  <c r="BA92" i="1"/>
  <c r="BE92" i="1" s="1"/>
  <c r="BM72" i="1"/>
  <c r="BN72" i="1" s="1"/>
  <c r="BK57" i="1"/>
  <c r="BI58" i="1"/>
  <c r="BL43" i="1"/>
  <c r="BO39" i="1"/>
  <c r="BP39" i="1" s="1"/>
  <c r="BC37" i="1"/>
  <c r="BG37" i="1" s="1"/>
  <c r="BC35" i="1"/>
  <c r="BG35" i="1" s="1"/>
  <c r="BO35" i="1"/>
  <c r="BP35" i="1" s="1"/>
  <c r="BK33" i="1"/>
  <c r="BO27" i="1"/>
  <c r="BP27" i="1" s="1"/>
  <c r="BN27" i="1"/>
  <c r="BJ64" i="1"/>
  <c r="BR44" i="1"/>
  <c r="BI71" i="1"/>
  <c r="BS49" i="1"/>
  <c r="BA93" i="1"/>
  <c r="BE93" i="1" s="1"/>
  <c r="BT79" i="1"/>
  <c r="BS60" i="1"/>
  <c r="BL47" i="1"/>
  <c r="BO42" i="1"/>
  <c r="BP42" i="1" s="1"/>
  <c r="BK40" i="1"/>
  <c r="BC38" i="1"/>
  <c r="BG38" i="1" s="1"/>
  <c r="BC36" i="1"/>
  <c r="BG36" i="1" s="1"/>
  <c r="BO34" i="1"/>
  <c r="BO32" i="1"/>
  <c r="BO30" i="1"/>
  <c r="BO28" i="1"/>
  <c r="BD23" i="1"/>
  <c r="BH23" i="1" s="1"/>
  <c r="BP19" i="1"/>
  <c r="BL17" i="1"/>
  <c r="BD13" i="1"/>
  <c r="BH13" i="1" s="1"/>
  <c r="BA64" i="1"/>
  <c r="BE64" i="1" s="1"/>
  <c r="BN24" i="1"/>
  <c r="BO24" i="1" s="1"/>
  <c r="BN22" i="1"/>
  <c r="BN20" i="1"/>
  <c r="BO20" i="1" s="1"/>
  <c r="BN18" i="1"/>
  <c r="BB16" i="1"/>
  <c r="BF16" i="1" s="1"/>
  <c r="BN11" i="1"/>
  <c r="BO11" i="1" s="1"/>
  <c r="BO25" i="1"/>
  <c r="BP25" i="1" s="1"/>
  <c r="BA12" i="1"/>
  <c r="BE12" i="1" s="1"/>
  <c r="BT10" i="1"/>
  <c r="BK9" i="1"/>
  <c r="BA8" i="1"/>
  <c r="BE8" i="1" s="1"/>
  <c r="BP102" i="1"/>
  <c r="BD100" i="1"/>
  <c r="BH100" i="1" s="1"/>
  <c r="BD95" i="1"/>
  <c r="BH95" i="1" s="1"/>
  <c r="BL101" i="1"/>
  <c r="BL98" i="1"/>
  <c r="BI104" i="1"/>
  <c r="BB82" i="1"/>
  <c r="BF82" i="1" s="1"/>
  <c r="BM103" i="1"/>
  <c r="BJ81" i="1"/>
  <c r="BB73" i="1"/>
  <c r="BF73" i="1" s="1"/>
  <c r="BO70" i="1"/>
  <c r="BQ94" i="1"/>
  <c r="BT90" i="1"/>
  <c r="BP65" i="1"/>
  <c r="BC61" i="1"/>
  <c r="BG61" i="1" s="1"/>
  <c r="BT75" i="1"/>
  <c r="BS66" i="1"/>
  <c r="BK62" i="1"/>
  <c r="BO53" i="1"/>
  <c r="BP53" i="1" s="1"/>
  <c r="BC52" i="1"/>
  <c r="BG52" i="1" s="1"/>
  <c r="BO50" i="1"/>
  <c r="BQ92" i="1"/>
  <c r="BA72" i="1"/>
  <c r="BE72" i="1" s="1"/>
  <c r="BC57" i="1"/>
  <c r="BG57" i="1" s="1"/>
  <c r="BD43" i="1"/>
  <c r="BH43" i="1" s="1"/>
  <c r="BS39" i="1"/>
  <c r="BK37" i="1"/>
  <c r="BS27" i="1"/>
  <c r="BR27" i="1"/>
  <c r="BN64" i="1"/>
  <c r="BN44" i="1"/>
  <c r="BO44" i="1" s="1"/>
  <c r="BQ71" i="1"/>
  <c r="BA51" i="1"/>
  <c r="BE51" i="1" s="1"/>
  <c r="BC49" i="1"/>
  <c r="BG49" i="1" s="1"/>
  <c r="BQ93" i="1"/>
  <c r="BP79" i="1"/>
  <c r="BC60" i="1"/>
  <c r="BG60" i="1" s="1"/>
  <c r="BS42" i="1"/>
  <c r="BO40" i="1"/>
  <c r="BP40" i="1" s="1"/>
  <c r="BK38" i="1"/>
  <c r="BK36" i="1"/>
  <c r="BS34" i="1"/>
  <c r="BS32" i="1"/>
  <c r="BS30" i="1"/>
  <c r="BS28" i="1"/>
  <c r="BL23" i="1"/>
  <c r="BD21" i="1"/>
  <c r="BH21" i="1" s="1"/>
  <c r="BT19" i="1"/>
  <c r="BJ24" i="1"/>
  <c r="BB22" i="1"/>
  <c r="BF22" i="1" s="1"/>
  <c r="BJ20" i="1"/>
  <c r="BJ18" i="1"/>
  <c r="BJ16" i="1"/>
  <c r="BR11" i="1"/>
  <c r="BK25" i="1"/>
  <c r="BI12" i="1"/>
  <c r="BD10" i="1"/>
  <c r="BH10" i="1" s="1"/>
  <c r="BO9" i="1"/>
  <c r="BI8" i="1"/>
  <c r="BQ105" i="1"/>
  <c r="BA99" i="1"/>
  <c r="BE99" i="1" s="1"/>
  <c r="BD91" i="1"/>
  <c r="BH91" i="1" s="1"/>
  <c r="BL90" i="1"/>
  <c r="BC54" i="1"/>
  <c r="BG54" i="1" s="1"/>
  <c r="BB47" i="1"/>
  <c r="BF47" i="1" s="1"/>
  <c r="BN47" i="1"/>
  <c r="BR47" i="1"/>
  <c r="BN98" i="1"/>
  <c r="BJ98" i="1"/>
  <c r="BB98" i="1"/>
  <c r="BF98" i="1" s="1"/>
  <c r="BN95" i="1"/>
  <c r="BJ95" i="1"/>
  <c r="BB95" i="1"/>
  <c r="BF95" i="1" s="1"/>
  <c r="BQ67" i="1"/>
  <c r="BA67" i="1"/>
  <c r="BE67" i="1" s="1"/>
  <c r="BM65" i="1"/>
  <c r="BA65" i="1"/>
  <c r="BE65" i="1" s="1"/>
  <c r="BJ48" i="1"/>
  <c r="BR48" i="1"/>
  <c r="BN48" i="1"/>
  <c r="BB43" i="1"/>
  <c r="BF43" i="1" s="1"/>
  <c r="BJ43" i="1"/>
  <c r="BK55" i="1"/>
  <c r="BC55" i="1"/>
  <c r="BG55" i="1" s="1"/>
  <c r="BM53" i="1"/>
  <c r="BA53" i="1"/>
  <c r="BE53" i="1" s="1"/>
  <c r="BM52" i="1"/>
  <c r="BA52" i="1"/>
  <c r="BE52" i="1" s="1"/>
  <c r="BM43" i="1"/>
  <c r="BN43" i="1" s="1"/>
  <c r="BI43" i="1"/>
  <c r="BM42" i="1"/>
  <c r="BI42" i="1"/>
  <c r="BA41" i="1"/>
  <c r="BE41" i="1" s="1"/>
  <c r="BQ41" i="1"/>
  <c r="BM40" i="1"/>
  <c r="BI40" i="1"/>
  <c r="BA39" i="1"/>
  <c r="BE39" i="1" s="1"/>
  <c r="BQ39" i="1"/>
  <c r="BM38" i="1"/>
  <c r="BI38" i="1"/>
  <c r="BA37" i="1"/>
  <c r="BE37" i="1" s="1"/>
  <c r="BM36" i="1"/>
  <c r="BI36" i="1"/>
  <c r="BA35" i="1"/>
  <c r="BE35" i="1" s="1"/>
  <c r="BQ35" i="1"/>
  <c r="BM34" i="1"/>
  <c r="BN34" i="1" s="1"/>
  <c r="BI34" i="1"/>
  <c r="BQ33" i="1"/>
  <c r="BI33" i="1"/>
  <c r="BM32" i="1"/>
  <c r="BN32" i="1" s="1"/>
  <c r="BI32" i="1"/>
  <c r="BQ31" i="1"/>
  <c r="BI31" i="1"/>
  <c r="BI30" i="1"/>
  <c r="BA30" i="1"/>
  <c r="BE30" i="1" s="1"/>
  <c r="BQ29" i="1"/>
  <c r="BI29" i="1"/>
  <c r="BI61" i="1"/>
  <c r="BM60" i="1"/>
  <c r="BA60" i="1"/>
  <c r="BE60" i="1" s="1"/>
  <c r="BM50" i="1"/>
  <c r="BQ50" i="1"/>
  <c r="BI50" i="1"/>
  <c r="BI49" i="1"/>
  <c r="BA49" i="1"/>
  <c r="BE49" i="1" s="1"/>
  <c r="BB21" i="1"/>
  <c r="BF21" i="1" s="1"/>
  <c r="BN21" i="1"/>
  <c r="BB19" i="1"/>
  <c r="BF19" i="1" s="1"/>
  <c r="BN17" i="1"/>
  <c r="BR17" i="1"/>
  <c r="BQ26" i="1"/>
  <c r="BA26" i="1"/>
  <c r="BE26" i="1" s="1"/>
  <c r="BQ25" i="1"/>
  <c r="BI25" i="1"/>
  <c r="BT22" i="1"/>
  <c r="BD22" i="1"/>
  <c r="BH22" i="1" s="1"/>
  <c r="BD20" i="1"/>
  <c r="BH20" i="1" s="1"/>
  <c r="BL20" i="1"/>
  <c r="BD18" i="1"/>
  <c r="BH18" i="1" s="1"/>
  <c r="BL18" i="1"/>
  <c r="BL16" i="1"/>
  <c r="BD14" i="1"/>
  <c r="BH14" i="1" s="1"/>
  <c r="BL14" i="1"/>
  <c r="BQ10" i="1"/>
  <c r="BA10" i="1"/>
  <c r="BE10" i="1" s="1"/>
  <c r="BT8" i="1"/>
  <c r="BD8" i="1"/>
  <c r="BH8" i="1" s="1"/>
  <c r="BN14" i="1"/>
  <c r="BO14" i="1" s="1"/>
  <c r="BP14" i="1" s="1"/>
  <c r="BT14" i="1" s="1"/>
  <c r="BQ56" i="1"/>
  <c r="BM56" i="1"/>
  <c r="BM47" i="1"/>
  <c r="BI47" i="1"/>
  <c r="BS64" i="1"/>
  <c r="BC64" i="1"/>
  <c r="BG64" i="1" s="1"/>
  <c r="BM63" i="1"/>
  <c r="BT64" i="1"/>
  <c r="BP64" i="1"/>
  <c r="BN99" i="1"/>
  <c r="BJ99" i="1"/>
  <c r="BB99" i="1"/>
  <c r="BF99" i="1" s="1"/>
  <c r="BN94" i="1"/>
  <c r="BJ94" i="1"/>
  <c r="BB94" i="1"/>
  <c r="BF94" i="1" s="1"/>
  <c r="BN51" i="1"/>
  <c r="BO51" i="1" s="1"/>
  <c r="BB51" i="1"/>
  <c r="BF51" i="1" s="1"/>
  <c r="BD39" i="1"/>
  <c r="BH39" i="1" s="1"/>
  <c r="BD38" i="1"/>
  <c r="BH38" i="1" s="1"/>
  <c r="BL38" i="1"/>
  <c r="BT37" i="1"/>
  <c r="BD37" i="1"/>
  <c r="BH37" i="1" s="1"/>
  <c r="BP36" i="1"/>
  <c r="BD35" i="1"/>
  <c r="BH35" i="1" s="1"/>
  <c r="BT34" i="1"/>
  <c r="BD34" i="1"/>
  <c r="BH34" i="1" s="1"/>
  <c r="BD33" i="1"/>
  <c r="BH33" i="1" s="1"/>
  <c r="BD32" i="1"/>
  <c r="BH32" i="1" s="1"/>
  <c r="BL32" i="1"/>
  <c r="BD31" i="1"/>
  <c r="BH31" i="1" s="1"/>
  <c r="BP30" i="1"/>
  <c r="BT30" i="1"/>
  <c r="BD29" i="1"/>
  <c r="BH29" i="1" s="1"/>
  <c r="BT28" i="1"/>
  <c r="BD28" i="1"/>
  <c r="BH28" i="1" s="1"/>
  <c r="BD27" i="1"/>
  <c r="BH27" i="1" s="1"/>
  <c r="BD60" i="1"/>
  <c r="BH60" i="1" s="1"/>
  <c r="BL60" i="1"/>
  <c r="BP49" i="1"/>
  <c r="BL49" i="1"/>
  <c r="BR26" i="1"/>
  <c r="BB26" i="1"/>
  <c r="BF26" i="1" s="1"/>
  <c r="BC22" i="1"/>
  <c r="BG22" i="1" s="1"/>
  <c r="BK22" i="1"/>
  <c r="BC20" i="1"/>
  <c r="BG20" i="1" s="1"/>
  <c r="BK20" i="1"/>
  <c r="BO18" i="1"/>
  <c r="BS18" i="1"/>
  <c r="BS16" i="1"/>
  <c r="BO16" i="1"/>
  <c r="BP16" i="1" s="1"/>
  <c r="BC14" i="1"/>
  <c r="BG14" i="1" s="1"/>
  <c r="BK14" i="1"/>
  <c r="BR12" i="1"/>
  <c r="BB12" i="1"/>
  <c r="BF12" i="1" s="1"/>
  <c r="BB8" i="1"/>
  <c r="BF8" i="1" s="1"/>
  <c r="BJ8" i="1"/>
  <c r="BQ24" i="1"/>
  <c r="BM24" i="1"/>
  <c r="BI22" i="1"/>
  <c r="BM22" i="1"/>
  <c r="BM20" i="1"/>
  <c r="BQ20" i="1"/>
  <c r="BQ16" i="1"/>
  <c r="BA16" i="1"/>
  <c r="BE16" i="1" s="1"/>
  <c r="BA14" i="1"/>
  <c r="BE14" i="1" s="1"/>
  <c r="BI14" i="1"/>
  <c r="BC12" i="1"/>
  <c r="BG12" i="1" s="1"/>
  <c r="BK12" i="1"/>
  <c r="BA11" i="1"/>
  <c r="BE11" i="1" s="1"/>
  <c r="BI11" i="1"/>
  <c r="BL9" i="1"/>
  <c r="BP9" i="1"/>
  <c r="BK8" i="1"/>
  <c r="BO8" i="1"/>
  <c r="BO105" i="1"/>
  <c r="BP105" i="1" s="1"/>
  <c r="BI63" i="1"/>
  <c r="BA61" i="1"/>
  <c r="BE61" i="1" s="1"/>
  <c r="BJ51" i="1"/>
  <c r="BD64" i="1"/>
  <c r="BH64" i="1" s="1"/>
  <c r="BI65" i="1"/>
  <c r="BL42" i="1"/>
  <c r="BL36" i="1"/>
  <c r="BQ47" i="1"/>
  <c r="BJ9" i="1"/>
  <c r="BA43" i="1"/>
  <c r="BE43" i="1" s="1"/>
  <c r="BA40" i="1"/>
  <c r="BE40" i="1" s="1"/>
  <c r="BA38" i="1"/>
  <c r="BE38" i="1" s="1"/>
  <c r="BA36" i="1"/>
  <c r="BE36" i="1" s="1"/>
  <c r="BA34" i="1"/>
  <c r="BE34" i="1" s="1"/>
  <c r="BM31" i="1"/>
  <c r="BM26" i="1"/>
  <c r="BL22" i="1"/>
  <c r="BT18" i="1"/>
  <c r="BD16" i="1"/>
  <c r="BH16" i="1" s="1"/>
  <c r="BJ26" i="1"/>
  <c r="BO22" i="1"/>
  <c r="BB17" i="1"/>
  <c r="BF17" i="1" s="1"/>
  <c r="BB15" i="1"/>
  <c r="BF15" i="1" s="1"/>
  <c r="BA32" i="1"/>
  <c r="BE32" i="1" s="1"/>
  <c r="BI24" i="1"/>
  <c r="BA18" i="1"/>
  <c r="BE18" i="1" s="1"/>
  <c r="BC11" i="1"/>
  <c r="BG11" i="1" s="1"/>
  <c r="BP8" i="1"/>
  <c r="BP70" i="1"/>
  <c r="BD70" i="1"/>
  <c r="BH70" i="1" s="1"/>
  <c r="BL67" i="1"/>
  <c r="BP67" i="1"/>
  <c r="BP88" i="1"/>
  <c r="BT88" i="1"/>
  <c r="BM51" i="1"/>
  <c r="BQ51" i="1"/>
  <c r="BS86" i="1"/>
  <c r="BO86" i="1"/>
  <c r="BK86" i="1"/>
  <c r="BC86" i="1"/>
  <c r="BG86" i="1" s="1"/>
  <c r="BO92" i="1"/>
  <c r="BK92" i="1"/>
  <c r="BC92" i="1"/>
  <c r="BG92" i="1" s="1"/>
  <c r="BS89" i="1"/>
  <c r="BO89" i="1"/>
  <c r="BK89" i="1"/>
  <c r="BC89" i="1"/>
  <c r="BG89" i="1" s="1"/>
  <c r="BT26" i="1"/>
  <c r="BP26" i="1"/>
  <c r="BL26" i="1"/>
  <c r="BD26" i="1"/>
  <c r="BH26" i="1" s="1"/>
  <c r="BP89" i="1"/>
  <c r="BT89" i="1"/>
  <c r="BD89" i="1"/>
  <c r="BH89" i="1" s="1"/>
  <c r="BL89" i="1"/>
  <c r="BS68" i="1"/>
  <c r="BO68" i="1"/>
  <c r="BK68" i="1"/>
  <c r="BC68" i="1"/>
  <c r="BG68" i="1" s="1"/>
  <c r="BJ85" i="1"/>
  <c r="BB85" i="1"/>
  <c r="BF85" i="1" s="1"/>
  <c r="BR57" i="1"/>
  <c r="BN57" i="1"/>
  <c r="BJ57" i="1"/>
  <c r="BB57" i="1"/>
  <c r="BF57" i="1" s="1"/>
  <c r="BK90" i="1"/>
  <c r="BC90" i="1"/>
  <c r="BG90" i="1" s="1"/>
  <c r="BM86" i="1"/>
  <c r="BQ86" i="1"/>
  <c r="BA86" i="1"/>
  <c r="BE86" i="1" s="1"/>
  <c r="BI86" i="1"/>
  <c r="BJ89" i="1"/>
  <c r="BB89" i="1"/>
  <c r="BF89" i="1" s="1"/>
  <c r="BS69" i="1"/>
  <c r="BO69" i="1"/>
  <c r="BK69" i="1"/>
  <c r="BC69" i="1"/>
  <c r="BG69" i="1" s="1"/>
  <c r="BR55" i="1"/>
  <c r="BN55" i="1"/>
  <c r="BJ55" i="1"/>
  <c r="BB55" i="1"/>
  <c r="BF55" i="1" s="1"/>
  <c r="BN71" i="1"/>
  <c r="BI69" i="1"/>
  <c r="BM69" i="1"/>
  <c r="BN69" i="1" s="1"/>
  <c r="BA69" i="1"/>
  <c r="BE69" i="1" s="1"/>
  <c r="BQ69" i="1"/>
  <c r="BI55" i="1"/>
  <c r="BM55" i="1"/>
  <c r="BA55" i="1"/>
  <c r="BE55" i="1" s="1"/>
  <c r="BQ55" i="1"/>
  <c r="BQ68" i="1"/>
  <c r="BA68" i="1"/>
  <c r="BE68" i="1" s="1"/>
  <c r="BM68" i="1"/>
  <c r="BI68" i="1"/>
  <c r="BT24" i="1"/>
  <c r="BP24" i="1"/>
  <c r="BL24" i="1"/>
  <c r="BD24" i="1"/>
  <c r="BH24" i="1" s="1"/>
  <c r="BS85" i="1"/>
  <c r="BO85" i="1"/>
  <c r="BK85" i="1"/>
  <c r="BC85" i="1"/>
  <c r="BG85" i="1" s="1"/>
  <c r="BR59" i="1"/>
  <c r="BN59" i="1"/>
  <c r="BJ59" i="1"/>
  <c r="BB59" i="1"/>
  <c r="BF59" i="1" s="1"/>
  <c r="BM90" i="1"/>
  <c r="BQ90" i="1"/>
  <c r="BA90" i="1"/>
  <c r="BE90" i="1" s="1"/>
  <c r="BI90" i="1"/>
  <c r="BS88" i="1"/>
  <c r="BO88" i="1"/>
  <c r="BK88" i="1"/>
  <c r="BC88" i="1"/>
  <c r="BG88" i="1" s="1"/>
  <c r="BP85" i="1"/>
  <c r="BT85" i="1"/>
  <c r="BD85" i="1"/>
  <c r="BH85" i="1" s="1"/>
  <c r="BL85" i="1"/>
  <c r="BS67" i="1"/>
  <c r="BO67" i="1"/>
  <c r="BK67" i="1"/>
  <c r="BC67" i="1"/>
  <c r="BG67" i="1" s="1"/>
  <c r="BI89" i="1"/>
  <c r="BA89" i="1"/>
  <c r="BE89" i="1" s="1"/>
  <c r="BQ89" i="1"/>
  <c r="BM89" i="1"/>
  <c r="BN89" i="1" s="1"/>
  <c r="BL68" i="1"/>
  <c r="BP68" i="1"/>
  <c r="BD68" i="1"/>
  <c r="BH68" i="1" s="1"/>
  <c r="BT68" i="1"/>
  <c r="BB69" i="1"/>
  <c r="BF69" i="1" s="1"/>
  <c r="BJ69" i="1"/>
  <c r="BI85" i="1"/>
  <c r="BA85" i="1"/>
  <c r="BE85" i="1" s="1"/>
  <c r="BM85" i="1"/>
  <c r="BN85" i="1" s="1"/>
  <c r="BQ85" i="1"/>
  <c r="AW7" i="1"/>
  <c r="BQ7" i="1" s="1"/>
  <c r="AX7" i="1"/>
  <c r="BR7" i="1" s="1"/>
  <c r="AY7" i="1"/>
  <c r="BO7" i="1" s="1"/>
  <c r="AZ7" i="1"/>
  <c r="BL7" i="1" s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BN106" i="1" l="1"/>
  <c r="BO106" i="1" s="1"/>
  <c r="BP106" i="1" s="1"/>
  <c r="BQ83" i="1"/>
  <c r="BQ78" i="1"/>
  <c r="BR84" i="1"/>
  <c r="BQ59" i="1"/>
  <c r="BQ61" i="1"/>
  <c r="BT96" i="1"/>
  <c r="BS77" i="1"/>
  <c r="BQ60" i="1"/>
  <c r="BT21" i="1"/>
  <c r="BT57" i="1"/>
  <c r="BR87" i="1"/>
  <c r="BQ82" i="1"/>
  <c r="BS74" i="1"/>
  <c r="BQ81" i="1"/>
  <c r="BR102" i="1"/>
  <c r="BQ37" i="1"/>
  <c r="BS44" i="1"/>
  <c r="BS41" i="1"/>
  <c r="BT54" i="1"/>
  <c r="BQ80" i="1"/>
  <c r="BT41" i="1"/>
  <c r="BQ62" i="1"/>
  <c r="BS10" i="1"/>
  <c r="BR14" i="1"/>
  <c r="BR23" i="1"/>
  <c r="BQ18" i="1"/>
  <c r="BT56" i="1"/>
  <c r="BQ79" i="1"/>
  <c r="BS24" i="1"/>
  <c r="BS31" i="1"/>
  <c r="BS76" i="1"/>
  <c r="BT27" i="1"/>
  <c r="BS91" i="1"/>
  <c r="BQ104" i="1"/>
  <c r="BQ65" i="1"/>
  <c r="BS103" i="1"/>
  <c r="BQ64" i="1"/>
  <c r="BT15" i="1"/>
  <c r="BR73" i="1"/>
  <c r="BQ15" i="1"/>
  <c r="BT16" i="1"/>
  <c r="BQ34" i="1"/>
  <c r="BO38" i="1"/>
  <c r="BP38" i="1" s="1"/>
  <c r="BS15" i="1"/>
  <c r="BR15" i="1"/>
  <c r="BS35" i="1"/>
  <c r="BT53" i="1"/>
  <c r="BQ28" i="1"/>
  <c r="BR104" i="1"/>
  <c r="BS90" i="1"/>
  <c r="BR19" i="1"/>
  <c r="BR88" i="1"/>
  <c r="BT33" i="1"/>
  <c r="BQ32" i="1"/>
  <c r="BS33" i="1"/>
  <c r="BT12" i="1"/>
  <c r="BR43" i="1"/>
  <c r="BT100" i="1"/>
  <c r="BQ102" i="1"/>
  <c r="BS93" i="1"/>
  <c r="BQ58" i="1"/>
  <c r="BT55" i="1"/>
  <c r="BR72" i="1"/>
  <c r="BT101" i="1"/>
  <c r="BS14" i="1"/>
  <c r="BR71" i="1"/>
  <c r="BT97" i="1"/>
  <c r="BT35" i="1"/>
  <c r="BT99" i="1"/>
  <c r="BR34" i="1"/>
  <c r="BR9" i="1"/>
  <c r="BT36" i="1"/>
  <c r="BT17" i="1"/>
  <c r="BQ48" i="1"/>
  <c r="BT47" i="1"/>
  <c r="BT29" i="1"/>
  <c r="BS29" i="1"/>
  <c r="BS11" i="1"/>
  <c r="BR70" i="1"/>
  <c r="BR66" i="1"/>
  <c r="BT39" i="1"/>
  <c r="BT52" i="1"/>
  <c r="BQ8" i="1"/>
  <c r="BR49" i="1"/>
  <c r="BT40" i="1"/>
  <c r="BS26" i="1"/>
  <c r="BQ30" i="1"/>
  <c r="BT98" i="1"/>
  <c r="BS92" i="1"/>
  <c r="BQ63" i="1"/>
  <c r="BR28" i="1"/>
  <c r="BT42" i="1"/>
  <c r="BS20" i="1"/>
  <c r="BT25" i="1"/>
  <c r="BR69" i="1"/>
  <c r="BR67" i="1"/>
  <c r="BQ22" i="1"/>
  <c r="BS105" i="1"/>
  <c r="BO94" i="1"/>
  <c r="BS94" i="1" s="1"/>
  <c r="BR30" i="1"/>
  <c r="BT45" i="1"/>
  <c r="BS51" i="1"/>
  <c r="BQ14" i="1"/>
  <c r="BT105" i="1"/>
  <c r="BR32" i="1"/>
  <c r="BT31" i="1"/>
  <c r="BN50" i="1"/>
  <c r="BR50" i="1" s="1"/>
  <c r="BO95" i="1"/>
  <c r="BS95" i="1" s="1"/>
  <c r="BT103" i="1"/>
  <c r="BS13" i="1"/>
  <c r="BR89" i="1"/>
  <c r="BR45" i="1"/>
  <c r="BQ13" i="1"/>
  <c r="BT13" i="1"/>
  <c r="BN68" i="1"/>
  <c r="BR68" i="1" s="1"/>
  <c r="BR85" i="1"/>
  <c r="BS45" i="1"/>
  <c r="BN86" i="1"/>
  <c r="BR86" i="1" s="1"/>
  <c r="BO46" i="1"/>
  <c r="BB7" i="1"/>
  <c r="BF7" i="1" s="1"/>
  <c r="BJ7" i="1"/>
  <c r="BN7" i="1"/>
  <c r="BM7" i="1"/>
  <c r="BA7" i="1"/>
  <c r="BE7" i="1" s="1"/>
  <c r="BI7" i="1"/>
  <c r="BC7" i="1"/>
  <c r="BG7" i="1" s="1"/>
  <c r="BK7" i="1"/>
  <c r="BS7" i="1"/>
  <c r="BD7" i="1"/>
  <c r="BH7" i="1" s="1"/>
  <c r="BP7" i="1"/>
  <c r="AW5" i="1"/>
  <c r="BM5" i="1" s="1"/>
  <c r="AW6" i="1"/>
  <c r="BM6" i="1" s="1"/>
  <c r="AY6" i="1"/>
  <c r="AX5" i="1"/>
  <c r="BJ5" i="1" s="1"/>
  <c r="AX6" i="1"/>
  <c r="BR6" i="1" s="1"/>
  <c r="AZ6" i="1"/>
  <c r="BD6" i="1" s="1"/>
  <c r="BH6" i="1" s="1"/>
  <c r="AY5" i="1"/>
  <c r="AZ5" i="1"/>
  <c r="BQ122" i="1"/>
  <c r="BT106" i="1" l="1"/>
  <c r="BR106" i="1"/>
  <c r="BS106" i="1"/>
  <c r="BQ106" i="1"/>
  <c r="BS38" i="1"/>
  <c r="BT38" i="1"/>
  <c r="BT7" i="1"/>
  <c r="BP46" i="1"/>
  <c r="BT46" i="1" s="1"/>
  <c r="BA5" i="1"/>
  <c r="BE5" i="1" s="1"/>
  <c r="BB6" i="1"/>
  <c r="BF6" i="1" s="1"/>
  <c r="BI6" i="1"/>
  <c r="BQ6" i="1"/>
  <c r="BA6" i="1"/>
  <c r="BE6" i="1" s="1"/>
  <c r="BL6" i="1"/>
  <c r="BN6" i="1"/>
  <c r="BO6" i="1" s="1"/>
  <c r="BP6" i="1" s="1"/>
  <c r="BJ6" i="1"/>
  <c r="BK6" i="1"/>
  <c r="BC6" i="1"/>
  <c r="BG6" i="1" s="1"/>
  <c r="BI5" i="1"/>
  <c r="BB5" i="1"/>
  <c r="BF5" i="1" s="1"/>
  <c r="BN5" i="1"/>
  <c r="BL5" i="1"/>
  <c r="BD5" i="1"/>
  <c r="BH5" i="1" s="1"/>
  <c r="BS5" i="1"/>
  <c r="BK5" i="1"/>
  <c r="BC5" i="1"/>
  <c r="BG5" i="1" s="1"/>
  <c r="BO5" i="1"/>
  <c r="BP5" i="1" s="1"/>
  <c r="J4" i="5"/>
  <c r="BS46" i="1" l="1"/>
  <c r="BR46" i="1"/>
  <c r="BQ46" i="1"/>
  <c r="BT5" i="1"/>
  <c r="BT6" i="1"/>
  <c r="BS6" i="1"/>
  <c r="BR5" i="1"/>
  <c r="BQ5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Q4" i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<sst xmlns="http://schemas.openxmlformats.org/spreadsheetml/2006/main" count="1807" uniqueCount="793">
  <si>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</si>
  <si>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</si>
  <si>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</si>
  <si>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</si>
  <si>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</si>
  <si>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</si>
  <si>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</si>
  <si>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</si>
  <si>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</si>
  <si>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</si>
  <si>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</si>
  <si>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</si>
  <si>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</si>
  <si>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</si>
  <si>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</si>
  <si>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</si>
  <si>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</si>
  <si>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</si>
  <si>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</si>
  <si>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</si>
  <si>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</si>
  <si>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</si>
  <si>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</si>
  <si>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</si>
  <si>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</si>
  <si>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</si>
  <si>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</si>
  <si>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</si>
  <si>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</si>
  <si>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</si>
  <si>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</si>
  <si>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</si>
  <si>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</si>
  <si>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</si>
  <si>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</si>
  <si>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</si>
  <si>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</si>
  <si>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</si>
  <si>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</si>
  <si>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</si>
  <si>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</si>
  <si>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</si>
  <si>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</si>
  <si>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</si>
  <si>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</si>
  <si>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</si>
  <si>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</si>
  <si>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</si>
  <si>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</si>
  <si>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</si>
  <si>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</si>
  <si>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</si>
  <si>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</si>
  <si>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</si>
  <si>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</si>
  <si>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</si>
  <si>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</si>
  <si>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'0'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</si>
  <si>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</si>
  <si>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</si>
  <si>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</si>
  <si>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</si>
  <si>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</si>
  <si>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</si>
  <si>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</si>
  <si>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</si>
  <si>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</si>
  <si>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</si>
  <si>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</si>
  <si>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</si>
  <si>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</si>
  <si>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</si>
  <si>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</si>
  <si>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</si>
  <si>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</si>
  <si>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</si>
  <si>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</si>
  <si>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</si>
  <si>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</si>
  <si>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</si>
  <si>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</si>
  <si>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</si>
  <si>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</si>
  <si>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</si>
  <si>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</si>
  <si>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</si>
  <si>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</si>
  <si>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</si>
  <si>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</si>
  <si>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</si>
  <si>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(x"00000003")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</si>
  <si>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</si>
  <si>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</si>
  <si>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</si>
  <si>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</si>
  <si>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</si>
  <si>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</si>
  <si>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</si>
  <si>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</si>
  <si>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</si>
  <si>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</si>
  <si>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</si>
  <si>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</si>
  <si>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</si>
  <si>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</si>
  <si>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</si>
  <si>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</si>
  <si>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(x"00000017") =&gt;</t>
  </si>
  <si>
    <t xml:space="preserve">  when (x"0000001B") =&gt;</t>
  </si>
  <si>
    <t>rd_addr_i(31 downto 0)</t>
  </si>
  <si>
    <t>case (rd_addr_i(31 downto 0)) is</t>
  </si>
  <si>
    <t>-- MemArea Data Read</t>
  </si>
  <si>
    <t>rmap_registers_wr_o</t>
  </si>
  <si>
    <t>rmap_registers_wr_i</t>
  </si>
  <si>
    <t>t_rmap_memory_wr_area</t>
  </si>
  <si>
    <t>fee_rmap_i.writedata</t>
  </si>
  <si>
    <t>fee_rmap_o.readdata</t>
  </si>
  <si>
    <t xml:space="preserve">    fee_rmap_o.readdata &lt;= (others =&gt; '0');</t>
  </si>
  <si>
    <t>(others =&gt; '0')</t>
  </si>
  <si>
    <t>DEB Critical Configuration Area Register "DTC_AEB_ONOFF"</t>
  </si>
  <si>
    <t>"AEB_IDX3" Field</t>
  </si>
  <si>
    <t>deb_crit_cfg_dtc_aeb_onoff</t>
  </si>
  <si>
    <t>aeb_idx3</t>
  </si>
  <si>
    <t>"AEB_IDX2" Field</t>
  </si>
  <si>
    <t>aeb_idx2</t>
  </si>
  <si>
    <t>"AEB_IDX1" Field</t>
  </si>
  <si>
    <t>aeb_idx1</t>
  </si>
  <si>
    <t>DEB Critical Configuration Area Register "DTC_PLL_REG_0"</t>
  </si>
  <si>
    <t>"PFDFC" Field</t>
  </si>
  <si>
    <t>deb_crit_cfg_dtc_pll_reg_0</t>
  </si>
  <si>
    <t>pfdfc</t>
  </si>
  <si>
    <t>"GTME" Field</t>
  </si>
  <si>
    <t>gtme</t>
  </si>
  <si>
    <t>"HOLDTR" Field</t>
  </si>
  <si>
    <t>holdtr</t>
  </si>
  <si>
    <t>"HOLDF" Field</t>
  </si>
  <si>
    <t>holdf</t>
  </si>
  <si>
    <t>DEB Critical Configuration Area Register "DTC_PLL_REG_1"</t>
  </si>
  <si>
    <t>deb_crit_cfg_dtc_pll_reg_1</t>
  </si>
  <si>
    <t>"000"</t>
  </si>
  <si>
    <t>"00"</t>
  </si>
  <si>
    <t>DEB Critical Configuration Area Register "DTC_PLL_REG_2"</t>
  </si>
  <si>
    <t>deb_crit_cfg_dtc_pll_reg_2</t>
  </si>
  <si>
    <t>DEB Critical Configuration Area Register "DTC_PLL_REG_3"</t>
  </si>
  <si>
    <t>deb_crit_cfg_dtc_pll_reg_3</t>
  </si>
  <si>
    <t>"111"</t>
  </si>
  <si>
    <t>DEB Critical Configuration Area Register "DTC_FEE_MOD"</t>
  </si>
  <si>
    <t>"OPER_MOD" Field</t>
  </si>
  <si>
    <t>deb_crit_cfg_dtc_fee_mod</t>
  </si>
  <si>
    <t>oper_mod</t>
  </si>
  <si>
    <t>DEB Critical Configuration Area Register "DTC_IMM_ONMOD"</t>
  </si>
  <si>
    <t>"IMM_ON" Field</t>
  </si>
  <si>
    <t>deb_crit_cfg_dtc_imm_onmod</t>
  </si>
  <si>
    <t>imm_on</t>
  </si>
  <si>
    <t>DEB General Configuration Area Register "DTC_IN_MOD"</t>
  </si>
  <si>
    <t>"T7_IN_MOD" Field</t>
  </si>
  <si>
    <t>deb_gen_cfg_dtc_in_mod</t>
  </si>
  <si>
    <t>t7_in_mod</t>
  </si>
  <si>
    <t>"T6_IN_MOD" Field</t>
  </si>
  <si>
    <t>t6_in_mod</t>
  </si>
  <si>
    <t>"T5_IN_MOD" Field</t>
  </si>
  <si>
    <t>t5_in_mod</t>
  </si>
  <si>
    <t>"T4_IN_MOD" Field</t>
  </si>
  <si>
    <t>t4_in_mod</t>
  </si>
  <si>
    <t>"T3_IN_MOD" Field</t>
  </si>
  <si>
    <t>t3_in_mod</t>
  </si>
  <si>
    <t>"T2_IN_MOD" Field</t>
  </si>
  <si>
    <t>t2_in_mod</t>
  </si>
  <si>
    <t>"T1_IN_MOD" Field</t>
  </si>
  <si>
    <t>t1_in_mod</t>
  </si>
  <si>
    <t>"T0_IN_MOD" Field</t>
  </si>
  <si>
    <t>t0_in_mod</t>
  </si>
  <si>
    <t>DEB General Configuration Area Register "DTC_WDW_SIZ"</t>
  </si>
  <si>
    <t>"W_SIZ_X" Field</t>
  </si>
  <si>
    <t>deb_gen_cfg_dtc_wdw_siz</t>
  </si>
  <si>
    <t>w_siz_x</t>
  </si>
  <si>
    <t>"W_SIZ_Y" Field</t>
  </si>
  <si>
    <t>w_siz_y</t>
  </si>
  <si>
    <t>DEB General Configuration Area Register "DTC_WDW_IDX"</t>
  </si>
  <si>
    <t>"WDW_IDX_4" Field</t>
  </si>
  <si>
    <t>deb_gen_cfg_dtc_wdw_idx</t>
  </si>
  <si>
    <t>wdw_idx_4</t>
  </si>
  <si>
    <t>"WDW_LEN_4" Field</t>
  </si>
  <si>
    <t>wdw_len_4</t>
  </si>
  <si>
    <t>"WDW_IDX_3" Field</t>
  </si>
  <si>
    <t>wdw_idx_3</t>
  </si>
  <si>
    <t>"WDW_LEN_3" Field</t>
  </si>
  <si>
    <t>wdw_len_3</t>
  </si>
  <si>
    <t>"WDW_IDX_2" Field</t>
  </si>
  <si>
    <t>wdw_idx_2</t>
  </si>
  <si>
    <t>"WDW_LEN_2" Field</t>
  </si>
  <si>
    <t>wdw_len_2</t>
  </si>
  <si>
    <t>"WDW_IDX_1" Field</t>
  </si>
  <si>
    <t>wdw_idx_1</t>
  </si>
  <si>
    <t>"WDW_LEN_1" Field</t>
  </si>
  <si>
    <t>wdw_len_1</t>
  </si>
  <si>
    <t>deb_gen_cfg_dtc_ovs_pat</t>
  </si>
  <si>
    <t>deb_gen_cfg_dtc_siz_pat</t>
  </si>
  <si>
    <t>DEB General Configuration Area Register "DTC_TRG_25S"</t>
  </si>
  <si>
    <t>"2_5S_N_CYC" Field</t>
  </si>
  <si>
    <t>deb_gen_cfg_dtc_trg_25s</t>
  </si>
  <si>
    <t>DEB General Configuration Area Register "DTC_SEL_TRG"</t>
  </si>
  <si>
    <t>"TRG_SRC" Field</t>
  </si>
  <si>
    <t>deb_gen_cfg_dtc_sel_trg</t>
  </si>
  <si>
    <t>trg_src</t>
  </si>
  <si>
    <t>DEB General Configuration Area Register "DTC_FRM_CNT"</t>
  </si>
  <si>
    <t>"PSET_FRM_CNT" Field</t>
  </si>
  <si>
    <t>deb_gen_cfg_dtc_frm_cnt</t>
  </si>
  <si>
    <t>pset_frm_cnt</t>
  </si>
  <si>
    <t>DEB General Configuration Area Register "DTC_SEL_SYN"</t>
  </si>
  <si>
    <t>"SYN_FRQ" Field</t>
  </si>
  <si>
    <t>deb_gen_cfg_dtc_sel_syn</t>
  </si>
  <si>
    <t>syn_frq</t>
  </si>
  <si>
    <t>DEB General Configuration Area Register "DTC_RST_CPS"</t>
  </si>
  <si>
    <t>"RST_SPW" Field</t>
  </si>
  <si>
    <t>deb_gen_cfg_dtc_rst_cps</t>
  </si>
  <si>
    <t>rst_spw</t>
  </si>
  <si>
    <t>"RST_WDG" Field</t>
  </si>
  <si>
    <t>rst_wdg</t>
  </si>
  <si>
    <t>DEB General Configuration Area Register "DTC_25S_DLY"</t>
  </si>
  <si>
    <t>"25S_DLY" Field</t>
  </si>
  <si>
    <t>deb_gen_cfg_dtc_25s_dly</t>
  </si>
  <si>
    <t>DEB General Configuration Area Register "DTC_TMOD_CONF"</t>
  </si>
  <si>
    <t>"RESERVED" Field</t>
  </si>
  <si>
    <t>deb_gen_cfg_dtc_tmod_conf</t>
  </si>
  <si>
    <t>reserved</t>
  </si>
  <si>
    <t>DEB General Configuration Area Register "DTC_SPW_CFG"</t>
  </si>
  <si>
    <t>"TIMECODE" Field</t>
  </si>
  <si>
    <t>deb_gen_cfg_dtc_spw_cfg</t>
  </si>
  <si>
    <t>timecode</t>
  </si>
  <si>
    <t>DEB Housekeeping Area Register "DEB_STATUS"</t>
  </si>
  <si>
    <t>deb_hk_deb_status</t>
  </si>
  <si>
    <t>"EDAC_LIST_CORR_ERR" Field</t>
  </si>
  <si>
    <t>edac_list_corr_err</t>
  </si>
  <si>
    <t>"EDAC_LIST_UNCORR_ERR" Field</t>
  </si>
  <si>
    <t>edac_list_uncorr_err</t>
  </si>
  <si>
    <t>"VDIG_AEB_4" Field</t>
  </si>
  <si>
    <t>vdig_aeb_4</t>
  </si>
  <si>
    <t>"VDIG_AEB_3" Field</t>
  </si>
  <si>
    <t>vdig_aeb_3</t>
  </si>
  <si>
    <t>"VDIG_AEB_2" Field</t>
  </si>
  <si>
    <t>vdig_aeb_2</t>
  </si>
  <si>
    <t>"VDIG_AEB_1" Field</t>
  </si>
  <si>
    <t>vdig_aeb_1</t>
  </si>
  <si>
    <t>"WDW_LIST_CNT_OVF" Field</t>
  </si>
  <si>
    <t>wdw_list_cnt_ovf</t>
  </si>
  <si>
    <t>"WDG" Field</t>
  </si>
  <si>
    <t>wdg</t>
  </si>
  <si>
    <t>DEB Housekeeping Area Register "DEB_OVF"</t>
  </si>
  <si>
    <t>"ROW_ACT_LIST_8" Field</t>
  </si>
  <si>
    <t>row_act_list_8</t>
  </si>
  <si>
    <t>"ROW_ACT_LIST_7" Field</t>
  </si>
  <si>
    <t>row_act_list_7</t>
  </si>
  <si>
    <t>"ROW_ACT_LIST_6" Field</t>
  </si>
  <si>
    <t>row_act_list_6</t>
  </si>
  <si>
    <t>"ROW_ACT_LIST_5" Field</t>
  </si>
  <si>
    <t>row_act_list_5</t>
  </si>
  <si>
    <t>"ROW_ACT_LIST_4" Field</t>
  </si>
  <si>
    <t>row_act_list_4</t>
  </si>
  <si>
    <t>"ROW_ACT_LIST_3" Field</t>
  </si>
  <si>
    <t>row_act_list_3</t>
  </si>
  <si>
    <t>"ROW_ACT_LIST_2" Field</t>
  </si>
  <si>
    <t>row_act_list_2</t>
  </si>
  <si>
    <t>"ROW_ACT_LIST_1" Field</t>
  </si>
  <si>
    <t>row_act_list_1</t>
  </si>
  <si>
    <t>"OUTBUFF_8" Field</t>
  </si>
  <si>
    <t>outbuff_8</t>
  </si>
  <si>
    <t>"OUTBUFF_7" Field</t>
  </si>
  <si>
    <t>outbuff_7</t>
  </si>
  <si>
    <t>"OUTBUFF_6" Field</t>
  </si>
  <si>
    <t>outbuff_6</t>
  </si>
  <si>
    <t>"OUTBUFF_5" Field</t>
  </si>
  <si>
    <t>outbuff_5</t>
  </si>
  <si>
    <t>"OUTBUFF_4" Field</t>
  </si>
  <si>
    <t>outbuff_4</t>
  </si>
  <si>
    <t>"OUTBUFF_3" Field</t>
  </si>
  <si>
    <t>outbuff_3</t>
  </si>
  <si>
    <t>"OUTBUFF_2" Field</t>
  </si>
  <si>
    <t>outbuff_2</t>
  </si>
  <si>
    <t>"OUTBUFF_1" Field</t>
  </si>
  <si>
    <t>outbuff_1</t>
  </si>
  <si>
    <t>"RMAP_4" Field</t>
  </si>
  <si>
    <t>rmap_4</t>
  </si>
  <si>
    <t>"RMAP_3" Field</t>
  </si>
  <si>
    <t>rmap_3</t>
  </si>
  <si>
    <t>"RMAP_2" Field</t>
  </si>
  <si>
    <t>rmap_2</t>
  </si>
  <si>
    <t>"RMAP_1" Field</t>
  </si>
  <si>
    <t>rmap_1</t>
  </si>
  <si>
    <t>DEB Housekeeping Area Register "SPW_STATUS"</t>
  </si>
  <si>
    <t>"STATE_4" Field</t>
  </si>
  <si>
    <t>deb_hk_spw_status</t>
  </si>
  <si>
    <t>state_4</t>
  </si>
  <si>
    <t>"CRD_4" Field</t>
  </si>
  <si>
    <t>crd_4</t>
  </si>
  <si>
    <t>"FIFO_4" Field</t>
  </si>
  <si>
    <t>fifo_4</t>
  </si>
  <si>
    <t>"ESC_4" Field</t>
  </si>
  <si>
    <t>esc_4</t>
  </si>
  <si>
    <t>"PAR_4" Field</t>
  </si>
  <si>
    <t>par_4</t>
  </si>
  <si>
    <t>"DISC_4" Field</t>
  </si>
  <si>
    <t>disc_4</t>
  </si>
  <si>
    <t>"STATE_3" Field</t>
  </si>
  <si>
    <t>state_3</t>
  </si>
  <si>
    <t>"CRD_3" Field</t>
  </si>
  <si>
    <t>crd_3</t>
  </si>
  <si>
    <t>"FIFO_3" Field</t>
  </si>
  <si>
    <t>fifo_3</t>
  </si>
  <si>
    <t>"ESC_3" Field</t>
  </si>
  <si>
    <t>esc_3</t>
  </si>
  <si>
    <t>"PAR_3" Field</t>
  </si>
  <si>
    <t>par_3</t>
  </si>
  <si>
    <t>"DISC_3" Field</t>
  </si>
  <si>
    <t>disc_3</t>
  </si>
  <si>
    <t>"STATE_2" Field</t>
  </si>
  <si>
    <t>state_2</t>
  </si>
  <si>
    <t>"CRD_2" Field</t>
  </si>
  <si>
    <t>crd_2</t>
  </si>
  <si>
    <t>"FIFO_2" Field</t>
  </si>
  <si>
    <t>fifo_2</t>
  </si>
  <si>
    <t>"ESC_2" Field</t>
  </si>
  <si>
    <t>esc_2</t>
  </si>
  <si>
    <t>"PAR_2" Field</t>
  </si>
  <si>
    <t>par_2</t>
  </si>
  <si>
    <t>"DISC_2" Field</t>
  </si>
  <si>
    <t>disc_2</t>
  </si>
  <si>
    <t>"STATE_1" Field</t>
  </si>
  <si>
    <t>state_1</t>
  </si>
  <si>
    <t>"CRD_1" Field</t>
  </si>
  <si>
    <t>crd_1</t>
  </si>
  <si>
    <t>"FIFO_1" Field</t>
  </si>
  <si>
    <t>fifo_1</t>
  </si>
  <si>
    <t>"ESC_1" Field</t>
  </si>
  <si>
    <t>esc_1</t>
  </si>
  <si>
    <t>"PAR_1" Field</t>
  </si>
  <si>
    <t>par_1</t>
  </si>
  <si>
    <t>"DISC_1" Field</t>
  </si>
  <si>
    <t>disc_1</t>
  </si>
  <si>
    <t>DEB Housekeeping Area Register "DEB_AHK1"</t>
  </si>
  <si>
    <t>deb_hk_deb_ahk1</t>
  </si>
  <si>
    <t>"VIO" Field</t>
  </si>
  <si>
    <t>vio</t>
  </si>
  <si>
    <t>DEB Housekeeping Area Register "DEB_AHK2"</t>
  </si>
  <si>
    <t>"VCOR" Field</t>
  </si>
  <si>
    <t>deb_hk_deb_ahk2</t>
  </si>
  <si>
    <t>vcor</t>
  </si>
  <si>
    <t>"VLVD" Field</t>
  </si>
  <si>
    <t>vlvd</t>
  </si>
  <si>
    <t>DEB Housekeeping Area Register "DEB_AHK3"</t>
  </si>
  <si>
    <t>"DEB_TEMP" Field</t>
  </si>
  <si>
    <t>deb_hk_deb_ahk3</t>
  </si>
  <si>
    <t>deb_temp</t>
  </si>
  <si>
    <t>t_deb_crit_cfg_dtc_aeb_onoff_wr_reg</t>
  </si>
  <si>
    <t>t_deb_crit_cfg_dtc_pll_reg_0_wr_reg</t>
  </si>
  <si>
    <t>t_deb_crit_cfg_dtc_pll_reg_1_wr_reg</t>
  </si>
  <si>
    <t>t_deb_crit_cfg_dtc_pll_reg_2_wr_reg</t>
  </si>
  <si>
    <t>t_deb_crit_cfg_dtc_pll_reg_3_wr_reg</t>
  </si>
  <si>
    <t>t_deb_crit_cfg_dtc_fee_mod_wr_reg</t>
  </si>
  <si>
    <t>t_deb_crit_cfg_dtc_imm_onmod_wr_reg</t>
  </si>
  <si>
    <t>t_deb_gen_cfg_dtc_in_mod_wr_reg</t>
  </si>
  <si>
    <t>t_deb_gen_cfg_dtc_wdw_siz_wr_reg</t>
  </si>
  <si>
    <t>t_deb_gen_cfg_dtc_wdw_idx_wr_reg</t>
  </si>
  <si>
    <t>t_deb_gen_cfg_dtc_ovs_pat_wr_reg</t>
  </si>
  <si>
    <t>t_deb_gen_cfg_dtc_siz_pat_wr_reg</t>
  </si>
  <si>
    <t>t_deb_gen_cfg_dtc_trg_25s_wr_reg</t>
  </si>
  <si>
    <t>t_deb_gen_cfg_dtc_sel_trg_wr_reg</t>
  </si>
  <si>
    <t>t_deb_gen_cfg_dtc_frm_cnt_wr_reg</t>
  </si>
  <si>
    <t>t_deb_gen_cfg_dtc_sel_syn_wr_reg</t>
  </si>
  <si>
    <t>t_deb_gen_cfg_dtc_rst_cps_wr_reg</t>
  </si>
  <si>
    <t>t_deb_gen_cfg_dtc_25s_dly_wr_reg</t>
  </si>
  <si>
    <t>t_deb_gen_cfg_dtc_tmod_conf_wr_reg</t>
  </si>
  <si>
    <t>t_deb_gen_cfg_dtc_spw_cfg_wr_reg</t>
  </si>
  <si>
    <t>t_deb_hk_deb_status_wr_reg</t>
  </si>
  <si>
    <t>t_deb_hk_deb_ahk1_wr_reg</t>
  </si>
  <si>
    <t>t_deb_hk_deb_ahk2_wr_reg</t>
  </si>
  <si>
    <t>t_deb_hk_deb_ahk3_wr_reg</t>
  </si>
  <si>
    <t xml:space="preserve">      -- DEB Critical Configuration Area Register "DTC_AEB_ONOFF" : "AEB_IDX1" Field</t>
  </si>
  <si>
    <t xml:space="preserve">      -- DEB Critical Configuration Area Register "DTC_AEB_ONOFF" : "AEB_IDX2" Field</t>
  </si>
  <si>
    <t xml:space="preserve">      -- DEB Critical Configuration Area Register "DTC_AEB_ONOFF" : "AEB_IDX3" Field</t>
  </si>
  <si>
    <t xml:space="preserve">      -- DEB Critical Configuration Area Register "DTC_PLL_REG_0" : "PFDFC" Field</t>
  </si>
  <si>
    <t xml:space="preserve">      fee_rmap_o.readdata(4) &lt;= rmap_registers_wr_i.deb_crit_cfg_dtc_pll_reg_0.pfdfc;</t>
  </si>
  <si>
    <t xml:space="preserve">      -- DEB Critical Configuration Area Register "DTC_PLL_REG_0" : "GTME" Field</t>
  </si>
  <si>
    <t xml:space="preserve">      fee_rmap_o.readdata(0) &lt;= rmap_registers_wr_i.deb_crit_cfg_dtc_pll_reg_0.gtme;</t>
  </si>
  <si>
    <t xml:space="preserve">      -- DEB Critical Configuration Area Register "DTC_PLL_REG_0" : "HOLDF" Field</t>
  </si>
  <si>
    <t xml:space="preserve">      fee_rmap_o.readdata(1) &lt;= rmap_registers_wr_i.deb_crit_cfg_dtc_pll_reg_0.holdf;</t>
  </si>
  <si>
    <t xml:space="preserve">      -- DEB Critical Configuration Area Register "DTC_PLL_REG_0" : "HOLDTR" Field</t>
  </si>
  <si>
    <t xml:space="preserve">      fee_rmap_o.readdata(3) &lt;= rmap_registers_wr_i.deb_crit_cfg_dtc_pll_reg_0.holdtr;</t>
  </si>
  <si>
    <t xml:space="preserve">      -- DEB Critical Configuration Area Register "DTC_FEE_MOD" : "OPER_MOD" Field</t>
  </si>
  <si>
    <t xml:space="preserve">      fee_rmap_o.readdata(2 downto 0) &lt;= rmap_registers_wr_i.deb_crit_cfg_dtc_fee_mod.oper_mod;</t>
  </si>
  <si>
    <t xml:space="preserve">      -- DEB Critical Configuration Area Register "DTC_IMM_ONMOD" : "IMM_ON" Field</t>
  </si>
  <si>
    <t xml:space="preserve">      fee_rmap_o.readdata(0) &lt;= rmap_registers_wr_i.deb_crit_cfg_dtc_imm_onmod.imm_on;</t>
  </si>
  <si>
    <t xml:space="preserve">  when (x"00000104") =&gt;</t>
  </si>
  <si>
    <t xml:space="preserve">      -- DEB General Configuration Area Register "DTC_IN_MOD" : "T7_IN_MOD" Field</t>
  </si>
  <si>
    <t xml:space="preserve">      fee_rmap_o.readdata(2 downto 0) &lt;= rmap_registers_wr_i.deb_gen_cfg_dtc_in_mod.t7_in_mod;</t>
  </si>
  <si>
    <t xml:space="preserve">  when (x"00000105") =&gt;</t>
  </si>
  <si>
    <t xml:space="preserve">      -- DEB General Configuration Area Register "DTC_IN_MOD" : "T6_IN_MOD" Field</t>
  </si>
  <si>
    <t xml:space="preserve">      fee_rmap_o.readdata(2 downto 0) &lt;= rmap_registers_wr_i.deb_gen_cfg_dtc_in_mod.t6_in_mod;</t>
  </si>
  <si>
    <t xml:space="preserve">  when (x"00000106") =&gt;</t>
  </si>
  <si>
    <t xml:space="preserve">      -- DEB General Configuration Area Register "DTC_IN_MOD" : "T5_IN_MOD" Field</t>
  </si>
  <si>
    <t xml:space="preserve">      fee_rmap_o.readdata(2 downto 0) &lt;= rmap_registers_wr_i.deb_gen_cfg_dtc_in_mod.t5_in_mod;</t>
  </si>
  <si>
    <t xml:space="preserve">  when (x"00000107") =&gt;</t>
  </si>
  <si>
    <t xml:space="preserve">      -- DEB General Configuration Area Register "DTC_IN_MOD" : "T4_IN_MOD" Field</t>
  </si>
  <si>
    <t xml:space="preserve">      fee_rmap_o.readdata(2 downto 0) &lt;= rmap_registers_wr_i.deb_gen_cfg_dtc_in_mod.t4_in_mod;</t>
  </si>
  <si>
    <t xml:space="preserve">  when (x"00000108") =&gt;</t>
  </si>
  <si>
    <t xml:space="preserve">      -- DEB General Configuration Area Register "DTC_IN_MOD" : "T3_IN_MOD" Field</t>
  </si>
  <si>
    <t xml:space="preserve">      fee_rmap_o.readdata(2 downto 0) &lt;= rmap_registers_wr_i.deb_gen_cfg_dtc_in_mod.t3_in_mod;</t>
  </si>
  <si>
    <t xml:space="preserve">  when (x"00000109") =&gt;</t>
  </si>
  <si>
    <t xml:space="preserve">      -- DEB General Configuration Area Register "DTC_IN_MOD" : "T2_IN_MOD" Field</t>
  </si>
  <si>
    <t xml:space="preserve">      fee_rmap_o.readdata(2 downto 0) &lt;= rmap_registers_wr_i.deb_gen_cfg_dtc_in_mod.t2_in_mod;</t>
  </si>
  <si>
    <t xml:space="preserve">  when (x"0000010A") =&gt;</t>
  </si>
  <si>
    <t xml:space="preserve">      -- DEB General Configuration Area Register "DTC_IN_MOD" : "T1_IN_MOD" Field</t>
  </si>
  <si>
    <t xml:space="preserve">      fee_rmap_o.readdata(2 downto 0) &lt;= rmap_registers_wr_i.deb_gen_cfg_dtc_in_mod.t1_in_mod;</t>
  </si>
  <si>
    <t xml:space="preserve">  when (x"0000010B") =&gt;</t>
  </si>
  <si>
    <t xml:space="preserve">      -- DEB General Configuration Area Register "DTC_IN_MOD" : "T0_IN_MOD" Field</t>
  </si>
  <si>
    <t xml:space="preserve">      fee_rmap_o.readdata(2 downto 0) &lt;= rmap_registers_wr_i.deb_gen_cfg_dtc_in_mod.t0_in_mod;</t>
  </si>
  <si>
    <t xml:space="preserve">  when (x"0000010E") =&gt;</t>
  </si>
  <si>
    <t xml:space="preserve">      -- DEB General Configuration Area Register "DTC_WDW_SIZ" : "W_SIZ_X" Field</t>
  </si>
  <si>
    <t xml:space="preserve">      fee_rmap_o.readdata(5 downto 0) &lt;= rmap_registers_wr_i.deb_gen_cfg_dtc_wdw_siz.w_siz_x;</t>
  </si>
  <si>
    <t xml:space="preserve">  when (x"0000010F") =&gt;</t>
  </si>
  <si>
    <t xml:space="preserve">      -- DEB General Configuration Area Register "DTC_WDW_SIZ" : "W_SIZ_Y" Field</t>
  </si>
  <si>
    <t xml:space="preserve">      fee_rmap_o.readdata(5 downto 0) &lt;= rmap_registers_wr_i.deb_gen_cfg_dtc_wdw_siz.w_siz_y;</t>
  </si>
  <si>
    <t xml:space="preserve">  when (x"00000110") =&gt;</t>
  </si>
  <si>
    <t xml:space="preserve">      -- DEB General Configuration Area Register "DTC_WDW_IDX" : "WDW_IDX_4" Field</t>
  </si>
  <si>
    <t xml:space="preserve">      fee_rmap_o.readdata(1 downto 0) &lt;= rmap_registers_wr_i.deb_gen_cfg_dtc_wdw_idx.wdw_idx_4(9 downto 8);</t>
  </si>
  <si>
    <t xml:space="preserve">  when (x"00000111") =&gt;</t>
  </si>
  <si>
    <t xml:space="preserve">      fee_rmap_o.readdata &lt;= rmap_registers_wr_i.deb_gen_cfg_dtc_wdw_idx.wdw_idx_4(7 downto 0);</t>
  </si>
  <si>
    <t xml:space="preserve">  when (x"00000112") =&gt;</t>
  </si>
  <si>
    <t xml:space="preserve">      -- DEB General Configuration Area Register "DTC_WDW_IDX" : "WDW_LEN_4" Field</t>
  </si>
  <si>
    <t xml:space="preserve">      fee_rmap_o.readdata(1 downto 0) &lt;= rmap_registers_wr_i.deb_gen_cfg_dtc_wdw_idx.wdw_len_4(9 downto 8);</t>
  </si>
  <si>
    <t xml:space="preserve">  when (x"00000113") =&gt;</t>
  </si>
  <si>
    <t xml:space="preserve">      fee_rmap_o.readdata &lt;= rmap_registers_wr_i.deb_gen_cfg_dtc_wdw_idx.wdw_len_4(7 downto 0);</t>
  </si>
  <si>
    <t xml:space="preserve">  when (x"00000114") =&gt;</t>
  </si>
  <si>
    <t xml:space="preserve">      -- DEB General Configuration Area Register "DTC_WDW_IDX" : "WDW_IDX_3" Field</t>
  </si>
  <si>
    <t xml:space="preserve">      fee_rmap_o.readdata(1 downto 0) &lt;= rmap_registers_wr_i.deb_gen_cfg_dtc_wdw_idx.wdw_idx_3(9 downto 8);</t>
  </si>
  <si>
    <t xml:space="preserve">  when (x"00000115") =&gt;</t>
  </si>
  <si>
    <t xml:space="preserve">      fee_rmap_o.readdata &lt;= rmap_registers_wr_i.deb_gen_cfg_dtc_wdw_idx.wdw_idx_3(7 downto 0);</t>
  </si>
  <si>
    <t xml:space="preserve">  when (x"00000116") =&gt;</t>
  </si>
  <si>
    <t xml:space="preserve">      -- DEB General Configuration Area Register "DTC_WDW_IDX" : "WDW_LEN_3" Field</t>
  </si>
  <si>
    <t xml:space="preserve">      fee_rmap_o.readdata(1 downto 0) &lt;= rmap_registers_wr_i.deb_gen_cfg_dtc_wdw_idx.wdw_len_3(9 downto 8);</t>
  </si>
  <si>
    <t xml:space="preserve">  when (x"00000117") =&gt;</t>
  </si>
  <si>
    <t xml:space="preserve">      fee_rmap_o.readdata &lt;= rmap_registers_wr_i.deb_gen_cfg_dtc_wdw_idx.wdw_len_3(7 downto 0);</t>
  </si>
  <si>
    <t xml:space="preserve">  when (x"00000118") =&gt;</t>
  </si>
  <si>
    <t xml:space="preserve">      -- DEB General Configuration Area Register "DTC_WDW_IDX" : "WDW_IDX_2" Field</t>
  </si>
  <si>
    <t xml:space="preserve">      fee_rmap_o.readdata(1 downto 0) &lt;= rmap_registers_wr_i.deb_gen_cfg_dtc_wdw_idx.wdw_idx_2(9 downto 8);</t>
  </si>
  <si>
    <t xml:space="preserve">  when (x"00000119") =&gt;</t>
  </si>
  <si>
    <t xml:space="preserve">      fee_rmap_o.readdata &lt;= rmap_registers_wr_i.deb_gen_cfg_dtc_wdw_idx.wdw_idx_2(7 downto 0);</t>
  </si>
  <si>
    <t xml:space="preserve">  when (x"0000011A") =&gt;</t>
  </si>
  <si>
    <t xml:space="preserve">      -- DEB General Configuration Area Register "DTC_WDW_IDX" : "WDW_LEN_2" Field</t>
  </si>
  <si>
    <t xml:space="preserve">      fee_rmap_o.readdata(1 downto 0) &lt;= rmap_registers_wr_i.deb_gen_cfg_dtc_wdw_idx.wdw_len_2(9 downto 8);</t>
  </si>
  <si>
    <t xml:space="preserve">  when (x"0000011B") =&gt;</t>
  </si>
  <si>
    <t xml:space="preserve">      fee_rmap_o.readdata &lt;= rmap_registers_wr_i.deb_gen_cfg_dtc_wdw_idx.wdw_len_2(7 downto 0);</t>
  </si>
  <si>
    <t xml:space="preserve">  when (x"0000011C") =&gt;</t>
  </si>
  <si>
    <t xml:space="preserve">      -- DEB General Configuration Area Register "DTC_WDW_IDX" : "WDW_IDX_1" Field</t>
  </si>
  <si>
    <t xml:space="preserve">      fee_rmap_o.readdata(1 downto 0) &lt;= rmap_registers_wr_i.deb_gen_cfg_dtc_wdw_idx.wdw_idx_1(9 downto 8);</t>
  </si>
  <si>
    <t xml:space="preserve">  when (x"0000011D") =&gt;</t>
  </si>
  <si>
    <t xml:space="preserve">      fee_rmap_o.readdata &lt;= rmap_registers_wr_i.deb_gen_cfg_dtc_wdw_idx.wdw_idx_1(7 downto 0);</t>
  </si>
  <si>
    <t xml:space="preserve">  when (x"0000011E") =&gt;</t>
  </si>
  <si>
    <t xml:space="preserve">      -- DEB General Configuration Area Register "DTC_WDW_IDX" : "WDW_LEN_1" Field</t>
  </si>
  <si>
    <t xml:space="preserve">      fee_rmap_o.readdata(1 downto 0) &lt;= rmap_registers_wr_i.deb_gen_cfg_dtc_wdw_idx.wdw_len_1(9 downto 8);</t>
  </si>
  <si>
    <t xml:space="preserve">  when (x"0000011F") =&gt;</t>
  </si>
  <si>
    <t xml:space="preserve">      fee_rmap_o.readdata &lt;= rmap_registers_wr_i.deb_gen_cfg_dtc_wdw_idx.wdw_len_1(7 downto 0);</t>
  </si>
  <si>
    <t xml:space="preserve">  when (x"00000123") =&gt;</t>
  </si>
  <si>
    <t xml:space="preserve">  when (x"00000124") =&gt;</t>
  </si>
  <si>
    <t xml:space="preserve">  when (x"00000125") =&gt;</t>
  </si>
  <si>
    <t xml:space="preserve">  when (x"00000126") =&gt;</t>
  </si>
  <si>
    <t xml:space="preserve">  when (x"00000127") =&gt;</t>
  </si>
  <si>
    <t xml:space="preserve">  when (x"0000012B") =&gt;</t>
  </si>
  <si>
    <t xml:space="preserve">      -- DEB General Configuration Area Register "DTC_TRG_25S" : "2_5S_N_CYC" Field</t>
  </si>
  <si>
    <t xml:space="preserve">  when (x"0000012F") =&gt;</t>
  </si>
  <si>
    <t xml:space="preserve">      -- DEB General Configuration Area Register "DTC_SEL_TRG" : "TRG_SRC" Field</t>
  </si>
  <si>
    <t xml:space="preserve">      fee_rmap_o.readdata(0) &lt;= rmap_registers_wr_i.deb_gen_cfg_dtc_sel_trg.trg_src;</t>
  </si>
  <si>
    <t xml:space="preserve">  when (x"00000132") =&gt;</t>
  </si>
  <si>
    <t xml:space="preserve">      -- DEB General Configuration Area Register "DTC_FRM_CNT" : "PSET_FRM_CNT" Field</t>
  </si>
  <si>
    <t xml:space="preserve">      fee_rmap_o.readdata &lt;= rmap_registers_wr_i.deb_gen_cfg_dtc_frm_cnt.pset_frm_cnt(15 downto 8);</t>
  </si>
  <si>
    <t xml:space="preserve">  when (x"00000133") =&gt;</t>
  </si>
  <si>
    <t xml:space="preserve">      fee_rmap_o.readdata &lt;= rmap_registers_wr_i.deb_gen_cfg_dtc_frm_cnt.pset_frm_cnt(7 downto 0);</t>
  </si>
  <si>
    <t xml:space="preserve">  when (x"00000137") =&gt;</t>
  </si>
  <si>
    <t xml:space="preserve">      -- DEB General Configuration Area Register "DTC_SEL_SYN" : "SYN_FRQ" Field</t>
  </si>
  <si>
    <t xml:space="preserve">      fee_rmap_o.readdata(0) &lt;= rmap_registers_wr_i.deb_gen_cfg_dtc_sel_syn.syn_frq;</t>
  </si>
  <si>
    <t xml:space="preserve">  when (x"00000139") =&gt;</t>
  </si>
  <si>
    <t xml:space="preserve">      -- DEB General Configuration Area Register "DTC_RST_CPS" : "RST_SPW" Field</t>
  </si>
  <si>
    <t xml:space="preserve">      fee_rmap_o.readdata(0) &lt;= rmap_registers_wr_i.deb_gen_cfg_dtc_rst_cps.rst_spw;</t>
  </si>
  <si>
    <t xml:space="preserve">  when (x"0000013A") =&gt;</t>
  </si>
  <si>
    <t xml:space="preserve">      -- DEB General Configuration Area Register "DTC_RST_CPS" : "RST_WDG" Field</t>
  </si>
  <si>
    <t xml:space="preserve">      fee_rmap_o.readdata(0) &lt;= rmap_registers_wr_i.deb_gen_cfg_dtc_rst_cps.rst_wdg;</t>
  </si>
  <si>
    <t xml:space="preserve">  when (x"0000013D") =&gt;</t>
  </si>
  <si>
    <t xml:space="preserve">      -- DEB General Configuration Area Register "DTC_25S_DLY" : "25S_DLY" Field</t>
  </si>
  <si>
    <t xml:space="preserve">  when (x"0000013E") =&gt;</t>
  </si>
  <si>
    <t xml:space="preserve">  when (x"0000013F") =&gt;</t>
  </si>
  <si>
    <t xml:space="preserve">  when (x"00000140") =&gt;</t>
  </si>
  <si>
    <t xml:space="preserve">      -- DEB General Configuration Area Register "DTC_TMOD_CONF" : "RESERVED" Field</t>
  </si>
  <si>
    <t xml:space="preserve">      fee_rmap_o.readdata &lt;= rmap_registers_wr_i.deb_gen_cfg_dtc_tmod_conf.reserved(31 downto 24);</t>
  </si>
  <si>
    <t xml:space="preserve">  when (x"00000141") =&gt;</t>
  </si>
  <si>
    <t xml:space="preserve">      fee_rmap_o.readdata &lt;= rmap_registers_wr_i.deb_gen_cfg_dtc_tmod_conf.reserved(23 downto 16);</t>
  </si>
  <si>
    <t xml:space="preserve">  when (x"00000142") =&gt;</t>
  </si>
  <si>
    <t xml:space="preserve">      fee_rmap_o.readdata &lt;= rmap_registers_wr_i.deb_gen_cfg_dtc_tmod_conf.reserved(15 downto 8);</t>
  </si>
  <si>
    <t xml:space="preserve">  when (x"00000143") =&gt;</t>
  </si>
  <si>
    <t xml:space="preserve">      fee_rmap_o.readdata &lt;= rmap_registers_wr_i.deb_gen_cfg_dtc_tmod_conf.reserved(7 downto 0);</t>
  </si>
  <si>
    <t xml:space="preserve">  when (x"00000147") =&gt;</t>
  </si>
  <si>
    <t xml:space="preserve">      -- DEB General Configuration Area Register "DTC_SPW_CFG" : "TIMECODE" Field</t>
  </si>
  <si>
    <t xml:space="preserve">      fee_rmap_o.readdata(1 downto 0) &lt;= rmap_registers_wr_i.deb_gen_cfg_dtc_spw_cfg.timecode;</t>
  </si>
  <si>
    <t xml:space="preserve">  when (x"00001000") =&gt;</t>
  </si>
  <si>
    <t xml:space="preserve">      -- DEB Housekeeping Area Register "DEB_STATUS" : "OPER_MOD" Field</t>
  </si>
  <si>
    <t xml:space="preserve">  when (x"00001001") =&gt;</t>
  </si>
  <si>
    <t xml:space="preserve">      -- DEB Housekeeping Area Register "DEB_STATUS" : "EDAC_LIST_UNCORR_ERR" Field</t>
  </si>
  <si>
    <t xml:space="preserve">      -- DEB Housekeeping Area Register "DEB_STATUS" : "EDAC_LIST_CORR_ERR" Field</t>
  </si>
  <si>
    <t xml:space="preserve">  when (x"00001002") =&gt;</t>
  </si>
  <si>
    <t xml:space="preserve">  when (x"00001003") =&gt;</t>
  </si>
  <si>
    <t xml:space="preserve">      -- DEB Housekeeping Area Register "DEB_STATUS" : "WDG" Field</t>
  </si>
  <si>
    <t xml:space="preserve">      -- DEB Housekeeping Area Register "DEB_STATUS" : "WDW_LIST_CNT_OVF" Field</t>
  </si>
  <si>
    <t xml:space="preserve">      -- DEB Housekeeping Area Register "DEB_STATUS" : "VDIG_AEB_1" Field</t>
  </si>
  <si>
    <t xml:space="preserve">      -- DEB Housekeeping Area Register "DEB_STATUS" : "VDIG_AEB_2" Field</t>
  </si>
  <si>
    <t xml:space="preserve">      -- DEB Housekeeping Area Register "DEB_STATUS" : "VDIG_AEB_3" Field</t>
  </si>
  <si>
    <t xml:space="preserve">      -- DEB Housekeeping Area Register "DEB_STATUS" : "VDIG_AEB_4" Field</t>
  </si>
  <si>
    <t xml:space="preserve">  when (x"00001004") =&gt;</t>
  </si>
  <si>
    <t xml:space="preserve">      -- DEB Housekeeping Area Register "DEB_OVF" : "ROW_ACT_LIST_1" Field</t>
  </si>
  <si>
    <t xml:space="preserve">      -- DEB Housekeeping Area Register "DEB_OVF" : "ROW_ACT_LIST_2" Field</t>
  </si>
  <si>
    <t xml:space="preserve">      -- DEB Housekeeping Area Register "DEB_OVF" : "ROW_ACT_LIST_3" Field</t>
  </si>
  <si>
    <t xml:space="preserve">      -- DEB Housekeeping Area Register "DEB_OVF" : "ROW_ACT_LIST_4" Field</t>
  </si>
  <si>
    <t xml:space="preserve">      -- DEB Housekeeping Area Register "DEB_OVF" : "ROW_ACT_LIST_5" Field</t>
  </si>
  <si>
    <t xml:space="preserve">      -- DEB Housekeeping Area Register "DEB_OVF" : "ROW_ACT_LIST_6" Field</t>
  </si>
  <si>
    <t xml:space="preserve">      -- DEB Housekeeping Area Register "DEB_OVF" : "ROW_ACT_LIST_7" Field</t>
  </si>
  <si>
    <t xml:space="preserve">      -- DEB Housekeeping Area Register "DEB_OVF" : "ROW_ACT_LIST_8" Field</t>
  </si>
  <si>
    <t xml:space="preserve">  when (x"00001005") =&gt;</t>
  </si>
  <si>
    <t xml:space="preserve">      -- DEB Housekeeping Area Register "DEB_OVF" : "OUTBUFF_1" Field</t>
  </si>
  <si>
    <t xml:space="preserve">      -- DEB Housekeeping Area Register "DEB_OVF" : "OUTBUFF_2" Field</t>
  </si>
  <si>
    <t xml:space="preserve">      -- DEB Housekeeping Area Register "DEB_OVF" : "OUTBUFF_3" Field</t>
  </si>
  <si>
    <t xml:space="preserve">      -- DEB Housekeeping Area Register "DEB_OVF" : "OUTBUFF_4" Field</t>
  </si>
  <si>
    <t xml:space="preserve">      -- DEB Housekeeping Area Register "DEB_OVF" : "OUTBUFF_5" Field</t>
  </si>
  <si>
    <t xml:space="preserve">      -- DEB Housekeeping Area Register "DEB_OVF" : "OUTBUFF_6" Field</t>
  </si>
  <si>
    <t xml:space="preserve">      -- DEB Housekeeping Area Register "DEB_OVF" : "OUTBUFF_7" Field</t>
  </si>
  <si>
    <t xml:space="preserve">      -- DEB Housekeeping Area Register "DEB_OVF" : "OUTBUFF_8" Field</t>
  </si>
  <si>
    <t xml:space="preserve">  when (x"00001006") =&gt;</t>
  </si>
  <si>
    <t xml:space="preserve">      -- DEB Housekeeping Area Register "DEB_OVF" : "RMAP_1" Field</t>
  </si>
  <si>
    <t xml:space="preserve">      -- DEB Housekeeping Area Register "DEB_OVF" : "RMAP_2" Field</t>
  </si>
  <si>
    <t xml:space="preserve">      -- DEB Housekeeping Area Register "DEB_OVF" : "RMAP_3" Field</t>
  </si>
  <si>
    <t xml:space="preserve">      -- DEB Housekeeping Area Register "DEB_OVF" : "RMAP_4" Field</t>
  </si>
  <si>
    <t xml:space="preserve">  when (x"00001008") =&gt;</t>
  </si>
  <si>
    <t xml:space="preserve">      -- DEB Housekeeping Area Register "SPW_STATUS" : "DISC_4" Field</t>
  </si>
  <si>
    <t xml:space="preserve">      -- DEB Housekeeping Area Register "SPW_STATUS" : "PAR_4" Field</t>
  </si>
  <si>
    <t xml:space="preserve">      -- DEB Housekeeping Area Register "SPW_STATUS" : "ESC_4" Field</t>
  </si>
  <si>
    <t xml:space="preserve">      -- DEB Housekeeping Area Register "SPW_STATUS" : "FIFO_4" Field</t>
  </si>
  <si>
    <t xml:space="preserve">      -- DEB Housekeeping Area Register "SPW_STATUS" : "CRD_4" Field</t>
  </si>
  <si>
    <t xml:space="preserve">      -- DEB Housekeeping Area Register "SPW_STATUS" : "STATE_4" Field</t>
  </si>
  <si>
    <t xml:space="preserve">  when (x"00001009") =&gt;</t>
  </si>
  <si>
    <t xml:space="preserve">      -- DEB Housekeeping Area Register "SPW_STATUS" : "DISC_3" Field</t>
  </si>
  <si>
    <t xml:space="preserve">      -- DEB Housekeeping Area Register "SPW_STATUS" : "PAR_3" Field</t>
  </si>
  <si>
    <t xml:space="preserve">      -- DEB Housekeeping Area Register "SPW_STATUS" : "ESC_3" Field</t>
  </si>
  <si>
    <t xml:space="preserve">      -- DEB Housekeeping Area Register "SPW_STATUS" : "FIFO_3" Field</t>
  </si>
  <si>
    <t xml:space="preserve">      -- DEB Housekeeping Area Register "SPW_STATUS" : "CRD_3" Field</t>
  </si>
  <si>
    <t xml:space="preserve">      -- DEB Housekeeping Area Register "SPW_STATUS" : "STATE_3" Field</t>
  </si>
  <si>
    <t xml:space="preserve">  when (x"0000100A") =&gt;</t>
  </si>
  <si>
    <t xml:space="preserve">      -- DEB Housekeeping Area Register "SPW_STATUS" : "DISC_2" Field</t>
  </si>
  <si>
    <t xml:space="preserve">      -- DEB Housekeeping Area Register "SPW_STATUS" : "PAR_2" Field</t>
  </si>
  <si>
    <t xml:space="preserve">      -- DEB Housekeeping Area Register "SPW_STATUS" : "ESC_2" Field</t>
  </si>
  <si>
    <t xml:space="preserve">      -- DEB Housekeeping Area Register "SPW_STATUS" : "FIFO_2" Field</t>
  </si>
  <si>
    <t xml:space="preserve">      -- DEB Housekeeping Area Register "SPW_STATUS" : "CRD_2" Field</t>
  </si>
  <si>
    <t xml:space="preserve">      -- DEB Housekeeping Area Register "SPW_STATUS" : "STATE_2" Field</t>
  </si>
  <si>
    <t xml:space="preserve">  when (x"0000100B") =&gt;</t>
  </si>
  <si>
    <t xml:space="preserve">      -- DEB Housekeeping Area Register "SPW_STATUS" : "DISC_1" Field</t>
  </si>
  <si>
    <t xml:space="preserve">      -- DEB Housekeeping Area Register "SPW_STATUS" : "PAR_1" Field</t>
  </si>
  <si>
    <t xml:space="preserve">      -- DEB Housekeeping Area Register "SPW_STATUS" : "ESC_1" Field</t>
  </si>
  <si>
    <t xml:space="preserve">      -- DEB Housekeeping Area Register "SPW_STATUS" : "FIFO_1" Field</t>
  </si>
  <si>
    <t xml:space="preserve">      -- DEB Housekeeping Area Register "SPW_STATUS" : "CRD_1" Field</t>
  </si>
  <si>
    <t xml:space="preserve">      -- DEB Housekeeping Area Register "SPW_STATUS" : "STATE_1" Field</t>
  </si>
  <si>
    <t xml:space="preserve">  when (x"0000100C") =&gt;</t>
  </si>
  <si>
    <t xml:space="preserve">  when (x"0000100D") =&gt;</t>
  </si>
  <si>
    <t xml:space="preserve">  when (x"0000100E") =&gt;</t>
  </si>
  <si>
    <t xml:space="preserve">      -- DEB Housekeeping Area Register "DEB_AHK1" : "VIO" Field</t>
  </si>
  <si>
    <t xml:space="preserve">  when (x"0000100F") =&gt;</t>
  </si>
  <si>
    <t xml:space="preserve">  when (x"00001010") =&gt;</t>
  </si>
  <si>
    <t xml:space="preserve">      -- DEB Housekeeping Area Register "DEB_AHK2" : "VCOR" Field</t>
  </si>
  <si>
    <t xml:space="preserve">  when (x"00001011") =&gt;</t>
  </si>
  <si>
    <t xml:space="preserve">  when (x"00001012") =&gt;</t>
  </si>
  <si>
    <t xml:space="preserve">      -- DEB Housekeeping Area Register "DEB_AHK2" : "VLVD" Field</t>
  </si>
  <si>
    <t xml:space="preserve">  when (x"00001013") =&gt;</t>
  </si>
  <si>
    <t xml:space="preserve">  when (x"00001016") =&gt;</t>
  </si>
  <si>
    <t xml:space="preserve">  when (x"00001017") =&gt;</t>
  </si>
  <si>
    <t xml:space="preserve">      rmap_registers_wr_o.deb_crit_cfg_dtc_pll_reg_0.pfdfc &lt;= fee_rmap_i.writedata(4);</t>
  </si>
  <si>
    <t xml:space="preserve">      rmap_registers_wr_o.deb_crit_cfg_dtc_pll_reg_0.gtme &lt;= fee_rmap_i.writedata(0);</t>
  </si>
  <si>
    <t xml:space="preserve">      rmap_registers_wr_o.deb_crit_cfg_dtc_pll_reg_0.holdf &lt;= fee_rmap_i.writedata(1);</t>
  </si>
  <si>
    <t xml:space="preserve">      rmap_registers_wr_o.deb_crit_cfg_dtc_pll_reg_0.holdtr &lt;= fee_rmap_i.writedata(3);</t>
  </si>
  <si>
    <t xml:space="preserve">      rmap_registers_wr_o.deb_crit_cfg_dtc_fee_mod.oper_mod &lt;= fee_rmap_i.writedata(2 downto 0);</t>
  </si>
  <si>
    <t xml:space="preserve">      rmap_registers_wr_o.deb_crit_cfg_dtc_imm_onmod.imm_on &lt;= fee_rmap_i.writedata(0);</t>
  </si>
  <si>
    <t xml:space="preserve">      rmap_registers_wr_o.deb_gen_cfg_dtc_in_mod.t7_in_mod &lt;= fee_rmap_i.writedata(2 downto 0);</t>
  </si>
  <si>
    <t xml:space="preserve">      rmap_registers_wr_o.deb_gen_cfg_dtc_in_mod.t6_in_mod &lt;= fee_rmap_i.writedata(2 downto 0);</t>
  </si>
  <si>
    <t xml:space="preserve">      rmap_registers_wr_o.deb_gen_cfg_dtc_in_mod.t5_in_mod &lt;= fee_rmap_i.writedata(2 downto 0);</t>
  </si>
  <si>
    <t xml:space="preserve">      rmap_registers_wr_o.deb_gen_cfg_dtc_in_mod.t4_in_mod &lt;= fee_rmap_i.writedata(2 downto 0);</t>
  </si>
  <si>
    <t xml:space="preserve">      rmap_registers_wr_o.deb_gen_cfg_dtc_in_mod.t3_in_mod &lt;= fee_rmap_i.writedata(2 downto 0);</t>
  </si>
  <si>
    <t xml:space="preserve">      rmap_registers_wr_o.deb_gen_cfg_dtc_in_mod.t2_in_mod &lt;= fee_rmap_i.writedata(2 downto 0);</t>
  </si>
  <si>
    <t xml:space="preserve">      rmap_registers_wr_o.deb_gen_cfg_dtc_in_mod.t1_in_mod &lt;= fee_rmap_i.writedata(2 downto 0);</t>
  </si>
  <si>
    <t xml:space="preserve">      rmap_registers_wr_o.deb_gen_cfg_dtc_in_mod.t0_in_mod &lt;= fee_rmap_i.writedata(2 downto 0);</t>
  </si>
  <si>
    <t xml:space="preserve">      rmap_registers_wr_o.deb_gen_cfg_dtc_wdw_siz.w_siz_x &lt;= fee_rmap_i.writedata(5 downto 0);</t>
  </si>
  <si>
    <t xml:space="preserve">      rmap_registers_wr_o.deb_gen_cfg_dtc_wdw_siz.w_siz_y &lt;= fee_rmap_i.writedata(5 downto 0);</t>
  </si>
  <si>
    <t xml:space="preserve">      rmap_registers_wr_o.deb_gen_cfg_dtc_wdw_idx.wdw_idx_4(9 downto 8) &lt;= fee_rmap_i.writedata(1 downto 0);</t>
  </si>
  <si>
    <t xml:space="preserve">      rmap_registers_wr_o.deb_gen_cfg_dtc_wdw_idx.wdw_idx_4(7 downto 0) &lt;= fee_rmap_i.writedata;</t>
  </si>
  <si>
    <t xml:space="preserve">      rmap_registers_wr_o.deb_gen_cfg_dtc_wdw_idx.wdw_len_4(9 downto 8) &lt;= fee_rmap_i.writedata(1 downto 0);</t>
  </si>
  <si>
    <t xml:space="preserve">      rmap_registers_wr_o.deb_gen_cfg_dtc_wdw_idx.wdw_len_4(7 downto 0) &lt;= fee_rmap_i.writedata;</t>
  </si>
  <si>
    <t xml:space="preserve">      rmap_registers_wr_o.deb_gen_cfg_dtc_wdw_idx.wdw_idx_3(9 downto 8) &lt;= fee_rmap_i.writedata(1 downto 0);</t>
  </si>
  <si>
    <t xml:space="preserve">      rmap_registers_wr_o.deb_gen_cfg_dtc_wdw_idx.wdw_idx_3(7 downto 0) &lt;= fee_rmap_i.writedata;</t>
  </si>
  <si>
    <t xml:space="preserve">      rmap_registers_wr_o.deb_gen_cfg_dtc_wdw_idx.wdw_len_3(9 downto 8) &lt;= fee_rmap_i.writedata(1 downto 0);</t>
  </si>
  <si>
    <t xml:space="preserve">      rmap_registers_wr_o.deb_gen_cfg_dtc_wdw_idx.wdw_len_3(7 downto 0) &lt;= fee_rmap_i.writedata;</t>
  </si>
  <si>
    <t xml:space="preserve">      rmap_registers_wr_o.deb_gen_cfg_dtc_wdw_idx.wdw_idx_2(9 downto 8) &lt;= fee_rmap_i.writedata(1 downto 0);</t>
  </si>
  <si>
    <t xml:space="preserve">      rmap_registers_wr_o.deb_gen_cfg_dtc_wdw_idx.wdw_idx_2(7 downto 0) &lt;= fee_rmap_i.writedata;</t>
  </si>
  <si>
    <t xml:space="preserve">      rmap_registers_wr_o.deb_gen_cfg_dtc_wdw_idx.wdw_len_2(9 downto 8) &lt;= fee_rmap_i.writedata(1 downto 0);</t>
  </si>
  <si>
    <t xml:space="preserve">      rmap_registers_wr_o.deb_gen_cfg_dtc_wdw_idx.wdw_len_2(7 downto 0) &lt;= fee_rmap_i.writedata;</t>
  </si>
  <si>
    <t xml:space="preserve">      rmap_registers_wr_o.deb_gen_cfg_dtc_wdw_idx.wdw_idx_1(9 downto 8) &lt;= fee_rmap_i.writedata(1 downto 0);</t>
  </si>
  <si>
    <t xml:space="preserve">      rmap_registers_wr_o.deb_gen_cfg_dtc_wdw_idx.wdw_idx_1(7 downto 0) &lt;= fee_rmap_i.writedata;</t>
  </si>
  <si>
    <t xml:space="preserve">      rmap_registers_wr_o.deb_gen_cfg_dtc_wdw_idx.wdw_len_1(9 downto 8) &lt;= fee_rmap_i.writedata(1 downto 0);</t>
  </si>
  <si>
    <t xml:space="preserve">      rmap_registers_wr_o.deb_gen_cfg_dtc_wdw_idx.wdw_len_1(7 downto 0) &lt;= fee_rmap_i.writedata;</t>
  </si>
  <si>
    <t xml:space="preserve">      rmap_registers_wr_o.deb_gen_cfg_dtc_sel_trg.trg_src &lt;= fee_rmap_i.writedata(0);</t>
  </si>
  <si>
    <t xml:space="preserve">      rmap_registers_wr_o.deb_gen_cfg_dtc_frm_cnt.pset_frm_cnt(15 downto 8) &lt;= fee_rmap_i.writedata;</t>
  </si>
  <si>
    <t xml:space="preserve">      rmap_registers_wr_o.deb_gen_cfg_dtc_frm_cnt.pset_frm_cnt(7 downto 0) &lt;= fee_rmap_i.writedata;</t>
  </si>
  <si>
    <t xml:space="preserve">      rmap_registers_wr_o.deb_gen_cfg_dtc_sel_syn.syn_frq &lt;= fee_rmap_i.writedata(0);</t>
  </si>
  <si>
    <t xml:space="preserve">      rmap_registers_wr_o.deb_gen_cfg_dtc_rst_cps.rst_spw &lt;= fee_rmap_i.writedata(0);</t>
  </si>
  <si>
    <t xml:space="preserve">      rmap_registers_wr_o.deb_gen_cfg_dtc_rst_cps.rst_wdg &lt;= fee_rmap_i.writedata(0);</t>
  </si>
  <si>
    <t xml:space="preserve">      rmap_registers_wr_o.deb_gen_cfg_dtc_tmod_conf.reserved(31 downto 24) &lt;= fee_rmap_i.writedata;</t>
  </si>
  <si>
    <t xml:space="preserve">      rmap_registers_wr_o.deb_gen_cfg_dtc_tmod_conf.reserved(23 downto 16) &lt;= fee_rmap_i.writedata;</t>
  </si>
  <si>
    <t xml:space="preserve">      rmap_registers_wr_o.deb_gen_cfg_dtc_tmod_conf.reserved(15 downto 8) &lt;= fee_rmap_i.writedata;</t>
  </si>
  <si>
    <t xml:space="preserve">      rmap_registers_wr_o.deb_gen_cfg_dtc_tmod_conf.reserved(7 downto 0) &lt;= fee_rmap_i.writedata;</t>
  </si>
  <si>
    <t xml:space="preserve">      rmap_registers_wr_o.deb_gen_cfg_dtc_spw_cfg.timecode &lt;= fee_rmap_i.writedata(1 downto 0);</t>
  </si>
  <si>
    <t>n2_5s_n_cyc</t>
  </si>
  <si>
    <t>n25s_dly</t>
  </si>
  <si>
    <t xml:space="preserve">      fee_rmap_o.readdata &lt;= rmap_registers_wr_i.deb_gen_cfg_dtc_trg_25s.n2_5s_n_cyc;</t>
  </si>
  <si>
    <t xml:space="preserve">      fee_rmap_o.readdata &lt;= rmap_registers_wr_i.deb_gen_cfg_dtc_25s_dly.n25s_dly(23 downto 16);</t>
  </si>
  <si>
    <t xml:space="preserve">      fee_rmap_o.readdata &lt;= rmap_registers_wr_i.deb_gen_cfg_dtc_25s_dly.n25s_dly(15 downto 8);</t>
  </si>
  <si>
    <t xml:space="preserve">      fee_rmap_o.readdata &lt;= rmap_registers_wr_i.deb_gen_cfg_dtc_25s_dly.n25s_dly(7 downto 0);</t>
  </si>
  <si>
    <t xml:space="preserve">      rmap_registers_wr_o.deb_gen_cfg_dtc_trg_25s.n2_5s_n_cyc &lt;= fee_rmap_i.writedata;</t>
  </si>
  <si>
    <t xml:space="preserve">      rmap_registers_wr_o.deb_gen_cfg_dtc_25s_dly.n25s_dly(23 downto 16) &lt;= fee_rmap_i.writedata;</t>
  </si>
  <si>
    <t xml:space="preserve">      rmap_registers_wr_o.deb_gen_cfg_dtc_25s_dly.n25s_dly(15 downto 8) &lt;= fee_rmap_i.writedata;</t>
  </si>
  <si>
    <t xml:space="preserve">      rmap_registers_wr_o.deb_gen_cfg_dtc_25s_dly.n25s_dly(7 downto 0) &lt;= fee_rmap_i.writedata;</t>
  </si>
  <si>
    <t xml:space="preserve">      fee_rmap_o.readdata(2 downto 0) &lt;= rmap_registers_wr_i.deb_hk_deb_status.oper_mod;</t>
  </si>
  <si>
    <t xml:space="preserve">      fee_rmap_o.readdata(1 downto 0) &lt;= rmap_registers_wr_i.deb_hk_deb_status.edac_list_uncorr_err;</t>
  </si>
  <si>
    <t xml:space="preserve">      fee_rmap_o.readdata(7 downto 2) &lt;= rmap_registers_wr_i.deb_hk_deb_status.edac_list_corr_err;</t>
  </si>
  <si>
    <t xml:space="preserve">      fee_rmap_o.readdata(0) &lt;= rmap_registers_wr_i.deb_hk_deb_status.wdg;</t>
  </si>
  <si>
    <t xml:space="preserve">      fee_rmap_o.readdata(4) &lt;= rmap_registers_wr_i.deb_hk_deb_status.vdig_aeb_1;</t>
  </si>
  <si>
    <t xml:space="preserve">      fee_rmap_o.readdata(5) &lt;= rmap_registers_wr_i.deb_hk_deb_status.vdig_aeb_2;</t>
  </si>
  <si>
    <t xml:space="preserve">      fee_rmap_o.readdata(6) &lt;= rmap_registers_wr_i.deb_hk_deb_status.vdig_aeb_3;</t>
  </si>
  <si>
    <t xml:space="preserve">      fee_rmap_o.readdata(7) &lt;= rmap_registers_wr_i.deb_hk_deb_status.vdig_aeb_4;</t>
  </si>
  <si>
    <t xml:space="preserve">      fee_rmap_o.readdata(0) &lt;= rmap_registers_wr_i.deb_hk_spw_status.disc_4;</t>
  </si>
  <si>
    <t xml:space="preserve">      fee_rmap_o.readdata(1) &lt;= rmap_registers_wr_i.deb_hk_spw_status.par_4;</t>
  </si>
  <si>
    <t xml:space="preserve">      fee_rmap_o.readdata(2) &lt;= rmap_registers_wr_i.deb_hk_spw_status.esc_4;</t>
  </si>
  <si>
    <t xml:space="preserve">      fee_rmap_o.readdata(3) &lt;= rmap_registers_wr_i.deb_hk_spw_status.fifo_4;</t>
  </si>
  <si>
    <t xml:space="preserve">      fee_rmap_o.readdata(4) &lt;= rmap_registers_wr_i.deb_hk_spw_status.crd_4;</t>
  </si>
  <si>
    <t xml:space="preserve">      fee_rmap_o.readdata(7 downto 5) &lt;= rmap_registers_wr_i.deb_hk_spw_status.state_4;</t>
  </si>
  <si>
    <t xml:space="preserve">      fee_rmap_o.readdata(0) &lt;= rmap_registers_wr_i.deb_hk_spw_status.disc_3;</t>
  </si>
  <si>
    <t xml:space="preserve">      fee_rmap_o.readdata(1) &lt;= rmap_registers_wr_i.deb_hk_spw_status.par_3;</t>
  </si>
  <si>
    <t xml:space="preserve">      fee_rmap_o.readdata(2) &lt;= rmap_registers_wr_i.deb_hk_spw_status.esc_3;</t>
  </si>
  <si>
    <t xml:space="preserve">      fee_rmap_o.readdata(3) &lt;= rmap_registers_wr_i.deb_hk_spw_status.fifo_3;</t>
  </si>
  <si>
    <t xml:space="preserve">      fee_rmap_o.readdata(4) &lt;= rmap_registers_wr_i.deb_hk_spw_status.crd_3;</t>
  </si>
  <si>
    <t xml:space="preserve">      fee_rmap_o.readdata(7 downto 5) &lt;= rmap_registers_wr_i.deb_hk_spw_status.state_3;</t>
  </si>
  <si>
    <t xml:space="preserve">      fee_rmap_o.readdata(0) &lt;= rmap_registers_wr_i.deb_hk_spw_status.disc_2;</t>
  </si>
  <si>
    <t xml:space="preserve">      fee_rmap_o.readdata(1) &lt;= rmap_registers_wr_i.deb_hk_spw_status.par_2;</t>
  </si>
  <si>
    <t xml:space="preserve">      fee_rmap_o.readdata(2) &lt;= rmap_registers_wr_i.deb_hk_spw_status.esc_2;</t>
  </si>
  <si>
    <t xml:space="preserve">      fee_rmap_o.readdata(3) &lt;= rmap_registers_wr_i.deb_hk_spw_status.fifo_2;</t>
  </si>
  <si>
    <t xml:space="preserve">      fee_rmap_o.readdata(4) &lt;= rmap_registers_wr_i.deb_hk_spw_status.crd_2;</t>
  </si>
  <si>
    <t xml:space="preserve">      fee_rmap_o.readdata(7 downto 5) &lt;= rmap_registers_wr_i.deb_hk_spw_status.state_2;</t>
  </si>
  <si>
    <t xml:space="preserve">      fee_rmap_o.readdata(0) &lt;= rmap_registers_wr_i.deb_hk_spw_status.disc_1;</t>
  </si>
  <si>
    <t xml:space="preserve">      fee_rmap_o.readdata(1) &lt;= rmap_registers_wr_i.deb_hk_spw_status.par_1;</t>
  </si>
  <si>
    <t xml:space="preserve">      fee_rmap_o.readdata(2) &lt;= rmap_registers_wr_i.deb_hk_spw_status.esc_1;</t>
  </si>
  <si>
    <t xml:space="preserve">      fee_rmap_o.readdata(3) &lt;= rmap_registers_wr_i.deb_hk_spw_status.fifo_1;</t>
  </si>
  <si>
    <t xml:space="preserve">      fee_rmap_o.readdata(4) &lt;= rmap_registers_wr_i.deb_hk_spw_status.crd_1;</t>
  </si>
  <si>
    <t xml:space="preserve">      fee_rmap_o.readdata(7 downto 5) &lt;= rmap_registers_wr_i.deb_hk_spw_status.state_1;</t>
  </si>
  <si>
    <t xml:space="preserve">      fee_rmap_o.readdata(3 downto 0) &lt;= rmap_registers_wr_i.deb_hk_deb_ahk1.vio(11 downto 8);</t>
  </si>
  <si>
    <t xml:space="preserve">      fee_rmap_o.readdata &lt;= rmap_registers_wr_i.deb_hk_deb_ahk1.vio(7 downto 0);</t>
  </si>
  <si>
    <t xml:space="preserve">      fee_rmap_o.readdata(3 downto 0) &lt;= rmap_registers_wr_i.deb_hk_deb_ahk2.vcor(11 downto 8);</t>
  </si>
  <si>
    <t xml:space="preserve">      fee_rmap_o.readdata &lt;= rmap_registers_wr_i.deb_hk_deb_ahk2.vcor(7 downto 0);</t>
  </si>
  <si>
    <t xml:space="preserve">      fee_rmap_o.readdata(3 downto 0) &lt;= rmap_registers_wr_i.deb_hk_deb_ahk2.vlvd(11 downto 8);</t>
  </si>
  <si>
    <t xml:space="preserve">      fee_rmap_o.readdata &lt;= rmap_registers_wr_i.deb_hk_deb_ahk2.vlvd(7 downto 0);</t>
  </si>
  <si>
    <t>t_rmap_memory_rd_area</t>
  </si>
  <si>
    <t>t_deb_hk_deb_ovf_rd_reg</t>
  </si>
  <si>
    <t>t_deb_hk_spw_status_rd_reg</t>
  </si>
  <si>
    <t>deb_hk_deb_ovf_wr</t>
  </si>
  <si>
    <t>deb_hk_deb_ovf_rd</t>
  </si>
  <si>
    <t>t_deb_hk_deb_ovf_wr_reg</t>
  </si>
  <si>
    <t xml:space="preserve">      fee_rmap_o.readdata(3 downto 2) &lt;= rmap_registers_wr_i.deb_hk_deb_status.wdw_list_cnt_ovf;</t>
  </si>
  <si>
    <t xml:space="preserve">      fee_rmap_o.readdata(0) &lt;= rmap_registers_wr_i.deb_hk_deb_ovf_wr.row_act_list_1;</t>
  </si>
  <si>
    <t xml:space="preserve">      fee_rmap_o.readdata(1) &lt;= rmap_registers_wr_i.deb_hk_deb_ovf_wr.row_act_list_2;</t>
  </si>
  <si>
    <t xml:space="preserve">      fee_rmap_o.readdata(2) &lt;= rmap_registers_wr_i.deb_hk_deb_ovf_wr.row_act_list_3;</t>
  </si>
  <si>
    <t xml:space="preserve">      fee_rmap_o.readdata(3) &lt;= rmap_registers_wr_i.deb_hk_deb_ovf_wr.row_act_list_4;</t>
  </si>
  <si>
    <t xml:space="preserve">      fee_rmap_o.readdata(4) &lt;= rmap_registers_wr_i.deb_hk_deb_ovf_wr.row_act_list_5;</t>
  </si>
  <si>
    <t xml:space="preserve">      fee_rmap_o.readdata(5) &lt;= rmap_registers_wr_i.deb_hk_deb_ovf_wr.row_act_list_6;</t>
  </si>
  <si>
    <t xml:space="preserve">      fee_rmap_o.readdata(6) &lt;= rmap_registers_wr_i.deb_hk_deb_ovf_wr.row_act_list_7;</t>
  </si>
  <si>
    <t xml:space="preserve">      fee_rmap_o.readdata(7) &lt;= rmap_registers_wr_i.deb_hk_deb_ovf_wr.row_act_list_8;</t>
  </si>
  <si>
    <t xml:space="preserve">      fee_rmap_o.readdata(0) &lt;= rmap_registers_wr_i.deb_hk_deb_ovf_rd.outbuff_1;</t>
  </si>
  <si>
    <t xml:space="preserve">      fee_rmap_o.readdata(1) &lt;= rmap_registers_wr_i.deb_hk_deb_ovf_rd.outbuff_2;</t>
  </si>
  <si>
    <t xml:space="preserve">      fee_rmap_o.readdata(2) &lt;= rmap_registers_wr_i.deb_hk_deb_ovf_rd.outbuff_3;</t>
  </si>
  <si>
    <t xml:space="preserve">      fee_rmap_o.readdata(3) &lt;= rmap_registers_wr_i.deb_hk_deb_ovf_rd.outbuff_4;</t>
  </si>
  <si>
    <t xml:space="preserve">      fee_rmap_o.readdata(4) &lt;= rmap_registers_wr_i.deb_hk_deb_ovf_rd.outbuff_5;</t>
  </si>
  <si>
    <t xml:space="preserve">      fee_rmap_o.readdata(5) &lt;= rmap_registers_wr_i.deb_hk_deb_ovf_rd.outbuff_6;</t>
  </si>
  <si>
    <t xml:space="preserve">      fee_rmap_o.readdata(6) &lt;= rmap_registers_wr_i.deb_hk_deb_ovf_rd.outbuff_7;</t>
  </si>
  <si>
    <t xml:space="preserve">      fee_rmap_o.readdata(7) &lt;= rmap_registers_wr_i.deb_hk_deb_ovf_rd.outbuff_8;</t>
  </si>
  <si>
    <t xml:space="preserve">      fee_rmap_o.readdata(0) &lt;= rmap_registers_wr_i.deb_hk_deb_ovf_rd.rmap_1;</t>
  </si>
  <si>
    <t xml:space="preserve">      fee_rmap_o.readdata(2) &lt;= rmap_registers_wr_i.deb_hk_deb_ovf_rd.rmap_2;</t>
  </si>
  <si>
    <t xml:space="preserve">      fee_rmap_o.readdata(4) &lt;= rmap_registers_wr_i.deb_hk_deb_ovf_rd.rmap_3;</t>
  </si>
  <si>
    <t xml:space="preserve">      fee_rmap_o.readdata(6) &lt;= rmap_registers_wr_i.deb_hk_deb_ovf_rd.rmap_4;</t>
  </si>
  <si>
    <t>FOFF, "LOCK1", "LOCK0", "LOCKW1", "LOCKW0", "C1", "C0" Fields</t>
  </si>
  <si>
    <t>"0111111"</t>
  </si>
  <si>
    <t>"HOLD", "RESET", "RESHOL", "PD", "Y4MUX", "Y3MUX", "Y2MUX", "Y1MUX", "Y0MUX", "FB_MUX", "PFD", "CP_current", "PRECP", "CP_DIR", "C1", "C0" Fields</t>
  </si>
  <si>
    <t>x"D00500F2"</t>
  </si>
  <si>
    <t>x"028002FD"</t>
  </si>
  <si>
    <t>90DIV8, "90DIV4", "ADLOCK", "SXOIREF", "SREF", "Output_Y4_Mode", "Output_Y3_Mode", "Output_Y2_Mode", "Output_Y1_Mode", "Output_Y0_Mode", "OUTSEL4", "OUTSEL3", "OUTSEL2", "OUTSEL1", "OUTSEL0", "C1", "C0" Fields</t>
  </si>
  <si>
    <t>REFDEC, "MANAUT", "DLYN", "DLYM", "N", "M", "C1", "C0" Fields</t>
  </si>
  <si>
    <t>x"38001000"</t>
  </si>
  <si>
    <t xml:space="preserve">      -- DEB Critical Configuration Area Register "DTC_PLL_REG_0" : FOFF, "LOCK1", "LOCK0", "LOCKW1", "LOCKW0", "C1", "C0" Fields</t>
  </si>
  <si>
    <t xml:space="preserve">      -- DEB Critical Configuration Area Register "DTC_PLL_REG_1" : "HOLD", "RESET", "RESHOL", "PD", "Y4MUX", "Y3MUX", "Y2MUX", "Y1MUX", "Y0MUX", "FB_MUX", "PFD", "CP_current", "PRECP", "CP_DIR", "C1", "C0" Fields</t>
  </si>
  <si>
    <t xml:space="preserve">      -- DEB Critical Configuration Area Register "DTC_PLL_REG_2" : 90DIV8, "90DIV4", "ADLOCK", "SXOIREF", "SREF", "Output_Y4_Mode", "Output_Y3_Mode", "Output_Y2_Mode", "Output_Y1_Mode", "Output_Y0_Mode", "OUTSEL4", "OUTSEL3", "OUTSEL2", "OUTSEL1", "OUTSEL0", "C1", "C0" Fields</t>
  </si>
  <si>
    <t xml:space="preserve">      -- DEB Critical Configuration Area Register "DTC_PLL_REG_3" : REFDEC, "MANAUT", "DLYN", "DLYM", "N", "M", "C1", "C0" Fields</t>
  </si>
  <si>
    <t>others_0</t>
  </si>
  <si>
    <t xml:space="preserve">      fee_rmap_o.readdata(6 downto 0) &lt;= rmap_registers_wr_i.deb_crit_cfg_dtc_pll_reg_0.others_0;</t>
  </si>
  <si>
    <t xml:space="preserve">      fee_rmap_o.readdata &lt;= rmap_registers_wr_i.deb_crit_cfg_dtc_pll_reg_1.others_0(31 downto 24);</t>
  </si>
  <si>
    <t xml:space="preserve">      fee_rmap_o.readdata &lt;= rmap_registers_wr_i.deb_crit_cfg_dtc_pll_reg_1.others_0(23 downto 16);</t>
  </si>
  <si>
    <t xml:space="preserve">      fee_rmap_o.readdata &lt;= rmap_registers_wr_i.deb_crit_cfg_dtc_pll_reg_1.others_0(15 downto 8);</t>
  </si>
  <si>
    <t xml:space="preserve">      fee_rmap_o.readdata &lt;= rmap_registers_wr_i.deb_crit_cfg_dtc_pll_reg_1.others_0(7 downto 0);</t>
  </si>
  <si>
    <t xml:space="preserve">      fee_rmap_o.readdata &lt;= rmap_registers_wr_i.deb_crit_cfg_dtc_pll_reg_2.others_0(31 downto 24);</t>
  </si>
  <si>
    <t xml:space="preserve">      fee_rmap_o.readdata &lt;= rmap_registers_wr_i.deb_crit_cfg_dtc_pll_reg_2.others_0(23 downto 16);</t>
  </si>
  <si>
    <t xml:space="preserve">      fee_rmap_o.readdata &lt;= rmap_registers_wr_i.deb_crit_cfg_dtc_pll_reg_2.others_0(15 downto 8);</t>
  </si>
  <si>
    <t xml:space="preserve">      fee_rmap_o.readdata &lt;= rmap_registers_wr_i.deb_crit_cfg_dtc_pll_reg_2.others_0(7 downto 0);</t>
  </si>
  <si>
    <t xml:space="preserve">      fee_rmap_o.readdata &lt;= rmap_registers_wr_i.deb_crit_cfg_dtc_pll_reg_3.others_0(31 downto 24);</t>
  </si>
  <si>
    <t xml:space="preserve">      fee_rmap_o.readdata &lt;= rmap_registers_wr_i.deb_crit_cfg_dtc_pll_reg_3.others_0(23 downto 16);</t>
  </si>
  <si>
    <t xml:space="preserve">      fee_rmap_o.readdata &lt;= rmap_registers_wr_i.deb_crit_cfg_dtc_pll_reg_3.others_0(15 downto 8);</t>
  </si>
  <si>
    <t xml:space="preserve">      fee_rmap_o.readdata &lt;= rmap_registers_wr_i.deb_crit_cfg_dtc_pll_reg_3.others_0(7 downto 0);</t>
  </si>
  <si>
    <t xml:space="preserve">      rmap_registers_wr_o.deb_crit_cfg_dtc_pll_reg_0.others_0 &lt;= fee_rmap_i.writedata(6 downto 0);</t>
  </si>
  <si>
    <t xml:space="preserve">      rmap_registers_wr_o.deb_crit_cfg_dtc_pll_reg_1.others_0(31 downto 24) &lt;= fee_rmap_i.writedata;</t>
  </si>
  <si>
    <t xml:space="preserve">      rmap_registers_wr_o.deb_crit_cfg_dtc_pll_reg_1.others_0(23 downto 16) &lt;= fee_rmap_i.writedata;</t>
  </si>
  <si>
    <t xml:space="preserve">      rmap_registers_wr_o.deb_crit_cfg_dtc_pll_reg_1.others_0(15 downto 8) &lt;= fee_rmap_i.writedata;</t>
  </si>
  <si>
    <t xml:space="preserve">      rmap_registers_wr_o.deb_crit_cfg_dtc_pll_reg_1.others_0(7 downto 0) &lt;= fee_rmap_i.writedata;</t>
  </si>
  <si>
    <t xml:space="preserve">      rmap_registers_wr_o.deb_crit_cfg_dtc_pll_reg_2.others_0(31 downto 24) &lt;= fee_rmap_i.writedata;</t>
  </si>
  <si>
    <t xml:space="preserve">      rmap_registers_wr_o.deb_crit_cfg_dtc_pll_reg_2.others_0(23 downto 16) &lt;= fee_rmap_i.writedata;</t>
  </si>
  <si>
    <t xml:space="preserve">      rmap_registers_wr_o.deb_crit_cfg_dtc_pll_reg_2.others_0(15 downto 8) &lt;= fee_rmap_i.writedata;</t>
  </si>
  <si>
    <t xml:space="preserve">      rmap_registers_wr_o.deb_crit_cfg_dtc_pll_reg_2.others_0(7 downto 0) &lt;= fee_rmap_i.writedata;</t>
  </si>
  <si>
    <t xml:space="preserve">      rmap_registers_wr_o.deb_crit_cfg_dtc_pll_reg_3.others_0(31 downto 24) &lt;= fee_rmap_i.writedata;</t>
  </si>
  <si>
    <t xml:space="preserve">      rmap_registers_wr_o.deb_crit_cfg_dtc_pll_reg_3.others_0(23 downto 16) &lt;= fee_rmap_i.writedata;</t>
  </si>
  <si>
    <t xml:space="preserve">      rmap_registers_wr_o.deb_crit_cfg_dtc_pll_reg_3.others_0(15 downto 8) &lt;= fee_rmap_i.writedata;</t>
  </si>
  <si>
    <t xml:space="preserve">      rmap_registers_wr_o.deb_crit_cfg_dtc_pll_reg_3.others_0(7 downto 0) &lt;= fee_rmap_i.writedata;</t>
  </si>
  <si>
    <t>DEB General Configuration Area Register "DTC_OVS_DEB"</t>
  </si>
  <si>
    <t>DEB General Configuration Area Register "DTC_SIZ_DEB"</t>
  </si>
  <si>
    <t>nb_lin_deb</t>
  </si>
  <si>
    <t>nb_pix_deb</t>
  </si>
  <si>
    <t>ovs_lin_deb</t>
  </si>
  <si>
    <t>"0000000"</t>
  </si>
  <si>
    <t>"STATUS_AEB4" Field</t>
  </si>
  <si>
    <t>"STATUS_AEB3" Field</t>
  </si>
  <si>
    <t>"STATUS_AEB2" Field</t>
  </si>
  <si>
    <t>"STATUS_AEB1" Field</t>
  </si>
  <si>
    <t>status_aeb4</t>
  </si>
  <si>
    <t>status_aeb3</t>
  </si>
  <si>
    <t>status_aeb2</t>
  </si>
  <si>
    <t>status_aeb1</t>
  </si>
  <si>
    <t>"AEB_IDX4" Field</t>
  </si>
  <si>
    <t>aeb_idx4</t>
  </si>
  <si>
    <t>"NB_PLLPERIOD", "PLL_REF", "PLL_VCXO", "PLL_LOCK" Fields</t>
  </si>
  <si>
    <t xml:space="preserve">      fee_rmap_o.readdata(0) &lt;= rmap_registers_wr_i.deb_crit_cfg_dtc_aeb_onoff.aeb_idx1;</t>
  </si>
  <si>
    <t xml:space="preserve">      fee_rmap_o.readdata(1) &lt;= rmap_registers_wr_i.deb_crit_cfg_dtc_aeb_onoff.aeb_idx2;</t>
  </si>
  <si>
    <t xml:space="preserve">      fee_rmap_o.readdata(2) &lt;= rmap_registers_wr_i.deb_crit_cfg_dtc_aeb_onoff.aeb_idx3;</t>
  </si>
  <si>
    <t xml:space="preserve">      -- DEB Critical Configuration Area Register "DTC_AEB_ONOFF" : "AEB_IDX4" Field</t>
  </si>
  <si>
    <t xml:space="preserve">      fee_rmap_o.readdata(3) &lt;= rmap_registers_wr_i.deb_crit_cfg_dtc_aeb_onoff.aeb_idx4;</t>
  </si>
  <si>
    <t xml:space="preserve">      -- DEB General Configuration Area Register "DTC_OVS_DEB" : "OVS_LIN_PAT" Field</t>
  </si>
  <si>
    <t xml:space="preserve">      fee_rmap_o.readdata(3 downto 0) &lt;= rmap_registers_wr_i.deb_gen_cfg_dtc_ovs_pat.ovs_lin_deb;</t>
  </si>
  <si>
    <t xml:space="preserve">      -- DEB General Configuration Area Register "DTC_SIZ_DEB" : "NB_LIN_PAT" Field</t>
  </si>
  <si>
    <t xml:space="preserve">      fee_rmap_o.readdata(5 downto 0) &lt;= rmap_registers_wr_i.deb_gen_cfg_dtc_siz_pat.nb_lin_deb(13 downto 8);</t>
  </si>
  <si>
    <t xml:space="preserve">      fee_rmap_o.readdata &lt;= rmap_registers_wr_i.deb_gen_cfg_dtc_siz_pat.nb_lin_deb(7 downto 0);</t>
  </si>
  <si>
    <t xml:space="preserve">      -- DEB General Configuration Area Register "DTC_SIZ_DEB" : "NB_PIX_PAT" Field</t>
  </si>
  <si>
    <t xml:space="preserve">      fee_rmap_o.readdata(4 downto 0) &lt;= rmap_registers_wr_i.deb_gen_cfg_dtc_siz_pat.nb_pix_deb(12 downto 8);</t>
  </si>
  <si>
    <t xml:space="preserve">      fee_rmap_o.readdata &lt;= rmap_registers_wr_i.deb_gen_cfg_dtc_siz_pat.nb_pix_deb(7 downto 0);</t>
  </si>
  <si>
    <t xml:space="preserve">      -- DEB Housekeeping Area Register "DEB_STATUS" : "NB_PLLPERIOD", "PLL_REF", "PLL_VCXO", "PLL_LOCK" Fields</t>
  </si>
  <si>
    <t xml:space="preserve">      fee_rmap_o.readdata(6 downto 0) &lt;= rmap_registers_wr_i.deb_hk_deb_status.others_0;</t>
  </si>
  <si>
    <t xml:space="preserve">      -- DEB Housekeeping Area Register "DEB_AHK1" : "DEB_TEMP" Field</t>
  </si>
  <si>
    <t xml:space="preserve">      fee_rmap_o.readdata(3 downto 0) &lt;= rmap_registers_wr_i.deb_hk_deb_ahk1.deb_temp(11 downto 8);</t>
  </si>
  <si>
    <t xml:space="preserve">      fee_rmap_o.readdata &lt;= rmap_registers_wr_i.deb_hk_deb_ahk1.deb_temp(7 downto 0);</t>
  </si>
  <si>
    <t xml:space="preserve">  when (x"00001014") =&gt;</t>
  </si>
  <si>
    <t xml:space="preserve">      -- DEB Housekeeping Area Register "DEB_AHK3" : "STATUS_AEB4" Field</t>
  </si>
  <si>
    <t xml:space="preserve">      fee_rmap_o.readdata &lt;= rmap_registers_wr_i.deb_hk_deb_ahk3.status_aeb4;</t>
  </si>
  <si>
    <t xml:space="preserve">  when (x"00001015") =&gt;</t>
  </si>
  <si>
    <t xml:space="preserve">      -- DEB Housekeeping Area Register "DEB_AHK3" : "STATUS_AEB3" Field</t>
  </si>
  <si>
    <t xml:space="preserve">      fee_rmap_o.readdata &lt;= rmap_registers_wr_i.deb_hk_deb_ahk3.status_aeb3;</t>
  </si>
  <si>
    <t xml:space="preserve">      -- DEB Housekeeping Area Register "DEB_AHK3" : "STATUS_AEB2" Field</t>
  </si>
  <si>
    <t xml:space="preserve">      fee_rmap_o.readdata &lt;= rmap_registers_wr_i.deb_hk_deb_ahk3.status_aeb2;</t>
  </si>
  <si>
    <t xml:space="preserve">      -- DEB Housekeeping Area Register "DEB_AHK3" : "STATUS_AEB1" Field</t>
  </si>
  <si>
    <t xml:space="preserve">      fee_rmap_o.readdata &lt;= rmap_registers_wr_i.deb_hk_deb_ahk3.status_aeb1;</t>
  </si>
  <si>
    <t xml:space="preserve">      rmap_registers_wr_o.deb_crit_cfg_dtc_aeb_onoff.aeb_idx1 &lt;= fee_rmap_i.writedata(0);</t>
  </si>
  <si>
    <t xml:space="preserve">      rmap_registers_wr_o.deb_crit_cfg_dtc_aeb_onoff.aeb_idx2 &lt;= fee_rmap_i.writedata(1);</t>
  </si>
  <si>
    <t xml:space="preserve">      rmap_registers_wr_o.deb_crit_cfg_dtc_aeb_onoff.aeb_idx3 &lt;= fee_rmap_i.writedata(2);</t>
  </si>
  <si>
    <t xml:space="preserve">      rmap_registers_wr_o.deb_crit_cfg_dtc_aeb_onoff.aeb_idx4 &lt;= fee_rmap_i.writedata(3);</t>
  </si>
  <si>
    <t xml:space="preserve">      rmap_registers_wr_o.deb_gen_cfg_dtc_ovs_pat.ovs_lin_deb &lt;= fee_rmap_i.writedata(3 downto 0);</t>
  </si>
  <si>
    <t xml:space="preserve">      rmap_registers_wr_o.deb_gen_cfg_dtc_siz_pat.nb_lin_deb(13 downto 8) &lt;= fee_rmap_i.writedata(5 downto 0);</t>
  </si>
  <si>
    <t xml:space="preserve">      rmap_registers_wr_o.deb_gen_cfg_dtc_siz_pat.nb_lin_deb(7 downto 0) &lt;= fee_rmap_i.writedata;</t>
  </si>
  <si>
    <t xml:space="preserve">      rmap_registers_wr_o.deb_gen_cfg_dtc_siz_pat.nb_pix_deb(12 downto 8) &lt;= fee_rmap_i.writedata(4 downto 0);</t>
  </si>
  <si>
    <t xml:space="preserve">      rmap_registers_wr_o.deb_gen_cfg_dtc_siz_pat.nb_pix_deb(7 downto 0) &lt;= fee_rmap_i.writedata;</t>
  </si>
  <si>
    <t>"OVS_LIN_DEB" Field</t>
  </si>
  <si>
    <t>"NB_LIN_DEB" Field</t>
  </si>
  <si>
    <t>"NB_PIX_DEB" 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</si>
</sst>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quotePrefix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2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3" bestFit="1" customWidth="1"/>
    <col min="3" max="3" width="30.28515625" style="3" bestFit="1" customWidth="1"/>
    <col min="4" max="4" width="6.28515625" style="3" bestFit="1" customWidth="1"/>
    <col min="5" max="5" width="24.28515625" style="3" bestFit="1" customWidth="1"/>
    <col min="6" max="6" width="28.42578125" style="3" bestFit="1" customWidth="1"/>
    <col min="7" max="7" width="37.5703125" style="3" bestFit="1" customWidth="1"/>
    <col min="8" max="8" width="19.42578125" style="3" bestFit="1" customWidth="1"/>
    <col min="9" max="9" width="10.140625" style="3" bestFit="1" customWidth="1"/>
    <col min="10" max="10" width="9.42578125" style="3" bestFit="1" customWidth="1"/>
    <col min="11" max="11" width="12.85546875" style="3" bestFit="1" customWidth="1"/>
    <col min="12" max="12" width="12" style="3" bestFit="1" customWidth="1"/>
    <col min="13" max="13" width="16.7109375" style="3" bestFit="1" customWidth="1"/>
    <col min="14" max="14" width="16.85546875" style="3" bestFit="1" customWidth="1"/>
    <col min="15" max="15" width="18.140625" style="3" bestFit="1" customWidth="1"/>
    <col min="16" max="16" width="17.7109375" style="3" bestFit="1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13.5703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80</v>
      </c>
      <c r="O2" s="15" t="s">
        <v>74</v>
      </c>
      <c r="P2" s="15" t="s">
        <v>75</v>
      </c>
      <c r="Q2" s="21" t="s">
        <v>78</v>
      </c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 t="s">
        <v>79</v>
      </c>
      <c r="AX2" s="21"/>
      <c r="AY2" s="21"/>
      <c r="AZ2" s="21"/>
      <c r="BA2" s="21" t="s">
        <v>54</v>
      </c>
      <c r="BB2" s="21"/>
      <c r="BC2" s="21"/>
      <c r="BD2" s="21"/>
      <c r="BE2" s="21" t="s">
        <v>76</v>
      </c>
      <c r="BF2" s="21"/>
      <c r="BG2" s="21"/>
      <c r="BH2" s="21"/>
      <c r="BI2" s="21" t="s">
        <v>85</v>
      </c>
      <c r="BJ2" s="21"/>
      <c r="BK2" s="21"/>
      <c r="BL2" s="21"/>
      <c r="BM2" s="21" t="s">
        <v>77</v>
      </c>
      <c r="BN2" s="21"/>
      <c r="BO2" s="21"/>
      <c r="BP2" s="21"/>
      <c r="BQ2" s="21" t="s">
        <v>13</v>
      </c>
      <c r="BR2" s="21"/>
      <c r="BS2" s="21"/>
      <c r="BT2" s="21"/>
      <c r="BU2" s="10" t="s">
        <v>58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 t="shared" ref="BE3:BH4" si="0">IF(BA3="","",DEC2HEX(BA3,8))</f>
        <v>00000000</v>
      </c>
      <c r="BF3" s="18" t="str">
        <f t="shared" si="0"/>
        <v>00000001</v>
      </c>
      <c r="BG3" s="18" t="str">
        <f t="shared" si="0"/>
        <v>00000002</v>
      </c>
      <c r="BH3" s="18" t="str">
        <f t="shared" si="0"/>
        <v>00000003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81</v>
      </c>
      <c r="BN3" s="18" t="s">
        <v>82</v>
      </c>
      <c r="BO3" s="18" t="s">
        <v>83</v>
      </c>
      <c r="BP3" s="18" t="s">
        <v>84</v>
      </c>
      <c r="BQ3" s="18" t="s">
        <v>81</v>
      </c>
      <c r="BR3" s="18" t="s">
        <v>82</v>
      </c>
      <c r="BS3" s="18" t="s">
        <v>83</v>
      </c>
      <c r="BT3" s="18" t="s">
        <v>84</v>
      </c>
    </row>
    <row r="4" spans="1:73" x14ac:dyDescent="0.25">
      <c r="A4" s="16"/>
      <c r="B4" s="3" t="s">
        <v>119</v>
      </c>
      <c r="C4" s="22" t="s">
        <v>750</v>
      </c>
      <c r="D4" s="3" t="s">
        <v>1</v>
      </c>
      <c r="E4" s="3" t="s">
        <v>114</v>
      </c>
      <c r="F4" s="3" t="s">
        <v>121</v>
      </c>
      <c r="G4" s="3" t="s">
        <v>353</v>
      </c>
      <c r="H4" s="22" t="s">
        <v>751</v>
      </c>
      <c r="I4" s="3" t="s">
        <v>24</v>
      </c>
      <c r="J4" s="3">
        <v>1</v>
      </c>
      <c r="K4" s="3" t="s">
        <v>57</v>
      </c>
      <c r="L4" s="3" t="s">
        <v>23</v>
      </c>
      <c r="M4" s="3">
        <v>0</v>
      </c>
      <c r="N4" s="3" t="str">
        <f t="shared" ref="N4:N10" si="1">DEC2HEX($M4,8)</f>
        <v>00000000</v>
      </c>
      <c r="O4" s="3">
        <v>3</v>
      </c>
      <c r="P4" s="3">
        <v>3</v>
      </c>
      <c r="Q4" s="3" t="str">
        <f>IF(AND($O4&gt;=Q$3,Q$3&gt;=$P4),"X","")</f>
        <v/>
      </c>
      <c r="R4" s="3" t="str">
        <f t="shared" ref="R4:AG15" si="2">IF(AND($O4&gt;=R$3,R$3&gt;=$P4),"X","")</f>
        <v/>
      </c>
      <c r="S4" s="3" t="str">
        <f t="shared" si="2"/>
        <v/>
      </c>
      <c r="T4" s="3" t="str">
        <f t="shared" si="2"/>
        <v/>
      </c>
      <c r="U4" s="3" t="str">
        <f t="shared" si="2"/>
        <v/>
      </c>
      <c r="V4" s="3" t="str">
        <f t="shared" si="2"/>
        <v/>
      </c>
      <c r="W4" s="3" t="str">
        <f t="shared" si="2"/>
        <v/>
      </c>
      <c r="X4" s="3" t="str">
        <f t="shared" si="2"/>
        <v/>
      </c>
      <c r="Y4" s="3" t="str">
        <f t="shared" si="2"/>
        <v/>
      </c>
      <c r="Z4" s="3" t="str">
        <f t="shared" si="2"/>
        <v/>
      </c>
      <c r="AA4" s="3" t="str">
        <f t="shared" si="2"/>
        <v/>
      </c>
      <c r="AB4" s="3" t="str">
        <f t="shared" si="2"/>
        <v/>
      </c>
      <c r="AC4" s="3" t="str">
        <f t="shared" si="2"/>
        <v/>
      </c>
      <c r="AD4" s="3" t="str">
        <f t="shared" si="2"/>
        <v/>
      </c>
      <c r="AE4" s="3" t="str">
        <f t="shared" si="2"/>
        <v/>
      </c>
      <c r="AF4" s="3" t="str">
        <f t="shared" si="2"/>
        <v/>
      </c>
      <c r="AG4" s="3" t="str">
        <f t="shared" si="2"/>
        <v/>
      </c>
      <c r="AH4" s="3" t="str">
        <f t="shared" ref="AH4:AV7" si="3">IF(AND($O4&gt;=AH$3,AH$3&gt;=$P4),"X","")</f>
        <v/>
      </c>
      <c r="AI4" s="3" t="str">
        <f t="shared" si="3"/>
        <v/>
      </c>
      <c r="AJ4" s="3" t="str">
        <f t="shared" si="3"/>
        <v/>
      </c>
      <c r="AK4" s="3" t="str">
        <f t="shared" si="3"/>
        <v/>
      </c>
      <c r="AL4" s="3" t="str">
        <f t="shared" si="3"/>
        <v/>
      </c>
      <c r="AM4" s="3" t="str">
        <f t="shared" si="3"/>
        <v/>
      </c>
      <c r="AN4" s="3" t="str">
        <f t="shared" si="3"/>
        <v/>
      </c>
      <c r="AO4" s="3" t="str">
        <f t="shared" si="3"/>
        <v/>
      </c>
      <c r="AP4" s="3" t="str">
        <f t="shared" si="3"/>
        <v/>
      </c>
      <c r="AQ4" s="3" t="str">
        <f t="shared" si="3"/>
        <v/>
      </c>
      <c r="AR4" s="3" t="str">
        <f t="shared" si="3"/>
        <v/>
      </c>
      <c r="AS4" s="3" t="str">
        <f t="shared" si="3"/>
        <v>X</v>
      </c>
      <c r="AT4" s="3" t="str">
        <f t="shared" si="3"/>
        <v/>
      </c>
      <c r="AU4" s="3" t="str">
        <f t="shared" si="3"/>
        <v/>
      </c>
      <c r="AV4" s="3" t="str">
        <f t="shared" si="3"/>
        <v/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/>
      </c>
      <c r="AZ4" s="3" t="str">
        <f>IF(OR($AO4="X",$AP4="X",$AQ4="X",$AR4="X",$AS4="X",$AT4="X",$AU4="X",$AV4="X"),"X","")</f>
        <v>X</v>
      </c>
      <c r="BA4" s="3" t="str">
        <f t="shared" ref="BA4" si="4">IF(AW4="","",$M4*4+BA$3)</f>
        <v/>
      </c>
      <c r="BB4" s="3" t="str">
        <f t="shared" ref="BB4" si="5">IF(AX4="","",$M4*4+BB$3)</f>
        <v/>
      </c>
      <c r="BC4" s="3" t="str">
        <f t="shared" ref="BC4" si="6">IF(AY4="","",$M4*4+BC$3)</f>
        <v/>
      </c>
      <c r="BD4" s="3">
        <f t="shared" ref="BD4" si="7">IF(AZ4="","",$M4*4+BD$3)</f>
        <v>3</v>
      </c>
      <c r="BE4" s="9" t="str">
        <f t="shared" si="0"/>
        <v/>
      </c>
      <c r="BF4" s="9" t="str">
        <f t="shared" si="0"/>
        <v/>
      </c>
      <c r="BG4" s="9" t="str">
        <f t="shared" si="0"/>
        <v/>
      </c>
      <c r="BH4" s="9" t="str">
        <f t="shared" si="0"/>
        <v>00000003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>(3)</v>
      </c>
      <c r="BM4" s="3" t="str">
        <f>IF(AW4="","",$J4-1)</f>
        <v/>
      </c>
      <c r="BN4" s="3" t="str">
        <f t="shared" ref="BN4" si="8">IF(AX4="","",IF(BM4="",$J4-1,BM4-COUNTIF($Q4:$X4,"X")))</f>
        <v/>
      </c>
      <c r="BO4" s="3" t="str">
        <f t="shared" ref="BO4" si="9">IF(AY4="","",IF(BN4="",$J4-1,BN4-COUNTIF($Y4:$AF4,"X")))</f>
        <v/>
      </c>
      <c r="BP4" s="3">
        <f t="shared" ref="BP4" si="10">IF(AZ4="","",IF(BO4="",$J4-1,BO4-COUNTIF($AG4:$AN4,"X")))</f>
        <v>0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/>
      </c>
      <c r="BT4" s="3" t="str">
        <f>IF(AZ4="","",IF((4-COUNTIF($BM4:$BP4,""))=1,"",CONCATENATE("(",BP4,IF(COUNTIF($AO4:$AV4,"X") = 1,"",CONCATENATE(" downto ",BP4-COUNTIF($AO4:$AV4,"X")+1)),")")))</f>
        <v/>
      </c>
    </row>
    <row r="5" spans="1:73" x14ac:dyDescent="0.25">
      <c r="B5" s="3" t="s">
        <v>119</v>
      </c>
      <c r="C5" s="22" t="s">
        <v>120</v>
      </c>
      <c r="D5" s="3" t="s">
        <v>1</v>
      </c>
      <c r="E5" s="3" t="s">
        <v>114</v>
      </c>
      <c r="F5" s="3" t="s">
        <v>121</v>
      </c>
      <c r="G5" s="3" t="s">
        <v>353</v>
      </c>
      <c r="H5" s="22" t="s">
        <v>122</v>
      </c>
      <c r="I5" s="3" t="s">
        <v>24</v>
      </c>
      <c r="J5" s="3">
        <v>1</v>
      </c>
      <c r="K5" s="3" t="s">
        <v>57</v>
      </c>
      <c r="L5" s="3" t="s">
        <v>23</v>
      </c>
      <c r="M5" s="3">
        <v>0</v>
      </c>
      <c r="N5" s="3" t="str">
        <f t="shared" si="1"/>
        <v>00000000</v>
      </c>
      <c r="O5" s="3">
        <v>2</v>
      </c>
      <c r="P5" s="3">
        <v>2</v>
      </c>
      <c r="Q5" s="3" t="str">
        <f t="shared" ref="Q5:AF47" si="11">IF(AND($O5&gt;=Q$3,Q$3&gt;=$P5),"X","")</f>
        <v/>
      </c>
      <c r="R5" s="3" t="str">
        <f t="shared" si="2"/>
        <v/>
      </c>
      <c r="S5" s="3" t="str">
        <f t="shared" si="2"/>
        <v/>
      </c>
      <c r="T5" s="3" t="str">
        <f t="shared" si="2"/>
        <v/>
      </c>
      <c r="U5" s="3" t="str">
        <f t="shared" si="2"/>
        <v/>
      </c>
      <c r="V5" s="3" t="str">
        <f t="shared" si="2"/>
        <v/>
      </c>
      <c r="W5" s="3" t="str">
        <f t="shared" si="2"/>
        <v/>
      </c>
      <c r="X5" s="3" t="str">
        <f t="shared" si="2"/>
        <v/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3" t="str">
        <f t="shared" si="2"/>
        <v/>
      </c>
      <c r="AC5" s="3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3" t="str">
        <f t="shared" si="2"/>
        <v/>
      </c>
      <c r="AH5" s="3" t="str">
        <f t="shared" si="3"/>
        <v/>
      </c>
      <c r="AI5" s="3" t="str">
        <f t="shared" si="3"/>
        <v/>
      </c>
      <c r="AJ5" s="3" t="str">
        <f t="shared" si="3"/>
        <v/>
      </c>
      <c r="AK5" s="3" t="str">
        <f t="shared" si="3"/>
        <v/>
      </c>
      <c r="AL5" s="3" t="str">
        <f t="shared" si="3"/>
        <v/>
      </c>
      <c r="AM5" s="3" t="str">
        <f t="shared" si="3"/>
        <v/>
      </c>
      <c r="AN5" s="3" t="str">
        <f t="shared" si="3"/>
        <v/>
      </c>
      <c r="AO5" s="3" t="str">
        <f t="shared" si="3"/>
        <v/>
      </c>
      <c r="AP5" s="3" t="str">
        <f t="shared" si="3"/>
        <v/>
      </c>
      <c r="AQ5" s="3" t="str">
        <f t="shared" si="3"/>
        <v/>
      </c>
      <c r="AR5" s="3" t="str">
        <f t="shared" si="3"/>
        <v/>
      </c>
      <c r="AS5" s="3" t="str">
        <f t="shared" si="3"/>
        <v/>
      </c>
      <c r="AT5" s="3" t="str">
        <f t="shared" si="3"/>
        <v>X</v>
      </c>
      <c r="AU5" s="3" t="str">
        <f t="shared" si="3"/>
        <v/>
      </c>
      <c r="AV5" s="3" t="str">
        <f t="shared" si="3"/>
        <v/>
      </c>
      <c r="AW5" s="3" t="str">
        <f t="shared" ref="AW5:AW68" si="12">IF(OR($Q5="X",$R5="X",$S5="X",$T5="X",$U5="X",$V5="X",$W5="X",$X5="X"),"X","")</f>
        <v/>
      </c>
      <c r="AX5" s="3" t="str">
        <f t="shared" ref="AX5:AX68" si="13">IF(OR($Y5="X",$Z5="X",$AA5="X",$AB5="X",$AC5="X",$AD5="X",$AE5="X",$AF5="X"),"X","")</f>
        <v/>
      </c>
      <c r="AY5" s="3" t="str">
        <f t="shared" ref="AY5:AY68" si="14">IF(OR($AG5="X",$AH5="X",$AI5="X",$AJ5="X",$AK5="X",$AL5="X",$AM5="X",$AN5="X"),"X","")</f>
        <v/>
      </c>
      <c r="AZ5" s="3" t="str">
        <f t="shared" ref="AZ5:AZ68" si="15">IF(OR($AO5="X",$AP5="X",$AQ5="X",$AR5="X",$AS5="X",$AT5="X",$AU5="X",$AV5="X"),"X","")</f>
        <v>X</v>
      </c>
      <c r="BA5" s="3" t="str">
        <f t="shared" ref="BA5:BA7" si="16">IF(AW5="","",$M5*4+BA$3)</f>
        <v/>
      </c>
      <c r="BB5" s="3" t="str">
        <f t="shared" ref="BB5:BB7" si="17">IF(AX5="","",$M5*4+BB$3)</f>
        <v/>
      </c>
      <c r="BC5" s="3" t="str">
        <f t="shared" ref="BC5:BC7" si="18">IF(AY5="","",$M5*4+BC$3)</f>
        <v/>
      </c>
      <c r="BD5" s="3">
        <f t="shared" ref="BD5:BD7" si="19">IF(AZ5="","",$M5*4+BD$3)</f>
        <v>3</v>
      </c>
      <c r="BE5" s="9" t="str">
        <f t="shared" ref="BE5:BE7" si="20">IF(BA5="","",DEC2HEX(BA5,8))</f>
        <v/>
      </c>
      <c r="BF5" s="9" t="str">
        <f t="shared" ref="BF5:BF7" si="21">IF(BB5="","",DEC2HEX(BB5,8))</f>
        <v/>
      </c>
      <c r="BG5" s="9" t="str">
        <f t="shared" ref="BG5:BG7" si="22">IF(BC5="","",DEC2HEX(BC5,8))</f>
        <v/>
      </c>
      <c r="BH5" s="9" t="str">
        <f t="shared" ref="BH5:BH7" si="23">IF(BD5="","",DEC2HEX(BD5,8))</f>
        <v>00000003</v>
      </c>
      <c r="BI5" s="3" t="str">
        <f t="shared" ref="BI5:BI7" si="24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" si="25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" si="26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" si="27">IF(AZ5="","",IF(COUNTIF($AO5:$AV5,"X")=8,"",CONCATENATE("(",INDEX($AO$3:$AV$3,MATCH("X",$AO5:$AV5,0)),IF(COUNTIF($AO5:$AV5,"X")=1,")",CONCATENATE(" downto ",INDEX($AO$3:$AV$3,MATCH("X",$AO5:$AV5,0)+COUNTIF($AO5:$AV5,"X")-1),")")))))</f>
        <v>(2)</v>
      </c>
      <c r="BM5" s="3" t="str">
        <f t="shared" ref="BM5:BM7" si="28">IF(AW5="","",$J5-1)</f>
        <v/>
      </c>
      <c r="BN5" s="3" t="str">
        <f t="shared" ref="BN5:BN7" si="29">IF(AX5="","",IF(BM5="",$J5-1,BM5-COUNTIF($Q5:$X5,"X")))</f>
        <v/>
      </c>
      <c r="BO5" s="3" t="str">
        <f t="shared" ref="BO5:BO7" si="30">IF(AY5="","",IF(BN5="",$J5-1,BN5-COUNTIF($Y5:$AF5,"X")))</f>
        <v/>
      </c>
      <c r="BP5" s="3">
        <f t="shared" ref="BP5:BP7" si="31">IF(AZ5="","",IF(BO5="",$J5-1,BO5-COUNTIF($AG5:$AN5,"X")))</f>
        <v>0</v>
      </c>
      <c r="BQ5" s="3" t="str">
        <f t="shared" ref="BQ5:BQ7" si="32">IF(AW5="","",IF((4-COUNTIF($BM5:$BP5,""))=1,"",CONCATENATE("(",BM5,IF(COUNTIF($Q5:$X5,"X")=1,"",CONCATENATE(" downto ",BM5-COUNTIF($Q5:$X5,"X")+1)),")")))</f>
        <v/>
      </c>
      <c r="BR5" s="3" t="str">
        <f t="shared" ref="BR5:BR7" si="33">IF(AX5="","",IF((4-COUNTIF($BM5:$BP5,""))=1,"",CONCATENATE("(",BN5,IF(COUNTIF($Y5:$AF5,"X")=1,"",CONCATENATE(" downto ",BN5-COUNTIF($Y5:$AF5,"X")+1)),")")))</f>
        <v/>
      </c>
      <c r="BS5" s="3" t="str">
        <f t="shared" ref="BS5:BS7" si="34">IF(AY5="","",IF((4-COUNTIF($BM5:$BP5,""))=1,"",CONCATENATE("(",BO5,IF(COUNTIF($AG5:$AN5,"X")=1,"",CONCATENATE(" downto ",BO5-COUNTIF($AG5:$AN5,"X")+1)),")")))</f>
        <v/>
      </c>
      <c r="BT5" s="3" t="str">
        <f t="shared" ref="BT5:BT7" si="35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119</v>
      </c>
      <c r="C6" s="22" t="s">
        <v>123</v>
      </c>
      <c r="D6" s="3" t="s">
        <v>1</v>
      </c>
      <c r="E6" s="3" t="s">
        <v>114</v>
      </c>
      <c r="F6" s="3" t="s">
        <v>121</v>
      </c>
      <c r="G6" s="3" t="s">
        <v>353</v>
      </c>
      <c r="H6" s="22" t="s">
        <v>124</v>
      </c>
      <c r="I6" s="3" t="s">
        <v>24</v>
      </c>
      <c r="J6" s="3">
        <v>1</v>
      </c>
      <c r="K6" s="3" t="s">
        <v>57</v>
      </c>
      <c r="L6" s="3" t="s">
        <v>23</v>
      </c>
      <c r="M6" s="3">
        <v>0</v>
      </c>
      <c r="N6" s="3" t="str">
        <f t="shared" si="1"/>
        <v>00000000</v>
      </c>
      <c r="O6" s="3">
        <v>1</v>
      </c>
      <c r="P6" s="3">
        <v>1</v>
      </c>
      <c r="Q6" s="3" t="str">
        <f t="shared" si="11"/>
        <v/>
      </c>
      <c r="R6" s="3" t="str">
        <f t="shared" si="2"/>
        <v/>
      </c>
      <c r="S6" s="3" t="str">
        <f t="shared" si="2"/>
        <v/>
      </c>
      <c r="T6" s="3" t="str">
        <f t="shared" si="2"/>
        <v/>
      </c>
      <c r="U6" s="3" t="str">
        <f t="shared" si="2"/>
        <v/>
      </c>
      <c r="V6" s="3" t="str">
        <f t="shared" si="2"/>
        <v/>
      </c>
      <c r="W6" s="3" t="str">
        <f t="shared" si="2"/>
        <v/>
      </c>
      <c r="X6" s="3" t="str">
        <f t="shared" si="2"/>
        <v/>
      </c>
      <c r="Y6" s="3" t="str">
        <f t="shared" si="2"/>
        <v/>
      </c>
      <c r="Z6" s="3" t="str">
        <f t="shared" si="2"/>
        <v/>
      </c>
      <c r="AA6" s="3" t="str">
        <f t="shared" si="2"/>
        <v/>
      </c>
      <c r="AB6" s="3" t="str">
        <f t="shared" si="2"/>
        <v/>
      </c>
      <c r="AC6" s="3" t="str">
        <f t="shared" si="2"/>
        <v/>
      </c>
      <c r="AD6" s="3" t="str">
        <f t="shared" si="2"/>
        <v/>
      </c>
      <c r="AE6" s="3" t="str">
        <f t="shared" si="2"/>
        <v/>
      </c>
      <c r="AF6" s="3" t="str">
        <f t="shared" si="2"/>
        <v/>
      </c>
      <c r="AG6" s="3" t="str">
        <f t="shared" si="2"/>
        <v/>
      </c>
      <c r="AH6" s="3" t="str">
        <f t="shared" si="3"/>
        <v/>
      </c>
      <c r="AI6" s="3" t="str">
        <f t="shared" si="3"/>
        <v/>
      </c>
      <c r="AJ6" s="3" t="str">
        <f t="shared" si="3"/>
        <v/>
      </c>
      <c r="AK6" s="3" t="str">
        <f t="shared" si="3"/>
        <v/>
      </c>
      <c r="AL6" s="3" t="str">
        <f t="shared" si="3"/>
        <v/>
      </c>
      <c r="AM6" s="3" t="str">
        <f t="shared" si="3"/>
        <v/>
      </c>
      <c r="AN6" s="3" t="str">
        <f t="shared" si="3"/>
        <v/>
      </c>
      <c r="AO6" s="3" t="str">
        <f t="shared" si="3"/>
        <v/>
      </c>
      <c r="AP6" s="3" t="str">
        <f t="shared" si="3"/>
        <v/>
      </c>
      <c r="AQ6" s="3" t="str">
        <f t="shared" si="3"/>
        <v/>
      </c>
      <c r="AR6" s="3" t="str">
        <f t="shared" si="3"/>
        <v/>
      </c>
      <c r="AS6" s="3" t="str">
        <f t="shared" si="3"/>
        <v/>
      </c>
      <c r="AT6" s="3" t="str">
        <f t="shared" si="3"/>
        <v/>
      </c>
      <c r="AU6" s="3" t="str">
        <f t="shared" si="3"/>
        <v>X</v>
      </c>
      <c r="AV6" s="3" t="str">
        <f t="shared" si="3"/>
        <v/>
      </c>
      <c r="AW6" s="3" t="str">
        <f t="shared" si="12"/>
        <v/>
      </c>
      <c r="AX6" s="3" t="str">
        <f t="shared" si="13"/>
        <v/>
      </c>
      <c r="AY6" s="3" t="str">
        <f t="shared" si="14"/>
        <v/>
      </c>
      <c r="AZ6" s="3" t="str">
        <f t="shared" si="15"/>
        <v>X</v>
      </c>
      <c r="BA6" s="3" t="str">
        <f t="shared" si="16"/>
        <v/>
      </c>
      <c r="BB6" s="3" t="str">
        <f t="shared" si="17"/>
        <v/>
      </c>
      <c r="BC6" s="3" t="str">
        <f t="shared" si="18"/>
        <v/>
      </c>
      <c r="BD6" s="3">
        <f t="shared" si="19"/>
        <v>3</v>
      </c>
      <c r="BE6" s="9" t="str">
        <f t="shared" si="20"/>
        <v/>
      </c>
      <c r="BF6" s="9" t="str">
        <f t="shared" si="21"/>
        <v/>
      </c>
      <c r="BG6" s="9" t="str">
        <f t="shared" si="22"/>
        <v/>
      </c>
      <c r="BH6" s="9" t="str">
        <f t="shared" si="23"/>
        <v>00000003</v>
      </c>
      <c r="BI6" s="3" t="str">
        <f t="shared" si="24"/>
        <v/>
      </c>
      <c r="BJ6" s="3" t="str">
        <f t="shared" si="25"/>
        <v/>
      </c>
      <c r="BK6" s="3" t="str">
        <f t="shared" si="26"/>
        <v/>
      </c>
      <c r="BL6" s="3" t="str">
        <f t="shared" si="27"/>
        <v>(1)</v>
      </c>
      <c r="BM6" s="3" t="str">
        <f t="shared" si="28"/>
        <v/>
      </c>
      <c r="BN6" s="3" t="str">
        <f t="shared" si="29"/>
        <v/>
      </c>
      <c r="BO6" s="3" t="str">
        <f t="shared" si="30"/>
        <v/>
      </c>
      <c r="BP6" s="3">
        <f t="shared" si="31"/>
        <v>0</v>
      </c>
      <c r="BQ6" s="3" t="str">
        <f t="shared" si="32"/>
        <v/>
      </c>
      <c r="BR6" s="3" t="str">
        <f t="shared" si="33"/>
        <v/>
      </c>
      <c r="BS6" s="3" t="str">
        <f t="shared" si="34"/>
        <v/>
      </c>
      <c r="BT6" s="3" t="str">
        <f t="shared" si="35"/>
        <v/>
      </c>
    </row>
    <row r="7" spans="1:73" x14ac:dyDescent="0.25">
      <c r="B7" s="3" t="s">
        <v>119</v>
      </c>
      <c r="C7" s="22" t="s">
        <v>125</v>
      </c>
      <c r="D7" s="3" t="s">
        <v>1</v>
      </c>
      <c r="E7" s="3" t="s">
        <v>114</v>
      </c>
      <c r="F7" s="3" t="s">
        <v>121</v>
      </c>
      <c r="G7" s="3" t="s">
        <v>353</v>
      </c>
      <c r="H7" s="22" t="s">
        <v>126</v>
      </c>
      <c r="I7" s="3" t="s">
        <v>24</v>
      </c>
      <c r="J7" s="3">
        <v>1</v>
      </c>
      <c r="K7" s="3" t="s">
        <v>57</v>
      </c>
      <c r="L7" s="3" t="s">
        <v>23</v>
      </c>
      <c r="M7" s="3">
        <v>0</v>
      </c>
      <c r="N7" s="3" t="str">
        <f t="shared" si="1"/>
        <v>00000000</v>
      </c>
      <c r="O7" s="3">
        <v>0</v>
      </c>
      <c r="P7" s="3">
        <v>0</v>
      </c>
      <c r="Q7" s="3" t="str">
        <f t="shared" si="11"/>
        <v/>
      </c>
      <c r="R7" s="3" t="str">
        <f t="shared" si="2"/>
        <v/>
      </c>
      <c r="S7" s="3" t="str">
        <f t="shared" si="2"/>
        <v/>
      </c>
      <c r="T7" s="3" t="str">
        <f t="shared" si="2"/>
        <v/>
      </c>
      <c r="U7" s="3" t="str">
        <f t="shared" si="2"/>
        <v/>
      </c>
      <c r="V7" s="3" t="str">
        <f t="shared" si="2"/>
        <v/>
      </c>
      <c r="W7" s="3" t="str">
        <f t="shared" si="2"/>
        <v/>
      </c>
      <c r="X7" s="3" t="str">
        <f t="shared" si="2"/>
        <v/>
      </c>
      <c r="Y7" s="3" t="str">
        <f t="shared" si="2"/>
        <v/>
      </c>
      <c r="Z7" s="3" t="str">
        <f t="shared" si="2"/>
        <v/>
      </c>
      <c r="AA7" s="3" t="str">
        <f t="shared" si="2"/>
        <v/>
      </c>
      <c r="AB7" s="3" t="str">
        <f t="shared" si="2"/>
        <v/>
      </c>
      <c r="AC7" s="3" t="str">
        <f t="shared" si="2"/>
        <v/>
      </c>
      <c r="AD7" s="3" t="str">
        <f t="shared" si="2"/>
        <v/>
      </c>
      <c r="AE7" s="3" t="str">
        <f t="shared" si="2"/>
        <v/>
      </c>
      <c r="AF7" s="3" t="str">
        <f t="shared" si="2"/>
        <v/>
      </c>
      <c r="AG7" s="3" t="str">
        <f t="shared" si="2"/>
        <v/>
      </c>
      <c r="AH7" s="3" t="str">
        <f t="shared" si="3"/>
        <v/>
      </c>
      <c r="AI7" s="3" t="str">
        <f t="shared" si="3"/>
        <v/>
      </c>
      <c r="AJ7" s="3" t="str">
        <f t="shared" si="3"/>
        <v/>
      </c>
      <c r="AK7" s="3" t="str">
        <f t="shared" si="3"/>
        <v/>
      </c>
      <c r="AL7" s="3" t="str">
        <f t="shared" si="3"/>
        <v/>
      </c>
      <c r="AM7" s="3" t="str">
        <f t="shared" si="3"/>
        <v/>
      </c>
      <c r="AN7" s="3" t="str">
        <f t="shared" si="3"/>
        <v/>
      </c>
      <c r="AO7" s="3" t="str">
        <f t="shared" si="3"/>
        <v/>
      </c>
      <c r="AP7" s="3" t="str">
        <f t="shared" si="3"/>
        <v/>
      </c>
      <c r="AQ7" s="3" t="str">
        <f t="shared" si="3"/>
        <v/>
      </c>
      <c r="AR7" s="3" t="str">
        <f t="shared" si="3"/>
        <v/>
      </c>
      <c r="AS7" s="3" t="str">
        <f t="shared" si="3"/>
        <v/>
      </c>
      <c r="AT7" s="3" t="str">
        <f t="shared" si="3"/>
        <v/>
      </c>
      <c r="AU7" s="3" t="str">
        <f t="shared" si="3"/>
        <v/>
      </c>
      <c r="AV7" s="3" t="str">
        <f t="shared" si="3"/>
        <v>X</v>
      </c>
      <c r="AW7" s="3" t="str">
        <f t="shared" si="12"/>
        <v/>
      </c>
      <c r="AX7" s="3" t="str">
        <f t="shared" si="13"/>
        <v/>
      </c>
      <c r="AY7" s="3" t="str">
        <f t="shared" si="14"/>
        <v/>
      </c>
      <c r="AZ7" s="3" t="str">
        <f t="shared" si="15"/>
        <v>X</v>
      </c>
      <c r="BA7" s="3" t="str">
        <f t="shared" si="16"/>
        <v/>
      </c>
      <c r="BB7" s="3" t="str">
        <f t="shared" si="17"/>
        <v/>
      </c>
      <c r="BC7" s="3" t="str">
        <f t="shared" si="18"/>
        <v/>
      </c>
      <c r="BD7" s="3">
        <f t="shared" si="19"/>
        <v>3</v>
      </c>
      <c r="BE7" s="9" t="str">
        <f t="shared" si="20"/>
        <v/>
      </c>
      <c r="BF7" s="9" t="str">
        <f t="shared" si="21"/>
        <v/>
      </c>
      <c r="BG7" s="9" t="str">
        <f t="shared" si="22"/>
        <v/>
      </c>
      <c r="BH7" s="9" t="str">
        <f t="shared" si="23"/>
        <v>00000003</v>
      </c>
      <c r="BI7" s="3" t="str">
        <f t="shared" si="24"/>
        <v/>
      </c>
      <c r="BJ7" s="3" t="str">
        <f t="shared" si="25"/>
        <v/>
      </c>
      <c r="BK7" s="3" t="str">
        <f t="shared" si="26"/>
        <v/>
      </c>
      <c r="BL7" s="3" t="str">
        <f t="shared" si="27"/>
        <v>(0)</v>
      </c>
      <c r="BM7" s="3" t="str">
        <f t="shared" si="28"/>
        <v/>
      </c>
      <c r="BN7" s="3" t="str">
        <f t="shared" si="29"/>
        <v/>
      </c>
      <c r="BO7" s="3" t="str">
        <f t="shared" si="30"/>
        <v/>
      </c>
      <c r="BP7" s="3">
        <f t="shared" si="31"/>
        <v>0</v>
      </c>
      <c r="BQ7" s="3" t="str">
        <f t="shared" si="32"/>
        <v/>
      </c>
      <c r="BR7" s="3" t="str">
        <f t="shared" si="33"/>
        <v/>
      </c>
      <c r="BS7" s="3" t="str">
        <f t="shared" si="34"/>
        <v/>
      </c>
      <c r="BT7" s="3" t="str">
        <f t="shared" si="35"/>
        <v/>
      </c>
    </row>
    <row r="8" spans="1:73" x14ac:dyDescent="0.25">
      <c r="B8" s="3" t="s">
        <v>127</v>
      </c>
      <c r="C8" s="3" t="s">
        <v>128</v>
      </c>
      <c r="D8" s="3" t="s">
        <v>1</v>
      </c>
      <c r="E8" s="3" t="s">
        <v>114</v>
      </c>
      <c r="F8" s="3" t="s">
        <v>129</v>
      </c>
      <c r="G8" s="3" t="s">
        <v>354</v>
      </c>
      <c r="H8" s="20" t="s">
        <v>130</v>
      </c>
      <c r="I8" s="3" t="s">
        <v>24</v>
      </c>
      <c r="J8" s="3">
        <v>1</v>
      </c>
      <c r="K8" s="3" t="s">
        <v>57</v>
      </c>
      <c r="L8" s="3" t="s">
        <v>23</v>
      </c>
      <c r="M8" s="3">
        <v>1</v>
      </c>
      <c r="N8" s="3" t="str">
        <f t="shared" si="1"/>
        <v>00000001</v>
      </c>
      <c r="O8" s="3">
        <v>28</v>
      </c>
      <c r="P8" s="3">
        <v>28</v>
      </c>
      <c r="Q8" s="3" t="str">
        <f t="shared" si="11"/>
        <v/>
      </c>
      <c r="R8" s="3" t="str">
        <f t="shared" si="2"/>
        <v/>
      </c>
      <c r="S8" s="3" t="str">
        <f t="shared" si="2"/>
        <v/>
      </c>
      <c r="T8" s="3" t="str">
        <f t="shared" si="2"/>
        <v>X</v>
      </c>
      <c r="U8" s="3" t="str">
        <f t="shared" si="2"/>
        <v/>
      </c>
      <c r="V8" s="3" t="str">
        <f t="shared" si="2"/>
        <v/>
      </c>
      <c r="W8" s="3" t="str">
        <f t="shared" si="2"/>
        <v/>
      </c>
      <c r="X8" s="3" t="str">
        <f t="shared" si="2"/>
        <v/>
      </c>
      <c r="Y8" s="3" t="str">
        <f t="shared" si="2"/>
        <v/>
      </c>
      <c r="Z8" s="3" t="str">
        <f t="shared" si="2"/>
        <v/>
      </c>
      <c r="AA8" s="3" t="str">
        <f t="shared" si="2"/>
        <v/>
      </c>
      <c r="AB8" s="3" t="str">
        <f t="shared" si="2"/>
        <v/>
      </c>
      <c r="AC8" s="3" t="str">
        <f t="shared" si="2"/>
        <v/>
      </c>
      <c r="AD8" s="3" t="str">
        <f t="shared" si="2"/>
        <v/>
      </c>
      <c r="AE8" s="3" t="str">
        <f t="shared" si="2"/>
        <v/>
      </c>
      <c r="AF8" s="3" t="str">
        <f t="shared" si="2"/>
        <v/>
      </c>
      <c r="AG8" s="3" t="str">
        <f t="shared" si="2"/>
        <v/>
      </c>
      <c r="AH8" s="3" t="str">
        <f t="shared" ref="AH8:AV24" si="36">IF(AND($O8&gt;=AH$3,AH$3&gt;=$P8),"X","")</f>
        <v/>
      </c>
      <c r="AI8" s="3" t="str">
        <f t="shared" si="36"/>
        <v/>
      </c>
      <c r="AJ8" s="3" t="str">
        <f t="shared" si="36"/>
        <v/>
      </c>
      <c r="AK8" s="3" t="str">
        <f t="shared" si="36"/>
        <v/>
      </c>
      <c r="AL8" s="3" t="str">
        <f t="shared" si="36"/>
        <v/>
      </c>
      <c r="AM8" s="3" t="str">
        <f t="shared" si="36"/>
        <v/>
      </c>
      <c r="AN8" s="3" t="str">
        <f t="shared" si="36"/>
        <v/>
      </c>
      <c r="AO8" s="3" t="str">
        <f t="shared" si="36"/>
        <v/>
      </c>
      <c r="AP8" s="3" t="str">
        <f t="shared" si="36"/>
        <v/>
      </c>
      <c r="AQ8" s="3" t="str">
        <f t="shared" si="36"/>
        <v/>
      </c>
      <c r="AR8" s="3" t="str">
        <f t="shared" si="36"/>
        <v/>
      </c>
      <c r="AS8" s="3" t="str">
        <f t="shared" si="36"/>
        <v/>
      </c>
      <c r="AT8" s="3" t="str">
        <f t="shared" si="36"/>
        <v/>
      </c>
      <c r="AU8" s="3" t="str">
        <f t="shared" si="36"/>
        <v/>
      </c>
      <c r="AV8" s="3" t="str">
        <f t="shared" si="36"/>
        <v/>
      </c>
      <c r="AW8" s="3" t="str">
        <f t="shared" si="12"/>
        <v>X</v>
      </c>
      <c r="AX8" s="3" t="str">
        <f t="shared" si="13"/>
        <v/>
      </c>
      <c r="AY8" s="3" t="str">
        <f t="shared" si="14"/>
        <v/>
      </c>
      <c r="AZ8" s="3" t="str">
        <f t="shared" si="15"/>
        <v/>
      </c>
      <c r="BA8" s="3">
        <f t="shared" ref="BA8:BA71" si="37">IF(AW8="","",$M8*4+BA$3)</f>
        <v>4</v>
      </c>
      <c r="BB8" s="3" t="str">
        <f t="shared" ref="BB8:BB71" si="38">IF(AX8="","",$M8*4+BB$3)</f>
        <v/>
      </c>
      <c r="BC8" s="3" t="str">
        <f t="shared" ref="BC8:BC71" si="39">IF(AY8="","",$M8*4+BC$3)</f>
        <v/>
      </c>
      <c r="BD8" s="3" t="str">
        <f t="shared" ref="BD8:BD71" si="40">IF(AZ8="","",$M8*4+BD$3)</f>
        <v/>
      </c>
      <c r="BE8" s="9" t="str">
        <f t="shared" ref="BE8:BE71" si="41">IF(BA8="","",DEC2HEX(BA8,8))</f>
        <v>00000004</v>
      </c>
      <c r="BF8" s="9" t="str">
        <f t="shared" ref="BF8:BF71" si="42">IF(BB8="","",DEC2HEX(BB8,8))</f>
        <v/>
      </c>
      <c r="BG8" s="9" t="str">
        <f t="shared" ref="BG8:BG71" si="43">IF(BC8="","",DEC2HEX(BC8,8))</f>
        <v/>
      </c>
      <c r="BH8" s="9" t="str">
        <f t="shared" ref="BH8:BH71" si="44">IF(BD8="","",DEC2HEX(BD8,8))</f>
        <v/>
      </c>
      <c r="BI8" s="3" t="str">
        <f t="shared" ref="BI8:BI71" si="45">IF(AW8="","",IF(COUNTIF($Q8:$X8,"X")=8,"",CONCATENATE("(",INDEX($Q$3:$X$3,MATCH("X",$Q8:$X8,0))-24,IF(COUNTIF($Q8:$X8,"X")=1,")",CONCATENATE(" downto ",INDEX($Q$3:$X$3,MATCH("X",$Q8:$X8,0)+COUNTIF($Q8:$X8,"X")-1)-24,")")))))</f>
        <v>(4)</v>
      </c>
      <c r="BJ8" s="3" t="str">
        <f t="shared" ref="BJ8:BJ71" si="46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71" si="47">IF(AY8="","",IF(COUNTIF($AG8:$AN8,"X")=8,"",CONCATENATE("(",INDEX($AG$3:$AN$3,MATCH("X",$AG8:$AN8,0))-8,IF(COUNTIF($AG8:$AN8,"X")=1,")",CONCATENATE(" downto ",INDEX($AG$3:$AN$3,MATCH("X",$AG8:$AN8,0)+COUNTIF($AG8:$AN8,"X")-1)-8,")")))))</f>
        <v/>
      </c>
      <c r="BL8" s="3" t="str">
        <f t="shared" ref="BL8:BL71" si="48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>
        <f t="shared" ref="BM8:BM71" si="49">IF(AW8="","",$J8-1)</f>
        <v>0</v>
      </c>
      <c r="BN8" s="3" t="str">
        <f t="shared" ref="BN8:BN71" si="50">IF(AX8="","",IF(BM8="",$J8-1,BM8-COUNTIF($Q8:$X8,"X")))</f>
        <v/>
      </c>
      <c r="BO8" s="3" t="str">
        <f t="shared" ref="BO8:BO71" si="51">IF(AY8="","",IF(BN8="",$J8-1,BN8-COUNTIF($Y8:$AF8,"X")))</f>
        <v/>
      </c>
      <c r="BP8" s="3" t="str">
        <f t="shared" ref="BP8:BP71" si="52">IF(AZ8="","",IF(BO8="",$J8-1,BO8-COUNTIF($AG8:$AN8,"X")))</f>
        <v/>
      </c>
      <c r="BQ8" s="3" t="str">
        <f t="shared" ref="BQ8:BQ71" si="53">IF(AW8="","",IF((4-COUNTIF($BM8:$BP8,""))=1,"",CONCATENATE("(",BM8,IF(COUNTIF($Q8:$X8,"X")=1,"",CONCATENATE(" downto ",BM8-COUNTIF($Q8:$X8,"X")+1)),")")))</f>
        <v/>
      </c>
      <c r="BR8" s="3" t="str">
        <f t="shared" ref="BR8:BR71" si="54">IF(AX8="","",IF((4-COUNTIF($BM8:$BP8,""))=1,"",CONCATENATE("(",BN8,IF(COUNTIF($Y8:$AF8,"X")=1,"",CONCATENATE(" downto ",BN8-COUNTIF($Y8:$AF8,"X")+1)),")")))</f>
        <v/>
      </c>
      <c r="BS8" s="3" t="str">
        <f t="shared" ref="BS8:BS71" si="55">IF(AY8="","",IF((4-COUNTIF($BM8:$BP8,""))=1,"",CONCATENATE("(",BO8,IF(COUNTIF($AG8:$AN8,"X")=1,"",CONCATENATE(" downto ",BO8-COUNTIF($AG8:$AN8,"X")+1)),")")))</f>
        <v/>
      </c>
      <c r="BT8" s="3" t="str">
        <f t="shared" ref="BT8:BT71" si="56">IF(AZ8="","",IF((4-COUNTIF($BM8:$BP8,""))=1,"",CONCATENATE("(",BP8,IF(COUNTIF($AO8:$AV8,"X") = 1,"",CONCATENATE(" downto ",BP8-COUNTIF($AO8:$AV8,"X")+1)),")")))</f>
        <v/>
      </c>
    </row>
    <row r="9" spans="1:73" x14ac:dyDescent="0.25">
      <c r="B9" s="3" t="s">
        <v>127</v>
      </c>
      <c r="C9" s="3" t="s">
        <v>131</v>
      </c>
      <c r="D9" s="3" t="s">
        <v>1</v>
      </c>
      <c r="E9" s="3" t="s">
        <v>114</v>
      </c>
      <c r="F9" s="3" t="s">
        <v>129</v>
      </c>
      <c r="G9" s="3" t="s">
        <v>354</v>
      </c>
      <c r="H9" s="20" t="s">
        <v>132</v>
      </c>
      <c r="I9" s="3" t="s">
        <v>24</v>
      </c>
      <c r="J9" s="3">
        <v>1</v>
      </c>
      <c r="K9" s="3" t="s">
        <v>57</v>
      </c>
      <c r="L9" s="3" t="s">
        <v>23</v>
      </c>
      <c r="M9" s="3">
        <v>1</v>
      </c>
      <c r="N9" s="3" t="str">
        <f t="shared" si="1"/>
        <v>00000001</v>
      </c>
      <c r="O9" s="3">
        <v>16</v>
      </c>
      <c r="P9" s="3">
        <v>16</v>
      </c>
      <c r="Q9" s="3" t="str">
        <f t="shared" si="11"/>
        <v/>
      </c>
      <c r="R9" s="3" t="str">
        <f t="shared" si="2"/>
        <v/>
      </c>
      <c r="S9" s="3" t="str">
        <f t="shared" si="2"/>
        <v/>
      </c>
      <c r="T9" s="3" t="str">
        <f t="shared" si="2"/>
        <v/>
      </c>
      <c r="U9" s="3" t="str">
        <f t="shared" si="2"/>
        <v/>
      </c>
      <c r="V9" s="3" t="str">
        <f t="shared" si="2"/>
        <v/>
      </c>
      <c r="W9" s="3" t="str">
        <f t="shared" si="2"/>
        <v/>
      </c>
      <c r="X9" s="3" t="str">
        <f t="shared" si="2"/>
        <v/>
      </c>
      <c r="Y9" s="3" t="str">
        <f t="shared" si="2"/>
        <v/>
      </c>
      <c r="Z9" s="3" t="str">
        <f t="shared" si="2"/>
        <v/>
      </c>
      <c r="AA9" s="3" t="str">
        <f t="shared" si="2"/>
        <v/>
      </c>
      <c r="AB9" s="3" t="str">
        <f t="shared" si="2"/>
        <v/>
      </c>
      <c r="AC9" s="3" t="str">
        <f t="shared" si="2"/>
        <v/>
      </c>
      <c r="AD9" s="3" t="str">
        <f t="shared" si="2"/>
        <v/>
      </c>
      <c r="AE9" s="3" t="str">
        <f t="shared" si="2"/>
        <v/>
      </c>
      <c r="AF9" s="3" t="str">
        <f t="shared" si="2"/>
        <v>X</v>
      </c>
      <c r="AG9" s="3" t="str">
        <f t="shared" si="2"/>
        <v/>
      </c>
      <c r="AH9" s="3" t="str">
        <f t="shared" si="36"/>
        <v/>
      </c>
      <c r="AI9" s="3" t="str">
        <f t="shared" si="36"/>
        <v/>
      </c>
      <c r="AJ9" s="3" t="str">
        <f t="shared" si="36"/>
        <v/>
      </c>
      <c r="AK9" s="3" t="str">
        <f t="shared" si="36"/>
        <v/>
      </c>
      <c r="AL9" s="3" t="str">
        <f t="shared" si="36"/>
        <v/>
      </c>
      <c r="AM9" s="3" t="str">
        <f t="shared" si="36"/>
        <v/>
      </c>
      <c r="AN9" s="3" t="str">
        <f t="shared" si="36"/>
        <v/>
      </c>
      <c r="AO9" s="3" t="str">
        <f t="shared" si="36"/>
        <v/>
      </c>
      <c r="AP9" s="3" t="str">
        <f t="shared" si="36"/>
        <v/>
      </c>
      <c r="AQ9" s="3" t="str">
        <f t="shared" si="36"/>
        <v/>
      </c>
      <c r="AR9" s="3" t="str">
        <f t="shared" si="36"/>
        <v/>
      </c>
      <c r="AS9" s="3" t="str">
        <f t="shared" si="36"/>
        <v/>
      </c>
      <c r="AT9" s="3" t="str">
        <f t="shared" si="36"/>
        <v/>
      </c>
      <c r="AU9" s="3" t="str">
        <f t="shared" si="36"/>
        <v/>
      </c>
      <c r="AV9" s="3" t="str">
        <f t="shared" si="36"/>
        <v/>
      </c>
      <c r="AW9" s="3" t="str">
        <f t="shared" si="12"/>
        <v/>
      </c>
      <c r="AX9" s="3" t="str">
        <f t="shared" si="13"/>
        <v>X</v>
      </c>
      <c r="AY9" s="3" t="str">
        <f t="shared" si="14"/>
        <v/>
      </c>
      <c r="AZ9" s="3" t="str">
        <f t="shared" si="15"/>
        <v/>
      </c>
      <c r="BA9" s="3" t="str">
        <f t="shared" si="37"/>
        <v/>
      </c>
      <c r="BB9" s="3">
        <f t="shared" si="38"/>
        <v>5</v>
      </c>
      <c r="BC9" s="3" t="str">
        <f t="shared" si="39"/>
        <v/>
      </c>
      <c r="BD9" s="3" t="str">
        <f t="shared" si="40"/>
        <v/>
      </c>
      <c r="BE9" s="9" t="str">
        <f t="shared" si="41"/>
        <v/>
      </c>
      <c r="BF9" s="9" t="str">
        <f t="shared" si="42"/>
        <v>00000005</v>
      </c>
      <c r="BG9" s="9" t="str">
        <f t="shared" si="43"/>
        <v/>
      </c>
      <c r="BH9" s="9" t="str">
        <f t="shared" si="44"/>
        <v/>
      </c>
      <c r="BI9" s="3" t="str">
        <f t="shared" si="45"/>
        <v/>
      </c>
      <c r="BJ9" s="3" t="str">
        <f t="shared" si="46"/>
        <v>(0)</v>
      </c>
      <c r="BK9" s="3" t="str">
        <f t="shared" si="47"/>
        <v/>
      </c>
      <c r="BL9" s="3" t="str">
        <f t="shared" si="48"/>
        <v/>
      </c>
      <c r="BM9" s="3" t="str">
        <f t="shared" si="49"/>
        <v/>
      </c>
      <c r="BN9" s="3">
        <f t="shared" si="50"/>
        <v>0</v>
      </c>
      <c r="BO9" s="3" t="str">
        <f t="shared" si="51"/>
        <v/>
      </c>
      <c r="BP9" s="3" t="str">
        <f t="shared" si="52"/>
        <v/>
      </c>
      <c r="BQ9" s="3" t="str">
        <f t="shared" si="53"/>
        <v/>
      </c>
      <c r="BR9" s="3" t="str">
        <f t="shared" si="54"/>
        <v/>
      </c>
      <c r="BS9" s="3" t="str">
        <f t="shared" si="55"/>
        <v/>
      </c>
      <c r="BT9" s="3" t="str">
        <f t="shared" si="56"/>
        <v/>
      </c>
    </row>
    <row r="10" spans="1:73" x14ac:dyDescent="0.25">
      <c r="B10" s="3" t="s">
        <v>127</v>
      </c>
      <c r="C10" s="3" t="s">
        <v>133</v>
      </c>
      <c r="D10" s="3" t="s">
        <v>1</v>
      </c>
      <c r="E10" s="3" t="s">
        <v>114</v>
      </c>
      <c r="F10" s="3" t="s">
        <v>129</v>
      </c>
      <c r="G10" s="3" t="s">
        <v>354</v>
      </c>
      <c r="H10" s="20" t="s">
        <v>134</v>
      </c>
      <c r="I10" s="3" t="s">
        <v>24</v>
      </c>
      <c r="J10" s="3">
        <v>1</v>
      </c>
      <c r="K10" s="3" t="s">
        <v>57</v>
      </c>
      <c r="L10" s="3" t="s">
        <v>23</v>
      </c>
      <c r="M10" s="3">
        <v>1</v>
      </c>
      <c r="N10" s="3" t="str">
        <f t="shared" si="1"/>
        <v>00000001</v>
      </c>
      <c r="O10" s="3">
        <v>11</v>
      </c>
      <c r="P10" s="3">
        <v>11</v>
      </c>
      <c r="Q10" s="3" t="str">
        <f t="shared" si="11"/>
        <v/>
      </c>
      <c r="R10" s="3" t="str">
        <f t="shared" si="2"/>
        <v/>
      </c>
      <c r="S10" s="3" t="str">
        <f t="shared" si="2"/>
        <v/>
      </c>
      <c r="T10" s="3" t="str">
        <f t="shared" si="2"/>
        <v/>
      </c>
      <c r="U10" s="3" t="str">
        <f t="shared" si="2"/>
        <v/>
      </c>
      <c r="V10" s="3" t="str">
        <f t="shared" si="2"/>
        <v/>
      </c>
      <c r="W10" s="3" t="str">
        <f t="shared" si="2"/>
        <v/>
      </c>
      <c r="X10" s="3" t="str">
        <f t="shared" si="2"/>
        <v/>
      </c>
      <c r="Y10" s="3" t="str">
        <f t="shared" si="2"/>
        <v/>
      </c>
      <c r="Z10" s="3" t="str">
        <f t="shared" si="2"/>
        <v/>
      </c>
      <c r="AA10" s="3" t="str">
        <f t="shared" si="2"/>
        <v/>
      </c>
      <c r="AB10" s="3" t="str">
        <f t="shared" si="2"/>
        <v/>
      </c>
      <c r="AC10" s="3" t="str">
        <f t="shared" si="2"/>
        <v/>
      </c>
      <c r="AD10" s="3" t="str">
        <f t="shared" si="2"/>
        <v/>
      </c>
      <c r="AE10" s="3" t="str">
        <f t="shared" si="2"/>
        <v/>
      </c>
      <c r="AF10" s="3" t="str">
        <f t="shared" si="2"/>
        <v/>
      </c>
      <c r="AG10" s="3" t="str">
        <f t="shared" si="2"/>
        <v/>
      </c>
      <c r="AH10" s="3" t="str">
        <f t="shared" si="36"/>
        <v/>
      </c>
      <c r="AI10" s="3" t="str">
        <f t="shared" si="36"/>
        <v/>
      </c>
      <c r="AJ10" s="3" t="str">
        <f t="shared" si="36"/>
        <v/>
      </c>
      <c r="AK10" s="3" t="str">
        <f t="shared" si="36"/>
        <v>X</v>
      </c>
      <c r="AL10" s="3" t="str">
        <f t="shared" si="36"/>
        <v/>
      </c>
      <c r="AM10" s="3" t="str">
        <f t="shared" si="36"/>
        <v/>
      </c>
      <c r="AN10" s="3" t="str">
        <f t="shared" si="36"/>
        <v/>
      </c>
      <c r="AO10" s="3" t="str">
        <f t="shared" si="36"/>
        <v/>
      </c>
      <c r="AP10" s="3" t="str">
        <f t="shared" si="36"/>
        <v/>
      </c>
      <c r="AQ10" s="3" t="str">
        <f t="shared" si="36"/>
        <v/>
      </c>
      <c r="AR10" s="3" t="str">
        <f t="shared" si="36"/>
        <v/>
      </c>
      <c r="AS10" s="3" t="str">
        <f t="shared" si="36"/>
        <v/>
      </c>
      <c r="AT10" s="3" t="str">
        <f t="shared" si="36"/>
        <v/>
      </c>
      <c r="AU10" s="3" t="str">
        <f t="shared" si="36"/>
        <v/>
      </c>
      <c r="AV10" s="3" t="str">
        <f t="shared" si="36"/>
        <v/>
      </c>
      <c r="AW10" s="3" t="str">
        <f t="shared" si="12"/>
        <v/>
      </c>
      <c r="AX10" s="3" t="str">
        <f t="shared" si="13"/>
        <v/>
      </c>
      <c r="AY10" s="3" t="str">
        <f t="shared" si="14"/>
        <v>X</v>
      </c>
      <c r="AZ10" s="3" t="str">
        <f t="shared" si="15"/>
        <v/>
      </c>
      <c r="BA10" s="3" t="str">
        <f t="shared" si="37"/>
        <v/>
      </c>
      <c r="BB10" s="3" t="str">
        <f t="shared" si="38"/>
        <v/>
      </c>
      <c r="BC10" s="3">
        <f t="shared" si="39"/>
        <v>6</v>
      </c>
      <c r="BD10" s="3" t="str">
        <f t="shared" si="40"/>
        <v/>
      </c>
      <c r="BE10" s="9" t="str">
        <f t="shared" si="41"/>
        <v/>
      </c>
      <c r="BF10" s="9" t="str">
        <f t="shared" si="42"/>
        <v/>
      </c>
      <c r="BG10" s="9" t="str">
        <f t="shared" si="43"/>
        <v>00000006</v>
      </c>
      <c r="BH10" s="9" t="str">
        <f t="shared" si="44"/>
        <v/>
      </c>
      <c r="BI10" s="3" t="str">
        <f t="shared" si="45"/>
        <v/>
      </c>
      <c r="BJ10" s="3" t="str">
        <f t="shared" si="46"/>
        <v/>
      </c>
      <c r="BK10" s="3" t="str">
        <f t="shared" si="47"/>
        <v>(3)</v>
      </c>
      <c r="BL10" s="3" t="str">
        <f t="shared" si="48"/>
        <v/>
      </c>
      <c r="BM10" s="3" t="str">
        <f t="shared" si="49"/>
        <v/>
      </c>
      <c r="BN10" s="3" t="str">
        <f t="shared" si="50"/>
        <v/>
      </c>
      <c r="BO10" s="3">
        <f t="shared" si="51"/>
        <v>0</v>
      </c>
      <c r="BP10" s="3" t="str">
        <f t="shared" si="52"/>
        <v/>
      </c>
      <c r="BQ10" s="3" t="str">
        <f t="shared" si="53"/>
        <v/>
      </c>
      <c r="BR10" s="3" t="str">
        <f t="shared" si="54"/>
        <v/>
      </c>
      <c r="BS10" s="3" t="str">
        <f t="shared" si="55"/>
        <v/>
      </c>
      <c r="BT10" s="3" t="str">
        <f t="shared" si="56"/>
        <v/>
      </c>
    </row>
    <row r="11" spans="1:73" x14ac:dyDescent="0.25">
      <c r="B11" s="3" t="s">
        <v>127</v>
      </c>
      <c r="C11" s="3" t="s">
        <v>135</v>
      </c>
      <c r="D11" s="3" t="s">
        <v>1</v>
      </c>
      <c r="E11" s="3" t="s">
        <v>114</v>
      </c>
      <c r="F11" s="3" t="s">
        <v>129</v>
      </c>
      <c r="G11" s="3" t="s">
        <v>354</v>
      </c>
      <c r="H11" s="20" t="s">
        <v>136</v>
      </c>
      <c r="I11" s="3" t="s">
        <v>24</v>
      </c>
      <c r="J11" s="3">
        <v>1</v>
      </c>
      <c r="K11" s="3" t="s">
        <v>57</v>
      </c>
      <c r="L11" s="3" t="s">
        <v>23</v>
      </c>
      <c r="M11" s="3">
        <v>1</v>
      </c>
      <c r="N11" s="3" t="str">
        <f t="shared" ref="N11:N24" si="57">DEC2HEX($M11,8)</f>
        <v>00000001</v>
      </c>
      <c r="O11" s="3">
        <v>9</v>
      </c>
      <c r="P11" s="3">
        <v>9</v>
      </c>
      <c r="Q11" s="3" t="str">
        <f t="shared" si="11"/>
        <v/>
      </c>
      <c r="R11" s="3" t="str">
        <f t="shared" si="2"/>
        <v/>
      </c>
      <c r="S11" s="3" t="str">
        <f t="shared" si="2"/>
        <v/>
      </c>
      <c r="T11" s="3" t="str">
        <f t="shared" si="2"/>
        <v/>
      </c>
      <c r="U11" s="3" t="str">
        <f t="shared" si="2"/>
        <v/>
      </c>
      <c r="V11" s="3" t="str">
        <f t="shared" si="2"/>
        <v/>
      </c>
      <c r="W11" s="3" t="str">
        <f t="shared" si="2"/>
        <v/>
      </c>
      <c r="X11" s="3" t="str">
        <f t="shared" si="2"/>
        <v/>
      </c>
      <c r="Y11" s="3" t="str">
        <f t="shared" si="2"/>
        <v/>
      </c>
      <c r="Z11" s="3" t="str">
        <f t="shared" si="2"/>
        <v/>
      </c>
      <c r="AA11" s="3" t="str">
        <f t="shared" si="2"/>
        <v/>
      </c>
      <c r="AB11" s="3" t="str">
        <f t="shared" si="2"/>
        <v/>
      </c>
      <c r="AC11" s="3" t="str">
        <f t="shared" si="2"/>
        <v/>
      </c>
      <c r="AD11" s="3" t="str">
        <f t="shared" si="2"/>
        <v/>
      </c>
      <c r="AE11" s="3" t="str">
        <f t="shared" si="2"/>
        <v/>
      </c>
      <c r="AF11" s="3" t="str">
        <f t="shared" si="2"/>
        <v/>
      </c>
      <c r="AG11" s="3" t="str">
        <f t="shared" si="2"/>
        <v/>
      </c>
      <c r="AH11" s="3" t="str">
        <f t="shared" si="36"/>
        <v/>
      </c>
      <c r="AI11" s="3" t="str">
        <f t="shared" si="36"/>
        <v/>
      </c>
      <c r="AJ11" s="3" t="str">
        <f t="shared" si="36"/>
        <v/>
      </c>
      <c r="AK11" s="3" t="str">
        <f t="shared" si="36"/>
        <v/>
      </c>
      <c r="AL11" s="3" t="str">
        <f t="shared" si="36"/>
        <v/>
      </c>
      <c r="AM11" s="3" t="str">
        <f t="shared" si="36"/>
        <v>X</v>
      </c>
      <c r="AN11" s="3" t="str">
        <f t="shared" si="36"/>
        <v/>
      </c>
      <c r="AO11" s="3" t="str">
        <f t="shared" si="36"/>
        <v/>
      </c>
      <c r="AP11" s="3" t="str">
        <f t="shared" si="36"/>
        <v/>
      </c>
      <c r="AQ11" s="3" t="str">
        <f t="shared" si="36"/>
        <v/>
      </c>
      <c r="AR11" s="3" t="str">
        <f t="shared" si="36"/>
        <v/>
      </c>
      <c r="AS11" s="3" t="str">
        <f t="shared" si="36"/>
        <v/>
      </c>
      <c r="AT11" s="3" t="str">
        <f t="shared" si="36"/>
        <v/>
      </c>
      <c r="AU11" s="3" t="str">
        <f t="shared" si="36"/>
        <v/>
      </c>
      <c r="AV11" s="3" t="str">
        <f t="shared" si="36"/>
        <v/>
      </c>
      <c r="AW11" s="3" t="str">
        <f t="shared" si="12"/>
        <v/>
      </c>
      <c r="AX11" s="3" t="str">
        <f t="shared" si="13"/>
        <v/>
      </c>
      <c r="AY11" s="3" t="str">
        <f t="shared" si="14"/>
        <v>X</v>
      </c>
      <c r="AZ11" s="3" t="str">
        <f t="shared" si="15"/>
        <v/>
      </c>
      <c r="BA11" s="3" t="str">
        <f t="shared" si="37"/>
        <v/>
      </c>
      <c r="BB11" s="3" t="str">
        <f t="shared" si="38"/>
        <v/>
      </c>
      <c r="BC11" s="3">
        <f t="shared" si="39"/>
        <v>6</v>
      </c>
      <c r="BD11" s="3" t="str">
        <f t="shared" si="40"/>
        <v/>
      </c>
      <c r="BE11" s="9" t="str">
        <f t="shared" si="41"/>
        <v/>
      </c>
      <c r="BF11" s="9" t="str">
        <f t="shared" si="42"/>
        <v/>
      </c>
      <c r="BG11" s="9" t="str">
        <f t="shared" si="43"/>
        <v>00000006</v>
      </c>
      <c r="BH11" s="9" t="str">
        <f t="shared" si="44"/>
        <v/>
      </c>
      <c r="BI11" s="3" t="str">
        <f t="shared" si="45"/>
        <v/>
      </c>
      <c r="BJ11" s="3" t="str">
        <f t="shared" si="46"/>
        <v/>
      </c>
      <c r="BK11" s="3" t="str">
        <f t="shared" si="47"/>
        <v>(1)</v>
      </c>
      <c r="BL11" s="3" t="str">
        <f t="shared" si="48"/>
        <v/>
      </c>
      <c r="BM11" s="3" t="str">
        <f t="shared" si="49"/>
        <v/>
      </c>
      <c r="BN11" s="3" t="str">
        <f t="shared" si="50"/>
        <v/>
      </c>
      <c r="BO11" s="3">
        <f t="shared" si="51"/>
        <v>0</v>
      </c>
      <c r="BP11" s="3" t="str">
        <f t="shared" si="52"/>
        <v/>
      </c>
      <c r="BQ11" s="3" t="str">
        <f t="shared" si="53"/>
        <v/>
      </c>
      <c r="BR11" s="3" t="str">
        <f t="shared" si="54"/>
        <v/>
      </c>
      <c r="BS11" s="3" t="str">
        <f t="shared" si="55"/>
        <v/>
      </c>
      <c r="BT11" s="3" t="str">
        <f t="shared" si="56"/>
        <v/>
      </c>
    </row>
    <row r="12" spans="1:73" x14ac:dyDescent="0.25">
      <c r="B12" s="3" t="s">
        <v>127</v>
      </c>
      <c r="C12" s="3" t="s">
        <v>697</v>
      </c>
      <c r="D12" s="3" t="s">
        <v>1</v>
      </c>
      <c r="E12" s="3" t="s">
        <v>114</v>
      </c>
      <c r="F12" s="3" t="s">
        <v>129</v>
      </c>
      <c r="G12" s="3" t="s">
        <v>354</v>
      </c>
      <c r="H12" s="20" t="s">
        <v>709</v>
      </c>
      <c r="I12" s="3" t="s">
        <v>24</v>
      </c>
      <c r="J12" s="3">
        <v>7</v>
      </c>
      <c r="K12" s="8" t="s">
        <v>698</v>
      </c>
      <c r="L12" s="3" t="s">
        <v>23</v>
      </c>
      <c r="M12" s="3">
        <v>1</v>
      </c>
      <c r="N12" s="3" t="str">
        <f t="shared" si="57"/>
        <v>00000001</v>
      </c>
      <c r="O12" s="3">
        <v>6</v>
      </c>
      <c r="P12" s="3">
        <v>0</v>
      </c>
      <c r="Q12" s="3" t="str">
        <f t="shared" si="11"/>
        <v/>
      </c>
      <c r="R12" s="3" t="str">
        <f t="shared" si="2"/>
        <v/>
      </c>
      <c r="S12" s="3" t="str">
        <f t="shared" si="2"/>
        <v/>
      </c>
      <c r="T12" s="3" t="str">
        <f t="shared" si="2"/>
        <v/>
      </c>
      <c r="U12" s="3" t="str">
        <f t="shared" si="2"/>
        <v/>
      </c>
      <c r="V12" s="3" t="str">
        <f t="shared" si="2"/>
        <v/>
      </c>
      <c r="W12" s="3" t="str">
        <f t="shared" si="2"/>
        <v/>
      </c>
      <c r="X12" s="3" t="str">
        <f t="shared" si="2"/>
        <v/>
      </c>
      <c r="Y12" s="3" t="str">
        <f t="shared" si="2"/>
        <v/>
      </c>
      <c r="Z12" s="3" t="str">
        <f t="shared" si="2"/>
        <v/>
      </c>
      <c r="AA12" s="3" t="str">
        <f t="shared" si="2"/>
        <v/>
      </c>
      <c r="AB12" s="3" t="str">
        <f t="shared" si="2"/>
        <v/>
      </c>
      <c r="AC12" s="3" t="str">
        <f t="shared" si="2"/>
        <v/>
      </c>
      <c r="AD12" s="3" t="str">
        <f t="shared" si="2"/>
        <v/>
      </c>
      <c r="AE12" s="3" t="str">
        <f t="shared" si="2"/>
        <v/>
      </c>
      <c r="AF12" s="3" t="str">
        <f t="shared" si="2"/>
        <v/>
      </c>
      <c r="AG12" s="3" t="str">
        <f t="shared" si="2"/>
        <v/>
      </c>
      <c r="AH12" s="3" t="str">
        <f t="shared" si="36"/>
        <v/>
      </c>
      <c r="AI12" s="3" t="str">
        <f t="shared" si="36"/>
        <v/>
      </c>
      <c r="AJ12" s="3" t="str">
        <f t="shared" si="36"/>
        <v/>
      </c>
      <c r="AK12" s="3" t="str">
        <f t="shared" si="36"/>
        <v/>
      </c>
      <c r="AL12" s="3" t="str">
        <f t="shared" si="36"/>
        <v/>
      </c>
      <c r="AM12" s="3" t="str">
        <f t="shared" si="36"/>
        <v/>
      </c>
      <c r="AN12" s="3" t="str">
        <f t="shared" si="36"/>
        <v/>
      </c>
      <c r="AO12" s="3" t="str">
        <f t="shared" si="36"/>
        <v/>
      </c>
      <c r="AP12" s="3" t="str">
        <f t="shared" si="36"/>
        <v>X</v>
      </c>
      <c r="AQ12" s="3" t="str">
        <f t="shared" si="36"/>
        <v>X</v>
      </c>
      <c r="AR12" s="3" t="str">
        <f t="shared" si="36"/>
        <v>X</v>
      </c>
      <c r="AS12" s="3" t="str">
        <f t="shared" si="36"/>
        <v>X</v>
      </c>
      <c r="AT12" s="3" t="str">
        <f t="shared" si="36"/>
        <v>X</v>
      </c>
      <c r="AU12" s="3" t="str">
        <f t="shared" si="36"/>
        <v>X</v>
      </c>
      <c r="AV12" s="3" t="str">
        <f t="shared" si="36"/>
        <v>X</v>
      </c>
      <c r="AW12" s="3" t="str">
        <f t="shared" si="12"/>
        <v/>
      </c>
      <c r="AX12" s="3" t="str">
        <f t="shared" si="13"/>
        <v/>
      </c>
      <c r="AY12" s="3" t="str">
        <f t="shared" si="14"/>
        <v/>
      </c>
      <c r="AZ12" s="3" t="str">
        <f t="shared" si="15"/>
        <v>X</v>
      </c>
      <c r="BA12" s="3" t="str">
        <f t="shared" si="37"/>
        <v/>
      </c>
      <c r="BB12" s="3" t="str">
        <f t="shared" si="38"/>
        <v/>
      </c>
      <c r="BC12" s="3" t="str">
        <f t="shared" si="39"/>
        <v/>
      </c>
      <c r="BD12" s="3">
        <f t="shared" si="40"/>
        <v>7</v>
      </c>
      <c r="BE12" s="9" t="str">
        <f t="shared" si="41"/>
        <v/>
      </c>
      <c r="BF12" s="9" t="str">
        <f t="shared" si="42"/>
        <v/>
      </c>
      <c r="BG12" s="9" t="str">
        <f t="shared" si="43"/>
        <v/>
      </c>
      <c r="BH12" s="9" t="str">
        <f t="shared" si="44"/>
        <v>00000007</v>
      </c>
      <c r="BI12" s="3" t="str">
        <f t="shared" si="45"/>
        <v/>
      </c>
      <c r="BJ12" s="3" t="str">
        <f t="shared" si="46"/>
        <v/>
      </c>
      <c r="BK12" s="3" t="str">
        <f t="shared" si="47"/>
        <v/>
      </c>
      <c r="BL12" s="3" t="str">
        <f t="shared" si="48"/>
        <v>(6 downto 0)</v>
      </c>
      <c r="BM12" s="3" t="str">
        <f t="shared" si="49"/>
        <v/>
      </c>
      <c r="BN12" s="3" t="str">
        <f t="shared" si="50"/>
        <v/>
      </c>
      <c r="BO12" s="3" t="str">
        <f t="shared" si="51"/>
        <v/>
      </c>
      <c r="BP12" s="3">
        <f t="shared" si="52"/>
        <v>6</v>
      </c>
      <c r="BQ12" s="3" t="str">
        <f t="shared" si="53"/>
        <v/>
      </c>
      <c r="BR12" s="3" t="str">
        <f t="shared" si="54"/>
        <v/>
      </c>
      <c r="BS12" s="3" t="str">
        <f t="shared" si="55"/>
        <v/>
      </c>
      <c r="BT12" s="3" t="str">
        <f t="shared" si="56"/>
        <v/>
      </c>
    </row>
    <row r="13" spans="1:73" x14ac:dyDescent="0.25">
      <c r="B13" s="3" t="s">
        <v>137</v>
      </c>
      <c r="C13" s="3" t="s">
        <v>699</v>
      </c>
      <c r="D13" s="3" t="s">
        <v>1</v>
      </c>
      <c r="E13" s="3" t="s">
        <v>114</v>
      </c>
      <c r="F13" s="3" t="s">
        <v>138</v>
      </c>
      <c r="G13" s="3" t="s">
        <v>355</v>
      </c>
      <c r="H13" s="20" t="s">
        <v>709</v>
      </c>
      <c r="I13" s="3" t="s">
        <v>24</v>
      </c>
      <c r="J13" s="3">
        <v>32</v>
      </c>
      <c r="K13" s="8" t="s">
        <v>700</v>
      </c>
      <c r="L13" s="3" t="s">
        <v>23</v>
      </c>
      <c r="M13" s="3">
        <v>2</v>
      </c>
      <c r="N13" s="3" t="str">
        <f t="shared" si="57"/>
        <v>00000002</v>
      </c>
      <c r="O13" s="3">
        <v>31</v>
      </c>
      <c r="P13" s="3">
        <v>0</v>
      </c>
      <c r="Q13" s="3" t="str">
        <f t="shared" si="11"/>
        <v>X</v>
      </c>
      <c r="R13" s="3" t="str">
        <f t="shared" si="2"/>
        <v>X</v>
      </c>
      <c r="S13" s="3" t="str">
        <f t="shared" si="2"/>
        <v>X</v>
      </c>
      <c r="T13" s="3" t="str">
        <f t="shared" si="2"/>
        <v>X</v>
      </c>
      <c r="U13" s="3" t="str">
        <f t="shared" si="2"/>
        <v>X</v>
      </c>
      <c r="V13" s="3" t="str">
        <f t="shared" si="2"/>
        <v>X</v>
      </c>
      <c r="W13" s="3" t="str">
        <f t="shared" si="2"/>
        <v>X</v>
      </c>
      <c r="X13" s="3" t="str">
        <f t="shared" si="2"/>
        <v>X</v>
      </c>
      <c r="Y13" s="3" t="str">
        <f t="shared" si="2"/>
        <v>X</v>
      </c>
      <c r="Z13" s="3" t="str">
        <f t="shared" si="2"/>
        <v>X</v>
      </c>
      <c r="AA13" s="3" t="str">
        <f t="shared" si="2"/>
        <v>X</v>
      </c>
      <c r="AB13" s="3" t="str">
        <f t="shared" si="2"/>
        <v>X</v>
      </c>
      <c r="AC13" s="3" t="str">
        <f t="shared" si="2"/>
        <v>X</v>
      </c>
      <c r="AD13" s="3" t="str">
        <f t="shared" si="2"/>
        <v>X</v>
      </c>
      <c r="AE13" s="3" t="str">
        <f t="shared" si="2"/>
        <v>X</v>
      </c>
      <c r="AF13" s="3" t="str">
        <f t="shared" si="2"/>
        <v>X</v>
      </c>
      <c r="AG13" s="3" t="str">
        <f t="shared" si="2"/>
        <v>X</v>
      </c>
      <c r="AH13" s="3" t="str">
        <f t="shared" si="36"/>
        <v>X</v>
      </c>
      <c r="AI13" s="3" t="str">
        <f t="shared" si="36"/>
        <v>X</v>
      </c>
      <c r="AJ13" s="3" t="str">
        <f t="shared" si="36"/>
        <v>X</v>
      </c>
      <c r="AK13" s="3" t="str">
        <f t="shared" si="36"/>
        <v>X</v>
      </c>
      <c r="AL13" s="3" t="str">
        <f t="shared" si="36"/>
        <v>X</v>
      </c>
      <c r="AM13" s="3" t="str">
        <f t="shared" si="36"/>
        <v>X</v>
      </c>
      <c r="AN13" s="3" t="str">
        <f t="shared" si="36"/>
        <v>X</v>
      </c>
      <c r="AO13" s="3" t="str">
        <f t="shared" si="36"/>
        <v>X</v>
      </c>
      <c r="AP13" s="3" t="str">
        <f t="shared" si="36"/>
        <v>X</v>
      </c>
      <c r="AQ13" s="3" t="str">
        <f t="shared" si="36"/>
        <v>X</v>
      </c>
      <c r="AR13" s="3" t="str">
        <f t="shared" si="36"/>
        <v>X</v>
      </c>
      <c r="AS13" s="3" t="str">
        <f t="shared" si="36"/>
        <v>X</v>
      </c>
      <c r="AT13" s="3" t="str">
        <f t="shared" si="36"/>
        <v>X</v>
      </c>
      <c r="AU13" s="3" t="str">
        <f t="shared" si="36"/>
        <v>X</v>
      </c>
      <c r="AV13" s="3" t="str">
        <f t="shared" si="36"/>
        <v>X</v>
      </c>
      <c r="AW13" s="3" t="str">
        <f t="shared" si="12"/>
        <v>X</v>
      </c>
      <c r="AX13" s="3" t="str">
        <f t="shared" si="13"/>
        <v>X</v>
      </c>
      <c r="AY13" s="3" t="str">
        <f t="shared" si="14"/>
        <v>X</v>
      </c>
      <c r="AZ13" s="3" t="str">
        <f t="shared" si="15"/>
        <v>X</v>
      </c>
      <c r="BA13" s="3">
        <f t="shared" si="37"/>
        <v>8</v>
      </c>
      <c r="BB13" s="3">
        <f t="shared" si="38"/>
        <v>9</v>
      </c>
      <c r="BC13" s="3">
        <f t="shared" si="39"/>
        <v>10</v>
      </c>
      <c r="BD13" s="3">
        <f t="shared" si="40"/>
        <v>11</v>
      </c>
      <c r="BE13" s="9" t="str">
        <f t="shared" si="41"/>
        <v>00000008</v>
      </c>
      <c r="BF13" s="9" t="str">
        <f t="shared" si="42"/>
        <v>00000009</v>
      </c>
      <c r="BG13" s="9" t="str">
        <f t="shared" si="43"/>
        <v>0000000A</v>
      </c>
      <c r="BH13" s="9" t="str">
        <f t="shared" si="44"/>
        <v>0000000B</v>
      </c>
      <c r="BI13" s="3" t="str">
        <f t="shared" si="45"/>
        <v/>
      </c>
      <c r="BJ13" s="3" t="str">
        <f t="shared" si="46"/>
        <v/>
      </c>
      <c r="BK13" s="3" t="str">
        <f t="shared" si="47"/>
        <v/>
      </c>
      <c r="BL13" s="3" t="str">
        <f t="shared" si="48"/>
        <v/>
      </c>
      <c r="BM13" s="3">
        <f t="shared" si="49"/>
        <v>31</v>
      </c>
      <c r="BN13" s="3">
        <f t="shared" si="50"/>
        <v>23</v>
      </c>
      <c r="BO13" s="3">
        <f t="shared" si="51"/>
        <v>15</v>
      </c>
      <c r="BP13" s="3">
        <f t="shared" si="52"/>
        <v>7</v>
      </c>
      <c r="BQ13" s="3" t="str">
        <f t="shared" si="53"/>
        <v>(31 downto 24)</v>
      </c>
      <c r="BR13" s="3" t="str">
        <f t="shared" si="54"/>
        <v>(23 downto 16)</v>
      </c>
      <c r="BS13" s="3" t="str">
        <f t="shared" si="55"/>
        <v>(15 downto 8)</v>
      </c>
      <c r="BT13" s="3" t="str">
        <f t="shared" si="56"/>
        <v>(7 downto 0)</v>
      </c>
    </row>
    <row r="14" spans="1:73" x14ac:dyDescent="0.25">
      <c r="B14" s="3" t="s">
        <v>141</v>
      </c>
      <c r="C14" s="3" t="s">
        <v>702</v>
      </c>
      <c r="D14" s="3" t="s">
        <v>1</v>
      </c>
      <c r="E14" s="3" t="s">
        <v>114</v>
      </c>
      <c r="F14" s="3" t="s">
        <v>142</v>
      </c>
      <c r="G14" s="3" t="s">
        <v>356</v>
      </c>
      <c r="H14" s="20" t="s">
        <v>709</v>
      </c>
      <c r="I14" s="3" t="s">
        <v>24</v>
      </c>
      <c r="J14" s="3">
        <v>32</v>
      </c>
      <c r="K14" s="3" t="s">
        <v>701</v>
      </c>
      <c r="L14" s="3" t="s">
        <v>23</v>
      </c>
      <c r="M14" s="3">
        <v>3</v>
      </c>
      <c r="N14" s="3" t="str">
        <f t="shared" si="57"/>
        <v>00000003</v>
      </c>
      <c r="O14" s="3">
        <v>31</v>
      </c>
      <c r="P14" s="3">
        <v>0</v>
      </c>
      <c r="Q14" s="3" t="str">
        <f t="shared" si="11"/>
        <v>X</v>
      </c>
      <c r="R14" s="3" t="str">
        <f t="shared" si="2"/>
        <v>X</v>
      </c>
      <c r="S14" s="3" t="str">
        <f t="shared" si="2"/>
        <v>X</v>
      </c>
      <c r="T14" s="3" t="str">
        <f t="shared" si="2"/>
        <v>X</v>
      </c>
      <c r="U14" s="3" t="str">
        <f t="shared" si="2"/>
        <v>X</v>
      </c>
      <c r="V14" s="3" t="str">
        <f t="shared" si="2"/>
        <v>X</v>
      </c>
      <c r="W14" s="3" t="str">
        <f t="shared" si="2"/>
        <v>X</v>
      </c>
      <c r="X14" s="3" t="str">
        <f t="shared" si="2"/>
        <v>X</v>
      </c>
      <c r="Y14" s="3" t="str">
        <f t="shared" si="2"/>
        <v>X</v>
      </c>
      <c r="Z14" s="3" t="str">
        <f t="shared" si="2"/>
        <v>X</v>
      </c>
      <c r="AA14" s="3" t="str">
        <f t="shared" si="2"/>
        <v>X</v>
      </c>
      <c r="AB14" s="3" t="str">
        <f t="shared" si="2"/>
        <v>X</v>
      </c>
      <c r="AC14" s="3" t="str">
        <f t="shared" si="2"/>
        <v>X</v>
      </c>
      <c r="AD14" s="3" t="str">
        <f t="shared" si="2"/>
        <v>X</v>
      </c>
      <c r="AE14" s="3" t="str">
        <f t="shared" si="2"/>
        <v>X</v>
      </c>
      <c r="AF14" s="3" t="str">
        <f t="shared" si="2"/>
        <v>X</v>
      </c>
      <c r="AG14" s="3" t="str">
        <f t="shared" si="2"/>
        <v>X</v>
      </c>
      <c r="AH14" s="3" t="str">
        <f t="shared" si="36"/>
        <v>X</v>
      </c>
      <c r="AI14" s="3" t="str">
        <f t="shared" si="36"/>
        <v>X</v>
      </c>
      <c r="AJ14" s="3" t="str">
        <f t="shared" si="36"/>
        <v>X</v>
      </c>
      <c r="AK14" s="3" t="str">
        <f t="shared" si="36"/>
        <v>X</v>
      </c>
      <c r="AL14" s="3" t="str">
        <f t="shared" si="36"/>
        <v>X</v>
      </c>
      <c r="AM14" s="3" t="str">
        <f t="shared" si="36"/>
        <v>X</v>
      </c>
      <c r="AN14" s="3" t="str">
        <f t="shared" si="36"/>
        <v>X</v>
      </c>
      <c r="AO14" s="3" t="str">
        <f t="shared" si="36"/>
        <v>X</v>
      </c>
      <c r="AP14" s="3" t="str">
        <f t="shared" si="36"/>
        <v>X</v>
      </c>
      <c r="AQ14" s="3" t="str">
        <f t="shared" si="36"/>
        <v>X</v>
      </c>
      <c r="AR14" s="3" t="str">
        <f t="shared" si="36"/>
        <v>X</v>
      </c>
      <c r="AS14" s="3" t="str">
        <f t="shared" si="36"/>
        <v>X</v>
      </c>
      <c r="AT14" s="3" t="str">
        <f t="shared" si="36"/>
        <v>X</v>
      </c>
      <c r="AU14" s="3" t="str">
        <f t="shared" si="36"/>
        <v>X</v>
      </c>
      <c r="AV14" s="3" t="str">
        <f t="shared" si="36"/>
        <v>X</v>
      </c>
      <c r="AW14" s="3" t="str">
        <f t="shared" si="12"/>
        <v>X</v>
      </c>
      <c r="AX14" s="3" t="str">
        <f t="shared" si="13"/>
        <v>X</v>
      </c>
      <c r="AY14" s="3" t="str">
        <f t="shared" si="14"/>
        <v>X</v>
      </c>
      <c r="AZ14" s="3" t="str">
        <f t="shared" si="15"/>
        <v>X</v>
      </c>
      <c r="BA14" s="3">
        <f t="shared" si="37"/>
        <v>12</v>
      </c>
      <c r="BB14" s="3">
        <f t="shared" si="38"/>
        <v>13</v>
      </c>
      <c r="BC14" s="3">
        <f t="shared" si="39"/>
        <v>14</v>
      </c>
      <c r="BD14" s="3">
        <f t="shared" si="40"/>
        <v>15</v>
      </c>
      <c r="BE14" s="9" t="str">
        <f t="shared" si="41"/>
        <v>0000000C</v>
      </c>
      <c r="BF14" s="9" t="str">
        <f t="shared" si="42"/>
        <v>0000000D</v>
      </c>
      <c r="BG14" s="9" t="str">
        <f t="shared" si="43"/>
        <v>0000000E</v>
      </c>
      <c r="BH14" s="9" t="str">
        <f t="shared" si="44"/>
        <v>0000000F</v>
      </c>
      <c r="BI14" s="3" t="str">
        <f t="shared" si="45"/>
        <v/>
      </c>
      <c r="BJ14" s="3" t="str">
        <f t="shared" si="46"/>
        <v/>
      </c>
      <c r="BK14" s="3" t="str">
        <f t="shared" si="47"/>
        <v/>
      </c>
      <c r="BL14" s="3" t="str">
        <f t="shared" si="48"/>
        <v/>
      </c>
      <c r="BM14" s="3">
        <f t="shared" si="49"/>
        <v>31</v>
      </c>
      <c r="BN14" s="3">
        <f t="shared" si="50"/>
        <v>23</v>
      </c>
      <c r="BO14" s="3">
        <f t="shared" si="51"/>
        <v>15</v>
      </c>
      <c r="BP14" s="3">
        <f t="shared" si="52"/>
        <v>7</v>
      </c>
      <c r="BQ14" s="3" t="str">
        <f t="shared" si="53"/>
        <v>(31 downto 24)</v>
      </c>
      <c r="BR14" s="3" t="str">
        <f t="shared" si="54"/>
        <v>(23 downto 16)</v>
      </c>
      <c r="BS14" s="3" t="str">
        <f t="shared" si="55"/>
        <v>(15 downto 8)</v>
      </c>
      <c r="BT14" s="3" t="str">
        <f t="shared" si="56"/>
        <v>(7 downto 0)</v>
      </c>
    </row>
    <row r="15" spans="1:73" x14ac:dyDescent="0.25">
      <c r="B15" s="3" t="s">
        <v>143</v>
      </c>
      <c r="C15" s="3" t="s">
        <v>703</v>
      </c>
      <c r="D15" s="3" t="s">
        <v>1</v>
      </c>
      <c r="E15" s="3" t="s">
        <v>114</v>
      </c>
      <c r="F15" s="3" t="s">
        <v>144</v>
      </c>
      <c r="G15" s="3" t="s">
        <v>357</v>
      </c>
      <c r="H15" s="20" t="s">
        <v>709</v>
      </c>
      <c r="I15" s="3" t="s">
        <v>24</v>
      </c>
      <c r="J15" s="3">
        <v>32</v>
      </c>
      <c r="K15" s="3" t="s">
        <v>704</v>
      </c>
      <c r="L15" s="3" t="s">
        <v>23</v>
      </c>
      <c r="M15" s="3">
        <v>4</v>
      </c>
      <c r="N15" s="3" t="str">
        <f t="shared" si="57"/>
        <v>00000004</v>
      </c>
      <c r="O15" s="3">
        <v>31</v>
      </c>
      <c r="P15" s="3">
        <v>0</v>
      </c>
      <c r="Q15" s="3" t="str">
        <f t="shared" si="11"/>
        <v>X</v>
      </c>
      <c r="R15" s="3" t="str">
        <f t="shared" si="2"/>
        <v>X</v>
      </c>
      <c r="S15" s="3" t="str">
        <f t="shared" si="2"/>
        <v>X</v>
      </c>
      <c r="T15" s="3" t="str">
        <f t="shared" ref="R15:AG31" si="58">IF(AND($O15&gt;=T$3,T$3&gt;=$P15),"X","")</f>
        <v>X</v>
      </c>
      <c r="U15" s="3" t="str">
        <f t="shared" si="58"/>
        <v>X</v>
      </c>
      <c r="V15" s="3" t="str">
        <f t="shared" si="58"/>
        <v>X</v>
      </c>
      <c r="W15" s="3" t="str">
        <f t="shared" si="58"/>
        <v>X</v>
      </c>
      <c r="X15" s="3" t="str">
        <f t="shared" si="58"/>
        <v>X</v>
      </c>
      <c r="Y15" s="3" t="str">
        <f t="shared" si="58"/>
        <v>X</v>
      </c>
      <c r="Z15" s="3" t="str">
        <f t="shared" si="58"/>
        <v>X</v>
      </c>
      <c r="AA15" s="3" t="str">
        <f t="shared" si="58"/>
        <v>X</v>
      </c>
      <c r="AB15" s="3" t="str">
        <f t="shared" si="58"/>
        <v>X</v>
      </c>
      <c r="AC15" s="3" t="str">
        <f t="shared" si="58"/>
        <v>X</v>
      </c>
      <c r="AD15" s="3" t="str">
        <f t="shared" si="58"/>
        <v>X</v>
      </c>
      <c r="AE15" s="3" t="str">
        <f t="shared" si="58"/>
        <v>X</v>
      </c>
      <c r="AF15" s="3" t="str">
        <f t="shared" si="58"/>
        <v>X</v>
      </c>
      <c r="AG15" s="3" t="str">
        <f t="shared" si="58"/>
        <v>X</v>
      </c>
      <c r="AH15" s="3" t="str">
        <f t="shared" si="36"/>
        <v>X</v>
      </c>
      <c r="AI15" s="3" t="str">
        <f t="shared" si="36"/>
        <v>X</v>
      </c>
      <c r="AJ15" s="3" t="str">
        <f t="shared" si="36"/>
        <v>X</v>
      </c>
      <c r="AK15" s="3" t="str">
        <f t="shared" si="36"/>
        <v>X</v>
      </c>
      <c r="AL15" s="3" t="str">
        <f t="shared" si="36"/>
        <v>X</v>
      </c>
      <c r="AM15" s="3" t="str">
        <f t="shared" si="36"/>
        <v>X</v>
      </c>
      <c r="AN15" s="3" t="str">
        <f t="shared" si="36"/>
        <v>X</v>
      </c>
      <c r="AO15" s="3" t="str">
        <f t="shared" si="36"/>
        <v>X</v>
      </c>
      <c r="AP15" s="3" t="str">
        <f t="shared" si="36"/>
        <v>X</v>
      </c>
      <c r="AQ15" s="3" t="str">
        <f t="shared" si="36"/>
        <v>X</v>
      </c>
      <c r="AR15" s="3" t="str">
        <f t="shared" si="36"/>
        <v>X</v>
      </c>
      <c r="AS15" s="3" t="str">
        <f t="shared" si="36"/>
        <v>X</v>
      </c>
      <c r="AT15" s="3" t="str">
        <f t="shared" si="36"/>
        <v>X</v>
      </c>
      <c r="AU15" s="3" t="str">
        <f t="shared" si="36"/>
        <v>X</v>
      </c>
      <c r="AV15" s="3" t="str">
        <f t="shared" si="36"/>
        <v>X</v>
      </c>
      <c r="AW15" s="3" t="str">
        <f t="shared" si="12"/>
        <v>X</v>
      </c>
      <c r="AX15" s="3" t="str">
        <f t="shared" si="13"/>
        <v>X</v>
      </c>
      <c r="AY15" s="3" t="str">
        <f t="shared" si="14"/>
        <v>X</v>
      </c>
      <c r="AZ15" s="3" t="str">
        <f t="shared" si="15"/>
        <v>X</v>
      </c>
      <c r="BA15" s="3">
        <f t="shared" si="37"/>
        <v>16</v>
      </c>
      <c r="BB15" s="3">
        <f t="shared" si="38"/>
        <v>17</v>
      </c>
      <c r="BC15" s="3">
        <f t="shared" si="39"/>
        <v>18</v>
      </c>
      <c r="BD15" s="3">
        <f t="shared" si="40"/>
        <v>19</v>
      </c>
      <c r="BE15" s="9" t="str">
        <f t="shared" si="41"/>
        <v>00000010</v>
      </c>
      <c r="BF15" s="9" t="str">
        <f t="shared" si="42"/>
        <v>00000011</v>
      </c>
      <c r="BG15" s="9" t="str">
        <f t="shared" si="43"/>
        <v>00000012</v>
      </c>
      <c r="BH15" s="9" t="str">
        <f t="shared" si="44"/>
        <v>00000013</v>
      </c>
      <c r="BI15" s="3" t="str">
        <f t="shared" si="45"/>
        <v/>
      </c>
      <c r="BJ15" s="3" t="str">
        <f t="shared" si="46"/>
        <v/>
      </c>
      <c r="BK15" s="3" t="str">
        <f t="shared" si="47"/>
        <v/>
      </c>
      <c r="BL15" s="3" t="str">
        <f t="shared" si="48"/>
        <v/>
      </c>
      <c r="BM15" s="3">
        <f t="shared" si="49"/>
        <v>31</v>
      </c>
      <c r="BN15" s="3">
        <f t="shared" si="50"/>
        <v>23</v>
      </c>
      <c r="BO15" s="3">
        <f t="shared" si="51"/>
        <v>15</v>
      </c>
      <c r="BP15" s="3">
        <f t="shared" si="52"/>
        <v>7</v>
      </c>
      <c r="BQ15" s="3" t="str">
        <f t="shared" si="53"/>
        <v>(31 downto 24)</v>
      </c>
      <c r="BR15" s="3" t="str">
        <f t="shared" si="54"/>
        <v>(23 downto 16)</v>
      </c>
      <c r="BS15" s="3" t="str">
        <f t="shared" si="55"/>
        <v>(15 downto 8)</v>
      </c>
      <c r="BT15" s="3" t="str">
        <f t="shared" si="56"/>
        <v>(7 downto 0)</v>
      </c>
    </row>
    <row r="16" spans="1:73" x14ac:dyDescent="0.25">
      <c r="B16" s="3" t="s">
        <v>146</v>
      </c>
      <c r="C16" s="3" t="s">
        <v>147</v>
      </c>
      <c r="D16" s="3" t="s">
        <v>1</v>
      </c>
      <c r="E16" s="3" t="s">
        <v>114</v>
      </c>
      <c r="F16" s="3" t="s">
        <v>148</v>
      </c>
      <c r="G16" s="3" t="s">
        <v>358</v>
      </c>
      <c r="H16" s="20" t="s">
        <v>149</v>
      </c>
      <c r="I16" s="3" t="s">
        <v>24</v>
      </c>
      <c r="J16" s="3">
        <v>3</v>
      </c>
      <c r="K16" s="3" t="s">
        <v>145</v>
      </c>
      <c r="L16" s="3" t="s">
        <v>23</v>
      </c>
      <c r="M16" s="3">
        <v>5</v>
      </c>
      <c r="N16" s="3" t="str">
        <f t="shared" si="57"/>
        <v>00000005</v>
      </c>
      <c r="O16" s="3">
        <v>2</v>
      </c>
      <c r="P16" s="3">
        <v>0</v>
      </c>
      <c r="Q16" s="3" t="str">
        <f t="shared" si="11"/>
        <v/>
      </c>
      <c r="R16" s="3" t="str">
        <f t="shared" si="58"/>
        <v/>
      </c>
      <c r="S16" s="3" t="str">
        <f t="shared" si="58"/>
        <v/>
      </c>
      <c r="T16" s="3" t="str">
        <f t="shared" si="58"/>
        <v/>
      </c>
      <c r="U16" s="3" t="str">
        <f t="shared" si="58"/>
        <v/>
      </c>
      <c r="V16" s="3" t="str">
        <f t="shared" si="58"/>
        <v/>
      </c>
      <c r="W16" s="3" t="str">
        <f t="shared" si="58"/>
        <v/>
      </c>
      <c r="X16" s="3" t="str">
        <f t="shared" si="58"/>
        <v/>
      </c>
      <c r="Y16" s="3" t="str">
        <f t="shared" si="58"/>
        <v/>
      </c>
      <c r="Z16" s="3" t="str">
        <f t="shared" si="58"/>
        <v/>
      </c>
      <c r="AA16" s="3" t="str">
        <f t="shared" si="58"/>
        <v/>
      </c>
      <c r="AB16" s="3" t="str">
        <f t="shared" si="58"/>
        <v/>
      </c>
      <c r="AC16" s="3" t="str">
        <f t="shared" si="58"/>
        <v/>
      </c>
      <c r="AD16" s="3" t="str">
        <f t="shared" si="58"/>
        <v/>
      </c>
      <c r="AE16" s="3" t="str">
        <f t="shared" si="58"/>
        <v/>
      </c>
      <c r="AF16" s="3" t="str">
        <f t="shared" si="58"/>
        <v/>
      </c>
      <c r="AG16" s="3" t="str">
        <f t="shared" si="58"/>
        <v/>
      </c>
      <c r="AH16" s="3" t="str">
        <f t="shared" si="36"/>
        <v/>
      </c>
      <c r="AI16" s="3" t="str">
        <f t="shared" si="36"/>
        <v/>
      </c>
      <c r="AJ16" s="3" t="str">
        <f t="shared" si="36"/>
        <v/>
      </c>
      <c r="AK16" s="3" t="str">
        <f t="shared" si="36"/>
        <v/>
      </c>
      <c r="AL16" s="3" t="str">
        <f t="shared" si="36"/>
        <v/>
      </c>
      <c r="AM16" s="3" t="str">
        <f t="shared" si="36"/>
        <v/>
      </c>
      <c r="AN16" s="3" t="str">
        <f t="shared" si="36"/>
        <v/>
      </c>
      <c r="AO16" s="3" t="str">
        <f t="shared" si="36"/>
        <v/>
      </c>
      <c r="AP16" s="3" t="str">
        <f t="shared" si="36"/>
        <v/>
      </c>
      <c r="AQ16" s="3" t="str">
        <f t="shared" si="36"/>
        <v/>
      </c>
      <c r="AR16" s="3" t="str">
        <f t="shared" si="36"/>
        <v/>
      </c>
      <c r="AS16" s="3" t="str">
        <f t="shared" si="36"/>
        <v/>
      </c>
      <c r="AT16" s="3" t="str">
        <f t="shared" si="36"/>
        <v>X</v>
      </c>
      <c r="AU16" s="3" t="str">
        <f t="shared" si="36"/>
        <v>X</v>
      </c>
      <c r="AV16" s="3" t="str">
        <f t="shared" si="36"/>
        <v>X</v>
      </c>
      <c r="AW16" s="3" t="str">
        <f t="shared" si="12"/>
        <v/>
      </c>
      <c r="AX16" s="3" t="str">
        <f t="shared" si="13"/>
        <v/>
      </c>
      <c r="AY16" s="3" t="str">
        <f t="shared" si="14"/>
        <v/>
      </c>
      <c r="AZ16" s="3" t="str">
        <f t="shared" si="15"/>
        <v>X</v>
      </c>
      <c r="BA16" s="3" t="str">
        <f t="shared" si="37"/>
        <v/>
      </c>
      <c r="BB16" s="3" t="str">
        <f t="shared" si="38"/>
        <v/>
      </c>
      <c r="BC16" s="3" t="str">
        <f t="shared" si="39"/>
        <v/>
      </c>
      <c r="BD16" s="3">
        <f t="shared" si="40"/>
        <v>23</v>
      </c>
      <c r="BE16" s="9" t="str">
        <f t="shared" si="41"/>
        <v/>
      </c>
      <c r="BF16" s="9" t="str">
        <f t="shared" si="42"/>
        <v/>
      </c>
      <c r="BG16" s="9" t="str">
        <f t="shared" si="43"/>
        <v/>
      </c>
      <c r="BH16" s="9" t="str">
        <f t="shared" si="44"/>
        <v>00000017</v>
      </c>
      <c r="BI16" s="3" t="str">
        <f t="shared" si="45"/>
        <v/>
      </c>
      <c r="BJ16" s="3" t="str">
        <f t="shared" si="46"/>
        <v/>
      </c>
      <c r="BK16" s="3" t="str">
        <f t="shared" si="47"/>
        <v/>
      </c>
      <c r="BL16" s="3" t="str">
        <f t="shared" si="48"/>
        <v>(2 downto 0)</v>
      </c>
      <c r="BM16" s="3" t="str">
        <f t="shared" si="49"/>
        <v/>
      </c>
      <c r="BN16" s="3" t="str">
        <f t="shared" si="50"/>
        <v/>
      </c>
      <c r="BO16" s="3" t="str">
        <f t="shared" si="51"/>
        <v/>
      </c>
      <c r="BP16" s="3">
        <f t="shared" si="52"/>
        <v>2</v>
      </c>
      <c r="BQ16" s="3" t="str">
        <f t="shared" si="53"/>
        <v/>
      </c>
      <c r="BR16" s="3" t="str">
        <f t="shared" si="54"/>
        <v/>
      </c>
      <c r="BS16" s="3" t="str">
        <f t="shared" si="55"/>
        <v/>
      </c>
      <c r="BT16" s="3" t="str">
        <f t="shared" si="56"/>
        <v/>
      </c>
    </row>
    <row r="17" spans="2:72" x14ac:dyDescent="0.25">
      <c r="B17" s="3" t="s">
        <v>150</v>
      </c>
      <c r="C17" s="3" t="s">
        <v>151</v>
      </c>
      <c r="D17" s="3" t="s">
        <v>1</v>
      </c>
      <c r="E17" s="3" t="s">
        <v>114</v>
      </c>
      <c r="F17" s="3" t="s">
        <v>152</v>
      </c>
      <c r="G17" s="3" t="s">
        <v>359</v>
      </c>
      <c r="H17" s="20" t="s">
        <v>153</v>
      </c>
      <c r="I17" s="3" t="s">
        <v>24</v>
      </c>
      <c r="J17" s="3">
        <v>1</v>
      </c>
      <c r="K17" s="3" t="s">
        <v>57</v>
      </c>
      <c r="L17" s="3" t="s">
        <v>23</v>
      </c>
      <c r="M17" s="3">
        <v>6</v>
      </c>
      <c r="N17" s="3" t="str">
        <f t="shared" si="57"/>
        <v>00000006</v>
      </c>
      <c r="O17" s="3">
        <v>0</v>
      </c>
      <c r="P17" s="3">
        <v>0</v>
      </c>
      <c r="Q17" s="3" t="str">
        <f t="shared" si="11"/>
        <v/>
      </c>
      <c r="R17" s="3" t="str">
        <f t="shared" si="58"/>
        <v/>
      </c>
      <c r="S17" s="3" t="str">
        <f t="shared" si="58"/>
        <v/>
      </c>
      <c r="T17" s="3" t="str">
        <f t="shared" si="58"/>
        <v/>
      </c>
      <c r="U17" s="3" t="str">
        <f t="shared" si="58"/>
        <v/>
      </c>
      <c r="V17" s="3" t="str">
        <f t="shared" si="58"/>
        <v/>
      </c>
      <c r="W17" s="3" t="str">
        <f t="shared" si="58"/>
        <v/>
      </c>
      <c r="X17" s="3" t="str">
        <f t="shared" si="58"/>
        <v/>
      </c>
      <c r="Y17" s="3" t="str">
        <f t="shared" si="58"/>
        <v/>
      </c>
      <c r="Z17" s="3" t="str">
        <f t="shared" si="58"/>
        <v/>
      </c>
      <c r="AA17" s="3" t="str">
        <f t="shared" si="58"/>
        <v/>
      </c>
      <c r="AB17" s="3" t="str">
        <f t="shared" si="58"/>
        <v/>
      </c>
      <c r="AC17" s="3" t="str">
        <f t="shared" si="58"/>
        <v/>
      </c>
      <c r="AD17" s="3" t="str">
        <f t="shared" si="58"/>
        <v/>
      </c>
      <c r="AE17" s="3" t="str">
        <f t="shared" si="58"/>
        <v/>
      </c>
      <c r="AF17" s="3" t="str">
        <f t="shared" si="58"/>
        <v/>
      </c>
      <c r="AG17" s="3" t="str">
        <f t="shared" si="58"/>
        <v/>
      </c>
      <c r="AH17" s="3" t="str">
        <f t="shared" si="36"/>
        <v/>
      </c>
      <c r="AI17" s="3" t="str">
        <f t="shared" si="36"/>
        <v/>
      </c>
      <c r="AJ17" s="3" t="str">
        <f t="shared" si="36"/>
        <v/>
      </c>
      <c r="AK17" s="3" t="str">
        <f t="shared" si="36"/>
        <v/>
      </c>
      <c r="AL17" s="3" t="str">
        <f t="shared" si="36"/>
        <v/>
      </c>
      <c r="AM17" s="3" t="str">
        <f t="shared" si="36"/>
        <v/>
      </c>
      <c r="AN17" s="3" t="str">
        <f t="shared" si="36"/>
        <v/>
      </c>
      <c r="AO17" s="3" t="str">
        <f t="shared" si="36"/>
        <v/>
      </c>
      <c r="AP17" s="3" t="str">
        <f t="shared" si="36"/>
        <v/>
      </c>
      <c r="AQ17" s="3" t="str">
        <f t="shared" si="36"/>
        <v/>
      </c>
      <c r="AR17" s="3" t="str">
        <f t="shared" si="36"/>
        <v/>
      </c>
      <c r="AS17" s="3" t="str">
        <f t="shared" si="36"/>
        <v/>
      </c>
      <c r="AT17" s="3" t="str">
        <f t="shared" si="36"/>
        <v/>
      </c>
      <c r="AU17" s="3" t="str">
        <f t="shared" si="36"/>
        <v/>
      </c>
      <c r="AV17" s="3" t="str">
        <f t="shared" si="36"/>
        <v>X</v>
      </c>
      <c r="AW17" s="3" t="str">
        <f t="shared" si="12"/>
        <v/>
      </c>
      <c r="AX17" s="3" t="str">
        <f t="shared" si="13"/>
        <v/>
      </c>
      <c r="AY17" s="3" t="str">
        <f t="shared" si="14"/>
        <v/>
      </c>
      <c r="AZ17" s="3" t="str">
        <f t="shared" si="15"/>
        <v>X</v>
      </c>
      <c r="BA17" s="3" t="str">
        <f t="shared" si="37"/>
        <v/>
      </c>
      <c r="BB17" s="3" t="str">
        <f t="shared" si="38"/>
        <v/>
      </c>
      <c r="BC17" s="3" t="str">
        <f t="shared" si="39"/>
        <v/>
      </c>
      <c r="BD17" s="3">
        <f t="shared" si="40"/>
        <v>27</v>
      </c>
      <c r="BE17" s="9" t="str">
        <f t="shared" si="41"/>
        <v/>
      </c>
      <c r="BF17" s="9" t="str">
        <f t="shared" si="42"/>
        <v/>
      </c>
      <c r="BG17" s="9" t="str">
        <f t="shared" si="43"/>
        <v/>
      </c>
      <c r="BH17" s="9" t="str">
        <f t="shared" si="44"/>
        <v>0000001B</v>
      </c>
      <c r="BI17" s="3" t="str">
        <f t="shared" si="45"/>
        <v/>
      </c>
      <c r="BJ17" s="3" t="str">
        <f t="shared" si="46"/>
        <v/>
      </c>
      <c r="BK17" s="3" t="str">
        <f t="shared" si="47"/>
        <v/>
      </c>
      <c r="BL17" s="3" t="str">
        <f t="shared" si="48"/>
        <v>(0)</v>
      </c>
      <c r="BM17" s="3" t="str">
        <f t="shared" si="49"/>
        <v/>
      </c>
      <c r="BN17" s="3" t="str">
        <f t="shared" si="50"/>
        <v/>
      </c>
      <c r="BO17" s="3" t="str">
        <f t="shared" si="51"/>
        <v/>
      </c>
      <c r="BP17" s="3">
        <f t="shared" si="52"/>
        <v>0</v>
      </c>
      <c r="BQ17" s="3" t="str">
        <f t="shared" si="53"/>
        <v/>
      </c>
      <c r="BR17" s="3" t="str">
        <f t="shared" si="54"/>
        <v/>
      </c>
      <c r="BS17" s="3" t="str">
        <f t="shared" si="55"/>
        <v/>
      </c>
      <c r="BT17" s="3" t="str">
        <f t="shared" si="56"/>
        <v/>
      </c>
    </row>
    <row r="18" spans="2:72" x14ac:dyDescent="0.25">
      <c r="B18" s="3" t="s">
        <v>154</v>
      </c>
      <c r="C18" s="3" t="s">
        <v>155</v>
      </c>
      <c r="D18" s="3" t="s">
        <v>1</v>
      </c>
      <c r="E18" s="3" t="s">
        <v>114</v>
      </c>
      <c r="F18" s="3" t="s">
        <v>156</v>
      </c>
      <c r="G18" s="3" t="s">
        <v>360</v>
      </c>
      <c r="H18" s="20" t="s">
        <v>157</v>
      </c>
      <c r="I18" s="3" t="s">
        <v>24</v>
      </c>
      <c r="J18" s="3">
        <v>3</v>
      </c>
      <c r="K18" s="3" t="s">
        <v>139</v>
      </c>
      <c r="L18" s="3" t="s">
        <v>23</v>
      </c>
      <c r="M18" s="3">
        <v>65</v>
      </c>
      <c r="N18" s="3" t="str">
        <f t="shared" si="57"/>
        <v>00000041</v>
      </c>
      <c r="O18" s="3">
        <v>26</v>
      </c>
      <c r="P18" s="3">
        <v>24</v>
      </c>
      <c r="Q18" s="3" t="str">
        <f t="shared" si="11"/>
        <v/>
      </c>
      <c r="R18" s="3" t="str">
        <f t="shared" si="58"/>
        <v/>
      </c>
      <c r="S18" s="3" t="str">
        <f t="shared" si="58"/>
        <v/>
      </c>
      <c r="T18" s="3" t="str">
        <f t="shared" si="58"/>
        <v/>
      </c>
      <c r="U18" s="3" t="str">
        <f t="shared" si="58"/>
        <v/>
      </c>
      <c r="V18" s="3" t="str">
        <f t="shared" si="58"/>
        <v>X</v>
      </c>
      <c r="W18" s="3" t="str">
        <f t="shared" si="58"/>
        <v>X</v>
      </c>
      <c r="X18" s="3" t="str">
        <f t="shared" si="58"/>
        <v>X</v>
      </c>
      <c r="Y18" s="3" t="str">
        <f t="shared" si="58"/>
        <v/>
      </c>
      <c r="Z18" s="3" t="str">
        <f t="shared" si="58"/>
        <v/>
      </c>
      <c r="AA18" s="3" t="str">
        <f t="shared" si="58"/>
        <v/>
      </c>
      <c r="AB18" s="3" t="str">
        <f t="shared" si="58"/>
        <v/>
      </c>
      <c r="AC18" s="3" t="str">
        <f t="shared" si="58"/>
        <v/>
      </c>
      <c r="AD18" s="3" t="str">
        <f t="shared" si="58"/>
        <v/>
      </c>
      <c r="AE18" s="3" t="str">
        <f t="shared" si="58"/>
        <v/>
      </c>
      <c r="AF18" s="3" t="str">
        <f t="shared" si="58"/>
        <v/>
      </c>
      <c r="AG18" s="3" t="str">
        <f t="shared" si="58"/>
        <v/>
      </c>
      <c r="AH18" s="3" t="str">
        <f t="shared" si="36"/>
        <v/>
      </c>
      <c r="AI18" s="3" t="str">
        <f t="shared" si="36"/>
        <v/>
      </c>
      <c r="AJ18" s="3" t="str">
        <f t="shared" si="36"/>
        <v/>
      </c>
      <c r="AK18" s="3" t="str">
        <f t="shared" si="36"/>
        <v/>
      </c>
      <c r="AL18" s="3" t="str">
        <f t="shared" si="36"/>
        <v/>
      </c>
      <c r="AM18" s="3" t="str">
        <f t="shared" si="36"/>
        <v/>
      </c>
      <c r="AN18" s="3" t="str">
        <f t="shared" si="36"/>
        <v/>
      </c>
      <c r="AO18" s="3" t="str">
        <f t="shared" si="36"/>
        <v/>
      </c>
      <c r="AP18" s="3" t="str">
        <f t="shared" si="36"/>
        <v/>
      </c>
      <c r="AQ18" s="3" t="str">
        <f t="shared" si="36"/>
        <v/>
      </c>
      <c r="AR18" s="3" t="str">
        <f t="shared" si="36"/>
        <v/>
      </c>
      <c r="AS18" s="3" t="str">
        <f t="shared" si="36"/>
        <v/>
      </c>
      <c r="AT18" s="3" t="str">
        <f t="shared" si="36"/>
        <v/>
      </c>
      <c r="AU18" s="3" t="str">
        <f t="shared" si="36"/>
        <v/>
      </c>
      <c r="AV18" s="3" t="str">
        <f t="shared" si="36"/>
        <v/>
      </c>
      <c r="AW18" s="3" t="str">
        <f t="shared" si="12"/>
        <v>X</v>
      </c>
      <c r="AX18" s="3" t="str">
        <f t="shared" si="13"/>
        <v/>
      </c>
      <c r="AY18" s="3" t="str">
        <f t="shared" si="14"/>
        <v/>
      </c>
      <c r="AZ18" s="3" t="str">
        <f t="shared" si="15"/>
        <v/>
      </c>
      <c r="BA18" s="3">
        <f t="shared" si="37"/>
        <v>260</v>
      </c>
      <c r="BB18" s="3" t="str">
        <f t="shared" si="38"/>
        <v/>
      </c>
      <c r="BC18" s="3" t="str">
        <f t="shared" si="39"/>
        <v/>
      </c>
      <c r="BD18" s="3" t="str">
        <f t="shared" si="40"/>
        <v/>
      </c>
      <c r="BE18" s="9" t="str">
        <f t="shared" si="41"/>
        <v>00000104</v>
      </c>
      <c r="BF18" s="9" t="str">
        <f t="shared" si="42"/>
        <v/>
      </c>
      <c r="BG18" s="9" t="str">
        <f t="shared" si="43"/>
        <v/>
      </c>
      <c r="BH18" s="9" t="str">
        <f t="shared" si="44"/>
        <v/>
      </c>
      <c r="BI18" s="3" t="str">
        <f t="shared" si="45"/>
        <v>(2 downto 0)</v>
      </c>
      <c r="BJ18" s="3" t="str">
        <f t="shared" si="46"/>
        <v/>
      </c>
      <c r="BK18" s="3" t="str">
        <f t="shared" si="47"/>
        <v/>
      </c>
      <c r="BL18" s="3" t="str">
        <f t="shared" si="48"/>
        <v/>
      </c>
      <c r="BM18" s="3">
        <f t="shared" si="49"/>
        <v>2</v>
      </c>
      <c r="BN18" s="3" t="str">
        <f t="shared" si="50"/>
        <v/>
      </c>
      <c r="BO18" s="3" t="str">
        <f t="shared" si="51"/>
        <v/>
      </c>
      <c r="BP18" s="3" t="str">
        <f t="shared" si="52"/>
        <v/>
      </c>
      <c r="BQ18" s="3" t="str">
        <f t="shared" si="53"/>
        <v/>
      </c>
      <c r="BR18" s="3" t="str">
        <f t="shared" si="54"/>
        <v/>
      </c>
      <c r="BS18" s="3" t="str">
        <f t="shared" si="55"/>
        <v/>
      </c>
      <c r="BT18" s="3" t="str">
        <f t="shared" si="56"/>
        <v/>
      </c>
    </row>
    <row r="19" spans="2:72" x14ac:dyDescent="0.25">
      <c r="B19" s="3" t="s">
        <v>154</v>
      </c>
      <c r="C19" s="3" t="s">
        <v>158</v>
      </c>
      <c r="D19" s="3" t="s">
        <v>1</v>
      </c>
      <c r="E19" s="3" t="s">
        <v>114</v>
      </c>
      <c r="F19" s="3" t="s">
        <v>156</v>
      </c>
      <c r="G19" s="3" t="s">
        <v>360</v>
      </c>
      <c r="H19" s="20" t="s">
        <v>159</v>
      </c>
      <c r="I19" s="3" t="s">
        <v>24</v>
      </c>
      <c r="J19" s="3">
        <v>3</v>
      </c>
      <c r="K19" s="3" t="s">
        <v>139</v>
      </c>
      <c r="L19" s="3" t="s">
        <v>23</v>
      </c>
      <c r="M19" s="3">
        <v>65</v>
      </c>
      <c r="N19" s="3" t="str">
        <f t="shared" si="57"/>
        <v>00000041</v>
      </c>
      <c r="O19" s="3">
        <v>18</v>
      </c>
      <c r="P19" s="3">
        <v>16</v>
      </c>
      <c r="Q19" s="3" t="str">
        <f t="shared" si="11"/>
        <v/>
      </c>
      <c r="R19" s="3" t="str">
        <f t="shared" si="58"/>
        <v/>
      </c>
      <c r="S19" s="3" t="str">
        <f t="shared" si="58"/>
        <v/>
      </c>
      <c r="T19" s="3" t="str">
        <f t="shared" si="58"/>
        <v/>
      </c>
      <c r="U19" s="3" t="str">
        <f t="shared" si="58"/>
        <v/>
      </c>
      <c r="V19" s="3" t="str">
        <f t="shared" si="58"/>
        <v/>
      </c>
      <c r="W19" s="3" t="str">
        <f t="shared" si="58"/>
        <v/>
      </c>
      <c r="X19" s="3" t="str">
        <f t="shared" si="58"/>
        <v/>
      </c>
      <c r="Y19" s="3" t="str">
        <f t="shared" si="58"/>
        <v/>
      </c>
      <c r="Z19" s="3" t="str">
        <f t="shared" si="58"/>
        <v/>
      </c>
      <c r="AA19" s="3" t="str">
        <f t="shared" si="58"/>
        <v/>
      </c>
      <c r="AB19" s="3" t="str">
        <f t="shared" si="58"/>
        <v/>
      </c>
      <c r="AC19" s="3" t="str">
        <f t="shared" si="58"/>
        <v/>
      </c>
      <c r="AD19" s="3" t="str">
        <f t="shared" si="58"/>
        <v>X</v>
      </c>
      <c r="AE19" s="3" t="str">
        <f t="shared" si="58"/>
        <v>X</v>
      </c>
      <c r="AF19" s="3" t="str">
        <f t="shared" si="58"/>
        <v>X</v>
      </c>
      <c r="AG19" s="3" t="str">
        <f t="shared" si="58"/>
        <v/>
      </c>
      <c r="AH19" s="3" t="str">
        <f t="shared" si="36"/>
        <v/>
      </c>
      <c r="AI19" s="3" t="str">
        <f t="shared" si="36"/>
        <v/>
      </c>
      <c r="AJ19" s="3" t="str">
        <f t="shared" si="36"/>
        <v/>
      </c>
      <c r="AK19" s="3" t="str">
        <f t="shared" si="36"/>
        <v/>
      </c>
      <c r="AL19" s="3" t="str">
        <f t="shared" si="36"/>
        <v/>
      </c>
      <c r="AM19" s="3" t="str">
        <f t="shared" si="36"/>
        <v/>
      </c>
      <c r="AN19" s="3" t="str">
        <f t="shared" si="36"/>
        <v/>
      </c>
      <c r="AO19" s="3" t="str">
        <f t="shared" si="36"/>
        <v/>
      </c>
      <c r="AP19" s="3" t="str">
        <f t="shared" si="36"/>
        <v/>
      </c>
      <c r="AQ19" s="3" t="str">
        <f t="shared" si="36"/>
        <v/>
      </c>
      <c r="AR19" s="3" t="str">
        <f t="shared" si="36"/>
        <v/>
      </c>
      <c r="AS19" s="3" t="str">
        <f t="shared" si="36"/>
        <v/>
      </c>
      <c r="AT19" s="3" t="str">
        <f t="shared" si="36"/>
        <v/>
      </c>
      <c r="AU19" s="3" t="str">
        <f t="shared" si="36"/>
        <v/>
      </c>
      <c r="AV19" s="3" t="str">
        <f t="shared" si="36"/>
        <v/>
      </c>
      <c r="AW19" s="3" t="str">
        <f t="shared" si="12"/>
        <v/>
      </c>
      <c r="AX19" s="3" t="str">
        <f t="shared" si="13"/>
        <v>X</v>
      </c>
      <c r="AY19" s="3" t="str">
        <f t="shared" si="14"/>
        <v/>
      </c>
      <c r="AZ19" s="3" t="str">
        <f t="shared" si="15"/>
        <v/>
      </c>
      <c r="BA19" s="3" t="str">
        <f t="shared" si="37"/>
        <v/>
      </c>
      <c r="BB19" s="3">
        <f t="shared" si="38"/>
        <v>261</v>
      </c>
      <c r="BC19" s="3" t="str">
        <f t="shared" si="39"/>
        <v/>
      </c>
      <c r="BD19" s="3" t="str">
        <f t="shared" si="40"/>
        <v/>
      </c>
      <c r="BE19" s="9" t="str">
        <f t="shared" si="41"/>
        <v/>
      </c>
      <c r="BF19" s="9" t="str">
        <f t="shared" si="42"/>
        <v>00000105</v>
      </c>
      <c r="BG19" s="9" t="str">
        <f t="shared" si="43"/>
        <v/>
      </c>
      <c r="BH19" s="9" t="str">
        <f t="shared" si="44"/>
        <v/>
      </c>
      <c r="BI19" s="3" t="str">
        <f t="shared" si="45"/>
        <v/>
      </c>
      <c r="BJ19" s="3" t="str">
        <f t="shared" si="46"/>
        <v>(2 downto 0)</v>
      </c>
      <c r="BK19" s="3" t="str">
        <f t="shared" si="47"/>
        <v/>
      </c>
      <c r="BL19" s="3" t="str">
        <f t="shared" si="48"/>
        <v/>
      </c>
      <c r="BM19" s="3" t="str">
        <f t="shared" si="49"/>
        <v/>
      </c>
      <c r="BN19" s="3">
        <f t="shared" si="50"/>
        <v>2</v>
      </c>
      <c r="BO19" s="3" t="str">
        <f t="shared" si="51"/>
        <v/>
      </c>
      <c r="BP19" s="3" t="str">
        <f t="shared" si="52"/>
        <v/>
      </c>
      <c r="BQ19" s="3" t="str">
        <f t="shared" si="53"/>
        <v/>
      </c>
      <c r="BR19" s="3" t="str">
        <f t="shared" si="54"/>
        <v/>
      </c>
      <c r="BS19" s="3" t="str">
        <f t="shared" si="55"/>
        <v/>
      </c>
      <c r="BT19" s="3" t="str">
        <f t="shared" si="56"/>
        <v/>
      </c>
    </row>
    <row r="20" spans="2:72" x14ac:dyDescent="0.25">
      <c r="B20" s="3" t="s">
        <v>154</v>
      </c>
      <c r="C20" s="3" t="s">
        <v>160</v>
      </c>
      <c r="D20" s="3" t="s">
        <v>1</v>
      </c>
      <c r="E20" s="3" t="s">
        <v>114</v>
      </c>
      <c r="F20" s="3" t="s">
        <v>156</v>
      </c>
      <c r="G20" s="3" t="s">
        <v>360</v>
      </c>
      <c r="H20" s="20" t="s">
        <v>161</v>
      </c>
      <c r="I20" s="3" t="s">
        <v>24</v>
      </c>
      <c r="J20" s="3">
        <v>3</v>
      </c>
      <c r="K20" s="3" t="s">
        <v>139</v>
      </c>
      <c r="L20" s="3" t="s">
        <v>23</v>
      </c>
      <c r="M20" s="3">
        <v>65</v>
      </c>
      <c r="N20" s="3" t="str">
        <f t="shared" si="57"/>
        <v>00000041</v>
      </c>
      <c r="O20" s="3">
        <v>10</v>
      </c>
      <c r="P20" s="3">
        <v>8</v>
      </c>
      <c r="Q20" s="3" t="str">
        <f t="shared" si="11"/>
        <v/>
      </c>
      <c r="R20" s="3" t="str">
        <f t="shared" si="58"/>
        <v/>
      </c>
      <c r="S20" s="3" t="str">
        <f t="shared" si="58"/>
        <v/>
      </c>
      <c r="T20" s="3" t="str">
        <f t="shared" si="58"/>
        <v/>
      </c>
      <c r="U20" s="3" t="str">
        <f t="shared" si="58"/>
        <v/>
      </c>
      <c r="V20" s="3" t="str">
        <f t="shared" si="58"/>
        <v/>
      </c>
      <c r="W20" s="3" t="str">
        <f t="shared" si="58"/>
        <v/>
      </c>
      <c r="X20" s="3" t="str">
        <f t="shared" si="58"/>
        <v/>
      </c>
      <c r="Y20" s="3" t="str">
        <f t="shared" si="58"/>
        <v/>
      </c>
      <c r="Z20" s="3" t="str">
        <f t="shared" si="58"/>
        <v/>
      </c>
      <c r="AA20" s="3" t="str">
        <f t="shared" si="58"/>
        <v/>
      </c>
      <c r="AB20" s="3" t="str">
        <f t="shared" si="58"/>
        <v/>
      </c>
      <c r="AC20" s="3" t="str">
        <f t="shared" si="58"/>
        <v/>
      </c>
      <c r="AD20" s="3" t="str">
        <f t="shared" si="58"/>
        <v/>
      </c>
      <c r="AE20" s="3" t="str">
        <f t="shared" si="58"/>
        <v/>
      </c>
      <c r="AF20" s="3" t="str">
        <f t="shared" si="58"/>
        <v/>
      </c>
      <c r="AG20" s="3" t="str">
        <f t="shared" si="58"/>
        <v/>
      </c>
      <c r="AH20" s="3" t="str">
        <f t="shared" si="36"/>
        <v/>
      </c>
      <c r="AI20" s="3" t="str">
        <f t="shared" si="36"/>
        <v/>
      </c>
      <c r="AJ20" s="3" t="str">
        <f t="shared" si="36"/>
        <v/>
      </c>
      <c r="AK20" s="3" t="str">
        <f t="shared" si="36"/>
        <v/>
      </c>
      <c r="AL20" s="3" t="str">
        <f t="shared" si="36"/>
        <v>X</v>
      </c>
      <c r="AM20" s="3" t="str">
        <f t="shared" si="36"/>
        <v>X</v>
      </c>
      <c r="AN20" s="3" t="str">
        <f t="shared" si="36"/>
        <v>X</v>
      </c>
      <c r="AO20" s="3" t="str">
        <f t="shared" si="36"/>
        <v/>
      </c>
      <c r="AP20" s="3" t="str">
        <f t="shared" si="36"/>
        <v/>
      </c>
      <c r="AQ20" s="3" t="str">
        <f t="shared" si="36"/>
        <v/>
      </c>
      <c r="AR20" s="3" t="str">
        <f t="shared" si="36"/>
        <v/>
      </c>
      <c r="AS20" s="3" t="str">
        <f t="shared" si="36"/>
        <v/>
      </c>
      <c r="AT20" s="3" t="str">
        <f t="shared" si="36"/>
        <v/>
      </c>
      <c r="AU20" s="3" t="str">
        <f t="shared" si="36"/>
        <v/>
      </c>
      <c r="AV20" s="3" t="str">
        <f t="shared" si="36"/>
        <v/>
      </c>
      <c r="AW20" s="3" t="str">
        <f t="shared" si="12"/>
        <v/>
      </c>
      <c r="AX20" s="3" t="str">
        <f t="shared" si="13"/>
        <v/>
      </c>
      <c r="AY20" s="3" t="str">
        <f t="shared" si="14"/>
        <v>X</v>
      </c>
      <c r="AZ20" s="3" t="str">
        <f t="shared" si="15"/>
        <v/>
      </c>
      <c r="BA20" s="3" t="str">
        <f t="shared" si="37"/>
        <v/>
      </c>
      <c r="BB20" s="3" t="str">
        <f t="shared" si="38"/>
        <v/>
      </c>
      <c r="BC20" s="3">
        <f t="shared" si="39"/>
        <v>262</v>
      </c>
      <c r="BD20" s="3" t="str">
        <f t="shared" si="40"/>
        <v/>
      </c>
      <c r="BE20" s="9" t="str">
        <f t="shared" si="41"/>
        <v/>
      </c>
      <c r="BF20" s="9" t="str">
        <f t="shared" si="42"/>
        <v/>
      </c>
      <c r="BG20" s="9" t="str">
        <f t="shared" si="43"/>
        <v>00000106</v>
      </c>
      <c r="BH20" s="9" t="str">
        <f t="shared" si="44"/>
        <v/>
      </c>
      <c r="BI20" s="3" t="str">
        <f t="shared" si="45"/>
        <v/>
      </c>
      <c r="BJ20" s="3" t="str">
        <f t="shared" si="46"/>
        <v/>
      </c>
      <c r="BK20" s="3" t="str">
        <f t="shared" si="47"/>
        <v>(2 downto 0)</v>
      </c>
      <c r="BL20" s="3" t="str">
        <f t="shared" si="48"/>
        <v/>
      </c>
      <c r="BM20" s="3" t="str">
        <f t="shared" si="49"/>
        <v/>
      </c>
      <c r="BN20" s="3" t="str">
        <f t="shared" si="50"/>
        <v/>
      </c>
      <c r="BO20" s="3">
        <f t="shared" si="51"/>
        <v>2</v>
      </c>
      <c r="BP20" s="3" t="str">
        <f t="shared" si="52"/>
        <v/>
      </c>
      <c r="BQ20" s="3" t="str">
        <f t="shared" si="53"/>
        <v/>
      </c>
      <c r="BR20" s="3" t="str">
        <f t="shared" si="54"/>
        <v/>
      </c>
      <c r="BS20" s="3" t="str">
        <f t="shared" si="55"/>
        <v/>
      </c>
      <c r="BT20" s="3" t="str">
        <f t="shared" si="56"/>
        <v/>
      </c>
    </row>
    <row r="21" spans="2:72" x14ac:dyDescent="0.25">
      <c r="B21" s="3" t="s">
        <v>154</v>
      </c>
      <c r="C21" s="3" t="s">
        <v>162</v>
      </c>
      <c r="D21" s="3" t="s">
        <v>1</v>
      </c>
      <c r="E21" s="3" t="s">
        <v>114</v>
      </c>
      <c r="F21" s="3" t="s">
        <v>156</v>
      </c>
      <c r="G21" s="3" t="s">
        <v>360</v>
      </c>
      <c r="H21" s="20" t="s">
        <v>163</v>
      </c>
      <c r="I21" s="3" t="s">
        <v>24</v>
      </c>
      <c r="J21" s="3">
        <v>3</v>
      </c>
      <c r="K21" s="3" t="s">
        <v>139</v>
      </c>
      <c r="L21" s="3" t="s">
        <v>23</v>
      </c>
      <c r="M21" s="3">
        <v>65</v>
      </c>
      <c r="N21" s="3" t="str">
        <f t="shared" si="57"/>
        <v>00000041</v>
      </c>
      <c r="O21" s="3">
        <v>2</v>
      </c>
      <c r="P21" s="3">
        <v>0</v>
      </c>
      <c r="Q21" s="3" t="str">
        <f t="shared" si="11"/>
        <v/>
      </c>
      <c r="R21" s="3" t="str">
        <f t="shared" si="58"/>
        <v/>
      </c>
      <c r="S21" s="3" t="str">
        <f t="shared" si="58"/>
        <v/>
      </c>
      <c r="T21" s="3" t="str">
        <f t="shared" si="58"/>
        <v/>
      </c>
      <c r="U21" s="3" t="str">
        <f t="shared" si="58"/>
        <v/>
      </c>
      <c r="V21" s="3" t="str">
        <f t="shared" si="58"/>
        <v/>
      </c>
      <c r="W21" s="3" t="str">
        <f t="shared" si="58"/>
        <v/>
      </c>
      <c r="X21" s="3" t="str">
        <f t="shared" si="58"/>
        <v/>
      </c>
      <c r="Y21" s="3" t="str">
        <f t="shared" si="58"/>
        <v/>
      </c>
      <c r="Z21" s="3" t="str">
        <f t="shared" si="58"/>
        <v/>
      </c>
      <c r="AA21" s="3" t="str">
        <f t="shared" si="58"/>
        <v/>
      </c>
      <c r="AB21" s="3" t="str">
        <f t="shared" si="58"/>
        <v/>
      </c>
      <c r="AC21" s="3" t="str">
        <f t="shared" si="58"/>
        <v/>
      </c>
      <c r="AD21" s="3" t="str">
        <f t="shared" si="58"/>
        <v/>
      </c>
      <c r="AE21" s="3" t="str">
        <f t="shared" si="58"/>
        <v/>
      </c>
      <c r="AF21" s="3" t="str">
        <f t="shared" si="58"/>
        <v/>
      </c>
      <c r="AG21" s="3" t="str">
        <f t="shared" si="58"/>
        <v/>
      </c>
      <c r="AH21" s="3" t="str">
        <f t="shared" si="36"/>
        <v/>
      </c>
      <c r="AI21" s="3" t="str">
        <f t="shared" si="36"/>
        <v/>
      </c>
      <c r="AJ21" s="3" t="str">
        <f t="shared" si="36"/>
        <v/>
      </c>
      <c r="AK21" s="3" t="str">
        <f t="shared" si="36"/>
        <v/>
      </c>
      <c r="AL21" s="3" t="str">
        <f t="shared" si="36"/>
        <v/>
      </c>
      <c r="AM21" s="3" t="str">
        <f t="shared" si="36"/>
        <v/>
      </c>
      <c r="AN21" s="3" t="str">
        <f t="shared" si="36"/>
        <v/>
      </c>
      <c r="AO21" s="3" t="str">
        <f t="shared" si="36"/>
        <v/>
      </c>
      <c r="AP21" s="3" t="str">
        <f t="shared" si="36"/>
        <v/>
      </c>
      <c r="AQ21" s="3" t="str">
        <f t="shared" si="36"/>
        <v/>
      </c>
      <c r="AR21" s="3" t="str">
        <f t="shared" si="36"/>
        <v/>
      </c>
      <c r="AS21" s="3" t="str">
        <f t="shared" si="36"/>
        <v/>
      </c>
      <c r="AT21" s="3" t="str">
        <f t="shared" si="36"/>
        <v>X</v>
      </c>
      <c r="AU21" s="3" t="str">
        <f t="shared" si="36"/>
        <v>X</v>
      </c>
      <c r="AV21" s="3" t="str">
        <f t="shared" si="36"/>
        <v>X</v>
      </c>
      <c r="AW21" s="3" t="str">
        <f t="shared" si="12"/>
        <v/>
      </c>
      <c r="AX21" s="3" t="str">
        <f t="shared" si="13"/>
        <v/>
      </c>
      <c r="AY21" s="3" t="str">
        <f t="shared" si="14"/>
        <v/>
      </c>
      <c r="AZ21" s="3" t="str">
        <f t="shared" si="15"/>
        <v>X</v>
      </c>
      <c r="BA21" s="3" t="str">
        <f t="shared" si="37"/>
        <v/>
      </c>
      <c r="BB21" s="3" t="str">
        <f t="shared" si="38"/>
        <v/>
      </c>
      <c r="BC21" s="3" t="str">
        <f t="shared" si="39"/>
        <v/>
      </c>
      <c r="BD21" s="3">
        <f t="shared" si="40"/>
        <v>263</v>
      </c>
      <c r="BE21" s="9" t="str">
        <f t="shared" si="41"/>
        <v/>
      </c>
      <c r="BF21" s="9" t="str">
        <f t="shared" si="42"/>
        <v/>
      </c>
      <c r="BG21" s="9" t="str">
        <f t="shared" si="43"/>
        <v/>
      </c>
      <c r="BH21" s="9" t="str">
        <f t="shared" si="44"/>
        <v>00000107</v>
      </c>
      <c r="BI21" s="3" t="str">
        <f t="shared" si="45"/>
        <v/>
      </c>
      <c r="BJ21" s="3" t="str">
        <f t="shared" si="46"/>
        <v/>
      </c>
      <c r="BK21" s="3" t="str">
        <f t="shared" si="47"/>
        <v/>
      </c>
      <c r="BL21" s="3" t="str">
        <f t="shared" si="48"/>
        <v>(2 downto 0)</v>
      </c>
      <c r="BM21" s="3" t="str">
        <f t="shared" si="49"/>
        <v/>
      </c>
      <c r="BN21" s="3" t="str">
        <f t="shared" si="50"/>
        <v/>
      </c>
      <c r="BO21" s="3" t="str">
        <f t="shared" si="51"/>
        <v/>
      </c>
      <c r="BP21" s="3">
        <f t="shared" si="52"/>
        <v>2</v>
      </c>
      <c r="BQ21" s="3" t="str">
        <f t="shared" si="53"/>
        <v/>
      </c>
      <c r="BR21" s="3" t="str">
        <f t="shared" si="54"/>
        <v/>
      </c>
      <c r="BS21" s="3" t="str">
        <f t="shared" si="55"/>
        <v/>
      </c>
      <c r="BT21" s="3" t="str">
        <f t="shared" si="56"/>
        <v/>
      </c>
    </row>
    <row r="22" spans="2:72" x14ac:dyDescent="0.25">
      <c r="B22" s="3" t="s">
        <v>154</v>
      </c>
      <c r="C22" s="3" t="s">
        <v>164</v>
      </c>
      <c r="D22" s="3" t="s">
        <v>1</v>
      </c>
      <c r="E22" s="3" t="s">
        <v>114</v>
      </c>
      <c r="F22" s="3" t="s">
        <v>156</v>
      </c>
      <c r="G22" s="3" t="s">
        <v>360</v>
      </c>
      <c r="H22" s="20" t="s">
        <v>165</v>
      </c>
      <c r="I22" s="3" t="s">
        <v>24</v>
      </c>
      <c r="J22" s="3">
        <v>3</v>
      </c>
      <c r="K22" s="3" t="s">
        <v>139</v>
      </c>
      <c r="L22" s="3" t="s">
        <v>23</v>
      </c>
      <c r="M22" s="3">
        <v>66</v>
      </c>
      <c r="N22" s="3" t="str">
        <f t="shared" si="57"/>
        <v>00000042</v>
      </c>
      <c r="O22" s="3">
        <v>26</v>
      </c>
      <c r="P22" s="3">
        <v>24</v>
      </c>
      <c r="Q22" s="3" t="str">
        <f t="shared" si="11"/>
        <v/>
      </c>
      <c r="R22" s="3" t="str">
        <f t="shared" si="58"/>
        <v/>
      </c>
      <c r="S22" s="3" t="str">
        <f t="shared" si="58"/>
        <v/>
      </c>
      <c r="T22" s="3" t="str">
        <f t="shared" si="58"/>
        <v/>
      </c>
      <c r="U22" s="3" t="str">
        <f t="shared" si="58"/>
        <v/>
      </c>
      <c r="V22" s="3" t="str">
        <f t="shared" si="58"/>
        <v>X</v>
      </c>
      <c r="W22" s="3" t="str">
        <f t="shared" si="58"/>
        <v>X</v>
      </c>
      <c r="X22" s="3" t="str">
        <f t="shared" si="58"/>
        <v>X</v>
      </c>
      <c r="Y22" s="3" t="str">
        <f t="shared" si="58"/>
        <v/>
      </c>
      <c r="Z22" s="3" t="str">
        <f t="shared" si="58"/>
        <v/>
      </c>
      <c r="AA22" s="3" t="str">
        <f t="shared" si="58"/>
        <v/>
      </c>
      <c r="AB22" s="3" t="str">
        <f t="shared" si="58"/>
        <v/>
      </c>
      <c r="AC22" s="3" t="str">
        <f t="shared" si="58"/>
        <v/>
      </c>
      <c r="AD22" s="3" t="str">
        <f t="shared" si="58"/>
        <v/>
      </c>
      <c r="AE22" s="3" t="str">
        <f t="shared" si="58"/>
        <v/>
      </c>
      <c r="AF22" s="3" t="str">
        <f t="shared" si="58"/>
        <v/>
      </c>
      <c r="AG22" s="3" t="str">
        <f t="shared" si="58"/>
        <v/>
      </c>
      <c r="AH22" s="3" t="str">
        <f t="shared" si="36"/>
        <v/>
      </c>
      <c r="AI22" s="3" t="str">
        <f t="shared" si="36"/>
        <v/>
      </c>
      <c r="AJ22" s="3" t="str">
        <f t="shared" si="36"/>
        <v/>
      </c>
      <c r="AK22" s="3" t="str">
        <f t="shared" si="36"/>
        <v/>
      </c>
      <c r="AL22" s="3" t="str">
        <f t="shared" si="36"/>
        <v/>
      </c>
      <c r="AM22" s="3" t="str">
        <f t="shared" si="36"/>
        <v/>
      </c>
      <c r="AN22" s="3" t="str">
        <f t="shared" si="36"/>
        <v/>
      </c>
      <c r="AO22" s="3" t="str">
        <f t="shared" si="36"/>
        <v/>
      </c>
      <c r="AP22" s="3" t="str">
        <f t="shared" si="36"/>
        <v/>
      </c>
      <c r="AQ22" s="3" t="str">
        <f t="shared" si="36"/>
        <v/>
      </c>
      <c r="AR22" s="3" t="str">
        <f t="shared" si="36"/>
        <v/>
      </c>
      <c r="AS22" s="3" t="str">
        <f t="shared" si="36"/>
        <v/>
      </c>
      <c r="AT22" s="3" t="str">
        <f t="shared" si="36"/>
        <v/>
      </c>
      <c r="AU22" s="3" t="str">
        <f t="shared" si="36"/>
        <v/>
      </c>
      <c r="AV22" s="3" t="str">
        <f t="shared" si="36"/>
        <v/>
      </c>
      <c r="AW22" s="3" t="str">
        <f t="shared" si="12"/>
        <v>X</v>
      </c>
      <c r="AX22" s="3" t="str">
        <f t="shared" si="13"/>
        <v/>
      </c>
      <c r="AY22" s="3" t="str">
        <f t="shared" si="14"/>
        <v/>
      </c>
      <c r="AZ22" s="3" t="str">
        <f t="shared" si="15"/>
        <v/>
      </c>
      <c r="BA22" s="3">
        <f t="shared" si="37"/>
        <v>264</v>
      </c>
      <c r="BB22" s="3" t="str">
        <f t="shared" si="38"/>
        <v/>
      </c>
      <c r="BC22" s="3" t="str">
        <f t="shared" si="39"/>
        <v/>
      </c>
      <c r="BD22" s="3" t="str">
        <f t="shared" si="40"/>
        <v/>
      </c>
      <c r="BE22" s="9" t="str">
        <f t="shared" si="41"/>
        <v>00000108</v>
      </c>
      <c r="BF22" s="9" t="str">
        <f t="shared" si="42"/>
        <v/>
      </c>
      <c r="BG22" s="9" t="str">
        <f t="shared" si="43"/>
        <v/>
      </c>
      <c r="BH22" s="9" t="str">
        <f t="shared" si="44"/>
        <v/>
      </c>
      <c r="BI22" s="3" t="str">
        <f t="shared" si="45"/>
        <v>(2 downto 0)</v>
      </c>
      <c r="BJ22" s="3" t="str">
        <f t="shared" si="46"/>
        <v/>
      </c>
      <c r="BK22" s="3" t="str">
        <f t="shared" si="47"/>
        <v/>
      </c>
      <c r="BL22" s="3" t="str">
        <f t="shared" si="48"/>
        <v/>
      </c>
      <c r="BM22" s="3">
        <f t="shared" si="49"/>
        <v>2</v>
      </c>
      <c r="BN22" s="3" t="str">
        <f t="shared" si="50"/>
        <v/>
      </c>
      <c r="BO22" s="3" t="str">
        <f t="shared" si="51"/>
        <v/>
      </c>
      <c r="BP22" s="3" t="str">
        <f t="shared" si="52"/>
        <v/>
      </c>
      <c r="BQ22" s="3" t="str">
        <f t="shared" si="53"/>
        <v/>
      </c>
      <c r="BR22" s="3" t="str">
        <f t="shared" si="54"/>
        <v/>
      </c>
      <c r="BS22" s="3" t="str">
        <f t="shared" si="55"/>
        <v/>
      </c>
      <c r="BT22" s="3" t="str">
        <f t="shared" si="56"/>
        <v/>
      </c>
    </row>
    <row r="23" spans="2:72" x14ac:dyDescent="0.25">
      <c r="B23" s="3" t="s">
        <v>154</v>
      </c>
      <c r="C23" s="3" t="s">
        <v>166</v>
      </c>
      <c r="D23" s="3" t="s">
        <v>1</v>
      </c>
      <c r="E23" s="3" t="s">
        <v>114</v>
      </c>
      <c r="F23" s="3" t="s">
        <v>156</v>
      </c>
      <c r="G23" s="3" t="s">
        <v>360</v>
      </c>
      <c r="H23" s="20" t="s">
        <v>167</v>
      </c>
      <c r="I23" s="3" t="s">
        <v>24</v>
      </c>
      <c r="J23" s="3">
        <v>3</v>
      </c>
      <c r="K23" s="3" t="s">
        <v>139</v>
      </c>
      <c r="L23" s="3" t="s">
        <v>23</v>
      </c>
      <c r="M23" s="3">
        <v>66</v>
      </c>
      <c r="N23" s="3" t="str">
        <f t="shared" si="57"/>
        <v>00000042</v>
      </c>
      <c r="O23" s="3">
        <v>18</v>
      </c>
      <c r="P23" s="3">
        <v>16</v>
      </c>
      <c r="Q23" s="3" t="str">
        <f t="shared" si="11"/>
        <v/>
      </c>
      <c r="R23" s="3" t="str">
        <f t="shared" si="58"/>
        <v/>
      </c>
      <c r="S23" s="3" t="str">
        <f t="shared" si="58"/>
        <v/>
      </c>
      <c r="T23" s="3" t="str">
        <f t="shared" si="58"/>
        <v/>
      </c>
      <c r="U23" s="3" t="str">
        <f t="shared" si="58"/>
        <v/>
      </c>
      <c r="V23" s="3" t="str">
        <f t="shared" si="58"/>
        <v/>
      </c>
      <c r="W23" s="3" t="str">
        <f t="shared" si="58"/>
        <v/>
      </c>
      <c r="X23" s="3" t="str">
        <f t="shared" si="58"/>
        <v/>
      </c>
      <c r="Y23" s="3" t="str">
        <f t="shared" si="58"/>
        <v/>
      </c>
      <c r="Z23" s="3" t="str">
        <f t="shared" si="58"/>
        <v/>
      </c>
      <c r="AA23" s="3" t="str">
        <f t="shared" si="58"/>
        <v/>
      </c>
      <c r="AB23" s="3" t="str">
        <f t="shared" si="58"/>
        <v/>
      </c>
      <c r="AC23" s="3" t="str">
        <f t="shared" si="58"/>
        <v/>
      </c>
      <c r="AD23" s="3" t="str">
        <f t="shared" si="58"/>
        <v>X</v>
      </c>
      <c r="AE23" s="3" t="str">
        <f t="shared" si="58"/>
        <v>X</v>
      </c>
      <c r="AF23" s="3" t="str">
        <f t="shared" si="58"/>
        <v>X</v>
      </c>
      <c r="AG23" s="3" t="str">
        <f t="shared" si="58"/>
        <v/>
      </c>
      <c r="AH23" s="3" t="str">
        <f t="shared" si="36"/>
        <v/>
      </c>
      <c r="AI23" s="3" t="str">
        <f t="shared" si="36"/>
        <v/>
      </c>
      <c r="AJ23" s="3" t="str">
        <f t="shared" si="36"/>
        <v/>
      </c>
      <c r="AK23" s="3" t="str">
        <f t="shared" si="36"/>
        <v/>
      </c>
      <c r="AL23" s="3" t="str">
        <f t="shared" si="36"/>
        <v/>
      </c>
      <c r="AM23" s="3" t="str">
        <f t="shared" si="36"/>
        <v/>
      </c>
      <c r="AN23" s="3" t="str">
        <f t="shared" si="36"/>
        <v/>
      </c>
      <c r="AO23" s="3" t="str">
        <f t="shared" si="36"/>
        <v/>
      </c>
      <c r="AP23" s="3" t="str">
        <f t="shared" si="36"/>
        <v/>
      </c>
      <c r="AQ23" s="3" t="str">
        <f t="shared" si="36"/>
        <v/>
      </c>
      <c r="AR23" s="3" t="str">
        <f t="shared" si="36"/>
        <v/>
      </c>
      <c r="AS23" s="3" t="str">
        <f t="shared" si="36"/>
        <v/>
      </c>
      <c r="AT23" s="3" t="str">
        <f t="shared" si="36"/>
        <v/>
      </c>
      <c r="AU23" s="3" t="str">
        <f t="shared" si="36"/>
        <v/>
      </c>
      <c r="AV23" s="3" t="str">
        <f t="shared" si="36"/>
        <v/>
      </c>
      <c r="AW23" s="3" t="str">
        <f t="shared" si="12"/>
        <v/>
      </c>
      <c r="AX23" s="3" t="str">
        <f t="shared" si="13"/>
        <v>X</v>
      </c>
      <c r="AY23" s="3" t="str">
        <f t="shared" si="14"/>
        <v/>
      </c>
      <c r="AZ23" s="3" t="str">
        <f t="shared" si="15"/>
        <v/>
      </c>
      <c r="BA23" s="3" t="str">
        <f t="shared" si="37"/>
        <v/>
      </c>
      <c r="BB23" s="3">
        <f t="shared" si="38"/>
        <v>265</v>
      </c>
      <c r="BC23" s="3" t="str">
        <f t="shared" si="39"/>
        <v/>
      </c>
      <c r="BD23" s="3" t="str">
        <f t="shared" si="40"/>
        <v/>
      </c>
      <c r="BE23" s="9" t="str">
        <f t="shared" si="41"/>
        <v/>
      </c>
      <c r="BF23" s="9" t="str">
        <f t="shared" si="42"/>
        <v>00000109</v>
      </c>
      <c r="BG23" s="9" t="str">
        <f t="shared" si="43"/>
        <v/>
      </c>
      <c r="BH23" s="9" t="str">
        <f t="shared" si="44"/>
        <v/>
      </c>
      <c r="BI23" s="3" t="str">
        <f t="shared" si="45"/>
        <v/>
      </c>
      <c r="BJ23" s="3" t="str">
        <f t="shared" si="46"/>
        <v>(2 downto 0)</v>
      </c>
      <c r="BK23" s="3" t="str">
        <f t="shared" si="47"/>
        <v/>
      </c>
      <c r="BL23" s="3" t="str">
        <f t="shared" si="48"/>
        <v/>
      </c>
      <c r="BM23" s="3" t="str">
        <f t="shared" si="49"/>
        <v/>
      </c>
      <c r="BN23" s="3">
        <f t="shared" si="50"/>
        <v>2</v>
      </c>
      <c r="BO23" s="3" t="str">
        <f t="shared" si="51"/>
        <v/>
      </c>
      <c r="BP23" s="3" t="str">
        <f t="shared" si="52"/>
        <v/>
      </c>
      <c r="BQ23" s="3" t="str">
        <f t="shared" si="53"/>
        <v/>
      </c>
      <c r="BR23" s="3" t="str">
        <f t="shared" si="54"/>
        <v/>
      </c>
      <c r="BS23" s="3" t="str">
        <f t="shared" si="55"/>
        <v/>
      </c>
      <c r="BT23" s="3" t="str">
        <f t="shared" si="56"/>
        <v/>
      </c>
    </row>
    <row r="24" spans="2:72" x14ac:dyDescent="0.25">
      <c r="B24" s="3" t="s">
        <v>154</v>
      </c>
      <c r="C24" s="3" t="s">
        <v>168</v>
      </c>
      <c r="D24" s="3" t="s">
        <v>1</v>
      </c>
      <c r="E24" s="3" t="s">
        <v>114</v>
      </c>
      <c r="F24" s="3" t="s">
        <v>156</v>
      </c>
      <c r="G24" s="3" t="s">
        <v>360</v>
      </c>
      <c r="H24" s="20" t="s">
        <v>169</v>
      </c>
      <c r="I24" s="3" t="s">
        <v>24</v>
      </c>
      <c r="J24" s="3">
        <v>3</v>
      </c>
      <c r="K24" s="3" t="s">
        <v>139</v>
      </c>
      <c r="L24" s="3" t="s">
        <v>23</v>
      </c>
      <c r="M24" s="3">
        <v>66</v>
      </c>
      <c r="N24" s="3" t="str">
        <f t="shared" si="57"/>
        <v>00000042</v>
      </c>
      <c r="O24" s="3">
        <v>10</v>
      </c>
      <c r="P24" s="3">
        <v>8</v>
      </c>
      <c r="Q24" s="3" t="str">
        <f t="shared" si="11"/>
        <v/>
      </c>
      <c r="R24" s="3" t="str">
        <f t="shared" si="58"/>
        <v/>
      </c>
      <c r="S24" s="3" t="str">
        <f t="shared" si="58"/>
        <v/>
      </c>
      <c r="T24" s="3" t="str">
        <f t="shared" si="58"/>
        <v/>
      </c>
      <c r="U24" s="3" t="str">
        <f t="shared" si="58"/>
        <v/>
      </c>
      <c r="V24" s="3" t="str">
        <f t="shared" si="58"/>
        <v/>
      </c>
      <c r="W24" s="3" t="str">
        <f t="shared" si="58"/>
        <v/>
      </c>
      <c r="X24" s="3" t="str">
        <f t="shared" si="58"/>
        <v/>
      </c>
      <c r="Y24" s="3" t="str">
        <f t="shared" si="58"/>
        <v/>
      </c>
      <c r="Z24" s="3" t="str">
        <f t="shared" si="58"/>
        <v/>
      </c>
      <c r="AA24" s="3" t="str">
        <f t="shared" si="58"/>
        <v/>
      </c>
      <c r="AB24" s="3" t="str">
        <f t="shared" si="58"/>
        <v/>
      </c>
      <c r="AC24" s="3" t="str">
        <f t="shared" si="58"/>
        <v/>
      </c>
      <c r="AD24" s="3" t="str">
        <f t="shared" si="58"/>
        <v/>
      </c>
      <c r="AE24" s="3" t="str">
        <f t="shared" si="58"/>
        <v/>
      </c>
      <c r="AF24" s="3" t="str">
        <f t="shared" si="58"/>
        <v/>
      </c>
      <c r="AG24" s="3" t="str">
        <f t="shared" si="58"/>
        <v/>
      </c>
      <c r="AH24" s="3" t="str">
        <f t="shared" si="36"/>
        <v/>
      </c>
      <c r="AI24" s="3" t="str">
        <f t="shared" si="36"/>
        <v/>
      </c>
      <c r="AJ24" s="3" t="str">
        <f t="shared" si="36"/>
        <v/>
      </c>
      <c r="AK24" s="3" t="str">
        <f t="shared" si="36"/>
        <v/>
      </c>
      <c r="AL24" s="3" t="str">
        <f t="shared" si="36"/>
        <v>X</v>
      </c>
      <c r="AM24" s="3" t="str">
        <f t="shared" si="36"/>
        <v>X</v>
      </c>
      <c r="AN24" s="3" t="str">
        <f t="shared" si="36"/>
        <v>X</v>
      </c>
      <c r="AO24" s="3" t="str">
        <f t="shared" si="36"/>
        <v/>
      </c>
      <c r="AP24" s="3" t="str">
        <f t="shared" si="36"/>
        <v/>
      </c>
      <c r="AQ24" s="3" t="str">
        <f t="shared" si="36"/>
        <v/>
      </c>
      <c r="AR24" s="3" t="str">
        <f t="shared" si="36"/>
        <v/>
      </c>
      <c r="AS24" s="3" t="str">
        <f t="shared" si="36"/>
        <v/>
      </c>
      <c r="AT24" s="3" t="str">
        <f t="shared" si="36"/>
        <v/>
      </c>
      <c r="AU24" s="3" t="str">
        <f t="shared" si="36"/>
        <v/>
      </c>
      <c r="AV24" s="3" t="str">
        <f t="shared" si="36"/>
        <v/>
      </c>
      <c r="AW24" s="3" t="str">
        <f t="shared" si="12"/>
        <v/>
      </c>
      <c r="AX24" s="3" t="str">
        <f t="shared" si="13"/>
        <v/>
      </c>
      <c r="AY24" s="3" t="str">
        <f t="shared" si="14"/>
        <v>X</v>
      </c>
      <c r="AZ24" s="3" t="str">
        <f t="shared" si="15"/>
        <v/>
      </c>
      <c r="BA24" s="3" t="str">
        <f t="shared" si="37"/>
        <v/>
      </c>
      <c r="BB24" s="3" t="str">
        <f t="shared" si="38"/>
        <v/>
      </c>
      <c r="BC24" s="3">
        <f t="shared" si="39"/>
        <v>266</v>
      </c>
      <c r="BD24" s="3" t="str">
        <f t="shared" si="40"/>
        <v/>
      </c>
      <c r="BE24" s="9" t="str">
        <f t="shared" si="41"/>
        <v/>
      </c>
      <c r="BF24" s="9" t="str">
        <f t="shared" si="42"/>
        <v/>
      </c>
      <c r="BG24" s="9" t="str">
        <f t="shared" si="43"/>
        <v>0000010A</v>
      </c>
      <c r="BH24" s="9" t="str">
        <f t="shared" si="44"/>
        <v/>
      </c>
      <c r="BI24" s="3" t="str">
        <f t="shared" si="45"/>
        <v/>
      </c>
      <c r="BJ24" s="3" t="str">
        <f t="shared" si="46"/>
        <v/>
      </c>
      <c r="BK24" s="3" t="str">
        <f t="shared" si="47"/>
        <v>(2 downto 0)</v>
      </c>
      <c r="BL24" s="3" t="str">
        <f t="shared" si="48"/>
        <v/>
      </c>
      <c r="BM24" s="3" t="str">
        <f t="shared" si="49"/>
        <v/>
      </c>
      <c r="BN24" s="3" t="str">
        <f t="shared" si="50"/>
        <v/>
      </c>
      <c r="BO24" s="3">
        <f t="shared" si="51"/>
        <v>2</v>
      </c>
      <c r="BP24" s="3" t="str">
        <f t="shared" si="52"/>
        <v/>
      </c>
      <c r="BQ24" s="3" t="str">
        <f t="shared" si="53"/>
        <v/>
      </c>
      <c r="BR24" s="3" t="str">
        <f t="shared" si="54"/>
        <v/>
      </c>
      <c r="BS24" s="3" t="str">
        <f t="shared" si="55"/>
        <v/>
      </c>
      <c r="BT24" s="3" t="str">
        <f t="shared" si="56"/>
        <v/>
      </c>
    </row>
    <row r="25" spans="2:72" x14ac:dyDescent="0.25">
      <c r="B25" s="3" t="s">
        <v>154</v>
      </c>
      <c r="C25" s="3" t="s">
        <v>170</v>
      </c>
      <c r="D25" s="3" t="s">
        <v>1</v>
      </c>
      <c r="E25" s="3" t="s">
        <v>114</v>
      </c>
      <c r="F25" s="3" t="s">
        <v>156</v>
      </c>
      <c r="G25" s="3" t="s">
        <v>360</v>
      </c>
      <c r="H25" s="20" t="s">
        <v>171</v>
      </c>
      <c r="I25" s="3" t="s">
        <v>24</v>
      </c>
      <c r="J25" s="3">
        <v>3</v>
      </c>
      <c r="K25" s="3" t="s">
        <v>139</v>
      </c>
      <c r="L25" s="3" t="s">
        <v>23</v>
      </c>
      <c r="M25" s="3">
        <v>66</v>
      </c>
      <c r="N25" s="3" t="str">
        <f t="shared" ref="N25:N86" si="59">DEC2HEX($M25,8)</f>
        <v>00000042</v>
      </c>
      <c r="O25" s="3">
        <v>2</v>
      </c>
      <c r="P25" s="3">
        <v>0</v>
      </c>
      <c r="Q25" s="3" t="str">
        <f t="shared" si="11"/>
        <v/>
      </c>
      <c r="R25" s="3" t="str">
        <f t="shared" si="58"/>
        <v/>
      </c>
      <c r="S25" s="3" t="str">
        <f t="shared" si="58"/>
        <v/>
      </c>
      <c r="T25" s="3" t="str">
        <f t="shared" si="58"/>
        <v/>
      </c>
      <c r="U25" s="3" t="str">
        <f t="shared" si="58"/>
        <v/>
      </c>
      <c r="V25" s="3" t="str">
        <f t="shared" si="58"/>
        <v/>
      </c>
      <c r="W25" s="3" t="str">
        <f t="shared" si="58"/>
        <v/>
      </c>
      <c r="X25" s="3" t="str">
        <f t="shared" si="58"/>
        <v/>
      </c>
      <c r="Y25" s="3" t="str">
        <f t="shared" si="58"/>
        <v/>
      </c>
      <c r="Z25" s="3" t="str">
        <f t="shared" si="58"/>
        <v/>
      </c>
      <c r="AA25" s="3" t="str">
        <f t="shared" si="58"/>
        <v/>
      </c>
      <c r="AB25" s="3" t="str">
        <f t="shared" si="58"/>
        <v/>
      </c>
      <c r="AC25" s="3" t="str">
        <f t="shared" si="58"/>
        <v/>
      </c>
      <c r="AD25" s="3" t="str">
        <f t="shared" si="58"/>
        <v/>
      </c>
      <c r="AE25" s="3" t="str">
        <f t="shared" si="58"/>
        <v/>
      </c>
      <c r="AF25" s="3" t="str">
        <f t="shared" si="58"/>
        <v/>
      </c>
      <c r="AG25" s="3" t="str">
        <f t="shared" si="58"/>
        <v/>
      </c>
      <c r="AH25" s="3" t="str">
        <f t="shared" ref="AH25:AV41" si="60">IF(AND($O25&gt;=AH$3,AH$3&gt;=$P25),"X","")</f>
        <v/>
      </c>
      <c r="AI25" s="3" t="str">
        <f t="shared" si="60"/>
        <v/>
      </c>
      <c r="AJ25" s="3" t="str">
        <f t="shared" si="60"/>
        <v/>
      </c>
      <c r="AK25" s="3" t="str">
        <f t="shared" si="60"/>
        <v/>
      </c>
      <c r="AL25" s="3" t="str">
        <f t="shared" si="60"/>
        <v/>
      </c>
      <c r="AM25" s="3" t="str">
        <f t="shared" si="60"/>
        <v/>
      </c>
      <c r="AN25" s="3" t="str">
        <f t="shared" si="60"/>
        <v/>
      </c>
      <c r="AO25" s="3" t="str">
        <f t="shared" si="60"/>
        <v/>
      </c>
      <c r="AP25" s="3" t="str">
        <f t="shared" si="60"/>
        <v/>
      </c>
      <c r="AQ25" s="3" t="str">
        <f t="shared" si="60"/>
        <v/>
      </c>
      <c r="AR25" s="3" t="str">
        <f t="shared" si="60"/>
        <v/>
      </c>
      <c r="AS25" s="3" t="str">
        <f t="shared" si="60"/>
        <v/>
      </c>
      <c r="AT25" s="3" t="str">
        <f t="shared" si="60"/>
        <v>X</v>
      </c>
      <c r="AU25" s="3" t="str">
        <f t="shared" si="60"/>
        <v>X</v>
      </c>
      <c r="AV25" s="3" t="str">
        <f t="shared" si="60"/>
        <v>X</v>
      </c>
      <c r="AW25" s="3" t="str">
        <f t="shared" si="12"/>
        <v/>
      </c>
      <c r="AX25" s="3" t="str">
        <f t="shared" si="13"/>
        <v/>
      </c>
      <c r="AY25" s="3" t="str">
        <f t="shared" si="14"/>
        <v/>
      </c>
      <c r="AZ25" s="3" t="str">
        <f t="shared" si="15"/>
        <v>X</v>
      </c>
      <c r="BA25" s="3" t="str">
        <f t="shared" si="37"/>
        <v/>
      </c>
      <c r="BB25" s="3" t="str">
        <f t="shared" si="38"/>
        <v/>
      </c>
      <c r="BC25" s="3" t="str">
        <f t="shared" si="39"/>
        <v/>
      </c>
      <c r="BD25" s="3">
        <f t="shared" si="40"/>
        <v>267</v>
      </c>
      <c r="BE25" s="9" t="str">
        <f t="shared" si="41"/>
        <v/>
      </c>
      <c r="BF25" s="9" t="str">
        <f t="shared" si="42"/>
        <v/>
      </c>
      <c r="BG25" s="9" t="str">
        <f t="shared" si="43"/>
        <v/>
      </c>
      <c r="BH25" s="9" t="str">
        <f t="shared" si="44"/>
        <v>0000010B</v>
      </c>
      <c r="BI25" s="3" t="str">
        <f t="shared" si="45"/>
        <v/>
      </c>
      <c r="BJ25" s="3" t="str">
        <f t="shared" si="46"/>
        <v/>
      </c>
      <c r="BK25" s="3" t="str">
        <f t="shared" si="47"/>
        <v/>
      </c>
      <c r="BL25" s="3" t="str">
        <f t="shared" si="48"/>
        <v>(2 downto 0)</v>
      </c>
      <c r="BM25" s="3" t="str">
        <f t="shared" si="49"/>
        <v/>
      </c>
      <c r="BN25" s="3" t="str">
        <f t="shared" si="50"/>
        <v/>
      </c>
      <c r="BO25" s="3" t="str">
        <f t="shared" si="51"/>
        <v/>
      </c>
      <c r="BP25" s="3">
        <f t="shared" si="52"/>
        <v>2</v>
      </c>
      <c r="BQ25" s="3" t="str">
        <f t="shared" si="53"/>
        <v/>
      </c>
      <c r="BR25" s="3" t="str">
        <f t="shared" si="54"/>
        <v/>
      </c>
      <c r="BS25" s="3" t="str">
        <f t="shared" si="55"/>
        <v/>
      </c>
      <c r="BT25" s="3" t="str">
        <f t="shared" si="56"/>
        <v/>
      </c>
    </row>
    <row r="26" spans="2:72" x14ac:dyDescent="0.25">
      <c r="B26" s="3" t="s">
        <v>172</v>
      </c>
      <c r="C26" s="3" t="s">
        <v>173</v>
      </c>
      <c r="D26" s="3" t="s">
        <v>1</v>
      </c>
      <c r="E26" s="3" t="s">
        <v>114</v>
      </c>
      <c r="F26" s="3" t="s">
        <v>174</v>
      </c>
      <c r="G26" s="3" t="s">
        <v>361</v>
      </c>
      <c r="H26" s="20" t="s">
        <v>175</v>
      </c>
      <c r="I26" s="3" t="s">
        <v>24</v>
      </c>
      <c r="J26" s="3">
        <v>6</v>
      </c>
      <c r="K26" s="3" t="s">
        <v>118</v>
      </c>
      <c r="L26" s="3" t="s">
        <v>23</v>
      </c>
      <c r="M26" s="3">
        <v>67</v>
      </c>
      <c r="N26" s="3" t="str">
        <f t="shared" si="59"/>
        <v>00000043</v>
      </c>
      <c r="O26" s="3">
        <v>13</v>
      </c>
      <c r="P26" s="3">
        <v>8</v>
      </c>
      <c r="Q26" s="3" t="str">
        <f t="shared" si="11"/>
        <v/>
      </c>
      <c r="R26" s="3" t="str">
        <f t="shared" si="58"/>
        <v/>
      </c>
      <c r="S26" s="3" t="str">
        <f t="shared" si="58"/>
        <v/>
      </c>
      <c r="T26" s="3" t="str">
        <f t="shared" si="58"/>
        <v/>
      </c>
      <c r="U26" s="3" t="str">
        <f t="shared" si="58"/>
        <v/>
      </c>
      <c r="V26" s="3" t="str">
        <f t="shared" si="58"/>
        <v/>
      </c>
      <c r="W26" s="3" t="str">
        <f t="shared" si="58"/>
        <v/>
      </c>
      <c r="X26" s="3" t="str">
        <f t="shared" si="58"/>
        <v/>
      </c>
      <c r="Y26" s="3" t="str">
        <f t="shared" si="58"/>
        <v/>
      </c>
      <c r="Z26" s="3" t="str">
        <f t="shared" si="58"/>
        <v/>
      </c>
      <c r="AA26" s="3" t="str">
        <f t="shared" si="58"/>
        <v/>
      </c>
      <c r="AB26" s="3" t="str">
        <f t="shared" si="58"/>
        <v/>
      </c>
      <c r="AC26" s="3" t="str">
        <f t="shared" si="58"/>
        <v/>
      </c>
      <c r="AD26" s="3" t="str">
        <f t="shared" si="58"/>
        <v/>
      </c>
      <c r="AE26" s="3" t="str">
        <f t="shared" si="58"/>
        <v/>
      </c>
      <c r="AF26" s="3" t="str">
        <f t="shared" si="58"/>
        <v/>
      </c>
      <c r="AG26" s="3" t="str">
        <f t="shared" si="58"/>
        <v/>
      </c>
      <c r="AH26" s="3" t="str">
        <f t="shared" si="60"/>
        <v/>
      </c>
      <c r="AI26" s="3" t="str">
        <f t="shared" si="60"/>
        <v>X</v>
      </c>
      <c r="AJ26" s="3" t="str">
        <f t="shared" si="60"/>
        <v>X</v>
      </c>
      <c r="AK26" s="3" t="str">
        <f t="shared" si="60"/>
        <v>X</v>
      </c>
      <c r="AL26" s="3" t="str">
        <f t="shared" si="60"/>
        <v>X</v>
      </c>
      <c r="AM26" s="3" t="str">
        <f t="shared" si="60"/>
        <v>X</v>
      </c>
      <c r="AN26" s="3" t="str">
        <f t="shared" si="60"/>
        <v>X</v>
      </c>
      <c r="AO26" s="3" t="str">
        <f t="shared" si="60"/>
        <v/>
      </c>
      <c r="AP26" s="3" t="str">
        <f t="shared" si="60"/>
        <v/>
      </c>
      <c r="AQ26" s="3" t="str">
        <f t="shared" si="60"/>
        <v/>
      </c>
      <c r="AR26" s="3" t="str">
        <f t="shared" si="60"/>
        <v/>
      </c>
      <c r="AS26" s="3" t="str">
        <f t="shared" si="60"/>
        <v/>
      </c>
      <c r="AT26" s="3" t="str">
        <f t="shared" si="60"/>
        <v/>
      </c>
      <c r="AU26" s="3" t="str">
        <f t="shared" si="60"/>
        <v/>
      </c>
      <c r="AV26" s="3" t="str">
        <f t="shared" si="60"/>
        <v/>
      </c>
      <c r="AW26" s="3" t="str">
        <f t="shared" si="12"/>
        <v/>
      </c>
      <c r="AX26" s="3" t="str">
        <f t="shared" si="13"/>
        <v/>
      </c>
      <c r="AY26" s="3" t="str">
        <f t="shared" si="14"/>
        <v>X</v>
      </c>
      <c r="AZ26" s="3" t="str">
        <f t="shared" si="15"/>
        <v/>
      </c>
      <c r="BA26" s="3" t="str">
        <f t="shared" si="37"/>
        <v/>
      </c>
      <c r="BB26" s="3" t="str">
        <f t="shared" si="38"/>
        <v/>
      </c>
      <c r="BC26" s="3">
        <f t="shared" si="39"/>
        <v>270</v>
      </c>
      <c r="BD26" s="3" t="str">
        <f t="shared" si="40"/>
        <v/>
      </c>
      <c r="BE26" s="9" t="str">
        <f t="shared" si="41"/>
        <v/>
      </c>
      <c r="BF26" s="9" t="str">
        <f t="shared" si="42"/>
        <v/>
      </c>
      <c r="BG26" s="9" t="str">
        <f t="shared" si="43"/>
        <v>0000010E</v>
      </c>
      <c r="BH26" s="9" t="str">
        <f t="shared" si="44"/>
        <v/>
      </c>
      <c r="BI26" s="3" t="str">
        <f t="shared" si="45"/>
        <v/>
      </c>
      <c r="BJ26" s="3" t="str">
        <f t="shared" si="46"/>
        <v/>
      </c>
      <c r="BK26" s="3" t="str">
        <f t="shared" si="47"/>
        <v>(5 downto 0)</v>
      </c>
      <c r="BL26" s="3" t="str">
        <f t="shared" si="48"/>
        <v/>
      </c>
      <c r="BM26" s="3" t="str">
        <f t="shared" si="49"/>
        <v/>
      </c>
      <c r="BN26" s="3" t="str">
        <f t="shared" si="50"/>
        <v/>
      </c>
      <c r="BO26" s="3">
        <f t="shared" si="51"/>
        <v>5</v>
      </c>
      <c r="BP26" s="3" t="str">
        <f t="shared" si="52"/>
        <v/>
      </c>
      <c r="BQ26" s="3" t="str">
        <f t="shared" si="53"/>
        <v/>
      </c>
      <c r="BR26" s="3" t="str">
        <f t="shared" si="54"/>
        <v/>
      </c>
      <c r="BS26" s="3" t="str">
        <f t="shared" si="55"/>
        <v/>
      </c>
      <c r="BT26" s="3" t="str">
        <f t="shared" si="56"/>
        <v/>
      </c>
    </row>
    <row r="27" spans="2:72" x14ac:dyDescent="0.25">
      <c r="B27" s="3" t="s">
        <v>172</v>
      </c>
      <c r="C27" s="3" t="s">
        <v>176</v>
      </c>
      <c r="D27" s="3" t="s">
        <v>1</v>
      </c>
      <c r="E27" s="3" t="s">
        <v>114</v>
      </c>
      <c r="F27" s="3" t="s">
        <v>174</v>
      </c>
      <c r="G27" s="3" t="s">
        <v>361</v>
      </c>
      <c r="H27" s="20" t="s">
        <v>177</v>
      </c>
      <c r="I27" s="3" t="s">
        <v>24</v>
      </c>
      <c r="J27" s="3">
        <v>6</v>
      </c>
      <c r="K27" s="3" t="s">
        <v>118</v>
      </c>
      <c r="L27" s="3" t="s">
        <v>23</v>
      </c>
      <c r="M27" s="3">
        <v>67</v>
      </c>
      <c r="N27" s="3" t="str">
        <f t="shared" si="59"/>
        <v>00000043</v>
      </c>
      <c r="O27" s="3">
        <v>5</v>
      </c>
      <c r="P27" s="3">
        <v>0</v>
      </c>
      <c r="Q27" s="3" t="str">
        <f t="shared" si="11"/>
        <v/>
      </c>
      <c r="R27" s="3" t="str">
        <f t="shared" si="58"/>
        <v/>
      </c>
      <c r="S27" s="3" t="str">
        <f t="shared" si="58"/>
        <v/>
      </c>
      <c r="T27" s="3" t="str">
        <f t="shared" si="58"/>
        <v/>
      </c>
      <c r="U27" s="3" t="str">
        <f t="shared" si="58"/>
        <v/>
      </c>
      <c r="V27" s="3" t="str">
        <f t="shared" si="58"/>
        <v/>
      </c>
      <c r="W27" s="3" t="str">
        <f t="shared" si="58"/>
        <v/>
      </c>
      <c r="X27" s="3" t="str">
        <f t="shared" si="58"/>
        <v/>
      </c>
      <c r="Y27" s="3" t="str">
        <f t="shared" si="58"/>
        <v/>
      </c>
      <c r="Z27" s="3" t="str">
        <f t="shared" si="58"/>
        <v/>
      </c>
      <c r="AA27" s="3" t="str">
        <f t="shared" si="58"/>
        <v/>
      </c>
      <c r="AB27" s="3" t="str">
        <f t="shared" si="58"/>
        <v/>
      </c>
      <c r="AC27" s="3" t="str">
        <f t="shared" si="58"/>
        <v/>
      </c>
      <c r="AD27" s="3" t="str">
        <f t="shared" si="58"/>
        <v/>
      </c>
      <c r="AE27" s="3" t="str">
        <f t="shared" si="58"/>
        <v/>
      </c>
      <c r="AF27" s="3" t="str">
        <f t="shared" si="58"/>
        <v/>
      </c>
      <c r="AG27" s="3" t="str">
        <f t="shared" si="58"/>
        <v/>
      </c>
      <c r="AH27" s="3" t="str">
        <f t="shared" si="60"/>
        <v/>
      </c>
      <c r="AI27" s="3" t="str">
        <f t="shared" si="60"/>
        <v/>
      </c>
      <c r="AJ27" s="3" t="str">
        <f t="shared" si="60"/>
        <v/>
      </c>
      <c r="AK27" s="3" t="str">
        <f t="shared" si="60"/>
        <v/>
      </c>
      <c r="AL27" s="3" t="str">
        <f t="shared" si="60"/>
        <v/>
      </c>
      <c r="AM27" s="3" t="str">
        <f t="shared" si="60"/>
        <v/>
      </c>
      <c r="AN27" s="3" t="str">
        <f t="shared" si="60"/>
        <v/>
      </c>
      <c r="AO27" s="3" t="str">
        <f t="shared" si="60"/>
        <v/>
      </c>
      <c r="AP27" s="3" t="str">
        <f t="shared" si="60"/>
        <v/>
      </c>
      <c r="AQ27" s="3" t="str">
        <f t="shared" si="60"/>
        <v>X</v>
      </c>
      <c r="AR27" s="3" t="str">
        <f t="shared" si="60"/>
        <v>X</v>
      </c>
      <c r="AS27" s="3" t="str">
        <f t="shared" si="60"/>
        <v>X</v>
      </c>
      <c r="AT27" s="3" t="str">
        <f t="shared" si="60"/>
        <v>X</v>
      </c>
      <c r="AU27" s="3" t="str">
        <f t="shared" si="60"/>
        <v>X</v>
      </c>
      <c r="AV27" s="3" t="str">
        <f t="shared" si="60"/>
        <v>X</v>
      </c>
      <c r="AW27" s="3" t="str">
        <f t="shared" si="12"/>
        <v/>
      </c>
      <c r="AX27" s="3" t="str">
        <f t="shared" si="13"/>
        <v/>
      </c>
      <c r="AY27" s="3" t="str">
        <f t="shared" si="14"/>
        <v/>
      </c>
      <c r="AZ27" s="3" t="str">
        <f t="shared" si="15"/>
        <v>X</v>
      </c>
      <c r="BA27" s="3" t="str">
        <f t="shared" si="37"/>
        <v/>
      </c>
      <c r="BB27" s="3" t="str">
        <f t="shared" si="38"/>
        <v/>
      </c>
      <c r="BC27" s="3" t="str">
        <f t="shared" si="39"/>
        <v/>
      </c>
      <c r="BD27" s="3">
        <f t="shared" si="40"/>
        <v>271</v>
      </c>
      <c r="BE27" s="9" t="str">
        <f t="shared" si="41"/>
        <v/>
      </c>
      <c r="BF27" s="9" t="str">
        <f t="shared" si="42"/>
        <v/>
      </c>
      <c r="BG27" s="9" t="str">
        <f t="shared" si="43"/>
        <v/>
      </c>
      <c r="BH27" s="9" t="str">
        <f t="shared" si="44"/>
        <v>0000010F</v>
      </c>
      <c r="BI27" s="3" t="str">
        <f t="shared" si="45"/>
        <v/>
      </c>
      <c r="BJ27" s="3" t="str">
        <f t="shared" si="46"/>
        <v/>
      </c>
      <c r="BK27" s="3" t="str">
        <f t="shared" si="47"/>
        <v/>
      </c>
      <c r="BL27" s="3" t="str">
        <f t="shared" si="48"/>
        <v>(5 downto 0)</v>
      </c>
      <c r="BM27" s="3" t="str">
        <f t="shared" si="49"/>
        <v/>
      </c>
      <c r="BN27" s="3" t="str">
        <f t="shared" si="50"/>
        <v/>
      </c>
      <c r="BO27" s="3" t="str">
        <f t="shared" si="51"/>
        <v/>
      </c>
      <c r="BP27" s="3">
        <f t="shared" si="52"/>
        <v>5</v>
      </c>
      <c r="BQ27" s="3" t="str">
        <f t="shared" si="53"/>
        <v/>
      </c>
      <c r="BR27" s="3" t="str">
        <f t="shared" si="54"/>
        <v/>
      </c>
      <c r="BS27" s="3" t="str">
        <f t="shared" si="55"/>
        <v/>
      </c>
      <c r="BT27" s="3" t="str">
        <f t="shared" si="56"/>
        <v/>
      </c>
    </row>
    <row r="28" spans="2:72" x14ac:dyDescent="0.25">
      <c r="B28" s="3" t="s">
        <v>178</v>
      </c>
      <c r="C28" s="3" t="s">
        <v>179</v>
      </c>
      <c r="D28" s="3" t="s">
        <v>1</v>
      </c>
      <c r="E28" s="3" t="s">
        <v>114</v>
      </c>
      <c r="F28" s="3" t="s">
        <v>180</v>
      </c>
      <c r="G28" s="3" t="s">
        <v>362</v>
      </c>
      <c r="H28" s="20" t="s">
        <v>181</v>
      </c>
      <c r="I28" s="3" t="s">
        <v>24</v>
      </c>
      <c r="J28" s="3">
        <v>10</v>
      </c>
      <c r="K28" s="3" t="s">
        <v>118</v>
      </c>
      <c r="L28" s="3" t="s">
        <v>23</v>
      </c>
      <c r="M28" s="3">
        <v>68</v>
      </c>
      <c r="N28" s="3" t="str">
        <f t="shared" si="59"/>
        <v>00000044</v>
      </c>
      <c r="O28" s="3">
        <v>25</v>
      </c>
      <c r="P28" s="3">
        <v>16</v>
      </c>
      <c r="Q28" s="3" t="str">
        <f t="shared" si="11"/>
        <v/>
      </c>
      <c r="R28" s="3" t="str">
        <f t="shared" si="58"/>
        <v/>
      </c>
      <c r="S28" s="3" t="str">
        <f t="shared" si="58"/>
        <v/>
      </c>
      <c r="T28" s="3" t="str">
        <f t="shared" si="58"/>
        <v/>
      </c>
      <c r="U28" s="3" t="str">
        <f t="shared" si="58"/>
        <v/>
      </c>
      <c r="V28" s="3" t="str">
        <f t="shared" si="58"/>
        <v/>
      </c>
      <c r="W28" s="3" t="str">
        <f t="shared" si="58"/>
        <v>X</v>
      </c>
      <c r="X28" s="3" t="str">
        <f t="shared" si="58"/>
        <v>X</v>
      </c>
      <c r="Y28" s="3" t="str">
        <f t="shared" si="58"/>
        <v>X</v>
      </c>
      <c r="Z28" s="3" t="str">
        <f t="shared" si="58"/>
        <v>X</v>
      </c>
      <c r="AA28" s="3" t="str">
        <f t="shared" si="58"/>
        <v>X</v>
      </c>
      <c r="AB28" s="3" t="str">
        <f t="shared" si="58"/>
        <v>X</v>
      </c>
      <c r="AC28" s="3" t="str">
        <f t="shared" si="58"/>
        <v>X</v>
      </c>
      <c r="AD28" s="3" t="str">
        <f t="shared" si="58"/>
        <v>X</v>
      </c>
      <c r="AE28" s="3" t="str">
        <f t="shared" si="58"/>
        <v>X</v>
      </c>
      <c r="AF28" s="3" t="str">
        <f t="shared" si="58"/>
        <v>X</v>
      </c>
      <c r="AG28" s="3" t="str">
        <f t="shared" si="58"/>
        <v/>
      </c>
      <c r="AH28" s="3" t="str">
        <f t="shared" si="60"/>
        <v/>
      </c>
      <c r="AI28" s="3" t="str">
        <f t="shared" si="60"/>
        <v/>
      </c>
      <c r="AJ28" s="3" t="str">
        <f t="shared" si="60"/>
        <v/>
      </c>
      <c r="AK28" s="3" t="str">
        <f t="shared" si="60"/>
        <v/>
      </c>
      <c r="AL28" s="3" t="str">
        <f t="shared" si="60"/>
        <v/>
      </c>
      <c r="AM28" s="3" t="str">
        <f t="shared" si="60"/>
        <v/>
      </c>
      <c r="AN28" s="3" t="str">
        <f t="shared" si="60"/>
        <v/>
      </c>
      <c r="AO28" s="3" t="str">
        <f t="shared" si="60"/>
        <v/>
      </c>
      <c r="AP28" s="3" t="str">
        <f t="shared" si="60"/>
        <v/>
      </c>
      <c r="AQ28" s="3" t="str">
        <f t="shared" si="60"/>
        <v/>
      </c>
      <c r="AR28" s="3" t="str">
        <f t="shared" si="60"/>
        <v/>
      </c>
      <c r="AS28" s="3" t="str">
        <f t="shared" si="60"/>
        <v/>
      </c>
      <c r="AT28" s="3" t="str">
        <f t="shared" si="60"/>
        <v/>
      </c>
      <c r="AU28" s="3" t="str">
        <f t="shared" si="60"/>
        <v/>
      </c>
      <c r="AV28" s="3" t="str">
        <f t="shared" si="60"/>
        <v/>
      </c>
      <c r="AW28" s="3" t="str">
        <f t="shared" si="12"/>
        <v>X</v>
      </c>
      <c r="AX28" s="3" t="str">
        <f t="shared" si="13"/>
        <v>X</v>
      </c>
      <c r="AY28" s="3" t="str">
        <f t="shared" si="14"/>
        <v/>
      </c>
      <c r="AZ28" s="3" t="str">
        <f t="shared" si="15"/>
        <v/>
      </c>
      <c r="BA28" s="3">
        <f t="shared" si="37"/>
        <v>272</v>
      </c>
      <c r="BB28" s="3">
        <f t="shared" si="38"/>
        <v>273</v>
      </c>
      <c r="BC28" s="3" t="str">
        <f t="shared" si="39"/>
        <v/>
      </c>
      <c r="BD28" s="3" t="str">
        <f t="shared" si="40"/>
        <v/>
      </c>
      <c r="BE28" s="9" t="str">
        <f t="shared" si="41"/>
        <v>00000110</v>
      </c>
      <c r="BF28" s="9" t="str">
        <f t="shared" si="42"/>
        <v>00000111</v>
      </c>
      <c r="BG28" s="9" t="str">
        <f t="shared" si="43"/>
        <v/>
      </c>
      <c r="BH28" s="9" t="str">
        <f t="shared" si="44"/>
        <v/>
      </c>
      <c r="BI28" s="3" t="str">
        <f t="shared" si="45"/>
        <v>(1 downto 0)</v>
      </c>
      <c r="BJ28" s="3" t="str">
        <f t="shared" si="46"/>
        <v/>
      </c>
      <c r="BK28" s="3" t="str">
        <f t="shared" si="47"/>
        <v/>
      </c>
      <c r="BL28" s="3" t="str">
        <f t="shared" si="48"/>
        <v/>
      </c>
      <c r="BM28" s="3">
        <f t="shared" si="49"/>
        <v>9</v>
      </c>
      <c r="BN28" s="3">
        <f t="shared" si="50"/>
        <v>7</v>
      </c>
      <c r="BO28" s="3" t="str">
        <f t="shared" si="51"/>
        <v/>
      </c>
      <c r="BP28" s="3" t="str">
        <f t="shared" si="52"/>
        <v/>
      </c>
      <c r="BQ28" s="3" t="str">
        <f t="shared" si="53"/>
        <v>(9 downto 8)</v>
      </c>
      <c r="BR28" s="3" t="str">
        <f t="shared" si="54"/>
        <v>(7 downto 0)</v>
      </c>
      <c r="BS28" s="3" t="str">
        <f t="shared" si="55"/>
        <v/>
      </c>
      <c r="BT28" s="3" t="str">
        <f t="shared" si="56"/>
        <v/>
      </c>
    </row>
    <row r="29" spans="2:72" x14ac:dyDescent="0.25">
      <c r="B29" s="3" t="s">
        <v>178</v>
      </c>
      <c r="C29" s="3" t="s">
        <v>182</v>
      </c>
      <c r="D29" s="3" t="s">
        <v>1</v>
      </c>
      <c r="E29" s="3" t="s">
        <v>114</v>
      </c>
      <c r="F29" s="3" t="s">
        <v>180</v>
      </c>
      <c r="G29" s="3" t="s">
        <v>362</v>
      </c>
      <c r="H29" s="20" t="s">
        <v>183</v>
      </c>
      <c r="I29" s="3" t="s">
        <v>24</v>
      </c>
      <c r="J29" s="3">
        <v>10</v>
      </c>
      <c r="K29" s="3" t="s">
        <v>118</v>
      </c>
      <c r="L29" s="3" t="s">
        <v>23</v>
      </c>
      <c r="M29" s="3">
        <v>68</v>
      </c>
      <c r="N29" s="3" t="str">
        <f t="shared" si="59"/>
        <v>00000044</v>
      </c>
      <c r="O29" s="3">
        <v>9</v>
      </c>
      <c r="P29" s="3">
        <v>0</v>
      </c>
      <c r="Q29" s="3" t="str">
        <f t="shared" si="11"/>
        <v/>
      </c>
      <c r="R29" s="3" t="str">
        <f t="shared" si="58"/>
        <v/>
      </c>
      <c r="S29" s="3" t="str">
        <f t="shared" si="58"/>
        <v/>
      </c>
      <c r="T29" s="3" t="str">
        <f t="shared" si="58"/>
        <v/>
      </c>
      <c r="U29" s="3" t="str">
        <f t="shared" si="58"/>
        <v/>
      </c>
      <c r="V29" s="3" t="str">
        <f t="shared" si="58"/>
        <v/>
      </c>
      <c r="W29" s="3" t="str">
        <f t="shared" si="58"/>
        <v/>
      </c>
      <c r="X29" s="3" t="str">
        <f t="shared" si="58"/>
        <v/>
      </c>
      <c r="Y29" s="3" t="str">
        <f t="shared" si="58"/>
        <v/>
      </c>
      <c r="Z29" s="3" t="str">
        <f t="shared" si="58"/>
        <v/>
      </c>
      <c r="AA29" s="3" t="str">
        <f t="shared" si="58"/>
        <v/>
      </c>
      <c r="AB29" s="3" t="str">
        <f t="shared" si="58"/>
        <v/>
      </c>
      <c r="AC29" s="3" t="str">
        <f t="shared" si="58"/>
        <v/>
      </c>
      <c r="AD29" s="3" t="str">
        <f t="shared" si="58"/>
        <v/>
      </c>
      <c r="AE29" s="3" t="str">
        <f t="shared" si="58"/>
        <v/>
      </c>
      <c r="AF29" s="3" t="str">
        <f t="shared" si="58"/>
        <v/>
      </c>
      <c r="AG29" s="3" t="str">
        <f t="shared" si="58"/>
        <v/>
      </c>
      <c r="AH29" s="3" t="str">
        <f t="shared" si="60"/>
        <v/>
      </c>
      <c r="AI29" s="3" t="str">
        <f t="shared" si="60"/>
        <v/>
      </c>
      <c r="AJ29" s="3" t="str">
        <f t="shared" si="60"/>
        <v/>
      </c>
      <c r="AK29" s="3" t="str">
        <f t="shared" si="60"/>
        <v/>
      </c>
      <c r="AL29" s="3" t="str">
        <f t="shared" si="60"/>
        <v/>
      </c>
      <c r="AM29" s="3" t="str">
        <f t="shared" si="60"/>
        <v>X</v>
      </c>
      <c r="AN29" s="3" t="str">
        <f t="shared" si="60"/>
        <v>X</v>
      </c>
      <c r="AO29" s="3" t="str">
        <f t="shared" si="60"/>
        <v>X</v>
      </c>
      <c r="AP29" s="3" t="str">
        <f t="shared" si="60"/>
        <v>X</v>
      </c>
      <c r="AQ29" s="3" t="str">
        <f t="shared" si="60"/>
        <v>X</v>
      </c>
      <c r="AR29" s="3" t="str">
        <f t="shared" si="60"/>
        <v>X</v>
      </c>
      <c r="AS29" s="3" t="str">
        <f t="shared" si="60"/>
        <v>X</v>
      </c>
      <c r="AT29" s="3" t="str">
        <f t="shared" si="60"/>
        <v>X</v>
      </c>
      <c r="AU29" s="3" t="str">
        <f t="shared" si="60"/>
        <v>X</v>
      </c>
      <c r="AV29" s="3" t="str">
        <f t="shared" si="60"/>
        <v>X</v>
      </c>
      <c r="AW29" s="3" t="str">
        <f t="shared" si="12"/>
        <v/>
      </c>
      <c r="AX29" s="3" t="str">
        <f t="shared" si="13"/>
        <v/>
      </c>
      <c r="AY29" s="3" t="str">
        <f t="shared" si="14"/>
        <v>X</v>
      </c>
      <c r="AZ29" s="3" t="str">
        <f t="shared" si="15"/>
        <v>X</v>
      </c>
      <c r="BA29" s="3" t="str">
        <f t="shared" si="37"/>
        <v/>
      </c>
      <c r="BB29" s="3" t="str">
        <f t="shared" si="38"/>
        <v/>
      </c>
      <c r="BC29" s="3">
        <f t="shared" si="39"/>
        <v>274</v>
      </c>
      <c r="BD29" s="3">
        <f t="shared" si="40"/>
        <v>275</v>
      </c>
      <c r="BE29" s="9" t="str">
        <f t="shared" si="41"/>
        <v/>
      </c>
      <c r="BF29" s="9" t="str">
        <f t="shared" si="42"/>
        <v/>
      </c>
      <c r="BG29" s="9" t="str">
        <f t="shared" si="43"/>
        <v>00000112</v>
      </c>
      <c r="BH29" s="9" t="str">
        <f t="shared" si="44"/>
        <v>00000113</v>
      </c>
      <c r="BI29" s="3" t="str">
        <f t="shared" si="45"/>
        <v/>
      </c>
      <c r="BJ29" s="3" t="str">
        <f t="shared" si="46"/>
        <v/>
      </c>
      <c r="BK29" s="3" t="str">
        <f t="shared" si="47"/>
        <v>(1 downto 0)</v>
      </c>
      <c r="BL29" s="3" t="str">
        <f t="shared" si="48"/>
        <v/>
      </c>
      <c r="BM29" s="3" t="str">
        <f t="shared" si="49"/>
        <v/>
      </c>
      <c r="BN29" s="3" t="str">
        <f t="shared" si="50"/>
        <v/>
      </c>
      <c r="BO29" s="3">
        <f t="shared" si="51"/>
        <v>9</v>
      </c>
      <c r="BP29" s="3">
        <f t="shared" si="52"/>
        <v>7</v>
      </c>
      <c r="BQ29" s="3" t="str">
        <f t="shared" si="53"/>
        <v/>
      </c>
      <c r="BR29" s="3" t="str">
        <f t="shared" si="54"/>
        <v/>
      </c>
      <c r="BS29" s="3" t="str">
        <f t="shared" si="55"/>
        <v>(9 downto 8)</v>
      </c>
      <c r="BT29" s="3" t="str">
        <f t="shared" si="56"/>
        <v>(7 downto 0)</v>
      </c>
    </row>
    <row r="30" spans="2:72" x14ac:dyDescent="0.25">
      <c r="B30" s="3" t="s">
        <v>178</v>
      </c>
      <c r="C30" s="3" t="s">
        <v>184</v>
      </c>
      <c r="D30" s="3" t="s">
        <v>1</v>
      </c>
      <c r="E30" s="3" t="s">
        <v>114</v>
      </c>
      <c r="F30" s="3" t="s">
        <v>180</v>
      </c>
      <c r="G30" s="3" t="s">
        <v>362</v>
      </c>
      <c r="H30" s="20" t="s">
        <v>185</v>
      </c>
      <c r="I30" s="3" t="s">
        <v>24</v>
      </c>
      <c r="J30" s="3">
        <v>10</v>
      </c>
      <c r="K30" s="3" t="s">
        <v>118</v>
      </c>
      <c r="L30" s="3" t="s">
        <v>23</v>
      </c>
      <c r="M30" s="3">
        <v>69</v>
      </c>
      <c r="N30" s="3" t="str">
        <f t="shared" si="59"/>
        <v>00000045</v>
      </c>
      <c r="O30" s="3">
        <v>25</v>
      </c>
      <c r="P30" s="3">
        <v>16</v>
      </c>
      <c r="Q30" s="3" t="str">
        <f t="shared" si="11"/>
        <v/>
      </c>
      <c r="R30" s="3" t="str">
        <f t="shared" si="58"/>
        <v/>
      </c>
      <c r="S30" s="3" t="str">
        <f t="shared" si="58"/>
        <v/>
      </c>
      <c r="T30" s="3" t="str">
        <f t="shared" si="58"/>
        <v/>
      </c>
      <c r="U30" s="3" t="str">
        <f t="shared" si="58"/>
        <v/>
      </c>
      <c r="V30" s="3" t="str">
        <f t="shared" si="58"/>
        <v/>
      </c>
      <c r="W30" s="3" t="str">
        <f t="shared" si="58"/>
        <v>X</v>
      </c>
      <c r="X30" s="3" t="str">
        <f t="shared" si="58"/>
        <v>X</v>
      </c>
      <c r="Y30" s="3" t="str">
        <f t="shared" si="58"/>
        <v>X</v>
      </c>
      <c r="Z30" s="3" t="str">
        <f t="shared" si="58"/>
        <v>X</v>
      </c>
      <c r="AA30" s="3" t="str">
        <f t="shared" si="58"/>
        <v>X</v>
      </c>
      <c r="AB30" s="3" t="str">
        <f t="shared" si="58"/>
        <v>X</v>
      </c>
      <c r="AC30" s="3" t="str">
        <f t="shared" si="58"/>
        <v>X</v>
      </c>
      <c r="AD30" s="3" t="str">
        <f t="shared" si="58"/>
        <v>X</v>
      </c>
      <c r="AE30" s="3" t="str">
        <f t="shared" si="58"/>
        <v>X</v>
      </c>
      <c r="AF30" s="3" t="str">
        <f t="shared" si="58"/>
        <v>X</v>
      </c>
      <c r="AG30" s="3" t="str">
        <f t="shared" si="58"/>
        <v/>
      </c>
      <c r="AH30" s="3" t="str">
        <f t="shared" si="60"/>
        <v/>
      </c>
      <c r="AI30" s="3" t="str">
        <f t="shared" si="60"/>
        <v/>
      </c>
      <c r="AJ30" s="3" t="str">
        <f t="shared" si="60"/>
        <v/>
      </c>
      <c r="AK30" s="3" t="str">
        <f t="shared" si="60"/>
        <v/>
      </c>
      <c r="AL30" s="3" t="str">
        <f t="shared" si="60"/>
        <v/>
      </c>
      <c r="AM30" s="3" t="str">
        <f t="shared" si="60"/>
        <v/>
      </c>
      <c r="AN30" s="3" t="str">
        <f t="shared" si="60"/>
        <v/>
      </c>
      <c r="AO30" s="3" t="str">
        <f t="shared" si="60"/>
        <v/>
      </c>
      <c r="AP30" s="3" t="str">
        <f t="shared" si="60"/>
        <v/>
      </c>
      <c r="AQ30" s="3" t="str">
        <f t="shared" si="60"/>
        <v/>
      </c>
      <c r="AR30" s="3" t="str">
        <f t="shared" si="60"/>
        <v/>
      </c>
      <c r="AS30" s="3" t="str">
        <f t="shared" si="60"/>
        <v/>
      </c>
      <c r="AT30" s="3" t="str">
        <f t="shared" si="60"/>
        <v/>
      </c>
      <c r="AU30" s="3" t="str">
        <f t="shared" si="60"/>
        <v/>
      </c>
      <c r="AV30" s="3" t="str">
        <f t="shared" si="60"/>
        <v/>
      </c>
      <c r="AW30" s="3" t="str">
        <f t="shared" si="12"/>
        <v>X</v>
      </c>
      <c r="AX30" s="3" t="str">
        <f t="shared" si="13"/>
        <v>X</v>
      </c>
      <c r="AY30" s="3" t="str">
        <f t="shared" si="14"/>
        <v/>
      </c>
      <c r="AZ30" s="3" t="str">
        <f t="shared" si="15"/>
        <v/>
      </c>
      <c r="BA30" s="3">
        <f t="shared" si="37"/>
        <v>276</v>
      </c>
      <c r="BB30" s="3">
        <f t="shared" si="38"/>
        <v>277</v>
      </c>
      <c r="BC30" s="3" t="str">
        <f t="shared" si="39"/>
        <v/>
      </c>
      <c r="BD30" s="3" t="str">
        <f t="shared" si="40"/>
        <v/>
      </c>
      <c r="BE30" s="9" t="str">
        <f t="shared" si="41"/>
        <v>00000114</v>
      </c>
      <c r="BF30" s="9" t="str">
        <f t="shared" si="42"/>
        <v>00000115</v>
      </c>
      <c r="BG30" s="9" t="str">
        <f t="shared" si="43"/>
        <v/>
      </c>
      <c r="BH30" s="9" t="str">
        <f t="shared" si="44"/>
        <v/>
      </c>
      <c r="BI30" s="3" t="str">
        <f t="shared" si="45"/>
        <v>(1 downto 0)</v>
      </c>
      <c r="BJ30" s="3" t="str">
        <f t="shared" si="46"/>
        <v/>
      </c>
      <c r="BK30" s="3" t="str">
        <f t="shared" si="47"/>
        <v/>
      </c>
      <c r="BL30" s="3" t="str">
        <f t="shared" si="48"/>
        <v/>
      </c>
      <c r="BM30" s="3">
        <f t="shared" si="49"/>
        <v>9</v>
      </c>
      <c r="BN30" s="3">
        <f t="shared" si="50"/>
        <v>7</v>
      </c>
      <c r="BO30" s="3" t="str">
        <f t="shared" si="51"/>
        <v/>
      </c>
      <c r="BP30" s="3" t="str">
        <f t="shared" si="52"/>
        <v/>
      </c>
      <c r="BQ30" s="3" t="str">
        <f t="shared" si="53"/>
        <v>(9 downto 8)</v>
      </c>
      <c r="BR30" s="3" t="str">
        <f t="shared" si="54"/>
        <v>(7 downto 0)</v>
      </c>
      <c r="BS30" s="3" t="str">
        <f t="shared" si="55"/>
        <v/>
      </c>
      <c r="BT30" s="3" t="str">
        <f t="shared" si="56"/>
        <v/>
      </c>
    </row>
    <row r="31" spans="2:72" x14ac:dyDescent="0.25">
      <c r="B31" s="3" t="s">
        <v>178</v>
      </c>
      <c r="C31" s="3" t="s">
        <v>186</v>
      </c>
      <c r="D31" s="3" t="s">
        <v>1</v>
      </c>
      <c r="E31" s="3" t="s">
        <v>114</v>
      </c>
      <c r="F31" s="3" t="s">
        <v>180</v>
      </c>
      <c r="G31" s="3" t="s">
        <v>362</v>
      </c>
      <c r="H31" s="20" t="s">
        <v>187</v>
      </c>
      <c r="I31" s="3" t="s">
        <v>24</v>
      </c>
      <c r="J31" s="3">
        <v>10</v>
      </c>
      <c r="K31" s="3" t="s">
        <v>118</v>
      </c>
      <c r="L31" s="3" t="s">
        <v>23</v>
      </c>
      <c r="M31" s="3">
        <v>69</v>
      </c>
      <c r="N31" s="3" t="str">
        <f t="shared" si="59"/>
        <v>00000045</v>
      </c>
      <c r="O31" s="3">
        <v>9</v>
      </c>
      <c r="P31" s="3">
        <v>0</v>
      </c>
      <c r="Q31" s="3" t="str">
        <f t="shared" si="11"/>
        <v/>
      </c>
      <c r="R31" s="3" t="str">
        <f t="shared" si="58"/>
        <v/>
      </c>
      <c r="S31" s="3" t="str">
        <f t="shared" ref="R31:AG46" si="61">IF(AND($O31&gt;=S$3,S$3&gt;=$P31),"X","")</f>
        <v/>
      </c>
      <c r="T31" s="3" t="str">
        <f t="shared" si="61"/>
        <v/>
      </c>
      <c r="U31" s="3" t="str">
        <f t="shared" si="61"/>
        <v/>
      </c>
      <c r="V31" s="3" t="str">
        <f t="shared" si="61"/>
        <v/>
      </c>
      <c r="W31" s="3" t="str">
        <f t="shared" si="61"/>
        <v/>
      </c>
      <c r="X31" s="3" t="str">
        <f t="shared" si="61"/>
        <v/>
      </c>
      <c r="Y31" s="3" t="str">
        <f t="shared" si="61"/>
        <v/>
      </c>
      <c r="Z31" s="3" t="str">
        <f t="shared" si="61"/>
        <v/>
      </c>
      <c r="AA31" s="3" t="str">
        <f t="shared" si="61"/>
        <v/>
      </c>
      <c r="AB31" s="3" t="str">
        <f t="shared" si="61"/>
        <v/>
      </c>
      <c r="AC31" s="3" t="str">
        <f t="shared" si="61"/>
        <v/>
      </c>
      <c r="AD31" s="3" t="str">
        <f t="shared" si="61"/>
        <v/>
      </c>
      <c r="AE31" s="3" t="str">
        <f t="shared" si="61"/>
        <v/>
      </c>
      <c r="AF31" s="3" t="str">
        <f t="shared" si="61"/>
        <v/>
      </c>
      <c r="AG31" s="3" t="str">
        <f t="shared" si="61"/>
        <v/>
      </c>
      <c r="AH31" s="3" t="str">
        <f t="shared" si="60"/>
        <v/>
      </c>
      <c r="AI31" s="3" t="str">
        <f t="shared" si="60"/>
        <v/>
      </c>
      <c r="AJ31" s="3" t="str">
        <f t="shared" si="60"/>
        <v/>
      </c>
      <c r="AK31" s="3" t="str">
        <f t="shared" si="60"/>
        <v/>
      </c>
      <c r="AL31" s="3" t="str">
        <f t="shared" si="60"/>
        <v/>
      </c>
      <c r="AM31" s="3" t="str">
        <f t="shared" si="60"/>
        <v>X</v>
      </c>
      <c r="AN31" s="3" t="str">
        <f t="shared" si="60"/>
        <v>X</v>
      </c>
      <c r="AO31" s="3" t="str">
        <f t="shared" si="60"/>
        <v>X</v>
      </c>
      <c r="AP31" s="3" t="str">
        <f t="shared" si="60"/>
        <v>X</v>
      </c>
      <c r="AQ31" s="3" t="str">
        <f t="shared" si="60"/>
        <v>X</v>
      </c>
      <c r="AR31" s="3" t="str">
        <f t="shared" si="60"/>
        <v>X</v>
      </c>
      <c r="AS31" s="3" t="str">
        <f t="shared" si="60"/>
        <v>X</v>
      </c>
      <c r="AT31" s="3" t="str">
        <f t="shared" si="60"/>
        <v>X</v>
      </c>
      <c r="AU31" s="3" t="str">
        <f t="shared" si="60"/>
        <v>X</v>
      </c>
      <c r="AV31" s="3" t="str">
        <f t="shared" si="60"/>
        <v>X</v>
      </c>
      <c r="AW31" s="3" t="str">
        <f t="shared" si="12"/>
        <v/>
      </c>
      <c r="AX31" s="3" t="str">
        <f t="shared" si="13"/>
        <v/>
      </c>
      <c r="AY31" s="3" t="str">
        <f t="shared" si="14"/>
        <v>X</v>
      </c>
      <c r="AZ31" s="3" t="str">
        <f t="shared" si="15"/>
        <v>X</v>
      </c>
      <c r="BA31" s="3" t="str">
        <f t="shared" si="37"/>
        <v/>
      </c>
      <c r="BB31" s="3" t="str">
        <f t="shared" si="38"/>
        <v/>
      </c>
      <c r="BC31" s="3">
        <f t="shared" si="39"/>
        <v>278</v>
      </c>
      <c r="BD31" s="3">
        <f t="shared" si="40"/>
        <v>279</v>
      </c>
      <c r="BE31" s="9" t="str">
        <f t="shared" si="41"/>
        <v/>
      </c>
      <c r="BF31" s="9" t="str">
        <f t="shared" si="42"/>
        <v/>
      </c>
      <c r="BG31" s="9" t="str">
        <f t="shared" si="43"/>
        <v>00000116</v>
      </c>
      <c r="BH31" s="9" t="str">
        <f t="shared" si="44"/>
        <v>00000117</v>
      </c>
      <c r="BI31" s="3" t="str">
        <f t="shared" si="45"/>
        <v/>
      </c>
      <c r="BJ31" s="3" t="str">
        <f t="shared" si="46"/>
        <v/>
      </c>
      <c r="BK31" s="3" t="str">
        <f t="shared" si="47"/>
        <v>(1 downto 0)</v>
      </c>
      <c r="BL31" s="3" t="str">
        <f t="shared" si="48"/>
        <v/>
      </c>
      <c r="BM31" s="3" t="str">
        <f t="shared" si="49"/>
        <v/>
      </c>
      <c r="BN31" s="3" t="str">
        <f t="shared" si="50"/>
        <v/>
      </c>
      <c r="BO31" s="3">
        <f t="shared" si="51"/>
        <v>9</v>
      </c>
      <c r="BP31" s="3">
        <f t="shared" si="52"/>
        <v>7</v>
      </c>
      <c r="BQ31" s="3" t="str">
        <f t="shared" si="53"/>
        <v/>
      </c>
      <c r="BR31" s="3" t="str">
        <f t="shared" si="54"/>
        <v/>
      </c>
      <c r="BS31" s="3" t="str">
        <f t="shared" si="55"/>
        <v>(9 downto 8)</v>
      </c>
      <c r="BT31" s="3" t="str">
        <f t="shared" si="56"/>
        <v>(7 downto 0)</v>
      </c>
    </row>
    <row r="32" spans="2:72" x14ac:dyDescent="0.25">
      <c r="B32" s="3" t="s">
        <v>178</v>
      </c>
      <c r="C32" s="3" t="s">
        <v>188</v>
      </c>
      <c r="D32" s="3" t="s">
        <v>1</v>
      </c>
      <c r="E32" s="3" t="s">
        <v>114</v>
      </c>
      <c r="F32" s="3" t="s">
        <v>180</v>
      </c>
      <c r="G32" s="3" t="s">
        <v>362</v>
      </c>
      <c r="H32" s="20" t="s">
        <v>189</v>
      </c>
      <c r="I32" s="3" t="s">
        <v>24</v>
      </c>
      <c r="J32" s="3">
        <v>10</v>
      </c>
      <c r="K32" s="3" t="s">
        <v>118</v>
      </c>
      <c r="L32" s="3" t="s">
        <v>23</v>
      </c>
      <c r="M32" s="3">
        <v>70</v>
      </c>
      <c r="N32" s="3" t="str">
        <f t="shared" si="59"/>
        <v>00000046</v>
      </c>
      <c r="O32" s="3">
        <v>25</v>
      </c>
      <c r="P32" s="3">
        <v>16</v>
      </c>
      <c r="Q32" s="3" t="str">
        <f t="shared" si="11"/>
        <v/>
      </c>
      <c r="R32" s="3" t="str">
        <f t="shared" si="61"/>
        <v/>
      </c>
      <c r="S32" s="3" t="str">
        <f t="shared" si="61"/>
        <v/>
      </c>
      <c r="T32" s="3" t="str">
        <f t="shared" si="61"/>
        <v/>
      </c>
      <c r="U32" s="3" t="str">
        <f t="shared" si="61"/>
        <v/>
      </c>
      <c r="V32" s="3" t="str">
        <f t="shared" si="61"/>
        <v/>
      </c>
      <c r="W32" s="3" t="str">
        <f t="shared" si="61"/>
        <v>X</v>
      </c>
      <c r="X32" s="3" t="str">
        <f t="shared" si="61"/>
        <v>X</v>
      </c>
      <c r="Y32" s="3" t="str">
        <f t="shared" si="61"/>
        <v>X</v>
      </c>
      <c r="Z32" s="3" t="str">
        <f t="shared" si="61"/>
        <v>X</v>
      </c>
      <c r="AA32" s="3" t="str">
        <f t="shared" si="61"/>
        <v>X</v>
      </c>
      <c r="AB32" s="3" t="str">
        <f t="shared" si="61"/>
        <v>X</v>
      </c>
      <c r="AC32" s="3" t="str">
        <f t="shared" si="61"/>
        <v>X</v>
      </c>
      <c r="AD32" s="3" t="str">
        <f t="shared" si="61"/>
        <v>X</v>
      </c>
      <c r="AE32" s="3" t="str">
        <f t="shared" si="61"/>
        <v>X</v>
      </c>
      <c r="AF32" s="3" t="str">
        <f t="shared" si="61"/>
        <v>X</v>
      </c>
      <c r="AG32" s="3" t="str">
        <f t="shared" si="61"/>
        <v/>
      </c>
      <c r="AH32" s="3" t="str">
        <f t="shared" si="60"/>
        <v/>
      </c>
      <c r="AI32" s="3" t="str">
        <f t="shared" si="60"/>
        <v/>
      </c>
      <c r="AJ32" s="3" t="str">
        <f t="shared" si="60"/>
        <v/>
      </c>
      <c r="AK32" s="3" t="str">
        <f t="shared" si="60"/>
        <v/>
      </c>
      <c r="AL32" s="3" t="str">
        <f t="shared" si="60"/>
        <v/>
      </c>
      <c r="AM32" s="3" t="str">
        <f t="shared" si="60"/>
        <v/>
      </c>
      <c r="AN32" s="3" t="str">
        <f t="shared" si="60"/>
        <v/>
      </c>
      <c r="AO32" s="3" t="str">
        <f t="shared" si="60"/>
        <v/>
      </c>
      <c r="AP32" s="3" t="str">
        <f t="shared" si="60"/>
        <v/>
      </c>
      <c r="AQ32" s="3" t="str">
        <f t="shared" si="60"/>
        <v/>
      </c>
      <c r="AR32" s="3" t="str">
        <f t="shared" si="60"/>
        <v/>
      </c>
      <c r="AS32" s="3" t="str">
        <f t="shared" si="60"/>
        <v/>
      </c>
      <c r="AT32" s="3" t="str">
        <f t="shared" si="60"/>
        <v/>
      </c>
      <c r="AU32" s="3" t="str">
        <f t="shared" si="60"/>
        <v/>
      </c>
      <c r="AV32" s="3" t="str">
        <f t="shared" si="60"/>
        <v/>
      </c>
      <c r="AW32" s="3" t="str">
        <f t="shared" si="12"/>
        <v>X</v>
      </c>
      <c r="AX32" s="3" t="str">
        <f t="shared" si="13"/>
        <v>X</v>
      </c>
      <c r="AY32" s="3" t="str">
        <f t="shared" si="14"/>
        <v/>
      </c>
      <c r="AZ32" s="3" t="str">
        <f t="shared" si="15"/>
        <v/>
      </c>
      <c r="BA32" s="3">
        <f t="shared" si="37"/>
        <v>280</v>
      </c>
      <c r="BB32" s="3">
        <f t="shared" si="38"/>
        <v>281</v>
      </c>
      <c r="BC32" s="3" t="str">
        <f t="shared" si="39"/>
        <v/>
      </c>
      <c r="BD32" s="3" t="str">
        <f t="shared" si="40"/>
        <v/>
      </c>
      <c r="BE32" s="9" t="str">
        <f t="shared" si="41"/>
        <v>00000118</v>
      </c>
      <c r="BF32" s="9" t="str">
        <f t="shared" si="42"/>
        <v>00000119</v>
      </c>
      <c r="BG32" s="9" t="str">
        <f t="shared" si="43"/>
        <v/>
      </c>
      <c r="BH32" s="9" t="str">
        <f t="shared" si="44"/>
        <v/>
      </c>
      <c r="BI32" s="3" t="str">
        <f t="shared" si="45"/>
        <v>(1 downto 0)</v>
      </c>
      <c r="BJ32" s="3" t="str">
        <f t="shared" si="46"/>
        <v/>
      </c>
      <c r="BK32" s="3" t="str">
        <f t="shared" si="47"/>
        <v/>
      </c>
      <c r="BL32" s="3" t="str">
        <f t="shared" si="48"/>
        <v/>
      </c>
      <c r="BM32" s="3">
        <f t="shared" si="49"/>
        <v>9</v>
      </c>
      <c r="BN32" s="3">
        <f t="shared" si="50"/>
        <v>7</v>
      </c>
      <c r="BO32" s="3" t="str">
        <f t="shared" si="51"/>
        <v/>
      </c>
      <c r="BP32" s="3" t="str">
        <f t="shared" si="52"/>
        <v/>
      </c>
      <c r="BQ32" s="3" t="str">
        <f t="shared" si="53"/>
        <v>(9 downto 8)</v>
      </c>
      <c r="BR32" s="3" t="str">
        <f t="shared" si="54"/>
        <v>(7 downto 0)</v>
      </c>
      <c r="BS32" s="3" t="str">
        <f t="shared" si="55"/>
        <v/>
      </c>
      <c r="BT32" s="3" t="str">
        <f t="shared" si="56"/>
        <v/>
      </c>
    </row>
    <row r="33" spans="2:76" x14ac:dyDescent="0.25">
      <c r="B33" s="3" t="s">
        <v>178</v>
      </c>
      <c r="C33" s="3" t="s">
        <v>190</v>
      </c>
      <c r="D33" s="3" t="s">
        <v>1</v>
      </c>
      <c r="E33" s="3" t="s">
        <v>114</v>
      </c>
      <c r="F33" s="3" t="s">
        <v>180</v>
      </c>
      <c r="G33" s="3" t="s">
        <v>362</v>
      </c>
      <c r="H33" s="20" t="s">
        <v>191</v>
      </c>
      <c r="I33" s="3" t="s">
        <v>24</v>
      </c>
      <c r="J33" s="3">
        <v>10</v>
      </c>
      <c r="K33" s="3" t="s">
        <v>118</v>
      </c>
      <c r="L33" s="3" t="s">
        <v>23</v>
      </c>
      <c r="M33" s="3">
        <v>70</v>
      </c>
      <c r="N33" s="3" t="str">
        <f t="shared" si="59"/>
        <v>00000046</v>
      </c>
      <c r="O33" s="3">
        <v>9</v>
      </c>
      <c r="P33" s="3">
        <v>0</v>
      </c>
      <c r="Q33" s="3" t="str">
        <f t="shared" si="11"/>
        <v/>
      </c>
      <c r="R33" s="3" t="str">
        <f t="shared" si="61"/>
        <v/>
      </c>
      <c r="S33" s="3" t="str">
        <f t="shared" si="61"/>
        <v/>
      </c>
      <c r="T33" s="3" t="str">
        <f t="shared" si="61"/>
        <v/>
      </c>
      <c r="U33" s="3" t="str">
        <f t="shared" si="61"/>
        <v/>
      </c>
      <c r="V33" s="3" t="str">
        <f t="shared" si="61"/>
        <v/>
      </c>
      <c r="W33" s="3" t="str">
        <f t="shared" si="61"/>
        <v/>
      </c>
      <c r="X33" s="3" t="str">
        <f t="shared" si="61"/>
        <v/>
      </c>
      <c r="Y33" s="3" t="str">
        <f t="shared" si="61"/>
        <v/>
      </c>
      <c r="Z33" s="3" t="str">
        <f t="shared" si="61"/>
        <v/>
      </c>
      <c r="AA33" s="3" t="str">
        <f t="shared" si="61"/>
        <v/>
      </c>
      <c r="AB33" s="3" t="str">
        <f t="shared" si="61"/>
        <v/>
      </c>
      <c r="AC33" s="3" t="str">
        <f t="shared" si="61"/>
        <v/>
      </c>
      <c r="AD33" s="3" t="str">
        <f t="shared" si="61"/>
        <v/>
      </c>
      <c r="AE33" s="3" t="str">
        <f t="shared" si="61"/>
        <v/>
      </c>
      <c r="AF33" s="3" t="str">
        <f t="shared" si="61"/>
        <v/>
      </c>
      <c r="AG33" s="3" t="str">
        <f t="shared" si="61"/>
        <v/>
      </c>
      <c r="AH33" s="3" t="str">
        <f t="shared" si="60"/>
        <v/>
      </c>
      <c r="AI33" s="3" t="str">
        <f t="shared" si="60"/>
        <v/>
      </c>
      <c r="AJ33" s="3" t="str">
        <f t="shared" si="60"/>
        <v/>
      </c>
      <c r="AK33" s="3" t="str">
        <f t="shared" si="60"/>
        <v/>
      </c>
      <c r="AL33" s="3" t="str">
        <f t="shared" si="60"/>
        <v/>
      </c>
      <c r="AM33" s="3" t="str">
        <f t="shared" si="60"/>
        <v>X</v>
      </c>
      <c r="AN33" s="3" t="str">
        <f t="shared" si="60"/>
        <v>X</v>
      </c>
      <c r="AO33" s="3" t="str">
        <f t="shared" si="60"/>
        <v>X</v>
      </c>
      <c r="AP33" s="3" t="str">
        <f t="shared" si="60"/>
        <v>X</v>
      </c>
      <c r="AQ33" s="3" t="str">
        <f t="shared" si="60"/>
        <v>X</v>
      </c>
      <c r="AR33" s="3" t="str">
        <f t="shared" si="60"/>
        <v>X</v>
      </c>
      <c r="AS33" s="3" t="str">
        <f t="shared" si="60"/>
        <v>X</v>
      </c>
      <c r="AT33" s="3" t="str">
        <f t="shared" si="60"/>
        <v>X</v>
      </c>
      <c r="AU33" s="3" t="str">
        <f t="shared" si="60"/>
        <v>X</v>
      </c>
      <c r="AV33" s="3" t="str">
        <f t="shared" si="60"/>
        <v>X</v>
      </c>
      <c r="AW33" s="3" t="str">
        <f t="shared" si="12"/>
        <v/>
      </c>
      <c r="AX33" s="3" t="str">
        <f t="shared" si="13"/>
        <v/>
      </c>
      <c r="AY33" s="3" t="str">
        <f t="shared" si="14"/>
        <v>X</v>
      </c>
      <c r="AZ33" s="3" t="str">
        <f t="shared" si="15"/>
        <v>X</v>
      </c>
      <c r="BA33" s="3" t="str">
        <f t="shared" si="37"/>
        <v/>
      </c>
      <c r="BB33" s="3" t="str">
        <f t="shared" si="38"/>
        <v/>
      </c>
      <c r="BC33" s="3">
        <f t="shared" si="39"/>
        <v>282</v>
      </c>
      <c r="BD33" s="3">
        <f t="shared" si="40"/>
        <v>283</v>
      </c>
      <c r="BE33" s="9" t="str">
        <f t="shared" si="41"/>
        <v/>
      </c>
      <c r="BF33" s="9" t="str">
        <f t="shared" si="42"/>
        <v/>
      </c>
      <c r="BG33" s="9" t="str">
        <f t="shared" si="43"/>
        <v>0000011A</v>
      </c>
      <c r="BH33" s="9" t="str">
        <f t="shared" si="44"/>
        <v>0000011B</v>
      </c>
      <c r="BI33" s="3" t="str">
        <f t="shared" si="45"/>
        <v/>
      </c>
      <c r="BJ33" s="3" t="str">
        <f t="shared" si="46"/>
        <v/>
      </c>
      <c r="BK33" s="3" t="str">
        <f t="shared" si="47"/>
        <v>(1 downto 0)</v>
      </c>
      <c r="BL33" s="3" t="str">
        <f t="shared" si="48"/>
        <v/>
      </c>
      <c r="BM33" s="3" t="str">
        <f t="shared" si="49"/>
        <v/>
      </c>
      <c r="BN33" s="3" t="str">
        <f t="shared" si="50"/>
        <v/>
      </c>
      <c r="BO33" s="3">
        <f t="shared" si="51"/>
        <v>9</v>
      </c>
      <c r="BP33" s="3">
        <f t="shared" si="52"/>
        <v>7</v>
      </c>
      <c r="BQ33" s="3" t="str">
        <f t="shared" si="53"/>
        <v/>
      </c>
      <c r="BR33" s="3" t="str">
        <f t="shared" si="54"/>
        <v/>
      </c>
      <c r="BS33" s="3" t="str">
        <f t="shared" si="55"/>
        <v>(9 downto 8)</v>
      </c>
      <c r="BT33" s="3" t="str">
        <f t="shared" si="56"/>
        <v>(7 downto 0)</v>
      </c>
    </row>
    <row r="34" spans="2:76" x14ac:dyDescent="0.25">
      <c r="B34" s="3" t="s">
        <v>178</v>
      </c>
      <c r="C34" s="3" t="s">
        <v>192</v>
      </c>
      <c r="D34" s="3" t="s">
        <v>1</v>
      </c>
      <c r="E34" s="3" t="s">
        <v>114</v>
      </c>
      <c r="F34" s="3" t="s">
        <v>180</v>
      </c>
      <c r="G34" s="3" t="s">
        <v>362</v>
      </c>
      <c r="H34" s="20" t="s">
        <v>193</v>
      </c>
      <c r="I34" s="3" t="s">
        <v>24</v>
      </c>
      <c r="J34" s="3">
        <v>10</v>
      </c>
      <c r="K34" s="3" t="s">
        <v>118</v>
      </c>
      <c r="L34" s="3" t="s">
        <v>23</v>
      </c>
      <c r="M34" s="3">
        <v>71</v>
      </c>
      <c r="N34" s="3" t="str">
        <f t="shared" si="59"/>
        <v>00000047</v>
      </c>
      <c r="O34" s="3">
        <v>25</v>
      </c>
      <c r="P34" s="3">
        <v>16</v>
      </c>
      <c r="Q34" s="3" t="str">
        <f t="shared" si="11"/>
        <v/>
      </c>
      <c r="R34" s="3" t="str">
        <f t="shared" si="61"/>
        <v/>
      </c>
      <c r="S34" s="3" t="str">
        <f t="shared" si="61"/>
        <v/>
      </c>
      <c r="T34" s="3" t="str">
        <f t="shared" si="61"/>
        <v/>
      </c>
      <c r="U34" s="3" t="str">
        <f t="shared" si="61"/>
        <v/>
      </c>
      <c r="V34" s="3" t="str">
        <f t="shared" si="61"/>
        <v/>
      </c>
      <c r="W34" s="3" t="str">
        <f t="shared" si="61"/>
        <v>X</v>
      </c>
      <c r="X34" s="3" t="str">
        <f t="shared" si="61"/>
        <v>X</v>
      </c>
      <c r="Y34" s="3" t="str">
        <f t="shared" si="61"/>
        <v>X</v>
      </c>
      <c r="Z34" s="3" t="str">
        <f t="shared" si="61"/>
        <v>X</v>
      </c>
      <c r="AA34" s="3" t="str">
        <f t="shared" si="61"/>
        <v>X</v>
      </c>
      <c r="AB34" s="3" t="str">
        <f t="shared" si="61"/>
        <v>X</v>
      </c>
      <c r="AC34" s="3" t="str">
        <f t="shared" si="61"/>
        <v>X</v>
      </c>
      <c r="AD34" s="3" t="str">
        <f t="shared" si="61"/>
        <v>X</v>
      </c>
      <c r="AE34" s="3" t="str">
        <f t="shared" si="61"/>
        <v>X</v>
      </c>
      <c r="AF34" s="3" t="str">
        <f t="shared" si="61"/>
        <v>X</v>
      </c>
      <c r="AG34" s="3" t="str">
        <f t="shared" si="61"/>
        <v/>
      </c>
      <c r="AH34" s="3" t="str">
        <f t="shared" si="60"/>
        <v/>
      </c>
      <c r="AI34" s="3" t="str">
        <f t="shared" si="60"/>
        <v/>
      </c>
      <c r="AJ34" s="3" t="str">
        <f t="shared" si="60"/>
        <v/>
      </c>
      <c r="AK34" s="3" t="str">
        <f t="shared" si="60"/>
        <v/>
      </c>
      <c r="AL34" s="3" t="str">
        <f t="shared" si="60"/>
        <v/>
      </c>
      <c r="AM34" s="3" t="str">
        <f t="shared" si="60"/>
        <v/>
      </c>
      <c r="AN34" s="3" t="str">
        <f t="shared" si="60"/>
        <v/>
      </c>
      <c r="AO34" s="3" t="str">
        <f t="shared" si="60"/>
        <v/>
      </c>
      <c r="AP34" s="3" t="str">
        <f t="shared" si="60"/>
        <v/>
      </c>
      <c r="AQ34" s="3" t="str">
        <f t="shared" si="60"/>
        <v/>
      </c>
      <c r="AR34" s="3" t="str">
        <f t="shared" si="60"/>
        <v/>
      </c>
      <c r="AS34" s="3" t="str">
        <f t="shared" si="60"/>
        <v/>
      </c>
      <c r="AT34" s="3" t="str">
        <f t="shared" si="60"/>
        <v/>
      </c>
      <c r="AU34" s="3" t="str">
        <f t="shared" si="60"/>
        <v/>
      </c>
      <c r="AV34" s="3" t="str">
        <f t="shared" si="60"/>
        <v/>
      </c>
      <c r="AW34" s="3" t="str">
        <f t="shared" si="12"/>
        <v>X</v>
      </c>
      <c r="AX34" s="3" t="str">
        <f t="shared" si="13"/>
        <v>X</v>
      </c>
      <c r="AY34" s="3" t="str">
        <f t="shared" si="14"/>
        <v/>
      </c>
      <c r="AZ34" s="3" t="str">
        <f t="shared" si="15"/>
        <v/>
      </c>
      <c r="BA34" s="3">
        <f t="shared" si="37"/>
        <v>284</v>
      </c>
      <c r="BB34" s="3">
        <f t="shared" si="38"/>
        <v>285</v>
      </c>
      <c r="BC34" s="3" t="str">
        <f t="shared" si="39"/>
        <v/>
      </c>
      <c r="BD34" s="3" t="str">
        <f t="shared" si="40"/>
        <v/>
      </c>
      <c r="BE34" s="9" t="str">
        <f t="shared" si="41"/>
        <v>0000011C</v>
      </c>
      <c r="BF34" s="9" t="str">
        <f t="shared" si="42"/>
        <v>0000011D</v>
      </c>
      <c r="BG34" s="9" t="str">
        <f t="shared" si="43"/>
        <v/>
      </c>
      <c r="BH34" s="9" t="str">
        <f t="shared" si="44"/>
        <v/>
      </c>
      <c r="BI34" s="3" t="str">
        <f t="shared" si="45"/>
        <v>(1 downto 0)</v>
      </c>
      <c r="BJ34" s="3" t="str">
        <f t="shared" si="46"/>
        <v/>
      </c>
      <c r="BK34" s="3" t="str">
        <f t="shared" si="47"/>
        <v/>
      </c>
      <c r="BL34" s="3" t="str">
        <f t="shared" si="48"/>
        <v/>
      </c>
      <c r="BM34" s="3">
        <f t="shared" si="49"/>
        <v>9</v>
      </c>
      <c r="BN34" s="3">
        <f t="shared" si="50"/>
        <v>7</v>
      </c>
      <c r="BO34" s="3" t="str">
        <f t="shared" si="51"/>
        <v/>
      </c>
      <c r="BP34" s="3" t="str">
        <f t="shared" si="52"/>
        <v/>
      </c>
      <c r="BQ34" s="3" t="str">
        <f t="shared" si="53"/>
        <v>(9 downto 8)</v>
      </c>
      <c r="BR34" s="3" t="str">
        <f t="shared" si="54"/>
        <v>(7 downto 0)</v>
      </c>
      <c r="BS34" s="3" t="str">
        <f t="shared" si="55"/>
        <v/>
      </c>
      <c r="BT34" s="3" t="str">
        <f t="shared" si="56"/>
        <v/>
      </c>
    </row>
    <row r="35" spans="2:76" x14ac:dyDescent="0.25">
      <c r="B35" s="3" t="s">
        <v>178</v>
      </c>
      <c r="C35" s="3" t="s">
        <v>194</v>
      </c>
      <c r="D35" s="3" t="s">
        <v>1</v>
      </c>
      <c r="E35" s="3" t="s">
        <v>114</v>
      </c>
      <c r="F35" s="3" t="s">
        <v>180</v>
      </c>
      <c r="G35" s="3" t="s">
        <v>362</v>
      </c>
      <c r="H35" s="20" t="s">
        <v>195</v>
      </c>
      <c r="I35" s="3" t="s">
        <v>24</v>
      </c>
      <c r="J35" s="3">
        <v>10</v>
      </c>
      <c r="K35" s="3" t="s">
        <v>118</v>
      </c>
      <c r="L35" s="3" t="s">
        <v>23</v>
      </c>
      <c r="M35" s="3">
        <v>71</v>
      </c>
      <c r="N35" s="3" t="str">
        <f t="shared" si="59"/>
        <v>00000047</v>
      </c>
      <c r="O35" s="3">
        <v>9</v>
      </c>
      <c r="P35" s="3">
        <v>0</v>
      </c>
      <c r="Q35" s="3" t="str">
        <f t="shared" si="11"/>
        <v/>
      </c>
      <c r="R35" s="3" t="str">
        <f t="shared" si="61"/>
        <v/>
      </c>
      <c r="S35" s="3" t="str">
        <f t="shared" si="61"/>
        <v/>
      </c>
      <c r="T35" s="3" t="str">
        <f t="shared" si="61"/>
        <v/>
      </c>
      <c r="U35" s="3" t="str">
        <f t="shared" si="61"/>
        <v/>
      </c>
      <c r="V35" s="3" t="str">
        <f t="shared" si="61"/>
        <v/>
      </c>
      <c r="W35" s="3" t="str">
        <f t="shared" si="61"/>
        <v/>
      </c>
      <c r="X35" s="3" t="str">
        <f t="shared" si="61"/>
        <v/>
      </c>
      <c r="Y35" s="3" t="str">
        <f t="shared" si="61"/>
        <v/>
      </c>
      <c r="Z35" s="3" t="str">
        <f t="shared" si="61"/>
        <v/>
      </c>
      <c r="AA35" s="3" t="str">
        <f t="shared" si="61"/>
        <v/>
      </c>
      <c r="AB35" s="3" t="str">
        <f t="shared" si="61"/>
        <v/>
      </c>
      <c r="AC35" s="3" t="str">
        <f t="shared" si="61"/>
        <v/>
      </c>
      <c r="AD35" s="3" t="str">
        <f t="shared" si="61"/>
        <v/>
      </c>
      <c r="AE35" s="3" t="str">
        <f t="shared" si="61"/>
        <v/>
      </c>
      <c r="AF35" s="3" t="str">
        <f t="shared" si="61"/>
        <v/>
      </c>
      <c r="AG35" s="3" t="str">
        <f t="shared" si="61"/>
        <v/>
      </c>
      <c r="AH35" s="3" t="str">
        <f t="shared" si="60"/>
        <v/>
      </c>
      <c r="AI35" s="3" t="str">
        <f t="shared" si="60"/>
        <v/>
      </c>
      <c r="AJ35" s="3" t="str">
        <f t="shared" si="60"/>
        <v/>
      </c>
      <c r="AK35" s="3" t="str">
        <f t="shared" si="60"/>
        <v/>
      </c>
      <c r="AL35" s="3" t="str">
        <f t="shared" si="60"/>
        <v/>
      </c>
      <c r="AM35" s="3" t="str">
        <f t="shared" si="60"/>
        <v>X</v>
      </c>
      <c r="AN35" s="3" t="str">
        <f t="shared" si="60"/>
        <v>X</v>
      </c>
      <c r="AO35" s="3" t="str">
        <f t="shared" si="60"/>
        <v>X</v>
      </c>
      <c r="AP35" s="3" t="str">
        <f t="shared" si="60"/>
        <v>X</v>
      </c>
      <c r="AQ35" s="3" t="str">
        <f t="shared" si="60"/>
        <v>X</v>
      </c>
      <c r="AR35" s="3" t="str">
        <f t="shared" si="60"/>
        <v>X</v>
      </c>
      <c r="AS35" s="3" t="str">
        <f t="shared" si="60"/>
        <v>X</v>
      </c>
      <c r="AT35" s="3" t="str">
        <f t="shared" si="60"/>
        <v>X</v>
      </c>
      <c r="AU35" s="3" t="str">
        <f t="shared" si="60"/>
        <v>X</v>
      </c>
      <c r="AV35" s="3" t="str">
        <f t="shared" si="60"/>
        <v>X</v>
      </c>
      <c r="AW35" s="3" t="str">
        <f t="shared" si="12"/>
        <v/>
      </c>
      <c r="AX35" s="3" t="str">
        <f t="shared" si="13"/>
        <v/>
      </c>
      <c r="AY35" s="3" t="str">
        <f t="shared" si="14"/>
        <v>X</v>
      </c>
      <c r="AZ35" s="3" t="str">
        <f t="shared" si="15"/>
        <v>X</v>
      </c>
      <c r="BA35" s="3" t="str">
        <f t="shared" si="37"/>
        <v/>
      </c>
      <c r="BB35" s="3" t="str">
        <f t="shared" si="38"/>
        <v/>
      </c>
      <c r="BC35" s="3">
        <f t="shared" si="39"/>
        <v>286</v>
      </c>
      <c r="BD35" s="3">
        <f t="shared" si="40"/>
        <v>287</v>
      </c>
      <c r="BE35" s="9" t="str">
        <f t="shared" si="41"/>
        <v/>
      </c>
      <c r="BF35" s="9" t="str">
        <f t="shared" si="42"/>
        <v/>
      </c>
      <c r="BG35" s="9" t="str">
        <f t="shared" si="43"/>
        <v>0000011E</v>
      </c>
      <c r="BH35" s="9" t="str">
        <f t="shared" si="44"/>
        <v>0000011F</v>
      </c>
      <c r="BI35" s="3" t="str">
        <f t="shared" si="45"/>
        <v/>
      </c>
      <c r="BJ35" s="3" t="str">
        <f t="shared" si="46"/>
        <v/>
      </c>
      <c r="BK35" s="3" t="str">
        <f t="shared" si="47"/>
        <v>(1 downto 0)</v>
      </c>
      <c r="BL35" s="3" t="str">
        <f t="shared" si="48"/>
        <v/>
      </c>
      <c r="BM35" s="3" t="str">
        <f t="shared" si="49"/>
        <v/>
      </c>
      <c r="BN35" s="3" t="str">
        <f t="shared" si="50"/>
        <v/>
      </c>
      <c r="BO35" s="3">
        <f t="shared" si="51"/>
        <v>9</v>
      </c>
      <c r="BP35" s="3">
        <f t="shared" si="52"/>
        <v>7</v>
      </c>
      <c r="BQ35" s="3" t="str">
        <f t="shared" si="53"/>
        <v/>
      </c>
      <c r="BR35" s="3" t="str">
        <f t="shared" si="54"/>
        <v/>
      </c>
      <c r="BS35" s="3" t="str">
        <f t="shared" si="55"/>
        <v>(9 downto 8)</v>
      </c>
      <c r="BT35" s="3" t="str">
        <f t="shared" si="56"/>
        <v>(7 downto 0)</v>
      </c>
    </row>
    <row r="36" spans="2:76" x14ac:dyDescent="0.25">
      <c r="B36" s="22" t="s">
        <v>736</v>
      </c>
      <c r="C36" s="22" t="s">
        <v>790</v>
      </c>
      <c r="D36" s="3" t="s">
        <v>1</v>
      </c>
      <c r="E36" s="3" t="s">
        <v>114</v>
      </c>
      <c r="F36" s="3" t="s">
        <v>196</v>
      </c>
      <c r="G36" s="3" t="s">
        <v>363</v>
      </c>
      <c r="H36" s="22" t="s">
        <v>740</v>
      </c>
      <c r="I36" s="3" t="s">
        <v>24</v>
      </c>
      <c r="J36" s="3">
        <v>4</v>
      </c>
      <c r="K36" s="3" t="s">
        <v>118</v>
      </c>
      <c r="L36" s="3" t="s">
        <v>23</v>
      </c>
      <c r="M36" s="3">
        <v>72</v>
      </c>
      <c r="N36" s="3" t="str">
        <f t="shared" si="59"/>
        <v>00000048</v>
      </c>
      <c r="O36" s="3">
        <v>3</v>
      </c>
      <c r="P36" s="3">
        <v>0</v>
      </c>
      <c r="Q36" s="3" t="str">
        <f t="shared" si="11"/>
        <v/>
      </c>
      <c r="R36" s="3" t="str">
        <f t="shared" si="61"/>
        <v/>
      </c>
      <c r="S36" s="3" t="str">
        <f t="shared" si="61"/>
        <v/>
      </c>
      <c r="T36" s="3" t="str">
        <f t="shared" si="61"/>
        <v/>
      </c>
      <c r="U36" s="3" t="str">
        <f t="shared" si="61"/>
        <v/>
      </c>
      <c r="V36" s="3" t="str">
        <f t="shared" si="61"/>
        <v/>
      </c>
      <c r="W36" s="3" t="str">
        <f t="shared" si="61"/>
        <v/>
      </c>
      <c r="X36" s="3" t="str">
        <f t="shared" si="61"/>
        <v/>
      </c>
      <c r="Y36" s="3" t="str">
        <f t="shared" si="61"/>
        <v/>
      </c>
      <c r="Z36" s="3" t="str">
        <f t="shared" si="61"/>
        <v/>
      </c>
      <c r="AA36" s="3" t="str">
        <f t="shared" si="61"/>
        <v/>
      </c>
      <c r="AB36" s="3" t="str">
        <f t="shared" si="61"/>
        <v/>
      </c>
      <c r="AC36" s="3" t="str">
        <f t="shared" si="61"/>
        <v/>
      </c>
      <c r="AD36" s="3" t="str">
        <f t="shared" si="61"/>
        <v/>
      </c>
      <c r="AE36" s="3" t="str">
        <f t="shared" si="61"/>
        <v/>
      </c>
      <c r="AF36" s="3" t="str">
        <f t="shared" si="61"/>
        <v/>
      </c>
      <c r="AG36" s="3" t="str">
        <f t="shared" si="61"/>
        <v/>
      </c>
      <c r="AH36" s="3" t="str">
        <f t="shared" si="60"/>
        <v/>
      </c>
      <c r="AI36" s="3" t="str">
        <f t="shared" si="60"/>
        <v/>
      </c>
      <c r="AJ36" s="3" t="str">
        <f t="shared" si="60"/>
        <v/>
      </c>
      <c r="AK36" s="3" t="str">
        <f t="shared" si="60"/>
        <v/>
      </c>
      <c r="AL36" s="3" t="str">
        <f t="shared" si="60"/>
        <v/>
      </c>
      <c r="AM36" s="3" t="str">
        <f t="shared" si="60"/>
        <v/>
      </c>
      <c r="AN36" s="3" t="str">
        <f t="shared" si="60"/>
        <v/>
      </c>
      <c r="AO36" s="3" t="str">
        <f t="shared" si="60"/>
        <v/>
      </c>
      <c r="AP36" s="3" t="str">
        <f t="shared" si="60"/>
        <v/>
      </c>
      <c r="AQ36" s="3" t="str">
        <f t="shared" si="60"/>
        <v/>
      </c>
      <c r="AR36" s="3" t="str">
        <f t="shared" si="60"/>
        <v/>
      </c>
      <c r="AS36" s="3" t="str">
        <f t="shared" si="60"/>
        <v>X</v>
      </c>
      <c r="AT36" s="3" t="str">
        <f t="shared" si="60"/>
        <v>X</v>
      </c>
      <c r="AU36" s="3" t="str">
        <f t="shared" si="60"/>
        <v>X</v>
      </c>
      <c r="AV36" s="3" t="str">
        <f t="shared" si="60"/>
        <v>X</v>
      </c>
      <c r="AW36" s="3" t="str">
        <f t="shared" si="12"/>
        <v/>
      </c>
      <c r="AX36" s="3" t="str">
        <f t="shared" si="13"/>
        <v/>
      </c>
      <c r="AY36" s="3" t="str">
        <f t="shared" si="14"/>
        <v/>
      </c>
      <c r="AZ36" s="3" t="str">
        <f t="shared" si="15"/>
        <v>X</v>
      </c>
      <c r="BA36" s="3" t="str">
        <f t="shared" si="37"/>
        <v/>
      </c>
      <c r="BB36" s="3" t="str">
        <f t="shared" si="38"/>
        <v/>
      </c>
      <c r="BC36" s="3" t="str">
        <f t="shared" si="39"/>
        <v/>
      </c>
      <c r="BD36" s="3">
        <f t="shared" si="40"/>
        <v>291</v>
      </c>
      <c r="BE36" s="9" t="str">
        <f t="shared" si="41"/>
        <v/>
      </c>
      <c r="BF36" s="9" t="str">
        <f t="shared" si="42"/>
        <v/>
      </c>
      <c r="BG36" s="9" t="str">
        <f t="shared" si="43"/>
        <v/>
      </c>
      <c r="BH36" s="9" t="str">
        <f t="shared" si="44"/>
        <v>00000123</v>
      </c>
      <c r="BI36" s="3" t="str">
        <f t="shared" si="45"/>
        <v/>
      </c>
      <c r="BJ36" s="3" t="str">
        <f t="shared" si="46"/>
        <v/>
      </c>
      <c r="BK36" s="3" t="str">
        <f t="shared" si="47"/>
        <v/>
      </c>
      <c r="BL36" s="3" t="str">
        <f t="shared" si="48"/>
        <v>(3 downto 0)</v>
      </c>
      <c r="BM36" s="3" t="str">
        <f t="shared" si="49"/>
        <v/>
      </c>
      <c r="BN36" s="3" t="str">
        <f t="shared" si="50"/>
        <v/>
      </c>
      <c r="BO36" s="3" t="str">
        <f t="shared" si="51"/>
        <v/>
      </c>
      <c r="BP36" s="3">
        <f t="shared" si="52"/>
        <v>3</v>
      </c>
      <c r="BQ36" s="3" t="str">
        <f t="shared" si="53"/>
        <v/>
      </c>
      <c r="BR36" s="3" t="str">
        <f t="shared" si="54"/>
        <v/>
      </c>
      <c r="BS36" s="3" t="str">
        <f t="shared" si="55"/>
        <v/>
      </c>
      <c r="BT36" s="3" t="str">
        <f t="shared" si="56"/>
        <v/>
      </c>
    </row>
    <row r="37" spans="2:76" x14ac:dyDescent="0.25">
      <c r="B37" s="22" t="s">
        <v>737</v>
      </c>
      <c r="C37" s="22" t="s">
        <v>791</v>
      </c>
      <c r="D37" s="3" t="s">
        <v>1</v>
      </c>
      <c r="E37" s="3" t="s">
        <v>114</v>
      </c>
      <c r="F37" s="3" t="s">
        <v>197</v>
      </c>
      <c r="G37" s="3" t="s">
        <v>364</v>
      </c>
      <c r="H37" s="22" t="s">
        <v>738</v>
      </c>
      <c r="I37" s="3" t="s">
        <v>24</v>
      </c>
      <c r="J37" s="3">
        <v>14</v>
      </c>
      <c r="K37" s="3" t="s">
        <v>118</v>
      </c>
      <c r="L37" s="3" t="s">
        <v>23</v>
      </c>
      <c r="M37" s="3">
        <v>73</v>
      </c>
      <c r="N37" s="3" t="str">
        <f t="shared" si="59"/>
        <v>00000049</v>
      </c>
      <c r="O37" s="3">
        <v>29</v>
      </c>
      <c r="P37" s="3">
        <v>16</v>
      </c>
      <c r="Q37" s="3" t="str">
        <f t="shared" si="11"/>
        <v/>
      </c>
      <c r="R37" s="3" t="str">
        <f t="shared" si="61"/>
        <v/>
      </c>
      <c r="S37" s="3" t="str">
        <f t="shared" si="61"/>
        <v>X</v>
      </c>
      <c r="T37" s="3" t="str">
        <f t="shared" si="61"/>
        <v>X</v>
      </c>
      <c r="U37" s="3" t="str">
        <f t="shared" si="61"/>
        <v>X</v>
      </c>
      <c r="V37" s="3" t="str">
        <f t="shared" si="61"/>
        <v>X</v>
      </c>
      <c r="W37" s="3" t="str">
        <f t="shared" si="61"/>
        <v>X</v>
      </c>
      <c r="X37" s="3" t="str">
        <f t="shared" si="61"/>
        <v>X</v>
      </c>
      <c r="Y37" s="3" t="str">
        <f t="shared" si="61"/>
        <v>X</v>
      </c>
      <c r="Z37" s="3" t="str">
        <f t="shared" si="61"/>
        <v>X</v>
      </c>
      <c r="AA37" s="3" t="str">
        <f t="shared" si="61"/>
        <v>X</v>
      </c>
      <c r="AB37" s="3" t="str">
        <f t="shared" si="61"/>
        <v>X</v>
      </c>
      <c r="AC37" s="3" t="str">
        <f t="shared" si="61"/>
        <v>X</v>
      </c>
      <c r="AD37" s="3" t="str">
        <f t="shared" si="61"/>
        <v>X</v>
      </c>
      <c r="AE37" s="3" t="str">
        <f t="shared" si="61"/>
        <v>X</v>
      </c>
      <c r="AF37" s="3" t="str">
        <f t="shared" si="61"/>
        <v>X</v>
      </c>
      <c r="AG37" s="3" t="str">
        <f t="shared" si="61"/>
        <v/>
      </c>
      <c r="AH37" s="3" t="str">
        <f t="shared" si="60"/>
        <v/>
      </c>
      <c r="AI37" s="3" t="str">
        <f t="shared" si="60"/>
        <v/>
      </c>
      <c r="AJ37" s="3" t="str">
        <f t="shared" si="60"/>
        <v/>
      </c>
      <c r="AK37" s="3" t="str">
        <f t="shared" si="60"/>
        <v/>
      </c>
      <c r="AL37" s="3" t="str">
        <f t="shared" si="60"/>
        <v/>
      </c>
      <c r="AM37" s="3" t="str">
        <f t="shared" si="60"/>
        <v/>
      </c>
      <c r="AN37" s="3" t="str">
        <f t="shared" si="60"/>
        <v/>
      </c>
      <c r="AO37" s="3" t="str">
        <f t="shared" si="60"/>
        <v/>
      </c>
      <c r="AP37" s="3" t="str">
        <f t="shared" si="60"/>
        <v/>
      </c>
      <c r="AQ37" s="3" t="str">
        <f t="shared" si="60"/>
        <v/>
      </c>
      <c r="AR37" s="3" t="str">
        <f t="shared" si="60"/>
        <v/>
      </c>
      <c r="AS37" s="3" t="str">
        <f t="shared" si="60"/>
        <v/>
      </c>
      <c r="AT37" s="3" t="str">
        <f t="shared" si="60"/>
        <v/>
      </c>
      <c r="AU37" s="3" t="str">
        <f t="shared" si="60"/>
        <v/>
      </c>
      <c r="AV37" s="3" t="str">
        <f t="shared" si="60"/>
        <v/>
      </c>
      <c r="AW37" s="3" t="str">
        <f t="shared" si="12"/>
        <v>X</v>
      </c>
      <c r="AX37" s="3" t="str">
        <f t="shared" si="13"/>
        <v>X</v>
      </c>
      <c r="AY37" s="3" t="str">
        <f t="shared" si="14"/>
        <v/>
      </c>
      <c r="AZ37" s="3" t="str">
        <f t="shared" si="15"/>
        <v/>
      </c>
      <c r="BA37" s="3">
        <f t="shared" si="37"/>
        <v>292</v>
      </c>
      <c r="BB37" s="3">
        <f t="shared" si="38"/>
        <v>293</v>
      </c>
      <c r="BC37" s="3" t="str">
        <f t="shared" si="39"/>
        <v/>
      </c>
      <c r="BD37" s="3" t="str">
        <f t="shared" si="40"/>
        <v/>
      </c>
      <c r="BE37" s="9" t="str">
        <f t="shared" si="41"/>
        <v>00000124</v>
      </c>
      <c r="BF37" s="9" t="str">
        <f t="shared" si="42"/>
        <v>00000125</v>
      </c>
      <c r="BG37" s="9" t="str">
        <f t="shared" si="43"/>
        <v/>
      </c>
      <c r="BH37" s="9" t="str">
        <f t="shared" si="44"/>
        <v/>
      </c>
      <c r="BI37" s="3" t="str">
        <f t="shared" si="45"/>
        <v>(5 downto 0)</v>
      </c>
      <c r="BJ37" s="3" t="str">
        <f t="shared" si="46"/>
        <v/>
      </c>
      <c r="BK37" s="3" t="str">
        <f t="shared" si="47"/>
        <v/>
      </c>
      <c r="BL37" s="3" t="str">
        <f t="shared" si="48"/>
        <v/>
      </c>
      <c r="BM37" s="3">
        <f t="shared" si="49"/>
        <v>13</v>
      </c>
      <c r="BN37" s="3">
        <f t="shared" si="50"/>
        <v>7</v>
      </c>
      <c r="BO37" s="3" t="str">
        <f t="shared" si="51"/>
        <v/>
      </c>
      <c r="BP37" s="3" t="str">
        <f t="shared" si="52"/>
        <v/>
      </c>
      <c r="BQ37" s="3" t="str">
        <f t="shared" si="53"/>
        <v>(13 downto 8)</v>
      </c>
      <c r="BR37" s="3" t="str">
        <f t="shared" si="54"/>
        <v>(7 downto 0)</v>
      </c>
      <c r="BS37" s="3" t="str">
        <f t="shared" si="55"/>
        <v/>
      </c>
      <c r="BT37" s="3" t="str">
        <f t="shared" si="56"/>
        <v/>
      </c>
    </row>
    <row r="38" spans="2:76" x14ac:dyDescent="0.25">
      <c r="B38" s="22" t="s">
        <v>737</v>
      </c>
      <c r="C38" s="22" t="s">
        <v>792</v>
      </c>
      <c r="D38" s="3" t="s">
        <v>1</v>
      </c>
      <c r="E38" s="3" t="s">
        <v>114</v>
      </c>
      <c r="F38" s="3" t="s">
        <v>197</v>
      </c>
      <c r="G38" s="3" t="s">
        <v>364</v>
      </c>
      <c r="H38" s="22" t="s">
        <v>739</v>
      </c>
      <c r="I38" s="3" t="s">
        <v>24</v>
      </c>
      <c r="J38" s="3">
        <v>13</v>
      </c>
      <c r="K38" s="3" t="s">
        <v>118</v>
      </c>
      <c r="L38" s="3" t="s">
        <v>23</v>
      </c>
      <c r="M38" s="3">
        <v>73</v>
      </c>
      <c r="N38" s="3" t="str">
        <f t="shared" si="59"/>
        <v>00000049</v>
      </c>
      <c r="O38" s="3">
        <v>12</v>
      </c>
      <c r="P38" s="3">
        <v>0</v>
      </c>
      <c r="Q38" s="3" t="str">
        <f t="shared" si="11"/>
        <v/>
      </c>
      <c r="R38" s="3" t="str">
        <f t="shared" si="61"/>
        <v/>
      </c>
      <c r="S38" s="3" t="str">
        <f t="shared" si="61"/>
        <v/>
      </c>
      <c r="T38" s="3" t="str">
        <f t="shared" si="61"/>
        <v/>
      </c>
      <c r="U38" s="3" t="str">
        <f t="shared" si="61"/>
        <v/>
      </c>
      <c r="V38" s="3" t="str">
        <f t="shared" si="61"/>
        <v/>
      </c>
      <c r="W38" s="3" t="str">
        <f t="shared" si="61"/>
        <v/>
      </c>
      <c r="X38" s="3" t="str">
        <f t="shared" si="61"/>
        <v/>
      </c>
      <c r="Y38" s="3" t="str">
        <f t="shared" si="61"/>
        <v/>
      </c>
      <c r="Z38" s="3" t="str">
        <f t="shared" si="61"/>
        <v/>
      </c>
      <c r="AA38" s="3" t="str">
        <f t="shared" si="61"/>
        <v/>
      </c>
      <c r="AB38" s="3" t="str">
        <f t="shared" si="61"/>
        <v/>
      </c>
      <c r="AC38" s="3" t="str">
        <f t="shared" si="61"/>
        <v/>
      </c>
      <c r="AD38" s="3" t="str">
        <f t="shared" si="61"/>
        <v/>
      </c>
      <c r="AE38" s="3" t="str">
        <f t="shared" si="61"/>
        <v/>
      </c>
      <c r="AF38" s="3" t="str">
        <f t="shared" si="61"/>
        <v/>
      </c>
      <c r="AG38" s="3" t="str">
        <f t="shared" si="61"/>
        <v/>
      </c>
      <c r="AH38" s="3" t="str">
        <f t="shared" si="60"/>
        <v/>
      </c>
      <c r="AI38" s="3" t="str">
        <f t="shared" si="60"/>
        <v/>
      </c>
      <c r="AJ38" s="3" t="str">
        <f t="shared" si="60"/>
        <v>X</v>
      </c>
      <c r="AK38" s="3" t="str">
        <f t="shared" si="60"/>
        <v>X</v>
      </c>
      <c r="AL38" s="3" t="str">
        <f t="shared" si="60"/>
        <v>X</v>
      </c>
      <c r="AM38" s="3" t="str">
        <f t="shared" si="60"/>
        <v>X</v>
      </c>
      <c r="AN38" s="3" t="str">
        <f t="shared" si="60"/>
        <v>X</v>
      </c>
      <c r="AO38" s="3" t="str">
        <f t="shared" si="60"/>
        <v>X</v>
      </c>
      <c r="AP38" s="3" t="str">
        <f t="shared" si="60"/>
        <v>X</v>
      </c>
      <c r="AQ38" s="3" t="str">
        <f t="shared" si="60"/>
        <v>X</v>
      </c>
      <c r="AR38" s="3" t="str">
        <f t="shared" si="60"/>
        <v>X</v>
      </c>
      <c r="AS38" s="3" t="str">
        <f t="shared" si="60"/>
        <v>X</v>
      </c>
      <c r="AT38" s="3" t="str">
        <f t="shared" si="60"/>
        <v>X</v>
      </c>
      <c r="AU38" s="3" t="str">
        <f t="shared" si="60"/>
        <v>X</v>
      </c>
      <c r="AV38" s="3" t="str">
        <f t="shared" si="60"/>
        <v>X</v>
      </c>
      <c r="AW38" s="3" t="str">
        <f t="shared" si="12"/>
        <v/>
      </c>
      <c r="AX38" s="3" t="str">
        <f t="shared" si="13"/>
        <v/>
      </c>
      <c r="AY38" s="3" t="str">
        <f t="shared" si="14"/>
        <v>X</v>
      </c>
      <c r="AZ38" s="3" t="str">
        <f t="shared" si="15"/>
        <v>X</v>
      </c>
      <c r="BA38" s="3" t="str">
        <f t="shared" si="37"/>
        <v/>
      </c>
      <c r="BB38" s="3" t="str">
        <f t="shared" si="38"/>
        <v/>
      </c>
      <c r="BC38" s="3">
        <f t="shared" si="39"/>
        <v>294</v>
      </c>
      <c r="BD38" s="3">
        <f t="shared" si="40"/>
        <v>295</v>
      </c>
      <c r="BE38" s="9" t="str">
        <f t="shared" si="41"/>
        <v/>
      </c>
      <c r="BF38" s="9" t="str">
        <f t="shared" si="42"/>
        <v/>
      </c>
      <c r="BG38" s="9" t="str">
        <f t="shared" si="43"/>
        <v>00000126</v>
      </c>
      <c r="BH38" s="9" t="str">
        <f t="shared" si="44"/>
        <v>00000127</v>
      </c>
      <c r="BI38" s="3" t="str">
        <f t="shared" si="45"/>
        <v/>
      </c>
      <c r="BJ38" s="3" t="str">
        <f t="shared" si="46"/>
        <v/>
      </c>
      <c r="BK38" s="3" t="str">
        <f t="shared" si="47"/>
        <v>(4 downto 0)</v>
      </c>
      <c r="BL38" s="3" t="str">
        <f t="shared" si="48"/>
        <v/>
      </c>
      <c r="BM38" s="3" t="str">
        <f t="shared" si="49"/>
        <v/>
      </c>
      <c r="BN38" s="3" t="str">
        <f t="shared" si="50"/>
        <v/>
      </c>
      <c r="BO38" s="3">
        <f t="shared" si="51"/>
        <v>12</v>
      </c>
      <c r="BP38" s="3">
        <f t="shared" si="52"/>
        <v>7</v>
      </c>
      <c r="BQ38" s="3" t="str">
        <f t="shared" si="53"/>
        <v/>
      </c>
      <c r="BR38" s="3" t="str">
        <f t="shared" si="54"/>
        <v/>
      </c>
      <c r="BS38" s="3" t="str">
        <f t="shared" si="55"/>
        <v>(12 downto 8)</v>
      </c>
      <c r="BT38" s="3" t="str">
        <f t="shared" si="56"/>
        <v>(7 downto 0)</v>
      </c>
    </row>
    <row r="39" spans="2:76" x14ac:dyDescent="0.25">
      <c r="B39" s="3" t="s">
        <v>198</v>
      </c>
      <c r="C39" s="3" t="s">
        <v>199</v>
      </c>
      <c r="D39" s="3" t="s">
        <v>1</v>
      </c>
      <c r="E39" s="3" t="s">
        <v>114</v>
      </c>
      <c r="F39" s="3" t="s">
        <v>200</v>
      </c>
      <c r="G39" s="3" t="s">
        <v>365</v>
      </c>
      <c r="H39" s="20" t="s">
        <v>622</v>
      </c>
      <c r="I39" s="3" t="s">
        <v>24</v>
      </c>
      <c r="J39" s="3">
        <v>8</v>
      </c>
      <c r="K39" s="3" t="s">
        <v>118</v>
      </c>
      <c r="L39" s="3" t="s">
        <v>23</v>
      </c>
      <c r="M39" s="3">
        <v>74</v>
      </c>
      <c r="N39" s="3" t="str">
        <f t="shared" si="59"/>
        <v>0000004A</v>
      </c>
      <c r="O39" s="3">
        <v>7</v>
      </c>
      <c r="P39" s="3">
        <v>0</v>
      </c>
      <c r="Q39" s="3" t="str">
        <f t="shared" si="11"/>
        <v/>
      </c>
      <c r="R39" s="3" t="str">
        <f t="shared" si="61"/>
        <v/>
      </c>
      <c r="S39" s="3" t="str">
        <f t="shared" si="61"/>
        <v/>
      </c>
      <c r="T39" s="3" t="str">
        <f t="shared" si="61"/>
        <v/>
      </c>
      <c r="U39" s="3" t="str">
        <f t="shared" si="61"/>
        <v/>
      </c>
      <c r="V39" s="3" t="str">
        <f t="shared" si="61"/>
        <v/>
      </c>
      <c r="W39" s="3" t="str">
        <f t="shared" si="61"/>
        <v/>
      </c>
      <c r="X39" s="3" t="str">
        <f t="shared" si="61"/>
        <v/>
      </c>
      <c r="Y39" s="3" t="str">
        <f t="shared" si="61"/>
        <v/>
      </c>
      <c r="Z39" s="3" t="str">
        <f t="shared" si="61"/>
        <v/>
      </c>
      <c r="AA39" s="3" t="str">
        <f t="shared" si="61"/>
        <v/>
      </c>
      <c r="AB39" s="3" t="str">
        <f t="shared" si="61"/>
        <v/>
      </c>
      <c r="AC39" s="3" t="str">
        <f t="shared" si="61"/>
        <v/>
      </c>
      <c r="AD39" s="3" t="str">
        <f t="shared" si="61"/>
        <v/>
      </c>
      <c r="AE39" s="3" t="str">
        <f t="shared" si="61"/>
        <v/>
      </c>
      <c r="AF39" s="3" t="str">
        <f t="shared" si="61"/>
        <v/>
      </c>
      <c r="AG39" s="3" t="str">
        <f t="shared" si="61"/>
        <v/>
      </c>
      <c r="AH39" s="3" t="str">
        <f t="shared" si="60"/>
        <v/>
      </c>
      <c r="AI39" s="3" t="str">
        <f t="shared" si="60"/>
        <v/>
      </c>
      <c r="AJ39" s="3" t="str">
        <f t="shared" si="60"/>
        <v/>
      </c>
      <c r="AK39" s="3" t="str">
        <f t="shared" si="60"/>
        <v/>
      </c>
      <c r="AL39" s="3" t="str">
        <f t="shared" si="60"/>
        <v/>
      </c>
      <c r="AM39" s="3" t="str">
        <f t="shared" si="60"/>
        <v/>
      </c>
      <c r="AN39" s="3" t="str">
        <f t="shared" si="60"/>
        <v/>
      </c>
      <c r="AO39" s="3" t="str">
        <f t="shared" si="60"/>
        <v>X</v>
      </c>
      <c r="AP39" s="3" t="str">
        <f t="shared" si="60"/>
        <v>X</v>
      </c>
      <c r="AQ39" s="3" t="str">
        <f t="shared" si="60"/>
        <v>X</v>
      </c>
      <c r="AR39" s="3" t="str">
        <f t="shared" si="60"/>
        <v>X</v>
      </c>
      <c r="AS39" s="3" t="str">
        <f t="shared" si="60"/>
        <v>X</v>
      </c>
      <c r="AT39" s="3" t="str">
        <f t="shared" si="60"/>
        <v>X</v>
      </c>
      <c r="AU39" s="3" t="str">
        <f t="shared" si="60"/>
        <v>X</v>
      </c>
      <c r="AV39" s="3" t="str">
        <f t="shared" si="60"/>
        <v>X</v>
      </c>
      <c r="AW39" s="3" t="str">
        <f t="shared" si="12"/>
        <v/>
      </c>
      <c r="AX39" s="3" t="str">
        <f t="shared" si="13"/>
        <v/>
      </c>
      <c r="AY39" s="3" t="str">
        <f t="shared" si="14"/>
        <v/>
      </c>
      <c r="AZ39" s="3" t="str">
        <f t="shared" si="15"/>
        <v>X</v>
      </c>
      <c r="BA39" s="3" t="str">
        <f t="shared" si="37"/>
        <v/>
      </c>
      <c r="BB39" s="3" t="str">
        <f t="shared" si="38"/>
        <v/>
      </c>
      <c r="BC39" s="3" t="str">
        <f t="shared" si="39"/>
        <v/>
      </c>
      <c r="BD39" s="3">
        <f t="shared" si="40"/>
        <v>299</v>
      </c>
      <c r="BE39" s="9" t="str">
        <f t="shared" si="41"/>
        <v/>
      </c>
      <c r="BF39" s="9" t="str">
        <f t="shared" si="42"/>
        <v/>
      </c>
      <c r="BG39" s="9" t="str">
        <f t="shared" si="43"/>
        <v/>
      </c>
      <c r="BH39" s="9" t="str">
        <f t="shared" si="44"/>
        <v>0000012B</v>
      </c>
      <c r="BI39" s="3" t="str">
        <f t="shared" si="45"/>
        <v/>
      </c>
      <c r="BJ39" s="3" t="str">
        <f t="shared" si="46"/>
        <v/>
      </c>
      <c r="BK39" s="3" t="str">
        <f t="shared" si="47"/>
        <v/>
      </c>
      <c r="BL39" s="3" t="str">
        <f t="shared" si="48"/>
        <v/>
      </c>
      <c r="BM39" s="3" t="str">
        <f t="shared" si="49"/>
        <v/>
      </c>
      <c r="BN39" s="3" t="str">
        <f t="shared" si="50"/>
        <v/>
      </c>
      <c r="BO39" s="3" t="str">
        <f t="shared" si="51"/>
        <v/>
      </c>
      <c r="BP39" s="3">
        <f t="shared" si="52"/>
        <v>7</v>
      </c>
      <c r="BQ39" s="3" t="str">
        <f t="shared" si="53"/>
        <v/>
      </c>
      <c r="BR39" s="3" t="str">
        <f t="shared" si="54"/>
        <v/>
      </c>
      <c r="BS39" s="3" t="str">
        <f t="shared" si="55"/>
        <v/>
      </c>
      <c r="BT39" s="3" t="str">
        <f t="shared" si="56"/>
        <v/>
      </c>
      <c r="BU39" s="7"/>
      <c r="BV39" s="7"/>
      <c r="BW39" s="7"/>
      <c r="BX39" s="7"/>
    </row>
    <row r="40" spans="2:76" x14ac:dyDescent="0.25">
      <c r="B40" s="3" t="s">
        <v>201</v>
      </c>
      <c r="C40" s="3" t="s">
        <v>202</v>
      </c>
      <c r="D40" s="3" t="s">
        <v>1</v>
      </c>
      <c r="E40" s="3" t="s">
        <v>114</v>
      </c>
      <c r="F40" s="3" t="s">
        <v>203</v>
      </c>
      <c r="G40" s="3" t="s">
        <v>366</v>
      </c>
      <c r="H40" s="20" t="s">
        <v>204</v>
      </c>
      <c r="I40" s="3" t="s">
        <v>24</v>
      </c>
      <c r="J40" s="3">
        <v>1</v>
      </c>
      <c r="K40" s="3" t="s">
        <v>57</v>
      </c>
      <c r="L40" s="3" t="s">
        <v>23</v>
      </c>
      <c r="M40" s="3">
        <v>75</v>
      </c>
      <c r="N40" s="3" t="str">
        <f t="shared" si="59"/>
        <v>0000004B</v>
      </c>
      <c r="O40" s="3">
        <v>0</v>
      </c>
      <c r="P40" s="3">
        <v>0</v>
      </c>
      <c r="Q40" s="3" t="str">
        <f t="shared" si="11"/>
        <v/>
      </c>
      <c r="R40" s="3" t="str">
        <f t="shared" si="61"/>
        <v/>
      </c>
      <c r="S40" s="3" t="str">
        <f t="shared" si="61"/>
        <v/>
      </c>
      <c r="T40" s="3" t="str">
        <f t="shared" si="61"/>
        <v/>
      </c>
      <c r="U40" s="3" t="str">
        <f t="shared" si="61"/>
        <v/>
      </c>
      <c r="V40" s="3" t="str">
        <f t="shared" si="61"/>
        <v/>
      </c>
      <c r="W40" s="3" t="str">
        <f t="shared" si="61"/>
        <v/>
      </c>
      <c r="X40" s="3" t="str">
        <f t="shared" si="61"/>
        <v/>
      </c>
      <c r="Y40" s="3" t="str">
        <f t="shared" si="61"/>
        <v/>
      </c>
      <c r="Z40" s="3" t="str">
        <f t="shared" si="61"/>
        <v/>
      </c>
      <c r="AA40" s="3" t="str">
        <f t="shared" si="61"/>
        <v/>
      </c>
      <c r="AB40" s="3" t="str">
        <f t="shared" si="61"/>
        <v/>
      </c>
      <c r="AC40" s="3" t="str">
        <f t="shared" si="61"/>
        <v/>
      </c>
      <c r="AD40" s="3" t="str">
        <f t="shared" si="61"/>
        <v/>
      </c>
      <c r="AE40" s="3" t="str">
        <f t="shared" si="61"/>
        <v/>
      </c>
      <c r="AF40" s="3" t="str">
        <f t="shared" si="61"/>
        <v/>
      </c>
      <c r="AG40" s="3" t="str">
        <f t="shared" si="61"/>
        <v/>
      </c>
      <c r="AH40" s="3" t="str">
        <f t="shared" si="60"/>
        <v/>
      </c>
      <c r="AI40" s="3" t="str">
        <f t="shared" si="60"/>
        <v/>
      </c>
      <c r="AJ40" s="3" t="str">
        <f t="shared" si="60"/>
        <v/>
      </c>
      <c r="AK40" s="3" t="str">
        <f t="shared" si="60"/>
        <v/>
      </c>
      <c r="AL40" s="3" t="str">
        <f t="shared" si="60"/>
        <v/>
      </c>
      <c r="AM40" s="3" t="str">
        <f t="shared" si="60"/>
        <v/>
      </c>
      <c r="AN40" s="3" t="str">
        <f t="shared" si="60"/>
        <v/>
      </c>
      <c r="AO40" s="3" t="str">
        <f t="shared" si="60"/>
        <v/>
      </c>
      <c r="AP40" s="3" t="str">
        <f t="shared" si="60"/>
        <v/>
      </c>
      <c r="AQ40" s="3" t="str">
        <f t="shared" si="60"/>
        <v/>
      </c>
      <c r="AR40" s="3" t="str">
        <f t="shared" si="60"/>
        <v/>
      </c>
      <c r="AS40" s="3" t="str">
        <f t="shared" si="60"/>
        <v/>
      </c>
      <c r="AT40" s="3" t="str">
        <f t="shared" si="60"/>
        <v/>
      </c>
      <c r="AU40" s="3" t="str">
        <f t="shared" si="60"/>
        <v/>
      </c>
      <c r="AV40" s="3" t="str">
        <f t="shared" si="60"/>
        <v>X</v>
      </c>
      <c r="AW40" s="3" t="str">
        <f t="shared" si="12"/>
        <v/>
      </c>
      <c r="AX40" s="3" t="str">
        <f t="shared" si="13"/>
        <v/>
      </c>
      <c r="AY40" s="3" t="str">
        <f t="shared" si="14"/>
        <v/>
      </c>
      <c r="AZ40" s="3" t="str">
        <f t="shared" si="15"/>
        <v>X</v>
      </c>
      <c r="BA40" s="3" t="str">
        <f t="shared" si="37"/>
        <v/>
      </c>
      <c r="BB40" s="3" t="str">
        <f t="shared" si="38"/>
        <v/>
      </c>
      <c r="BC40" s="3" t="str">
        <f t="shared" si="39"/>
        <v/>
      </c>
      <c r="BD40" s="3">
        <f t="shared" si="40"/>
        <v>303</v>
      </c>
      <c r="BE40" s="9" t="str">
        <f t="shared" si="41"/>
        <v/>
      </c>
      <c r="BF40" s="9" t="str">
        <f t="shared" si="42"/>
        <v/>
      </c>
      <c r="BG40" s="9" t="str">
        <f t="shared" si="43"/>
        <v/>
      </c>
      <c r="BH40" s="9" t="str">
        <f t="shared" si="44"/>
        <v>0000012F</v>
      </c>
      <c r="BI40" s="3" t="str">
        <f t="shared" si="45"/>
        <v/>
      </c>
      <c r="BJ40" s="3" t="str">
        <f t="shared" si="46"/>
        <v/>
      </c>
      <c r="BK40" s="3" t="str">
        <f t="shared" si="47"/>
        <v/>
      </c>
      <c r="BL40" s="3" t="str">
        <f t="shared" si="48"/>
        <v>(0)</v>
      </c>
      <c r="BM40" s="3" t="str">
        <f t="shared" si="49"/>
        <v/>
      </c>
      <c r="BN40" s="3" t="str">
        <f t="shared" si="50"/>
        <v/>
      </c>
      <c r="BO40" s="3" t="str">
        <f t="shared" si="51"/>
        <v/>
      </c>
      <c r="BP40" s="3">
        <f t="shared" si="52"/>
        <v>0</v>
      </c>
      <c r="BQ40" s="3" t="str">
        <f t="shared" si="53"/>
        <v/>
      </c>
      <c r="BR40" s="3" t="str">
        <f t="shared" si="54"/>
        <v/>
      </c>
      <c r="BS40" s="3" t="str">
        <f t="shared" si="55"/>
        <v/>
      </c>
      <c r="BT40" s="3" t="str">
        <f t="shared" si="56"/>
        <v/>
      </c>
    </row>
    <row r="41" spans="2:76" x14ac:dyDescent="0.25">
      <c r="B41" s="3" t="s">
        <v>205</v>
      </c>
      <c r="C41" s="3" t="s">
        <v>206</v>
      </c>
      <c r="D41" s="3" t="s">
        <v>1</v>
      </c>
      <c r="E41" s="3" t="s">
        <v>114</v>
      </c>
      <c r="F41" s="3" t="s">
        <v>207</v>
      </c>
      <c r="G41" s="3" t="s">
        <v>367</v>
      </c>
      <c r="H41" s="20" t="s">
        <v>208</v>
      </c>
      <c r="I41" s="3" t="s">
        <v>24</v>
      </c>
      <c r="J41" s="3">
        <v>16</v>
      </c>
      <c r="K41" s="3" t="s">
        <v>118</v>
      </c>
      <c r="L41" s="3" t="s">
        <v>23</v>
      </c>
      <c r="M41" s="3">
        <v>76</v>
      </c>
      <c r="N41" s="3" t="str">
        <f t="shared" si="59"/>
        <v>0000004C</v>
      </c>
      <c r="O41" s="3">
        <v>15</v>
      </c>
      <c r="P41" s="3">
        <v>0</v>
      </c>
      <c r="Q41" s="3" t="str">
        <f t="shared" si="11"/>
        <v/>
      </c>
      <c r="R41" s="3" t="str">
        <f t="shared" si="61"/>
        <v/>
      </c>
      <c r="S41" s="3" t="str">
        <f t="shared" si="61"/>
        <v/>
      </c>
      <c r="T41" s="3" t="str">
        <f t="shared" si="61"/>
        <v/>
      </c>
      <c r="U41" s="3" t="str">
        <f t="shared" si="61"/>
        <v/>
      </c>
      <c r="V41" s="3" t="str">
        <f t="shared" si="61"/>
        <v/>
      </c>
      <c r="W41" s="3" t="str">
        <f t="shared" si="61"/>
        <v/>
      </c>
      <c r="X41" s="3" t="str">
        <f t="shared" si="61"/>
        <v/>
      </c>
      <c r="Y41" s="3" t="str">
        <f t="shared" si="61"/>
        <v/>
      </c>
      <c r="Z41" s="3" t="str">
        <f t="shared" si="61"/>
        <v/>
      </c>
      <c r="AA41" s="3" t="str">
        <f t="shared" si="61"/>
        <v/>
      </c>
      <c r="AB41" s="3" t="str">
        <f t="shared" si="61"/>
        <v/>
      </c>
      <c r="AC41" s="3" t="str">
        <f t="shared" si="61"/>
        <v/>
      </c>
      <c r="AD41" s="3" t="str">
        <f t="shared" si="61"/>
        <v/>
      </c>
      <c r="AE41" s="3" t="str">
        <f t="shared" si="61"/>
        <v/>
      </c>
      <c r="AF41" s="3" t="str">
        <f t="shared" si="61"/>
        <v/>
      </c>
      <c r="AG41" s="3" t="str">
        <f t="shared" si="61"/>
        <v>X</v>
      </c>
      <c r="AH41" s="3" t="str">
        <f t="shared" si="60"/>
        <v>X</v>
      </c>
      <c r="AI41" s="3" t="str">
        <f t="shared" si="60"/>
        <v>X</v>
      </c>
      <c r="AJ41" s="3" t="str">
        <f t="shared" si="60"/>
        <v>X</v>
      </c>
      <c r="AK41" s="3" t="str">
        <f t="shared" si="60"/>
        <v>X</v>
      </c>
      <c r="AL41" s="3" t="str">
        <f t="shared" si="60"/>
        <v>X</v>
      </c>
      <c r="AM41" s="3" t="str">
        <f t="shared" si="60"/>
        <v>X</v>
      </c>
      <c r="AN41" s="3" t="str">
        <f t="shared" si="60"/>
        <v>X</v>
      </c>
      <c r="AO41" s="3" t="str">
        <f t="shared" si="60"/>
        <v>X</v>
      </c>
      <c r="AP41" s="3" t="str">
        <f t="shared" si="60"/>
        <v>X</v>
      </c>
      <c r="AQ41" s="3" t="str">
        <f t="shared" si="60"/>
        <v>X</v>
      </c>
      <c r="AR41" s="3" t="str">
        <f t="shared" si="60"/>
        <v>X</v>
      </c>
      <c r="AS41" s="3" t="str">
        <f t="shared" si="60"/>
        <v>X</v>
      </c>
      <c r="AT41" s="3" t="str">
        <f t="shared" si="60"/>
        <v>X</v>
      </c>
      <c r="AU41" s="3" t="str">
        <f t="shared" si="60"/>
        <v>X</v>
      </c>
      <c r="AV41" s="3" t="str">
        <f t="shared" si="60"/>
        <v>X</v>
      </c>
      <c r="AW41" s="3" t="str">
        <f t="shared" si="12"/>
        <v/>
      </c>
      <c r="AX41" s="3" t="str">
        <f t="shared" si="13"/>
        <v/>
      </c>
      <c r="AY41" s="3" t="str">
        <f t="shared" si="14"/>
        <v>X</v>
      </c>
      <c r="AZ41" s="3" t="str">
        <f t="shared" si="15"/>
        <v>X</v>
      </c>
      <c r="BA41" s="3" t="str">
        <f t="shared" si="37"/>
        <v/>
      </c>
      <c r="BB41" s="3" t="str">
        <f t="shared" si="38"/>
        <v/>
      </c>
      <c r="BC41" s="3">
        <f t="shared" si="39"/>
        <v>306</v>
      </c>
      <c r="BD41" s="3">
        <f t="shared" si="40"/>
        <v>307</v>
      </c>
      <c r="BE41" s="9" t="str">
        <f t="shared" si="41"/>
        <v/>
      </c>
      <c r="BF41" s="9" t="str">
        <f t="shared" si="42"/>
        <v/>
      </c>
      <c r="BG41" s="9" t="str">
        <f t="shared" si="43"/>
        <v>00000132</v>
      </c>
      <c r="BH41" s="9" t="str">
        <f t="shared" si="44"/>
        <v>00000133</v>
      </c>
      <c r="BI41" s="3" t="str">
        <f t="shared" si="45"/>
        <v/>
      </c>
      <c r="BJ41" s="3" t="str">
        <f t="shared" si="46"/>
        <v/>
      </c>
      <c r="BK41" s="3" t="str">
        <f t="shared" si="47"/>
        <v/>
      </c>
      <c r="BL41" s="3" t="str">
        <f t="shared" si="48"/>
        <v/>
      </c>
      <c r="BM41" s="3" t="str">
        <f t="shared" si="49"/>
        <v/>
      </c>
      <c r="BN41" s="3" t="str">
        <f t="shared" si="50"/>
        <v/>
      </c>
      <c r="BO41" s="3">
        <f t="shared" si="51"/>
        <v>15</v>
      </c>
      <c r="BP41" s="3">
        <f t="shared" si="52"/>
        <v>7</v>
      </c>
      <c r="BQ41" s="3" t="str">
        <f t="shared" si="53"/>
        <v/>
      </c>
      <c r="BR41" s="3" t="str">
        <f t="shared" si="54"/>
        <v/>
      </c>
      <c r="BS41" s="3" t="str">
        <f t="shared" si="55"/>
        <v>(15 downto 8)</v>
      </c>
      <c r="BT41" s="3" t="str">
        <f t="shared" si="56"/>
        <v>(7 downto 0)</v>
      </c>
    </row>
    <row r="42" spans="2:76" s="16" customFormat="1" x14ac:dyDescent="0.25">
      <c r="B42" s="3" t="s">
        <v>209</v>
      </c>
      <c r="C42" s="3" t="s">
        <v>210</v>
      </c>
      <c r="D42" s="3" t="s">
        <v>1</v>
      </c>
      <c r="E42" s="3" t="s">
        <v>114</v>
      </c>
      <c r="F42" s="3" t="s">
        <v>211</v>
      </c>
      <c r="G42" s="3" t="s">
        <v>368</v>
      </c>
      <c r="H42" s="20" t="s">
        <v>212</v>
      </c>
      <c r="I42" s="3" t="s">
        <v>24</v>
      </c>
      <c r="J42" s="3">
        <v>1</v>
      </c>
      <c r="K42" s="3" t="s">
        <v>57</v>
      </c>
      <c r="L42" s="3" t="s">
        <v>23</v>
      </c>
      <c r="M42" s="3">
        <v>77</v>
      </c>
      <c r="N42" s="3" t="str">
        <f t="shared" si="59"/>
        <v>0000004D</v>
      </c>
      <c r="O42" s="3">
        <v>0</v>
      </c>
      <c r="P42" s="3">
        <v>0</v>
      </c>
      <c r="Q42" s="3" t="str">
        <f t="shared" si="11"/>
        <v/>
      </c>
      <c r="R42" s="3" t="str">
        <f t="shared" si="61"/>
        <v/>
      </c>
      <c r="S42" s="3" t="str">
        <f t="shared" si="61"/>
        <v/>
      </c>
      <c r="T42" s="3" t="str">
        <f t="shared" si="61"/>
        <v/>
      </c>
      <c r="U42" s="3" t="str">
        <f t="shared" si="61"/>
        <v/>
      </c>
      <c r="V42" s="3" t="str">
        <f t="shared" si="61"/>
        <v/>
      </c>
      <c r="W42" s="3" t="str">
        <f t="shared" si="61"/>
        <v/>
      </c>
      <c r="X42" s="3" t="str">
        <f t="shared" si="61"/>
        <v/>
      </c>
      <c r="Y42" s="3" t="str">
        <f t="shared" si="61"/>
        <v/>
      </c>
      <c r="Z42" s="3" t="str">
        <f t="shared" si="61"/>
        <v/>
      </c>
      <c r="AA42" s="3" t="str">
        <f t="shared" si="61"/>
        <v/>
      </c>
      <c r="AB42" s="3" t="str">
        <f t="shared" si="61"/>
        <v/>
      </c>
      <c r="AC42" s="3" t="str">
        <f t="shared" si="61"/>
        <v/>
      </c>
      <c r="AD42" s="3" t="str">
        <f t="shared" si="61"/>
        <v/>
      </c>
      <c r="AE42" s="3" t="str">
        <f t="shared" si="61"/>
        <v/>
      </c>
      <c r="AF42" s="3" t="str">
        <f t="shared" si="61"/>
        <v/>
      </c>
      <c r="AG42" s="3" t="str">
        <f t="shared" si="61"/>
        <v/>
      </c>
      <c r="AH42" s="3" t="str">
        <f t="shared" ref="AH42:AV58" si="62">IF(AND($O42&gt;=AH$3,AH$3&gt;=$P42),"X","")</f>
        <v/>
      </c>
      <c r="AI42" s="3" t="str">
        <f t="shared" si="62"/>
        <v/>
      </c>
      <c r="AJ42" s="3" t="str">
        <f t="shared" si="62"/>
        <v/>
      </c>
      <c r="AK42" s="3" t="str">
        <f t="shared" si="62"/>
        <v/>
      </c>
      <c r="AL42" s="3" t="str">
        <f t="shared" si="62"/>
        <v/>
      </c>
      <c r="AM42" s="3" t="str">
        <f t="shared" si="62"/>
        <v/>
      </c>
      <c r="AN42" s="3" t="str">
        <f t="shared" si="62"/>
        <v/>
      </c>
      <c r="AO42" s="3" t="str">
        <f t="shared" si="62"/>
        <v/>
      </c>
      <c r="AP42" s="3" t="str">
        <f t="shared" si="62"/>
        <v/>
      </c>
      <c r="AQ42" s="3" t="str">
        <f t="shared" si="62"/>
        <v/>
      </c>
      <c r="AR42" s="3" t="str">
        <f t="shared" si="62"/>
        <v/>
      </c>
      <c r="AS42" s="3" t="str">
        <f t="shared" si="62"/>
        <v/>
      </c>
      <c r="AT42" s="3" t="str">
        <f t="shared" si="62"/>
        <v/>
      </c>
      <c r="AU42" s="3" t="str">
        <f t="shared" si="62"/>
        <v/>
      </c>
      <c r="AV42" s="3" t="str">
        <f t="shared" si="62"/>
        <v>X</v>
      </c>
      <c r="AW42" s="3" t="str">
        <f t="shared" si="12"/>
        <v/>
      </c>
      <c r="AX42" s="3" t="str">
        <f t="shared" si="13"/>
        <v/>
      </c>
      <c r="AY42" s="3" t="str">
        <f t="shared" si="14"/>
        <v/>
      </c>
      <c r="AZ42" s="3" t="str">
        <f t="shared" si="15"/>
        <v>X</v>
      </c>
      <c r="BA42" s="3" t="str">
        <f t="shared" si="37"/>
        <v/>
      </c>
      <c r="BB42" s="3" t="str">
        <f t="shared" si="38"/>
        <v/>
      </c>
      <c r="BC42" s="3" t="str">
        <f t="shared" si="39"/>
        <v/>
      </c>
      <c r="BD42" s="3">
        <f t="shared" si="40"/>
        <v>311</v>
      </c>
      <c r="BE42" s="9" t="str">
        <f t="shared" si="41"/>
        <v/>
      </c>
      <c r="BF42" s="9" t="str">
        <f t="shared" si="42"/>
        <v/>
      </c>
      <c r="BG42" s="9" t="str">
        <f t="shared" si="43"/>
        <v/>
      </c>
      <c r="BH42" s="9" t="str">
        <f t="shared" si="44"/>
        <v>00000137</v>
      </c>
      <c r="BI42" s="3" t="str">
        <f t="shared" si="45"/>
        <v/>
      </c>
      <c r="BJ42" s="3" t="str">
        <f t="shared" si="46"/>
        <v/>
      </c>
      <c r="BK42" s="3" t="str">
        <f t="shared" si="47"/>
        <v/>
      </c>
      <c r="BL42" s="3" t="str">
        <f t="shared" si="48"/>
        <v>(0)</v>
      </c>
      <c r="BM42" s="3" t="str">
        <f t="shared" si="49"/>
        <v/>
      </c>
      <c r="BN42" s="3" t="str">
        <f t="shared" si="50"/>
        <v/>
      </c>
      <c r="BO42" s="3" t="str">
        <f t="shared" si="51"/>
        <v/>
      </c>
      <c r="BP42" s="3">
        <f t="shared" si="52"/>
        <v>0</v>
      </c>
      <c r="BQ42" s="3" t="str">
        <f t="shared" si="53"/>
        <v/>
      </c>
      <c r="BR42" s="3" t="str">
        <f t="shared" si="54"/>
        <v/>
      </c>
      <c r="BS42" s="3" t="str">
        <f t="shared" si="55"/>
        <v/>
      </c>
      <c r="BT42" s="3" t="str">
        <f t="shared" si="56"/>
        <v/>
      </c>
    </row>
    <row r="43" spans="2:76" x14ac:dyDescent="0.25">
      <c r="B43" s="3" t="s">
        <v>213</v>
      </c>
      <c r="C43" s="3" t="s">
        <v>214</v>
      </c>
      <c r="D43" s="3" t="s">
        <v>1</v>
      </c>
      <c r="E43" s="3" t="s">
        <v>114</v>
      </c>
      <c r="F43" s="3" t="s">
        <v>215</v>
      </c>
      <c r="G43" s="3" t="s">
        <v>369</v>
      </c>
      <c r="H43" s="20" t="s">
        <v>216</v>
      </c>
      <c r="I43" s="3" t="s">
        <v>24</v>
      </c>
      <c r="J43" s="3">
        <v>1</v>
      </c>
      <c r="K43" s="3" t="s">
        <v>57</v>
      </c>
      <c r="L43" s="3" t="s">
        <v>57</v>
      </c>
      <c r="M43" s="3">
        <v>78</v>
      </c>
      <c r="N43" s="3" t="str">
        <f t="shared" si="59"/>
        <v>0000004E</v>
      </c>
      <c r="O43" s="3">
        <v>16</v>
      </c>
      <c r="P43" s="3">
        <v>16</v>
      </c>
      <c r="Q43" s="3" t="str">
        <f t="shared" si="11"/>
        <v/>
      </c>
      <c r="R43" s="3" t="str">
        <f t="shared" si="61"/>
        <v/>
      </c>
      <c r="S43" s="3" t="str">
        <f t="shared" si="61"/>
        <v/>
      </c>
      <c r="T43" s="3" t="str">
        <f t="shared" si="61"/>
        <v/>
      </c>
      <c r="U43" s="3" t="str">
        <f t="shared" si="61"/>
        <v/>
      </c>
      <c r="V43" s="3" t="str">
        <f t="shared" si="61"/>
        <v/>
      </c>
      <c r="W43" s="3" t="str">
        <f t="shared" si="61"/>
        <v/>
      </c>
      <c r="X43" s="3" t="str">
        <f t="shared" si="61"/>
        <v/>
      </c>
      <c r="Y43" s="3" t="str">
        <f t="shared" si="61"/>
        <v/>
      </c>
      <c r="Z43" s="3" t="str">
        <f t="shared" si="61"/>
        <v/>
      </c>
      <c r="AA43" s="3" t="str">
        <f t="shared" si="61"/>
        <v/>
      </c>
      <c r="AB43" s="3" t="str">
        <f t="shared" si="61"/>
        <v/>
      </c>
      <c r="AC43" s="3" t="str">
        <f t="shared" si="61"/>
        <v/>
      </c>
      <c r="AD43" s="3" t="str">
        <f t="shared" si="61"/>
        <v/>
      </c>
      <c r="AE43" s="3" t="str">
        <f t="shared" si="61"/>
        <v/>
      </c>
      <c r="AF43" s="3" t="str">
        <f t="shared" si="61"/>
        <v>X</v>
      </c>
      <c r="AG43" s="3" t="str">
        <f t="shared" si="61"/>
        <v/>
      </c>
      <c r="AH43" s="3" t="str">
        <f t="shared" si="62"/>
        <v/>
      </c>
      <c r="AI43" s="3" t="str">
        <f t="shared" si="62"/>
        <v/>
      </c>
      <c r="AJ43" s="3" t="str">
        <f t="shared" si="62"/>
        <v/>
      </c>
      <c r="AK43" s="3" t="str">
        <f t="shared" si="62"/>
        <v/>
      </c>
      <c r="AL43" s="3" t="str">
        <f t="shared" si="62"/>
        <v/>
      </c>
      <c r="AM43" s="3" t="str">
        <f t="shared" si="62"/>
        <v/>
      </c>
      <c r="AN43" s="3" t="str">
        <f t="shared" si="62"/>
        <v/>
      </c>
      <c r="AO43" s="3" t="str">
        <f t="shared" si="62"/>
        <v/>
      </c>
      <c r="AP43" s="3" t="str">
        <f t="shared" si="62"/>
        <v/>
      </c>
      <c r="AQ43" s="3" t="str">
        <f t="shared" si="62"/>
        <v/>
      </c>
      <c r="AR43" s="3" t="str">
        <f t="shared" si="62"/>
        <v/>
      </c>
      <c r="AS43" s="3" t="str">
        <f t="shared" si="62"/>
        <v/>
      </c>
      <c r="AT43" s="3" t="str">
        <f t="shared" si="62"/>
        <v/>
      </c>
      <c r="AU43" s="3" t="str">
        <f t="shared" si="62"/>
        <v/>
      </c>
      <c r="AV43" s="3" t="str">
        <f t="shared" si="62"/>
        <v/>
      </c>
      <c r="AW43" s="3" t="str">
        <f t="shared" si="12"/>
        <v/>
      </c>
      <c r="AX43" s="3" t="str">
        <f t="shared" si="13"/>
        <v>X</v>
      </c>
      <c r="AY43" s="3" t="str">
        <f t="shared" si="14"/>
        <v/>
      </c>
      <c r="AZ43" s="3" t="str">
        <f t="shared" si="15"/>
        <v/>
      </c>
      <c r="BA43" s="3" t="str">
        <f t="shared" si="37"/>
        <v/>
      </c>
      <c r="BB43" s="3">
        <f t="shared" si="38"/>
        <v>313</v>
      </c>
      <c r="BC43" s="3" t="str">
        <f t="shared" si="39"/>
        <v/>
      </c>
      <c r="BD43" s="3" t="str">
        <f t="shared" si="40"/>
        <v/>
      </c>
      <c r="BE43" s="9" t="str">
        <f t="shared" si="41"/>
        <v/>
      </c>
      <c r="BF43" s="9" t="str">
        <f t="shared" si="42"/>
        <v>00000139</v>
      </c>
      <c r="BG43" s="9" t="str">
        <f t="shared" si="43"/>
        <v/>
      </c>
      <c r="BH43" s="9" t="str">
        <f t="shared" si="44"/>
        <v/>
      </c>
      <c r="BI43" s="3" t="str">
        <f t="shared" si="45"/>
        <v/>
      </c>
      <c r="BJ43" s="3" t="str">
        <f t="shared" si="46"/>
        <v>(0)</v>
      </c>
      <c r="BK43" s="3" t="str">
        <f t="shared" si="47"/>
        <v/>
      </c>
      <c r="BL43" s="3" t="str">
        <f t="shared" si="48"/>
        <v/>
      </c>
      <c r="BM43" s="3" t="str">
        <f t="shared" si="49"/>
        <v/>
      </c>
      <c r="BN43" s="3">
        <f t="shared" si="50"/>
        <v>0</v>
      </c>
      <c r="BO43" s="3" t="str">
        <f t="shared" si="51"/>
        <v/>
      </c>
      <c r="BP43" s="3" t="str">
        <f t="shared" si="52"/>
        <v/>
      </c>
      <c r="BQ43" s="3" t="str">
        <f t="shared" si="53"/>
        <v/>
      </c>
      <c r="BR43" s="3" t="str">
        <f t="shared" si="54"/>
        <v/>
      </c>
      <c r="BS43" s="3" t="str">
        <f t="shared" si="55"/>
        <v/>
      </c>
      <c r="BT43" s="3" t="str">
        <f t="shared" si="56"/>
        <v/>
      </c>
    </row>
    <row r="44" spans="2:76" x14ac:dyDescent="0.25">
      <c r="B44" s="3" t="s">
        <v>213</v>
      </c>
      <c r="C44" s="3" t="s">
        <v>217</v>
      </c>
      <c r="D44" s="3" t="s">
        <v>1</v>
      </c>
      <c r="E44" s="3" t="s">
        <v>114</v>
      </c>
      <c r="F44" s="3" t="s">
        <v>215</v>
      </c>
      <c r="G44" s="3" t="s">
        <v>369</v>
      </c>
      <c r="H44" s="20" t="s">
        <v>218</v>
      </c>
      <c r="I44" s="3" t="s">
        <v>24</v>
      </c>
      <c r="J44" s="3">
        <v>1</v>
      </c>
      <c r="K44" s="3" t="s">
        <v>57</v>
      </c>
      <c r="L44" s="3" t="s">
        <v>57</v>
      </c>
      <c r="M44" s="3">
        <v>78</v>
      </c>
      <c r="N44" s="3" t="str">
        <f t="shared" si="59"/>
        <v>0000004E</v>
      </c>
      <c r="O44" s="3">
        <v>8</v>
      </c>
      <c r="P44" s="3">
        <v>8</v>
      </c>
      <c r="Q44" s="3" t="str">
        <f t="shared" si="11"/>
        <v/>
      </c>
      <c r="R44" s="3" t="str">
        <f t="shared" si="61"/>
        <v/>
      </c>
      <c r="S44" s="3" t="str">
        <f t="shared" si="61"/>
        <v/>
      </c>
      <c r="T44" s="3" t="str">
        <f t="shared" si="61"/>
        <v/>
      </c>
      <c r="U44" s="3" t="str">
        <f t="shared" si="61"/>
        <v/>
      </c>
      <c r="V44" s="3" t="str">
        <f t="shared" si="61"/>
        <v/>
      </c>
      <c r="W44" s="3" t="str">
        <f t="shared" si="61"/>
        <v/>
      </c>
      <c r="X44" s="3" t="str">
        <f t="shared" si="61"/>
        <v/>
      </c>
      <c r="Y44" s="3" t="str">
        <f t="shared" si="61"/>
        <v/>
      </c>
      <c r="Z44" s="3" t="str">
        <f t="shared" si="61"/>
        <v/>
      </c>
      <c r="AA44" s="3" t="str">
        <f t="shared" si="61"/>
        <v/>
      </c>
      <c r="AB44" s="3" t="str">
        <f t="shared" si="61"/>
        <v/>
      </c>
      <c r="AC44" s="3" t="str">
        <f t="shared" si="61"/>
        <v/>
      </c>
      <c r="AD44" s="3" t="str">
        <f t="shared" si="61"/>
        <v/>
      </c>
      <c r="AE44" s="3" t="str">
        <f t="shared" si="61"/>
        <v/>
      </c>
      <c r="AF44" s="3" t="str">
        <f t="shared" si="61"/>
        <v/>
      </c>
      <c r="AG44" s="3" t="str">
        <f t="shared" si="61"/>
        <v/>
      </c>
      <c r="AH44" s="3" t="str">
        <f t="shared" si="62"/>
        <v/>
      </c>
      <c r="AI44" s="3" t="str">
        <f t="shared" si="62"/>
        <v/>
      </c>
      <c r="AJ44" s="3" t="str">
        <f t="shared" si="62"/>
        <v/>
      </c>
      <c r="AK44" s="3" t="str">
        <f t="shared" si="62"/>
        <v/>
      </c>
      <c r="AL44" s="3" t="str">
        <f t="shared" si="62"/>
        <v/>
      </c>
      <c r="AM44" s="3" t="str">
        <f t="shared" si="62"/>
        <v/>
      </c>
      <c r="AN44" s="3" t="str">
        <f t="shared" si="62"/>
        <v>X</v>
      </c>
      <c r="AO44" s="3" t="str">
        <f t="shared" si="62"/>
        <v/>
      </c>
      <c r="AP44" s="3" t="str">
        <f t="shared" si="62"/>
        <v/>
      </c>
      <c r="AQ44" s="3" t="str">
        <f t="shared" si="62"/>
        <v/>
      </c>
      <c r="AR44" s="3" t="str">
        <f t="shared" si="62"/>
        <v/>
      </c>
      <c r="AS44" s="3" t="str">
        <f t="shared" si="62"/>
        <v/>
      </c>
      <c r="AT44" s="3" t="str">
        <f t="shared" si="62"/>
        <v/>
      </c>
      <c r="AU44" s="3" t="str">
        <f t="shared" si="62"/>
        <v/>
      </c>
      <c r="AV44" s="3" t="str">
        <f t="shared" si="62"/>
        <v/>
      </c>
      <c r="AW44" s="3" t="str">
        <f t="shared" si="12"/>
        <v/>
      </c>
      <c r="AX44" s="3" t="str">
        <f t="shared" si="13"/>
        <v/>
      </c>
      <c r="AY44" s="3" t="str">
        <f t="shared" si="14"/>
        <v>X</v>
      </c>
      <c r="AZ44" s="3" t="str">
        <f t="shared" si="15"/>
        <v/>
      </c>
      <c r="BA44" s="3" t="str">
        <f t="shared" si="37"/>
        <v/>
      </c>
      <c r="BB44" s="3" t="str">
        <f t="shared" si="38"/>
        <v/>
      </c>
      <c r="BC44" s="3">
        <f t="shared" si="39"/>
        <v>314</v>
      </c>
      <c r="BD44" s="3" t="str">
        <f t="shared" si="40"/>
        <v/>
      </c>
      <c r="BE44" s="9" t="str">
        <f t="shared" si="41"/>
        <v/>
      </c>
      <c r="BF44" s="9" t="str">
        <f t="shared" si="42"/>
        <v/>
      </c>
      <c r="BG44" s="9" t="str">
        <f t="shared" si="43"/>
        <v>0000013A</v>
      </c>
      <c r="BH44" s="9" t="str">
        <f t="shared" si="44"/>
        <v/>
      </c>
      <c r="BI44" s="3" t="str">
        <f t="shared" si="45"/>
        <v/>
      </c>
      <c r="BJ44" s="3" t="str">
        <f t="shared" si="46"/>
        <v/>
      </c>
      <c r="BK44" s="3" t="str">
        <f t="shared" si="47"/>
        <v>(0)</v>
      </c>
      <c r="BL44" s="3" t="str">
        <f t="shared" si="48"/>
        <v/>
      </c>
      <c r="BM44" s="3" t="str">
        <f t="shared" si="49"/>
        <v/>
      </c>
      <c r="BN44" s="3" t="str">
        <f t="shared" si="50"/>
        <v/>
      </c>
      <c r="BO44" s="3">
        <f t="shared" si="51"/>
        <v>0</v>
      </c>
      <c r="BP44" s="3" t="str">
        <f t="shared" si="52"/>
        <v/>
      </c>
      <c r="BQ44" s="3" t="str">
        <f t="shared" si="53"/>
        <v/>
      </c>
      <c r="BR44" s="3" t="str">
        <f t="shared" si="54"/>
        <v/>
      </c>
      <c r="BS44" s="3" t="str">
        <f t="shared" si="55"/>
        <v/>
      </c>
      <c r="BT44" s="3" t="str">
        <f t="shared" si="56"/>
        <v/>
      </c>
    </row>
    <row r="45" spans="2:76" x14ac:dyDescent="0.25">
      <c r="B45" s="3" t="s">
        <v>219</v>
      </c>
      <c r="C45" s="3" t="s">
        <v>220</v>
      </c>
      <c r="D45" s="3" t="s">
        <v>1</v>
      </c>
      <c r="E45" s="3" t="s">
        <v>114</v>
      </c>
      <c r="F45" s="3" t="s">
        <v>221</v>
      </c>
      <c r="G45" s="3" t="s">
        <v>370</v>
      </c>
      <c r="H45" s="20" t="s">
        <v>623</v>
      </c>
      <c r="I45" s="3" t="s">
        <v>24</v>
      </c>
      <c r="J45" s="3">
        <v>24</v>
      </c>
      <c r="K45" s="3" t="s">
        <v>118</v>
      </c>
      <c r="L45" s="3" t="s">
        <v>23</v>
      </c>
      <c r="M45" s="3">
        <v>79</v>
      </c>
      <c r="N45" s="3" t="str">
        <f t="shared" si="59"/>
        <v>0000004F</v>
      </c>
      <c r="O45" s="3">
        <v>23</v>
      </c>
      <c r="P45" s="3">
        <v>0</v>
      </c>
      <c r="Q45" s="3" t="str">
        <f t="shared" si="11"/>
        <v/>
      </c>
      <c r="R45" s="3" t="str">
        <f t="shared" si="61"/>
        <v/>
      </c>
      <c r="S45" s="3" t="str">
        <f t="shared" si="61"/>
        <v/>
      </c>
      <c r="T45" s="3" t="str">
        <f t="shared" si="61"/>
        <v/>
      </c>
      <c r="U45" s="3" t="str">
        <f t="shared" si="61"/>
        <v/>
      </c>
      <c r="V45" s="3" t="str">
        <f t="shared" si="61"/>
        <v/>
      </c>
      <c r="W45" s="3" t="str">
        <f t="shared" si="61"/>
        <v/>
      </c>
      <c r="X45" s="3" t="str">
        <f t="shared" si="61"/>
        <v/>
      </c>
      <c r="Y45" s="3" t="str">
        <f t="shared" si="61"/>
        <v>X</v>
      </c>
      <c r="Z45" s="3" t="str">
        <f t="shared" si="61"/>
        <v>X</v>
      </c>
      <c r="AA45" s="3" t="str">
        <f t="shared" si="61"/>
        <v>X</v>
      </c>
      <c r="AB45" s="3" t="str">
        <f t="shared" si="61"/>
        <v>X</v>
      </c>
      <c r="AC45" s="3" t="str">
        <f t="shared" si="61"/>
        <v>X</v>
      </c>
      <c r="AD45" s="3" t="str">
        <f t="shared" si="61"/>
        <v>X</v>
      </c>
      <c r="AE45" s="3" t="str">
        <f t="shared" si="61"/>
        <v>X</v>
      </c>
      <c r="AF45" s="3" t="str">
        <f t="shared" si="61"/>
        <v>X</v>
      </c>
      <c r="AG45" s="3" t="str">
        <f t="shared" si="61"/>
        <v>X</v>
      </c>
      <c r="AH45" s="3" t="str">
        <f t="shared" si="62"/>
        <v>X</v>
      </c>
      <c r="AI45" s="3" t="str">
        <f t="shared" si="62"/>
        <v>X</v>
      </c>
      <c r="AJ45" s="3" t="str">
        <f t="shared" si="62"/>
        <v>X</v>
      </c>
      <c r="AK45" s="3" t="str">
        <f t="shared" si="62"/>
        <v>X</v>
      </c>
      <c r="AL45" s="3" t="str">
        <f t="shared" si="62"/>
        <v>X</v>
      </c>
      <c r="AM45" s="3" t="str">
        <f t="shared" si="62"/>
        <v>X</v>
      </c>
      <c r="AN45" s="3" t="str">
        <f t="shared" si="62"/>
        <v>X</v>
      </c>
      <c r="AO45" s="3" t="str">
        <f t="shared" si="62"/>
        <v>X</v>
      </c>
      <c r="AP45" s="3" t="str">
        <f t="shared" si="62"/>
        <v>X</v>
      </c>
      <c r="AQ45" s="3" t="str">
        <f t="shared" si="62"/>
        <v>X</v>
      </c>
      <c r="AR45" s="3" t="str">
        <f t="shared" si="62"/>
        <v>X</v>
      </c>
      <c r="AS45" s="3" t="str">
        <f t="shared" si="62"/>
        <v>X</v>
      </c>
      <c r="AT45" s="3" t="str">
        <f t="shared" si="62"/>
        <v>X</v>
      </c>
      <c r="AU45" s="3" t="str">
        <f t="shared" si="62"/>
        <v>X</v>
      </c>
      <c r="AV45" s="3" t="str">
        <f t="shared" si="62"/>
        <v>X</v>
      </c>
      <c r="AW45" s="3" t="str">
        <f t="shared" si="12"/>
        <v/>
      </c>
      <c r="AX45" s="3" t="str">
        <f t="shared" si="13"/>
        <v>X</v>
      </c>
      <c r="AY45" s="3" t="str">
        <f t="shared" si="14"/>
        <v>X</v>
      </c>
      <c r="AZ45" s="3" t="str">
        <f t="shared" si="15"/>
        <v>X</v>
      </c>
      <c r="BA45" s="3" t="str">
        <f t="shared" si="37"/>
        <v/>
      </c>
      <c r="BB45" s="3">
        <f t="shared" si="38"/>
        <v>317</v>
      </c>
      <c r="BC45" s="3">
        <f t="shared" si="39"/>
        <v>318</v>
      </c>
      <c r="BD45" s="3">
        <f t="shared" si="40"/>
        <v>319</v>
      </c>
      <c r="BE45" s="9" t="str">
        <f t="shared" si="41"/>
        <v/>
      </c>
      <c r="BF45" s="9" t="str">
        <f t="shared" si="42"/>
        <v>0000013D</v>
      </c>
      <c r="BG45" s="9" t="str">
        <f t="shared" si="43"/>
        <v>0000013E</v>
      </c>
      <c r="BH45" s="9" t="str">
        <f t="shared" si="44"/>
        <v>0000013F</v>
      </c>
      <c r="BI45" s="3" t="str">
        <f t="shared" si="45"/>
        <v/>
      </c>
      <c r="BJ45" s="3" t="str">
        <f t="shared" si="46"/>
        <v/>
      </c>
      <c r="BK45" s="3" t="str">
        <f t="shared" si="47"/>
        <v/>
      </c>
      <c r="BL45" s="3" t="str">
        <f t="shared" si="48"/>
        <v/>
      </c>
      <c r="BM45" s="3" t="str">
        <f t="shared" si="49"/>
        <v/>
      </c>
      <c r="BN45" s="3">
        <f t="shared" si="50"/>
        <v>23</v>
      </c>
      <c r="BO45" s="3">
        <f t="shared" si="51"/>
        <v>15</v>
      </c>
      <c r="BP45" s="3">
        <f t="shared" si="52"/>
        <v>7</v>
      </c>
      <c r="BQ45" s="3" t="str">
        <f t="shared" si="53"/>
        <v/>
      </c>
      <c r="BR45" s="3" t="str">
        <f t="shared" si="54"/>
        <v>(23 downto 16)</v>
      </c>
      <c r="BS45" s="3" t="str">
        <f t="shared" si="55"/>
        <v>(15 downto 8)</v>
      </c>
      <c r="BT45" s="3" t="str">
        <f t="shared" si="56"/>
        <v>(7 downto 0)</v>
      </c>
    </row>
    <row r="46" spans="2:76" x14ac:dyDescent="0.25">
      <c r="B46" s="3" t="s">
        <v>222</v>
      </c>
      <c r="C46" s="3" t="s">
        <v>223</v>
      </c>
      <c r="D46" s="3" t="s">
        <v>1</v>
      </c>
      <c r="E46" s="3" t="s">
        <v>114</v>
      </c>
      <c r="F46" s="3" t="s">
        <v>224</v>
      </c>
      <c r="G46" s="3" t="s">
        <v>371</v>
      </c>
      <c r="H46" s="20" t="s">
        <v>225</v>
      </c>
      <c r="I46" s="3" t="s">
        <v>24</v>
      </c>
      <c r="J46" s="3">
        <v>32</v>
      </c>
      <c r="K46" s="3" t="s">
        <v>118</v>
      </c>
      <c r="L46" s="3" t="s">
        <v>23</v>
      </c>
      <c r="M46" s="3">
        <v>80</v>
      </c>
      <c r="N46" s="3" t="str">
        <f t="shared" si="59"/>
        <v>00000050</v>
      </c>
      <c r="O46" s="3">
        <v>31</v>
      </c>
      <c r="P46" s="3">
        <v>0</v>
      </c>
      <c r="Q46" s="3" t="str">
        <f t="shared" si="11"/>
        <v>X</v>
      </c>
      <c r="R46" s="3" t="str">
        <f t="shared" si="61"/>
        <v>X</v>
      </c>
      <c r="S46" s="3" t="str">
        <f t="shared" si="61"/>
        <v>X</v>
      </c>
      <c r="T46" s="3" t="str">
        <f t="shared" si="61"/>
        <v>X</v>
      </c>
      <c r="U46" s="3" t="str">
        <f t="shared" si="61"/>
        <v>X</v>
      </c>
      <c r="V46" s="3" t="str">
        <f t="shared" si="61"/>
        <v>X</v>
      </c>
      <c r="W46" s="3" t="str">
        <f t="shared" si="61"/>
        <v>X</v>
      </c>
      <c r="X46" s="3" t="str">
        <f t="shared" si="61"/>
        <v>X</v>
      </c>
      <c r="Y46" s="3" t="str">
        <f t="shared" si="61"/>
        <v>X</v>
      </c>
      <c r="Z46" s="3" t="str">
        <f t="shared" si="61"/>
        <v>X</v>
      </c>
      <c r="AA46" s="3" t="str">
        <f t="shared" si="61"/>
        <v>X</v>
      </c>
      <c r="AB46" s="3" t="str">
        <f t="shared" si="61"/>
        <v>X</v>
      </c>
      <c r="AC46" s="3" t="str">
        <f t="shared" si="61"/>
        <v>X</v>
      </c>
      <c r="AD46" s="3" t="str">
        <f t="shared" si="61"/>
        <v>X</v>
      </c>
      <c r="AE46" s="3" t="str">
        <f t="shared" si="61"/>
        <v>X</v>
      </c>
      <c r="AF46" s="3" t="str">
        <f t="shared" si="61"/>
        <v>X</v>
      </c>
      <c r="AG46" s="3" t="str">
        <f t="shared" si="61"/>
        <v>X</v>
      </c>
      <c r="AH46" s="3" t="str">
        <f t="shared" si="62"/>
        <v>X</v>
      </c>
      <c r="AI46" s="3" t="str">
        <f t="shared" si="62"/>
        <v>X</v>
      </c>
      <c r="AJ46" s="3" t="str">
        <f t="shared" si="62"/>
        <v>X</v>
      </c>
      <c r="AK46" s="3" t="str">
        <f t="shared" si="62"/>
        <v>X</v>
      </c>
      <c r="AL46" s="3" t="str">
        <f t="shared" si="62"/>
        <v>X</v>
      </c>
      <c r="AM46" s="3" t="str">
        <f t="shared" si="62"/>
        <v>X</v>
      </c>
      <c r="AN46" s="3" t="str">
        <f t="shared" si="62"/>
        <v>X</v>
      </c>
      <c r="AO46" s="3" t="str">
        <f t="shared" si="62"/>
        <v>X</v>
      </c>
      <c r="AP46" s="3" t="str">
        <f t="shared" si="62"/>
        <v>X</v>
      </c>
      <c r="AQ46" s="3" t="str">
        <f t="shared" si="62"/>
        <v>X</v>
      </c>
      <c r="AR46" s="3" t="str">
        <f t="shared" si="62"/>
        <v>X</v>
      </c>
      <c r="AS46" s="3" t="str">
        <f t="shared" si="62"/>
        <v>X</v>
      </c>
      <c r="AT46" s="3" t="str">
        <f t="shared" si="62"/>
        <v>X</v>
      </c>
      <c r="AU46" s="3" t="str">
        <f t="shared" si="62"/>
        <v>X</v>
      </c>
      <c r="AV46" s="3" t="str">
        <f t="shared" si="62"/>
        <v>X</v>
      </c>
      <c r="AW46" s="3" t="str">
        <f t="shared" si="12"/>
        <v>X</v>
      </c>
      <c r="AX46" s="3" t="str">
        <f t="shared" si="13"/>
        <v>X</v>
      </c>
      <c r="AY46" s="3" t="str">
        <f t="shared" si="14"/>
        <v>X</v>
      </c>
      <c r="AZ46" s="3" t="str">
        <f t="shared" si="15"/>
        <v>X</v>
      </c>
      <c r="BA46" s="3">
        <f t="shared" si="37"/>
        <v>320</v>
      </c>
      <c r="BB46" s="3">
        <f t="shared" si="38"/>
        <v>321</v>
      </c>
      <c r="BC46" s="3">
        <f t="shared" si="39"/>
        <v>322</v>
      </c>
      <c r="BD46" s="3">
        <f t="shared" si="40"/>
        <v>323</v>
      </c>
      <c r="BE46" s="9" t="str">
        <f t="shared" si="41"/>
        <v>00000140</v>
      </c>
      <c r="BF46" s="9" t="str">
        <f t="shared" si="42"/>
        <v>00000141</v>
      </c>
      <c r="BG46" s="9" t="str">
        <f t="shared" si="43"/>
        <v>00000142</v>
      </c>
      <c r="BH46" s="9" t="str">
        <f t="shared" si="44"/>
        <v>00000143</v>
      </c>
      <c r="BI46" s="3" t="str">
        <f t="shared" si="45"/>
        <v/>
      </c>
      <c r="BJ46" s="3" t="str">
        <f t="shared" si="46"/>
        <v/>
      </c>
      <c r="BK46" s="3" t="str">
        <f t="shared" si="47"/>
        <v/>
      </c>
      <c r="BL46" s="3" t="str">
        <f t="shared" si="48"/>
        <v/>
      </c>
      <c r="BM46" s="3">
        <f t="shared" si="49"/>
        <v>31</v>
      </c>
      <c r="BN46" s="3">
        <f t="shared" si="50"/>
        <v>23</v>
      </c>
      <c r="BO46" s="3">
        <f t="shared" si="51"/>
        <v>15</v>
      </c>
      <c r="BP46" s="3">
        <f t="shared" si="52"/>
        <v>7</v>
      </c>
      <c r="BQ46" s="3" t="str">
        <f t="shared" si="53"/>
        <v>(31 downto 24)</v>
      </c>
      <c r="BR46" s="3" t="str">
        <f t="shared" si="54"/>
        <v>(23 downto 16)</v>
      </c>
      <c r="BS46" s="3" t="str">
        <f t="shared" si="55"/>
        <v>(15 downto 8)</v>
      </c>
      <c r="BT46" s="3" t="str">
        <f t="shared" si="56"/>
        <v>(7 downto 0)</v>
      </c>
    </row>
    <row r="47" spans="2:76" x14ac:dyDescent="0.25">
      <c r="B47" s="3" t="s">
        <v>226</v>
      </c>
      <c r="C47" s="3" t="s">
        <v>227</v>
      </c>
      <c r="D47" s="3" t="s">
        <v>1</v>
      </c>
      <c r="E47" s="3" t="s">
        <v>114</v>
      </c>
      <c r="F47" s="3" t="s">
        <v>228</v>
      </c>
      <c r="G47" s="3" t="s">
        <v>372</v>
      </c>
      <c r="H47" s="20" t="s">
        <v>229</v>
      </c>
      <c r="I47" s="3" t="s">
        <v>24</v>
      </c>
      <c r="J47" s="3">
        <v>2</v>
      </c>
      <c r="K47" s="3" t="s">
        <v>140</v>
      </c>
      <c r="L47" s="3" t="s">
        <v>23</v>
      </c>
      <c r="M47" s="3">
        <v>81</v>
      </c>
      <c r="N47" s="3" t="str">
        <f t="shared" si="59"/>
        <v>00000051</v>
      </c>
      <c r="O47" s="3">
        <v>1</v>
      </c>
      <c r="P47" s="3">
        <v>0</v>
      </c>
      <c r="Q47" s="3" t="str">
        <f t="shared" si="11"/>
        <v/>
      </c>
      <c r="R47" s="3" t="str">
        <f t="shared" si="11"/>
        <v/>
      </c>
      <c r="S47" s="3" t="str">
        <f t="shared" si="11"/>
        <v/>
      </c>
      <c r="T47" s="3" t="str">
        <f t="shared" si="11"/>
        <v/>
      </c>
      <c r="U47" s="3" t="str">
        <f t="shared" si="11"/>
        <v/>
      </c>
      <c r="V47" s="3" t="str">
        <f t="shared" si="11"/>
        <v/>
      </c>
      <c r="W47" s="3" t="str">
        <f t="shared" si="11"/>
        <v/>
      </c>
      <c r="X47" s="3" t="str">
        <f t="shared" si="11"/>
        <v/>
      </c>
      <c r="Y47" s="3" t="str">
        <f t="shared" si="11"/>
        <v/>
      </c>
      <c r="Z47" s="3" t="str">
        <f t="shared" si="11"/>
        <v/>
      </c>
      <c r="AA47" s="3" t="str">
        <f t="shared" si="11"/>
        <v/>
      </c>
      <c r="AB47" s="3" t="str">
        <f t="shared" si="11"/>
        <v/>
      </c>
      <c r="AC47" s="3" t="str">
        <f t="shared" si="11"/>
        <v/>
      </c>
      <c r="AD47" s="3" t="str">
        <f t="shared" si="11"/>
        <v/>
      </c>
      <c r="AE47" s="3" t="str">
        <f t="shared" si="11"/>
        <v/>
      </c>
      <c r="AF47" s="3" t="str">
        <f t="shared" si="11"/>
        <v/>
      </c>
      <c r="AG47" s="3" t="str">
        <f t="shared" ref="R47:AG63" si="63">IF(AND($O47&gt;=AG$3,AG$3&gt;=$P47),"X","")</f>
        <v/>
      </c>
      <c r="AH47" s="3" t="str">
        <f t="shared" si="62"/>
        <v/>
      </c>
      <c r="AI47" s="3" t="str">
        <f t="shared" si="62"/>
        <v/>
      </c>
      <c r="AJ47" s="3" t="str">
        <f t="shared" si="62"/>
        <v/>
      </c>
      <c r="AK47" s="3" t="str">
        <f t="shared" si="62"/>
        <v/>
      </c>
      <c r="AL47" s="3" t="str">
        <f t="shared" si="62"/>
        <v/>
      </c>
      <c r="AM47" s="3" t="str">
        <f t="shared" si="62"/>
        <v/>
      </c>
      <c r="AN47" s="3" t="str">
        <f t="shared" si="62"/>
        <v/>
      </c>
      <c r="AO47" s="3" t="str">
        <f t="shared" si="62"/>
        <v/>
      </c>
      <c r="AP47" s="3" t="str">
        <f t="shared" si="62"/>
        <v/>
      </c>
      <c r="AQ47" s="3" t="str">
        <f t="shared" si="62"/>
        <v/>
      </c>
      <c r="AR47" s="3" t="str">
        <f t="shared" si="62"/>
        <v/>
      </c>
      <c r="AS47" s="3" t="str">
        <f t="shared" si="62"/>
        <v/>
      </c>
      <c r="AT47" s="3" t="str">
        <f t="shared" si="62"/>
        <v/>
      </c>
      <c r="AU47" s="3" t="str">
        <f t="shared" si="62"/>
        <v>X</v>
      </c>
      <c r="AV47" s="3" t="str">
        <f t="shared" si="62"/>
        <v>X</v>
      </c>
      <c r="AW47" s="3" t="str">
        <f t="shared" si="12"/>
        <v/>
      </c>
      <c r="AX47" s="3" t="str">
        <f t="shared" si="13"/>
        <v/>
      </c>
      <c r="AY47" s="3" t="str">
        <f t="shared" si="14"/>
        <v/>
      </c>
      <c r="AZ47" s="3" t="str">
        <f t="shared" si="15"/>
        <v>X</v>
      </c>
      <c r="BA47" s="3" t="str">
        <f t="shared" si="37"/>
        <v/>
      </c>
      <c r="BB47" s="3" t="str">
        <f t="shared" si="38"/>
        <v/>
      </c>
      <c r="BC47" s="3" t="str">
        <f t="shared" si="39"/>
        <v/>
      </c>
      <c r="BD47" s="3">
        <f t="shared" si="40"/>
        <v>327</v>
      </c>
      <c r="BE47" s="9" t="str">
        <f t="shared" si="41"/>
        <v/>
      </c>
      <c r="BF47" s="9" t="str">
        <f t="shared" si="42"/>
        <v/>
      </c>
      <c r="BG47" s="9" t="str">
        <f t="shared" si="43"/>
        <v/>
      </c>
      <c r="BH47" s="9" t="str">
        <f t="shared" si="44"/>
        <v>00000147</v>
      </c>
      <c r="BI47" s="3" t="str">
        <f t="shared" si="45"/>
        <v/>
      </c>
      <c r="BJ47" s="3" t="str">
        <f t="shared" si="46"/>
        <v/>
      </c>
      <c r="BK47" s="3" t="str">
        <f t="shared" si="47"/>
        <v/>
      </c>
      <c r="BL47" s="3" t="str">
        <f t="shared" si="48"/>
        <v>(1 downto 0)</v>
      </c>
      <c r="BM47" s="3" t="str">
        <f t="shared" si="49"/>
        <v/>
      </c>
      <c r="BN47" s="3" t="str">
        <f t="shared" si="50"/>
        <v/>
      </c>
      <c r="BO47" s="3" t="str">
        <f t="shared" si="51"/>
        <v/>
      </c>
      <c r="BP47" s="3">
        <f t="shared" si="52"/>
        <v>1</v>
      </c>
      <c r="BQ47" s="3" t="str">
        <f t="shared" si="53"/>
        <v/>
      </c>
      <c r="BR47" s="3" t="str">
        <f t="shared" si="54"/>
        <v/>
      </c>
      <c r="BS47" s="3" t="str">
        <f t="shared" si="55"/>
        <v/>
      </c>
      <c r="BT47" s="3" t="str">
        <f t="shared" si="56"/>
        <v/>
      </c>
    </row>
    <row r="48" spans="2:76" x14ac:dyDescent="0.25">
      <c r="B48" s="3" t="s">
        <v>230</v>
      </c>
      <c r="C48" s="3" t="s">
        <v>147</v>
      </c>
      <c r="D48" s="3" t="s">
        <v>0</v>
      </c>
      <c r="E48" s="3" t="s">
        <v>114</v>
      </c>
      <c r="F48" s="3" t="s">
        <v>231</v>
      </c>
      <c r="G48" s="3" t="s">
        <v>373</v>
      </c>
      <c r="H48" s="20" t="s">
        <v>149</v>
      </c>
      <c r="I48" s="3" t="s">
        <v>24</v>
      </c>
      <c r="J48" s="3">
        <v>3</v>
      </c>
      <c r="K48" s="3" t="s">
        <v>145</v>
      </c>
      <c r="L48" s="3" t="s">
        <v>23</v>
      </c>
      <c r="M48" s="3">
        <v>1024</v>
      </c>
      <c r="N48" s="3" t="str">
        <f t="shared" si="59"/>
        <v>00000400</v>
      </c>
      <c r="O48" s="3">
        <v>26</v>
      </c>
      <c r="P48" s="3">
        <v>24</v>
      </c>
      <c r="Q48" s="3" t="str">
        <f t="shared" ref="Q48:Q109" si="64">IF(AND($O48&gt;=Q$3,Q$3&gt;=$P48),"X","")</f>
        <v/>
      </c>
      <c r="R48" s="3" t="str">
        <f t="shared" si="63"/>
        <v/>
      </c>
      <c r="S48" s="3" t="str">
        <f t="shared" si="63"/>
        <v/>
      </c>
      <c r="T48" s="3" t="str">
        <f t="shared" si="63"/>
        <v/>
      </c>
      <c r="U48" s="3" t="str">
        <f t="shared" si="63"/>
        <v/>
      </c>
      <c r="V48" s="3" t="str">
        <f t="shared" si="63"/>
        <v>X</v>
      </c>
      <c r="W48" s="3" t="str">
        <f t="shared" si="63"/>
        <v>X</v>
      </c>
      <c r="X48" s="3" t="str">
        <f t="shared" si="63"/>
        <v>X</v>
      </c>
      <c r="Y48" s="3" t="str">
        <f t="shared" si="63"/>
        <v/>
      </c>
      <c r="Z48" s="3" t="str">
        <f t="shared" si="63"/>
        <v/>
      </c>
      <c r="AA48" s="3" t="str">
        <f t="shared" si="63"/>
        <v/>
      </c>
      <c r="AB48" s="3" t="str">
        <f t="shared" si="63"/>
        <v/>
      </c>
      <c r="AC48" s="3" t="str">
        <f t="shared" si="63"/>
        <v/>
      </c>
      <c r="AD48" s="3" t="str">
        <f t="shared" si="63"/>
        <v/>
      </c>
      <c r="AE48" s="3" t="str">
        <f t="shared" si="63"/>
        <v/>
      </c>
      <c r="AF48" s="3" t="str">
        <f t="shared" si="63"/>
        <v/>
      </c>
      <c r="AG48" s="3" t="str">
        <f t="shared" si="63"/>
        <v/>
      </c>
      <c r="AH48" s="3" t="str">
        <f t="shared" si="62"/>
        <v/>
      </c>
      <c r="AI48" s="3" t="str">
        <f t="shared" si="62"/>
        <v/>
      </c>
      <c r="AJ48" s="3" t="str">
        <f t="shared" si="62"/>
        <v/>
      </c>
      <c r="AK48" s="3" t="str">
        <f t="shared" si="62"/>
        <v/>
      </c>
      <c r="AL48" s="3" t="str">
        <f t="shared" si="62"/>
        <v/>
      </c>
      <c r="AM48" s="3" t="str">
        <f t="shared" si="62"/>
        <v/>
      </c>
      <c r="AN48" s="3" t="str">
        <f t="shared" si="62"/>
        <v/>
      </c>
      <c r="AO48" s="3" t="str">
        <f t="shared" si="62"/>
        <v/>
      </c>
      <c r="AP48" s="3" t="str">
        <f t="shared" si="62"/>
        <v/>
      </c>
      <c r="AQ48" s="3" t="str">
        <f t="shared" si="62"/>
        <v/>
      </c>
      <c r="AR48" s="3" t="str">
        <f t="shared" si="62"/>
        <v/>
      </c>
      <c r="AS48" s="3" t="str">
        <f t="shared" si="62"/>
        <v/>
      </c>
      <c r="AT48" s="3" t="str">
        <f t="shared" si="62"/>
        <v/>
      </c>
      <c r="AU48" s="3" t="str">
        <f t="shared" si="62"/>
        <v/>
      </c>
      <c r="AV48" s="3" t="str">
        <f t="shared" si="62"/>
        <v/>
      </c>
      <c r="AW48" s="3" t="str">
        <f t="shared" si="12"/>
        <v>X</v>
      </c>
      <c r="AX48" s="3" t="str">
        <f t="shared" si="13"/>
        <v/>
      </c>
      <c r="AY48" s="3" t="str">
        <f t="shared" si="14"/>
        <v/>
      </c>
      <c r="AZ48" s="3" t="str">
        <f t="shared" si="15"/>
        <v/>
      </c>
      <c r="BA48" s="3">
        <f t="shared" si="37"/>
        <v>4096</v>
      </c>
      <c r="BB48" s="3" t="str">
        <f t="shared" si="38"/>
        <v/>
      </c>
      <c r="BC48" s="3" t="str">
        <f t="shared" si="39"/>
        <v/>
      </c>
      <c r="BD48" s="3" t="str">
        <f t="shared" si="40"/>
        <v/>
      </c>
      <c r="BE48" s="9" t="str">
        <f t="shared" si="41"/>
        <v>00001000</v>
      </c>
      <c r="BF48" s="9" t="str">
        <f t="shared" si="42"/>
        <v/>
      </c>
      <c r="BG48" s="9" t="str">
        <f t="shared" si="43"/>
        <v/>
      </c>
      <c r="BH48" s="9" t="str">
        <f t="shared" si="44"/>
        <v/>
      </c>
      <c r="BI48" s="3" t="str">
        <f t="shared" si="45"/>
        <v>(2 downto 0)</v>
      </c>
      <c r="BJ48" s="3" t="str">
        <f t="shared" si="46"/>
        <v/>
      </c>
      <c r="BK48" s="3" t="str">
        <f t="shared" si="47"/>
        <v/>
      </c>
      <c r="BL48" s="3" t="str">
        <f t="shared" si="48"/>
        <v/>
      </c>
      <c r="BM48" s="3">
        <f t="shared" si="49"/>
        <v>2</v>
      </c>
      <c r="BN48" s="3" t="str">
        <f t="shared" si="50"/>
        <v/>
      </c>
      <c r="BO48" s="3" t="str">
        <f t="shared" si="51"/>
        <v/>
      </c>
      <c r="BP48" s="3" t="str">
        <f t="shared" si="52"/>
        <v/>
      </c>
      <c r="BQ48" s="3" t="str">
        <f t="shared" si="53"/>
        <v/>
      </c>
      <c r="BR48" s="3" t="str">
        <f t="shared" si="54"/>
        <v/>
      </c>
      <c r="BS48" s="3" t="str">
        <f t="shared" si="55"/>
        <v/>
      </c>
      <c r="BT48" s="3" t="str">
        <f t="shared" si="56"/>
        <v/>
      </c>
    </row>
    <row r="49" spans="2:72" x14ac:dyDescent="0.25">
      <c r="B49" s="3" t="s">
        <v>230</v>
      </c>
      <c r="C49" s="3" t="s">
        <v>232</v>
      </c>
      <c r="D49" s="3" t="s">
        <v>0</v>
      </c>
      <c r="E49" s="3" t="s">
        <v>114</v>
      </c>
      <c r="F49" s="3" t="s">
        <v>231</v>
      </c>
      <c r="G49" s="3" t="s">
        <v>373</v>
      </c>
      <c r="H49" s="20" t="s">
        <v>233</v>
      </c>
      <c r="I49" s="3" t="s">
        <v>24</v>
      </c>
      <c r="J49" s="3">
        <v>6</v>
      </c>
      <c r="K49" s="3" t="s">
        <v>118</v>
      </c>
      <c r="L49" s="3" t="s">
        <v>23</v>
      </c>
      <c r="M49" s="3">
        <v>1024</v>
      </c>
      <c r="N49" s="3" t="str">
        <f t="shared" si="59"/>
        <v>00000400</v>
      </c>
      <c r="O49" s="3">
        <v>23</v>
      </c>
      <c r="P49" s="3">
        <v>18</v>
      </c>
      <c r="Q49" s="3" t="str">
        <f t="shared" si="64"/>
        <v/>
      </c>
      <c r="R49" s="3" t="str">
        <f t="shared" si="63"/>
        <v/>
      </c>
      <c r="S49" s="3" t="str">
        <f t="shared" si="63"/>
        <v/>
      </c>
      <c r="T49" s="3" t="str">
        <f t="shared" si="63"/>
        <v/>
      </c>
      <c r="U49" s="3" t="str">
        <f t="shared" si="63"/>
        <v/>
      </c>
      <c r="V49" s="3" t="str">
        <f t="shared" si="63"/>
        <v/>
      </c>
      <c r="W49" s="3" t="str">
        <f t="shared" si="63"/>
        <v/>
      </c>
      <c r="X49" s="3" t="str">
        <f t="shared" si="63"/>
        <v/>
      </c>
      <c r="Y49" s="3" t="str">
        <f t="shared" si="63"/>
        <v>X</v>
      </c>
      <c r="Z49" s="3" t="str">
        <f t="shared" si="63"/>
        <v>X</v>
      </c>
      <c r="AA49" s="3" t="str">
        <f t="shared" si="63"/>
        <v>X</v>
      </c>
      <c r="AB49" s="3" t="str">
        <f t="shared" si="63"/>
        <v>X</v>
      </c>
      <c r="AC49" s="3" t="str">
        <f t="shared" si="63"/>
        <v>X</v>
      </c>
      <c r="AD49" s="3" t="str">
        <f t="shared" si="63"/>
        <v>X</v>
      </c>
      <c r="AE49" s="3" t="str">
        <f t="shared" si="63"/>
        <v/>
      </c>
      <c r="AF49" s="3" t="str">
        <f t="shared" si="63"/>
        <v/>
      </c>
      <c r="AG49" s="3" t="str">
        <f t="shared" si="63"/>
        <v/>
      </c>
      <c r="AH49" s="3" t="str">
        <f t="shared" si="62"/>
        <v/>
      </c>
      <c r="AI49" s="3" t="str">
        <f t="shared" si="62"/>
        <v/>
      </c>
      <c r="AJ49" s="3" t="str">
        <f t="shared" si="62"/>
        <v/>
      </c>
      <c r="AK49" s="3" t="str">
        <f t="shared" si="62"/>
        <v/>
      </c>
      <c r="AL49" s="3" t="str">
        <f t="shared" si="62"/>
        <v/>
      </c>
      <c r="AM49" s="3" t="str">
        <f t="shared" si="62"/>
        <v/>
      </c>
      <c r="AN49" s="3" t="str">
        <f t="shared" si="62"/>
        <v/>
      </c>
      <c r="AO49" s="3" t="str">
        <f t="shared" si="62"/>
        <v/>
      </c>
      <c r="AP49" s="3" t="str">
        <f t="shared" si="62"/>
        <v/>
      </c>
      <c r="AQ49" s="3" t="str">
        <f t="shared" si="62"/>
        <v/>
      </c>
      <c r="AR49" s="3" t="str">
        <f t="shared" si="62"/>
        <v/>
      </c>
      <c r="AS49" s="3" t="str">
        <f t="shared" si="62"/>
        <v/>
      </c>
      <c r="AT49" s="3" t="str">
        <f t="shared" si="62"/>
        <v/>
      </c>
      <c r="AU49" s="3" t="str">
        <f t="shared" si="62"/>
        <v/>
      </c>
      <c r="AV49" s="3" t="str">
        <f t="shared" si="62"/>
        <v/>
      </c>
      <c r="AW49" s="3" t="str">
        <f t="shared" si="12"/>
        <v/>
      </c>
      <c r="AX49" s="3" t="str">
        <f t="shared" si="13"/>
        <v>X</v>
      </c>
      <c r="AY49" s="3" t="str">
        <f t="shared" si="14"/>
        <v/>
      </c>
      <c r="AZ49" s="3" t="str">
        <f t="shared" si="15"/>
        <v/>
      </c>
      <c r="BA49" s="3" t="str">
        <f t="shared" si="37"/>
        <v/>
      </c>
      <c r="BB49" s="3">
        <f t="shared" si="38"/>
        <v>4097</v>
      </c>
      <c r="BC49" s="3" t="str">
        <f t="shared" si="39"/>
        <v/>
      </c>
      <c r="BD49" s="3" t="str">
        <f t="shared" si="40"/>
        <v/>
      </c>
      <c r="BE49" s="9" t="str">
        <f t="shared" si="41"/>
        <v/>
      </c>
      <c r="BF49" s="9" t="str">
        <f t="shared" si="42"/>
        <v>00001001</v>
      </c>
      <c r="BG49" s="9" t="str">
        <f t="shared" si="43"/>
        <v/>
      </c>
      <c r="BH49" s="9" t="str">
        <f t="shared" si="44"/>
        <v/>
      </c>
      <c r="BI49" s="3" t="str">
        <f t="shared" si="45"/>
        <v/>
      </c>
      <c r="BJ49" s="3" t="str">
        <f t="shared" si="46"/>
        <v>(7 downto 2)</v>
      </c>
      <c r="BK49" s="3" t="str">
        <f t="shared" si="47"/>
        <v/>
      </c>
      <c r="BL49" s="3" t="str">
        <f t="shared" si="48"/>
        <v/>
      </c>
      <c r="BM49" s="3" t="str">
        <f t="shared" si="49"/>
        <v/>
      </c>
      <c r="BN49" s="3">
        <f t="shared" si="50"/>
        <v>5</v>
      </c>
      <c r="BO49" s="3" t="str">
        <f t="shared" si="51"/>
        <v/>
      </c>
      <c r="BP49" s="3" t="str">
        <f t="shared" si="52"/>
        <v/>
      </c>
      <c r="BQ49" s="3" t="str">
        <f t="shared" si="53"/>
        <v/>
      </c>
      <c r="BR49" s="3" t="str">
        <f t="shared" si="54"/>
        <v/>
      </c>
      <c r="BS49" s="3" t="str">
        <f t="shared" si="55"/>
        <v/>
      </c>
      <c r="BT49" s="3" t="str">
        <f t="shared" si="56"/>
        <v/>
      </c>
    </row>
    <row r="50" spans="2:72" x14ac:dyDescent="0.25">
      <c r="B50" s="3" t="s">
        <v>230</v>
      </c>
      <c r="C50" s="3" t="s">
        <v>234</v>
      </c>
      <c r="D50" s="3" t="s">
        <v>0</v>
      </c>
      <c r="E50" s="3" t="s">
        <v>114</v>
      </c>
      <c r="F50" s="3" t="s">
        <v>231</v>
      </c>
      <c r="G50" s="3" t="s">
        <v>373</v>
      </c>
      <c r="H50" s="20" t="s">
        <v>235</v>
      </c>
      <c r="I50" s="3" t="s">
        <v>24</v>
      </c>
      <c r="J50" s="3">
        <v>2</v>
      </c>
      <c r="K50" s="3" t="s">
        <v>118</v>
      </c>
      <c r="L50" s="3" t="s">
        <v>23</v>
      </c>
      <c r="M50" s="3">
        <v>1024</v>
      </c>
      <c r="N50" s="3" t="str">
        <f t="shared" si="59"/>
        <v>00000400</v>
      </c>
      <c r="O50" s="3">
        <v>17</v>
      </c>
      <c r="P50" s="3">
        <v>16</v>
      </c>
      <c r="Q50" s="3" t="str">
        <f t="shared" si="64"/>
        <v/>
      </c>
      <c r="R50" s="3" t="str">
        <f t="shared" si="63"/>
        <v/>
      </c>
      <c r="S50" s="3" t="str">
        <f t="shared" si="63"/>
        <v/>
      </c>
      <c r="T50" s="3" t="str">
        <f t="shared" si="63"/>
        <v/>
      </c>
      <c r="U50" s="3" t="str">
        <f t="shared" si="63"/>
        <v/>
      </c>
      <c r="V50" s="3" t="str">
        <f t="shared" si="63"/>
        <v/>
      </c>
      <c r="W50" s="3" t="str">
        <f t="shared" si="63"/>
        <v/>
      </c>
      <c r="X50" s="3" t="str">
        <f t="shared" si="63"/>
        <v/>
      </c>
      <c r="Y50" s="3" t="str">
        <f t="shared" si="63"/>
        <v/>
      </c>
      <c r="Z50" s="3" t="str">
        <f t="shared" si="63"/>
        <v/>
      </c>
      <c r="AA50" s="3" t="str">
        <f t="shared" si="63"/>
        <v/>
      </c>
      <c r="AB50" s="3" t="str">
        <f t="shared" si="63"/>
        <v/>
      </c>
      <c r="AC50" s="3" t="str">
        <f t="shared" si="63"/>
        <v/>
      </c>
      <c r="AD50" s="3" t="str">
        <f t="shared" si="63"/>
        <v/>
      </c>
      <c r="AE50" s="3" t="str">
        <f t="shared" si="63"/>
        <v>X</v>
      </c>
      <c r="AF50" s="3" t="str">
        <f t="shared" si="63"/>
        <v>X</v>
      </c>
      <c r="AG50" s="3" t="str">
        <f t="shared" si="63"/>
        <v/>
      </c>
      <c r="AH50" s="3" t="str">
        <f t="shared" si="62"/>
        <v/>
      </c>
      <c r="AI50" s="3" t="str">
        <f t="shared" si="62"/>
        <v/>
      </c>
      <c r="AJ50" s="3" t="str">
        <f t="shared" si="62"/>
        <v/>
      </c>
      <c r="AK50" s="3" t="str">
        <f t="shared" si="62"/>
        <v/>
      </c>
      <c r="AL50" s="3" t="str">
        <f t="shared" si="62"/>
        <v/>
      </c>
      <c r="AM50" s="3" t="str">
        <f t="shared" si="62"/>
        <v/>
      </c>
      <c r="AN50" s="3" t="str">
        <f t="shared" si="62"/>
        <v/>
      </c>
      <c r="AO50" s="3" t="str">
        <f t="shared" si="62"/>
        <v/>
      </c>
      <c r="AP50" s="3" t="str">
        <f t="shared" si="62"/>
        <v/>
      </c>
      <c r="AQ50" s="3" t="str">
        <f t="shared" si="62"/>
        <v/>
      </c>
      <c r="AR50" s="3" t="str">
        <f t="shared" si="62"/>
        <v/>
      </c>
      <c r="AS50" s="3" t="str">
        <f t="shared" si="62"/>
        <v/>
      </c>
      <c r="AT50" s="3" t="str">
        <f t="shared" si="62"/>
        <v/>
      </c>
      <c r="AU50" s="3" t="str">
        <f t="shared" si="62"/>
        <v/>
      </c>
      <c r="AV50" s="3" t="str">
        <f t="shared" si="62"/>
        <v/>
      </c>
      <c r="AW50" s="3" t="str">
        <f t="shared" si="12"/>
        <v/>
      </c>
      <c r="AX50" s="3" t="str">
        <f t="shared" si="13"/>
        <v>X</v>
      </c>
      <c r="AY50" s="3" t="str">
        <f t="shared" si="14"/>
        <v/>
      </c>
      <c r="AZ50" s="3" t="str">
        <f t="shared" si="15"/>
        <v/>
      </c>
      <c r="BA50" s="3" t="str">
        <f t="shared" si="37"/>
        <v/>
      </c>
      <c r="BB50" s="3">
        <f t="shared" si="38"/>
        <v>4097</v>
      </c>
      <c r="BC50" s="3" t="str">
        <f t="shared" si="39"/>
        <v/>
      </c>
      <c r="BD50" s="3" t="str">
        <f t="shared" si="40"/>
        <v/>
      </c>
      <c r="BE50" s="9" t="str">
        <f t="shared" si="41"/>
        <v/>
      </c>
      <c r="BF50" s="9" t="str">
        <f t="shared" si="42"/>
        <v>00001001</v>
      </c>
      <c r="BG50" s="9" t="str">
        <f t="shared" si="43"/>
        <v/>
      </c>
      <c r="BH50" s="9" t="str">
        <f t="shared" si="44"/>
        <v/>
      </c>
      <c r="BI50" s="3" t="str">
        <f t="shared" si="45"/>
        <v/>
      </c>
      <c r="BJ50" s="3" t="str">
        <f t="shared" si="46"/>
        <v>(1 downto 0)</v>
      </c>
      <c r="BK50" s="3" t="str">
        <f t="shared" si="47"/>
        <v/>
      </c>
      <c r="BL50" s="3" t="str">
        <f t="shared" si="48"/>
        <v/>
      </c>
      <c r="BM50" s="3" t="str">
        <f t="shared" si="49"/>
        <v/>
      </c>
      <c r="BN50" s="3">
        <f t="shared" si="50"/>
        <v>1</v>
      </c>
      <c r="BO50" s="3" t="str">
        <f t="shared" si="51"/>
        <v/>
      </c>
      <c r="BP50" s="3" t="str">
        <f t="shared" si="52"/>
        <v/>
      </c>
      <c r="BQ50" s="3" t="str">
        <f t="shared" si="53"/>
        <v/>
      </c>
      <c r="BR50" s="3" t="str">
        <f t="shared" si="54"/>
        <v/>
      </c>
      <c r="BS50" s="3" t="str">
        <f t="shared" si="55"/>
        <v/>
      </c>
      <c r="BT50" s="3" t="str">
        <f t="shared" si="56"/>
        <v/>
      </c>
    </row>
    <row r="51" spans="2:72" x14ac:dyDescent="0.25">
      <c r="B51" s="3" t="s">
        <v>230</v>
      </c>
      <c r="C51" s="22" t="s">
        <v>752</v>
      </c>
      <c r="D51" s="3" t="s">
        <v>0</v>
      </c>
      <c r="E51" s="3" t="s">
        <v>114</v>
      </c>
      <c r="F51" s="3" t="s">
        <v>231</v>
      </c>
      <c r="G51" s="3" t="s">
        <v>373</v>
      </c>
      <c r="H51" s="20" t="s">
        <v>709</v>
      </c>
      <c r="I51" s="3" t="s">
        <v>24</v>
      </c>
      <c r="J51" s="22">
        <v>7</v>
      </c>
      <c r="K51" s="23" t="s">
        <v>741</v>
      </c>
      <c r="L51" s="3" t="s">
        <v>23</v>
      </c>
      <c r="M51" s="3">
        <v>1024</v>
      </c>
      <c r="N51" s="3" t="str">
        <f t="shared" si="59"/>
        <v>00000400</v>
      </c>
      <c r="O51" s="22">
        <v>14</v>
      </c>
      <c r="P51" s="3">
        <v>8</v>
      </c>
      <c r="Q51" s="3" t="str">
        <f t="shared" si="64"/>
        <v/>
      </c>
      <c r="R51" s="3" t="str">
        <f t="shared" si="63"/>
        <v/>
      </c>
      <c r="S51" s="3" t="str">
        <f t="shared" si="63"/>
        <v/>
      </c>
      <c r="T51" s="3" t="str">
        <f t="shared" si="63"/>
        <v/>
      </c>
      <c r="U51" s="3" t="str">
        <f t="shared" si="63"/>
        <v/>
      </c>
      <c r="V51" s="3" t="str">
        <f t="shared" si="63"/>
        <v/>
      </c>
      <c r="W51" s="3" t="str">
        <f t="shared" si="63"/>
        <v/>
      </c>
      <c r="X51" s="3" t="str">
        <f t="shared" si="63"/>
        <v/>
      </c>
      <c r="Y51" s="3" t="str">
        <f t="shared" si="63"/>
        <v/>
      </c>
      <c r="Z51" s="3" t="str">
        <f t="shared" si="63"/>
        <v/>
      </c>
      <c r="AA51" s="3" t="str">
        <f t="shared" si="63"/>
        <v/>
      </c>
      <c r="AB51" s="3" t="str">
        <f t="shared" si="63"/>
        <v/>
      </c>
      <c r="AC51" s="3" t="str">
        <f t="shared" si="63"/>
        <v/>
      </c>
      <c r="AD51" s="3" t="str">
        <f t="shared" si="63"/>
        <v/>
      </c>
      <c r="AE51" s="3" t="str">
        <f t="shared" si="63"/>
        <v/>
      </c>
      <c r="AF51" s="3" t="str">
        <f t="shared" si="63"/>
        <v/>
      </c>
      <c r="AG51" s="3" t="str">
        <f t="shared" si="63"/>
        <v/>
      </c>
      <c r="AH51" s="3" t="str">
        <f t="shared" si="62"/>
        <v>X</v>
      </c>
      <c r="AI51" s="3" t="str">
        <f t="shared" si="62"/>
        <v>X</v>
      </c>
      <c r="AJ51" s="3" t="str">
        <f t="shared" si="62"/>
        <v>X</v>
      </c>
      <c r="AK51" s="3" t="str">
        <f t="shared" si="62"/>
        <v>X</v>
      </c>
      <c r="AL51" s="3" t="str">
        <f t="shared" si="62"/>
        <v>X</v>
      </c>
      <c r="AM51" s="3" t="str">
        <f t="shared" si="62"/>
        <v>X</v>
      </c>
      <c r="AN51" s="3" t="str">
        <f t="shared" si="62"/>
        <v>X</v>
      </c>
      <c r="AO51" s="3" t="str">
        <f t="shared" si="62"/>
        <v/>
      </c>
      <c r="AP51" s="3" t="str">
        <f t="shared" si="62"/>
        <v/>
      </c>
      <c r="AQ51" s="3" t="str">
        <f t="shared" si="62"/>
        <v/>
      </c>
      <c r="AR51" s="3" t="str">
        <f t="shared" si="62"/>
        <v/>
      </c>
      <c r="AS51" s="3" t="str">
        <f t="shared" si="62"/>
        <v/>
      </c>
      <c r="AT51" s="3" t="str">
        <f t="shared" si="62"/>
        <v/>
      </c>
      <c r="AU51" s="3" t="str">
        <f t="shared" si="62"/>
        <v/>
      </c>
      <c r="AV51" s="3" t="str">
        <f t="shared" si="62"/>
        <v/>
      </c>
      <c r="AW51" s="3" t="str">
        <f t="shared" si="12"/>
        <v/>
      </c>
      <c r="AX51" s="3" t="str">
        <f t="shared" si="13"/>
        <v/>
      </c>
      <c r="AY51" s="3" t="str">
        <f t="shared" si="14"/>
        <v>X</v>
      </c>
      <c r="AZ51" s="3" t="str">
        <f t="shared" si="15"/>
        <v/>
      </c>
      <c r="BA51" s="3" t="str">
        <f t="shared" si="37"/>
        <v/>
      </c>
      <c r="BB51" s="3" t="str">
        <f t="shared" si="38"/>
        <v/>
      </c>
      <c r="BC51" s="3">
        <f t="shared" si="39"/>
        <v>4098</v>
      </c>
      <c r="BD51" s="3" t="str">
        <f t="shared" si="40"/>
        <v/>
      </c>
      <c r="BE51" s="9" t="str">
        <f t="shared" si="41"/>
        <v/>
      </c>
      <c r="BF51" s="9" t="str">
        <f t="shared" si="42"/>
        <v/>
      </c>
      <c r="BG51" s="9" t="str">
        <f t="shared" si="43"/>
        <v>00001002</v>
      </c>
      <c r="BH51" s="9" t="str">
        <f t="shared" si="44"/>
        <v/>
      </c>
      <c r="BI51" s="3" t="str">
        <f t="shared" si="45"/>
        <v/>
      </c>
      <c r="BJ51" s="3" t="str">
        <f t="shared" si="46"/>
        <v/>
      </c>
      <c r="BK51" s="3" t="str">
        <f t="shared" si="47"/>
        <v>(6 downto 0)</v>
      </c>
      <c r="BL51" s="3" t="str">
        <f t="shared" si="48"/>
        <v/>
      </c>
      <c r="BM51" s="3" t="str">
        <f t="shared" si="49"/>
        <v/>
      </c>
      <c r="BN51" s="3" t="str">
        <f t="shared" si="50"/>
        <v/>
      </c>
      <c r="BO51" s="3">
        <f t="shared" si="51"/>
        <v>6</v>
      </c>
      <c r="BP51" s="3" t="str">
        <f t="shared" si="52"/>
        <v/>
      </c>
      <c r="BQ51" s="3" t="str">
        <f t="shared" si="53"/>
        <v/>
      </c>
      <c r="BR51" s="3" t="str">
        <f t="shared" si="54"/>
        <v/>
      </c>
      <c r="BS51" s="3" t="str">
        <f t="shared" si="55"/>
        <v/>
      </c>
      <c r="BT51" s="3" t="str">
        <f t="shared" si="56"/>
        <v/>
      </c>
    </row>
    <row r="52" spans="2:72" x14ac:dyDescent="0.25">
      <c r="B52" s="3" t="s">
        <v>230</v>
      </c>
      <c r="C52" s="3" t="s">
        <v>236</v>
      </c>
      <c r="D52" s="3" t="s">
        <v>0</v>
      </c>
      <c r="E52" s="3" t="s">
        <v>114</v>
      </c>
      <c r="F52" s="3" t="s">
        <v>231</v>
      </c>
      <c r="G52" s="3" t="s">
        <v>373</v>
      </c>
      <c r="H52" s="20" t="s">
        <v>237</v>
      </c>
      <c r="I52" s="3" t="s">
        <v>24</v>
      </c>
      <c r="J52" s="3">
        <v>1</v>
      </c>
      <c r="K52" s="3" t="s">
        <v>57</v>
      </c>
      <c r="L52" s="3" t="s">
        <v>23</v>
      </c>
      <c r="M52" s="3">
        <v>1024</v>
      </c>
      <c r="N52" s="3" t="str">
        <f t="shared" si="59"/>
        <v>00000400</v>
      </c>
      <c r="O52" s="3">
        <v>7</v>
      </c>
      <c r="P52" s="3">
        <v>7</v>
      </c>
      <c r="Q52" s="3" t="str">
        <f t="shared" si="64"/>
        <v/>
      </c>
      <c r="R52" s="3" t="str">
        <f t="shared" si="63"/>
        <v/>
      </c>
      <c r="S52" s="3" t="str">
        <f t="shared" si="63"/>
        <v/>
      </c>
      <c r="T52" s="3" t="str">
        <f t="shared" si="63"/>
        <v/>
      </c>
      <c r="U52" s="3" t="str">
        <f t="shared" si="63"/>
        <v/>
      </c>
      <c r="V52" s="3" t="str">
        <f t="shared" si="63"/>
        <v/>
      </c>
      <c r="W52" s="3" t="str">
        <f t="shared" si="63"/>
        <v/>
      </c>
      <c r="X52" s="3" t="str">
        <f t="shared" si="63"/>
        <v/>
      </c>
      <c r="Y52" s="3" t="str">
        <f t="shared" si="63"/>
        <v/>
      </c>
      <c r="Z52" s="3" t="str">
        <f t="shared" si="63"/>
        <v/>
      </c>
      <c r="AA52" s="3" t="str">
        <f t="shared" si="63"/>
        <v/>
      </c>
      <c r="AB52" s="3" t="str">
        <f t="shared" si="63"/>
        <v/>
      </c>
      <c r="AC52" s="3" t="str">
        <f t="shared" si="63"/>
        <v/>
      </c>
      <c r="AD52" s="3" t="str">
        <f t="shared" si="63"/>
        <v/>
      </c>
      <c r="AE52" s="3" t="str">
        <f t="shared" si="63"/>
        <v/>
      </c>
      <c r="AF52" s="3" t="str">
        <f t="shared" si="63"/>
        <v/>
      </c>
      <c r="AG52" s="3" t="str">
        <f t="shared" si="63"/>
        <v/>
      </c>
      <c r="AH52" s="3" t="str">
        <f t="shared" si="62"/>
        <v/>
      </c>
      <c r="AI52" s="3" t="str">
        <f t="shared" si="62"/>
        <v/>
      </c>
      <c r="AJ52" s="3" t="str">
        <f t="shared" si="62"/>
        <v/>
      </c>
      <c r="AK52" s="3" t="str">
        <f t="shared" si="62"/>
        <v/>
      </c>
      <c r="AL52" s="3" t="str">
        <f t="shared" si="62"/>
        <v/>
      </c>
      <c r="AM52" s="3" t="str">
        <f t="shared" si="62"/>
        <v/>
      </c>
      <c r="AN52" s="3" t="str">
        <f t="shared" si="62"/>
        <v/>
      </c>
      <c r="AO52" s="3" t="str">
        <f t="shared" si="62"/>
        <v>X</v>
      </c>
      <c r="AP52" s="3" t="str">
        <f t="shared" si="62"/>
        <v/>
      </c>
      <c r="AQ52" s="3" t="str">
        <f t="shared" si="62"/>
        <v/>
      </c>
      <c r="AR52" s="3" t="str">
        <f t="shared" si="62"/>
        <v/>
      </c>
      <c r="AS52" s="3" t="str">
        <f t="shared" si="62"/>
        <v/>
      </c>
      <c r="AT52" s="3" t="str">
        <f t="shared" si="62"/>
        <v/>
      </c>
      <c r="AU52" s="3" t="str">
        <f t="shared" si="62"/>
        <v/>
      </c>
      <c r="AV52" s="3" t="str">
        <f t="shared" si="62"/>
        <v/>
      </c>
      <c r="AW52" s="3" t="str">
        <f t="shared" si="12"/>
        <v/>
      </c>
      <c r="AX52" s="3" t="str">
        <f t="shared" si="13"/>
        <v/>
      </c>
      <c r="AY52" s="3" t="str">
        <f t="shared" si="14"/>
        <v/>
      </c>
      <c r="AZ52" s="3" t="str">
        <f t="shared" si="15"/>
        <v>X</v>
      </c>
      <c r="BA52" s="3" t="str">
        <f t="shared" si="37"/>
        <v/>
      </c>
      <c r="BB52" s="3" t="str">
        <f t="shared" si="38"/>
        <v/>
      </c>
      <c r="BC52" s="3" t="str">
        <f t="shared" si="39"/>
        <v/>
      </c>
      <c r="BD52" s="3">
        <f t="shared" si="40"/>
        <v>4099</v>
      </c>
      <c r="BE52" s="9" t="str">
        <f t="shared" si="41"/>
        <v/>
      </c>
      <c r="BF52" s="9" t="str">
        <f t="shared" si="42"/>
        <v/>
      </c>
      <c r="BG52" s="9" t="str">
        <f t="shared" si="43"/>
        <v/>
      </c>
      <c r="BH52" s="9" t="str">
        <f t="shared" si="44"/>
        <v>00001003</v>
      </c>
      <c r="BI52" s="3" t="str">
        <f t="shared" si="45"/>
        <v/>
      </c>
      <c r="BJ52" s="3" t="str">
        <f t="shared" si="46"/>
        <v/>
      </c>
      <c r="BK52" s="3" t="str">
        <f t="shared" si="47"/>
        <v/>
      </c>
      <c r="BL52" s="3" t="str">
        <f t="shared" si="48"/>
        <v>(7)</v>
      </c>
      <c r="BM52" s="3" t="str">
        <f t="shared" si="49"/>
        <v/>
      </c>
      <c r="BN52" s="3" t="str">
        <f t="shared" si="50"/>
        <v/>
      </c>
      <c r="BO52" s="3" t="str">
        <f t="shared" si="51"/>
        <v/>
      </c>
      <c r="BP52" s="3">
        <f t="shared" si="52"/>
        <v>0</v>
      </c>
      <c r="BQ52" s="3" t="str">
        <f t="shared" si="53"/>
        <v/>
      </c>
      <c r="BR52" s="3" t="str">
        <f t="shared" si="54"/>
        <v/>
      </c>
      <c r="BS52" s="3" t="str">
        <f t="shared" si="55"/>
        <v/>
      </c>
      <c r="BT52" s="3" t="str">
        <f t="shared" si="56"/>
        <v/>
      </c>
    </row>
    <row r="53" spans="2:72" x14ac:dyDescent="0.25">
      <c r="B53" s="3" t="s">
        <v>230</v>
      </c>
      <c r="C53" s="3" t="s">
        <v>238</v>
      </c>
      <c r="D53" s="3" t="s">
        <v>0</v>
      </c>
      <c r="E53" s="3" t="s">
        <v>114</v>
      </c>
      <c r="F53" s="3" t="s">
        <v>231</v>
      </c>
      <c r="G53" s="3" t="s">
        <v>373</v>
      </c>
      <c r="H53" s="20" t="s">
        <v>239</v>
      </c>
      <c r="I53" s="3" t="s">
        <v>24</v>
      </c>
      <c r="J53" s="3">
        <v>1</v>
      </c>
      <c r="K53" s="3" t="s">
        <v>57</v>
      </c>
      <c r="L53" s="3" t="s">
        <v>23</v>
      </c>
      <c r="M53" s="3">
        <v>1024</v>
      </c>
      <c r="N53" s="3" t="str">
        <f t="shared" si="59"/>
        <v>00000400</v>
      </c>
      <c r="O53" s="3">
        <v>6</v>
      </c>
      <c r="P53" s="3">
        <v>6</v>
      </c>
      <c r="Q53" s="3" t="str">
        <f t="shared" si="64"/>
        <v/>
      </c>
      <c r="R53" s="3" t="str">
        <f t="shared" si="63"/>
        <v/>
      </c>
      <c r="S53" s="3" t="str">
        <f t="shared" si="63"/>
        <v/>
      </c>
      <c r="T53" s="3" t="str">
        <f t="shared" si="63"/>
        <v/>
      </c>
      <c r="U53" s="3" t="str">
        <f t="shared" si="63"/>
        <v/>
      </c>
      <c r="V53" s="3" t="str">
        <f t="shared" si="63"/>
        <v/>
      </c>
      <c r="W53" s="3" t="str">
        <f t="shared" si="63"/>
        <v/>
      </c>
      <c r="X53" s="3" t="str">
        <f t="shared" si="63"/>
        <v/>
      </c>
      <c r="Y53" s="3" t="str">
        <f t="shared" si="63"/>
        <v/>
      </c>
      <c r="Z53" s="3" t="str">
        <f t="shared" si="63"/>
        <v/>
      </c>
      <c r="AA53" s="3" t="str">
        <f t="shared" si="63"/>
        <v/>
      </c>
      <c r="AB53" s="3" t="str">
        <f t="shared" si="63"/>
        <v/>
      </c>
      <c r="AC53" s="3" t="str">
        <f t="shared" si="63"/>
        <v/>
      </c>
      <c r="AD53" s="3" t="str">
        <f t="shared" si="63"/>
        <v/>
      </c>
      <c r="AE53" s="3" t="str">
        <f t="shared" si="63"/>
        <v/>
      </c>
      <c r="AF53" s="3" t="str">
        <f t="shared" si="63"/>
        <v/>
      </c>
      <c r="AG53" s="3" t="str">
        <f t="shared" si="63"/>
        <v/>
      </c>
      <c r="AH53" s="3" t="str">
        <f t="shared" si="62"/>
        <v/>
      </c>
      <c r="AI53" s="3" t="str">
        <f t="shared" si="62"/>
        <v/>
      </c>
      <c r="AJ53" s="3" t="str">
        <f t="shared" si="62"/>
        <v/>
      </c>
      <c r="AK53" s="3" t="str">
        <f t="shared" si="62"/>
        <v/>
      </c>
      <c r="AL53" s="3" t="str">
        <f t="shared" si="62"/>
        <v/>
      </c>
      <c r="AM53" s="3" t="str">
        <f t="shared" si="62"/>
        <v/>
      </c>
      <c r="AN53" s="3" t="str">
        <f t="shared" si="62"/>
        <v/>
      </c>
      <c r="AO53" s="3" t="str">
        <f t="shared" si="62"/>
        <v/>
      </c>
      <c r="AP53" s="3" t="str">
        <f t="shared" si="62"/>
        <v>X</v>
      </c>
      <c r="AQ53" s="3" t="str">
        <f t="shared" si="62"/>
        <v/>
      </c>
      <c r="AR53" s="3" t="str">
        <f t="shared" si="62"/>
        <v/>
      </c>
      <c r="AS53" s="3" t="str">
        <f t="shared" si="62"/>
        <v/>
      </c>
      <c r="AT53" s="3" t="str">
        <f t="shared" si="62"/>
        <v/>
      </c>
      <c r="AU53" s="3" t="str">
        <f t="shared" si="62"/>
        <v/>
      </c>
      <c r="AV53" s="3" t="str">
        <f t="shared" si="62"/>
        <v/>
      </c>
      <c r="AW53" s="3" t="str">
        <f t="shared" si="12"/>
        <v/>
      </c>
      <c r="AX53" s="3" t="str">
        <f t="shared" si="13"/>
        <v/>
      </c>
      <c r="AY53" s="3" t="str">
        <f t="shared" si="14"/>
        <v/>
      </c>
      <c r="AZ53" s="3" t="str">
        <f t="shared" si="15"/>
        <v>X</v>
      </c>
      <c r="BA53" s="3" t="str">
        <f t="shared" si="37"/>
        <v/>
      </c>
      <c r="BB53" s="3" t="str">
        <f t="shared" si="38"/>
        <v/>
      </c>
      <c r="BC53" s="3" t="str">
        <f t="shared" si="39"/>
        <v/>
      </c>
      <c r="BD53" s="3">
        <f t="shared" si="40"/>
        <v>4099</v>
      </c>
      <c r="BE53" s="9" t="str">
        <f t="shared" si="41"/>
        <v/>
      </c>
      <c r="BF53" s="9" t="str">
        <f t="shared" si="42"/>
        <v/>
      </c>
      <c r="BG53" s="9" t="str">
        <f t="shared" si="43"/>
        <v/>
      </c>
      <c r="BH53" s="9" t="str">
        <f t="shared" si="44"/>
        <v>00001003</v>
      </c>
      <c r="BI53" s="3" t="str">
        <f t="shared" si="45"/>
        <v/>
      </c>
      <c r="BJ53" s="3" t="str">
        <f t="shared" si="46"/>
        <v/>
      </c>
      <c r="BK53" s="3" t="str">
        <f t="shared" si="47"/>
        <v/>
      </c>
      <c r="BL53" s="3" t="str">
        <f t="shared" si="48"/>
        <v>(6)</v>
      </c>
      <c r="BM53" s="3" t="str">
        <f t="shared" si="49"/>
        <v/>
      </c>
      <c r="BN53" s="3" t="str">
        <f t="shared" si="50"/>
        <v/>
      </c>
      <c r="BO53" s="3" t="str">
        <f t="shared" si="51"/>
        <v/>
      </c>
      <c r="BP53" s="3">
        <f t="shared" si="52"/>
        <v>0</v>
      </c>
      <c r="BQ53" s="3" t="str">
        <f t="shared" si="53"/>
        <v/>
      </c>
      <c r="BR53" s="3" t="str">
        <f t="shared" si="54"/>
        <v/>
      </c>
      <c r="BS53" s="3" t="str">
        <f t="shared" si="55"/>
        <v/>
      </c>
      <c r="BT53" s="3" t="str">
        <f t="shared" si="56"/>
        <v/>
      </c>
    </row>
    <row r="54" spans="2:72" x14ac:dyDescent="0.25">
      <c r="B54" s="3" t="s">
        <v>230</v>
      </c>
      <c r="C54" s="3" t="s">
        <v>240</v>
      </c>
      <c r="D54" s="3" t="s">
        <v>0</v>
      </c>
      <c r="E54" s="3" t="s">
        <v>114</v>
      </c>
      <c r="F54" s="3" t="s">
        <v>231</v>
      </c>
      <c r="G54" s="3" t="s">
        <v>373</v>
      </c>
      <c r="H54" s="20" t="s">
        <v>241</v>
      </c>
      <c r="I54" s="3" t="s">
        <v>24</v>
      </c>
      <c r="J54" s="3">
        <v>1</v>
      </c>
      <c r="K54" s="3" t="s">
        <v>57</v>
      </c>
      <c r="L54" s="3" t="s">
        <v>23</v>
      </c>
      <c r="M54" s="3">
        <v>1024</v>
      </c>
      <c r="N54" s="3" t="str">
        <f t="shared" si="59"/>
        <v>00000400</v>
      </c>
      <c r="O54" s="3">
        <v>5</v>
      </c>
      <c r="P54" s="3">
        <v>5</v>
      </c>
      <c r="Q54" s="3" t="str">
        <f t="shared" si="64"/>
        <v/>
      </c>
      <c r="R54" s="3" t="str">
        <f t="shared" si="63"/>
        <v/>
      </c>
      <c r="S54" s="3" t="str">
        <f t="shared" si="63"/>
        <v/>
      </c>
      <c r="T54" s="3" t="str">
        <f t="shared" si="63"/>
        <v/>
      </c>
      <c r="U54" s="3" t="str">
        <f t="shared" si="63"/>
        <v/>
      </c>
      <c r="V54" s="3" t="str">
        <f t="shared" si="63"/>
        <v/>
      </c>
      <c r="W54" s="3" t="str">
        <f t="shared" si="63"/>
        <v/>
      </c>
      <c r="X54" s="3" t="str">
        <f t="shared" si="63"/>
        <v/>
      </c>
      <c r="Y54" s="3" t="str">
        <f t="shared" si="63"/>
        <v/>
      </c>
      <c r="Z54" s="3" t="str">
        <f t="shared" si="63"/>
        <v/>
      </c>
      <c r="AA54" s="3" t="str">
        <f t="shared" si="63"/>
        <v/>
      </c>
      <c r="AB54" s="3" t="str">
        <f t="shared" si="63"/>
        <v/>
      </c>
      <c r="AC54" s="3" t="str">
        <f t="shared" si="63"/>
        <v/>
      </c>
      <c r="AD54" s="3" t="str">
        <f t="shared" si="63"/>
        <v/>
      </c>
      <c r="AE54" s="3" t="str">
        <f t="shared" si="63"/>
        <v/>
      </c>
      <c r="AF54" s="3" t="str">
        <f t="shared" si="63"/>
        <v/>
      </c>
      <c r="AG54" s="3" t="str">
        <f t="shared" si="63"/>
        <v/>
      </c>
      <c r="AH54" s="3" t="str">
        <f t="shared" si="62"/>
        <v/>
      </c>
      <c r="AI54" s="3" t="str">
        <f t="shared" si="62"/>
        <v/>
      </c>
      <c r="AJ54" s="3" t="str">
        <f t="shared" si="62"/>
        <v/>
      </c>
      <c r="AK54" s="3" t="str">
        <f t="shared" si="62"/>
        <v/>
      </c>
      <c r="AL54" s="3" t="str">
        <f t="shared" si="62"/>
        <v/>
      </c>
      <c r="AM54" s="3" t="str">
        <f t="shared" si="62"/>
        <v/>
      </c>
      <c r="AN54" s="3" t="str">
        <f t="shared" si="62"/>
        <v/>
      </c>
      <c r="AO54" s="3" t="str">
        <f t="shared" si="62"/>
        <v/>
      </c>
      <c r="AP54" s="3" t="str">
        <f t="shared" si="62"/>
        <v/>
      </c>
      <c r="AQ54" s="3" t="str">
        <f t="shared" si="62"/>
        <v>X</v>
      </c>
      <c r="AR54" s="3" t="str">
        <f t="shared" si="62"/>
        <v/>
      </c>
      <c r="AS54" s="3" t="str">
        <f t="shared" si="62"/>
        <v/>
      </c>
      <c r="AT54" s="3" t="str">
        <f t="shared" si="62"/>
        <v/>
      </c>
      <c r="AU54" s="3" t="str">
        <f t="shared" si="62"/>
        <v/>
      </c>
      <c r="AV54" s="3" t="str">
        <f t="shared" si="62"/>
        <v/>
      </c>
      <c r="AW54" s="3" t="str">
        <f t="shared" si="12"/>
        <v/>
      </c>
      <c r="AX54" s="3" t="str">
        <f t="shared" si="13"/>
        <v/>
      </c>
      <c r="AY54" s="3" t="str">
        <f t="shared" si="14"/>
        <v/>
      </c>
      <c r="AZ54" s="3" t="str">
        <f t="shared" si="15"/>
        <v>X</v>
      </c>
      <c r="BA54" s="3" t="str">
        <f t="shared" si="37"/>
        <v/>
      </c>
      <c r="BB54" s="3" t="str">
        <f t="shared" si="38"/>
        <v/>
      </c>
      <c r="BC54" s="3" t="str">
        <f t="shared" si="39"/>
        <v/>
      </c>
      <c r="BD54" s="3">
        <f t="shared" si="40"/>
        <v>4099</v>
      </c>
      <c r="BE54" s="9" t="str">
        <f t="shared" si="41"/>
        <v/>
      </c>
      <c r="BF54" s="9" t="str">
        <f t="shared" si="42"/>
        <v/>
      </c>
      <c r="BG54" s="9" t="str">
        <f t="shared" si="43"/>
        <v/>
      </c>
      <c r="BH54" s="9" t="str">
        <f t="shared" si="44"/>
        <v>00001003</v>
      </c>
      <c r="BI54" s="3" t="str">
        <f t="shared" si="45"/>
        <v/>
      </c>
      <c r="BJ54" s="3" t="str">
        <f t="shared" si="46"/>
        <v/>
      </c>
      <c r="BK54" s="3" t="str">
        <f t="shared" si="47"/>
        <v/>
      </c>
      <c r="BL54" s="3" t="str">
        <f t="shared" si="48"/>
        <v>(5)</v>
      </c>
      <c r="BM54" s="3" t="str">
        <f t="shared" si="49"/>
        <v/>
      </c>
      <c r="BN54" s="3" t="str">
        <f t="shared" si="50"/>
        <v/>
      </c>
      <c r="BO54" s="3" t="str">
        <f t="shared" si="51"/>
        <v/>
      </c>
      <c r="BP54" s="3">
        <f t="shared" si="52"/>
        <v>0</v>
      </c>
      <c r="BQ54" s="3" t="str">
        <f t="shared" si="53"/>
        <v/>
      </c>
      <c r="BR54" s="3" t="str">
        <f t="shared" si="54"/>
        <v/>
      </c>
      <c r="BS54" s="3" t="str">
        <f t="shared" si="55"/>
        <v/>
      </c>
      <c r="BT54" s="3" t="str">
        <f t="shared" si="56"/>
        <v/>
      </c>
    </row>
    <row r="55" spans="2:72" x14ac:dyDescent="0.25">
      <c r="B55" s="3" t="s">
        <v>230</v>
      </c>
      <c r="C55" s="3" t="s">
        <v>242</v>
      </c>
      <c r="D55" s="3" t="s">
        <v>0</v>
      </c>
      <c r="E55" s="3" t="s">
        <v>114</v>
      </c>
      <c r="F55" s="3" t="s">
        <v>231</v>
      </c>
      <c r="G55" s="3" t="s">
        <v>373</v>
      </c>
      <c r="H55" s="20" t="s">
        <v>243</v>
      </c>
      <c r="I55" s="3" t="s">
        <v>24</v>
      </c>
      <c r="J55" s="3">
        <v>1</v>
      </c>
      <c r="K55" s="3" t="s">
        <v>57</v>
      </c>
      <c r="L55" s="3" t="s">
        <v>23</v>
      </c>
      <c r="M55" s="3">
        <v>1024</v>
      </c>
      <c r="N55" s="3" t="str">
        <f t="shared" si="59"/>
        <v>00000400</v>
      </c>
      <c r="O55" s="3">
        <v>4</v>
      </c>
      <c r="P55" s="3">
        <v>4</v>
      </c>
      <c r="Q55" s="3" t="str">
        <f t="shared" si="64"/>
        <v/>
      </c>
      <c r="R55" s="3" t="str">
        <f t="shared" si="63"/>
        <v/>
      </c>
      <c r="S55" s="3" t="str">
        <f t="shared" si="63"/>
        <v/>
      </c>
      <c r="T55" s="3" t="str">
        <f t="shared" si="63"/>
        <v/>
      </c>
      <c r="U55" s="3" t="str">
        <f t="shared" si="63"/>
        <v/>
      </c>
      <c r="V55" s="3" t="str">
        <f t="shared" si="63"/>
        <v/>
      </c>
      <c r="W55" s="3" t="str">
        <f t="shared" si="63"/>
        <v/>
      </c>
      <c r="X55" s="3" t="str">
        <f t="shared" si="63"/>
        <v/>
      </c>
      <c r="Y55" s="3" t="str">
        <f t="shared" si="63"/>
        <v/>
      </c>
      <c r="Z55" s="3" t="str">
        <f t="shared" si="63"/>
        <v/>
      </c>
      <c r="AA55" s="3" t="str">
        <f t="shared" si="63"/>
        <v/>
      </c>
      <c r="AB55" s="3" t="str">
        <f t="shared" si="63"/>
        <v/>
      </c>
      <c r="AC55" s="3" t="str">
        <f t="shared" si="63"/>
        <v/>
      </c>
      <c r="AD55" s="3" t="str">
        <f t="shared" si="63"/>
        <v/>
      </c>
      <c r="AE55" s="3" t="str">
        <f t="shared" si="63"/>
        <v/>
      </c>
      <c r="AF55" s="3" t="str">
        <f t="shared" si="63"/>
        <v/>
      </c>
      <c r="AG55" s="3" t="str">
        <f t="shared" si="63"/>
        <v/>
      </c>
      <c r="AH55" s="3" t="str">
        <f t="shared" si="62"/>
        <v/>
      </c>
      <c r="AI55" s="3" t="str">
        <f t="shared" si="62"/>
        <v/>
      </c>
      <c r="AJ55" s="3" t="str">
        <f t="shared" si="62"/>
        <v/>
      </c>
      <c r="AK55" s="3" t="str">
        <f t="shared" si="62"/>
        <v/>
      </c>
      <c r="AL55" s="3" t="str">
        <f t="shared" si="62"/>
        <v/>
      </c>
      <c r="AM55" s="3" t="str">
        <f t="shared" si="62"/>
        <v/>
      </c>
      <c r="AN55" s="3" t="str">
        <f t="shared" si="62"/>
        <v/>
      </c>
      <c r="AO55" s="3" t="str">
        <f t="shared" si="62"/>
        <v/>
      </c>
      <c r="AP55" s="3" t="str">
        <f t="shared" si="62"/>
        <v/>
      </c>
      <c r="AQ55" s="3" t="str">
        <f t="shared" si="62"/>
        <v/>
      </c>
      <c r="AR55" s="3" t="str">
        <f t="shared" si="62"/>
        <v>X</v>
      </c>
      <c r="AS55" s="3" t="str">
        <f t="shared" si="62"/>
        <v/>
      </c>
      <c r="AT55" s="3" t="str">
        <f t="shared" si="62"/>
        <v/>
      </c>
      <c r="AU55" s="3" t="str">
        <f t="shared" si="62"/>
        <v/>
      </c>
      <c r="AV55" s="3" t="str">
        <f t="shared" si="62"/>
        <v/>
      </c>
      <c r="AW55" s="3" t="str">
        <f t="shared" si="12"/>
        <v/>
      </c>
      <c r="AX55" s="3" t="str">
        <f t="shared" si="13"/>
        <v/>
      </c>
      <c r="AY55" s="3" t="str">
        <f t="shared" si="14"/>
        <v/>
      </c>
      <c r="AZ55" s="3" t="str">
        <f t="shared" si="15"/>
        <v>X</v>
      </c>
      <c r="BA55" s="3" t="str">
        <f t="shared" si="37"/>
        <v/>
      </c>
      <c r="BB55" s="3" t="str">
        <f t="shared" si="38"/>
        <v/>
      </c>
      <c r="BC55" s="3" t="str">
        <f t="shared" si="39"/>
        <v/>
      </c>
      <c r="BD55" s="3">
        <f t="shared" si="40"/>
        <v>4099</v>
      </c>
      <c r="BE55" s="9" t="str">
        <f t="shared" si="41"/>
        <v/>
      </c>
      <c r="BF55" s="9" t="str">
        <f t="shared" si="42"/>
        <v/>
      </c>
      <c r="BG55" s="9" t="str">
        <f t="shared" si="43"/>
        <v/>
      </c>
      <c r="BH55" s="9" t="str">
        <f t="shared" si="44"/>
        <v>00001003</v>
      </c>
      <c r="BI55" s="3" t="str">
        <f t="shared" si="45"/>
        <v/>
      </c>
      <c r="BJ55" s="3" t="str">
        <f t="shared" si="46"/>
        <v/>
      </c>
      <c r="BK55" s="3" t="str">
        <f t="shared" si="47"/>
        <v/>
      </c>
      <c r="BL55" s="3" t="str">
        <f t="shared" si="48"/>
        <v>(4)</v>
      </c>
      <c r="BM55" s="3" t="str">
        <f t="shared" si="49"/>
        <v/>
      </c>
      <c r="BN55" s="3" t="str">
        <f t="shared" si="50"/>
        <v/>
      </c>
      <c r="BO55" s="3" t="str">
        <f t="shared" si="51"/>
        <v/>
      </c>
      <c r="BP55" s="3">
        <f t="shared" si="52"/>
        <v>0</v>
      </c>
      <c r="BQ55" s="3" t="str">
        <f t="shared" si="53"/>
        <v/>
      </c>
      <c r="BR55" s="3" t="str">
        <f t="shared" si="54"/>
        <v/>
      </c>
      <c r="BS55" s="3" t="str">
        <f t="shared" si="55"/>
        <v/>
      </c>
      <c r="BT55" s="3" t="str">
        <f t="shared" si="56"/>
        <v/>
      </c>
    </row>
    <row r="56" spans="2:72" x14ac:dyDescent="0.25">
      <c r="B56" s="3" t="s">
        <v>230</v>
      </c>
      <c r="C56" s="3" t="s">
        <v>244</v>
      </c>
      <c r="D56" s="3" t="s">
        <v>0</v>
      </c>
      <c r="E56" s="3" t="s">
        <v>114</v>
      </c>
      <c r="F56" s="3" t="s">
        <v>231</v>
      </c>
      <c r="G56" s="3" t="s">
        <v>373</v>
      </c>
      <c r="H56" s="20" t="s">
        <v>245</v>
      </c>
      <c r="I56" s="3" t="s">
        <v>24</v>
      </c>
      <c r="J56" s="3">
        <v>2</v>
      </c>
      <c r="K56" s="3" t="s">
        <v>118</v>
      </c>
      <c r="L56" s="3" t="s">
        <v>23</v>
      </c>
      <c r="M56" s="3">
        <v>1024</v>
      </c>
      <c r="N56" s="3" t="str">
        <f t="shared" si="59"/>
        <v>00000400</v>
      </c>
      <c r="O56" s="3">
        <v>3</v>
      </c>
      <c r="P56" s="3">
        <v>2</v>
      </c>
      <c r="Q56" s="3" t="str">
        <f t="shared" si="64"/>
        <v/>
      </c>
      <c r="R56" s="3" t="str">
        <f t="shared" si="63"/>
        <v/>
      </c>
      <c r="S56" s="3" t="str">
        <f t="shared" si="63"/>
        <v/>
      </c>
      <c r="T56" s="3" t="str">
        <f t="shared" si="63"/>
        <v/>
      </c>
      <c r="U56" s="3" t="str">
        <f t="shared" si="63"/>
        <v/>
      </c>
      <c r="V56" s="3" t="str">
        <f t="shared" si="63"/>
        <v/>
      </c>
      <c r="W56" s="3" t="str">
        <f t="shared" si="63"/>
        <v/>
      </c>
      <c r="X56" s="3" t="str">
        <f t="shared" si="63"/>
        <v/>
      </c>
      <c r="Y56" s="3" t="str">
        <f t="shared" si="63"/>
        <v/>
      </c>
      <c r="Z56" s="3" t="str">
        <f t="shared" si="63"/>
        <v/>
      </c>
      <c r="AA56" s="3" t="str">
        <f t="shared" si="63"/>
        <v/>
      </c>
      <c r="AB56" s="3" t="str">
        <f t="shared" si="63"/>
        <v/>
      </c>
      <c r="AC56" s="3" t="str">
        <f t="shared" si="63"/>
        <v/>
      </c>
      <c r="AD56" s="3" t="str">
        <f t="shared" si="63"/>
        <v/>
      </c>
      <c r="AE56" s="3" t="str">
        <f t="shared" si="63"/>
        <v/>
      </c>
      <c r="AF56" s="3" t="str">
        <f t="shared" si="63"/>
        <v/>
      </c>
      <c r="AG56" s="3" t="str">
        <f t="shared" si="63"/>
        <v/>
      </c>
      <c r="AH56" s="3" t="str">
        <f t="shared" si="62"/>
        <v/>
      </c>
      <c r="AI56" s="3" t="str">
        <f t="shared" si="62"/>
        <v/>
      </c>
      <c r="AJ56" s="3" t="str">
        <f t="shared" si="62"/>
        <v/>
      </c>
      <c r="AK56" s="3" t="str">
        <f t="shared" si="62"/>
        <v/>
      </c>
      <c r="AL56" s="3" t="str">
        <f t="shared" si="62"/>
        <v/>
      </c>
      <c r="AM56" s="3" t="str">
        <f t="shared" si="62"/>
        <v/>
      </c>
      <c r="AN56" s="3" t="str">
        <f t="shared" si="62"/>
        <v/>
      </c>
      <c r="AO56" s="3" t="str">
        <f t="shared" si="62"/>
        <v/>
      </c>
      <c r="AP56" s="3" t="str">
        <f t="shared" si="62"/>
        <v/>
      </c>
      <c r="AQ56" s="3" t="str">
        <f t="shared" si="62"/>
        <v/>
      </c>
      <c r="AR56" s="3" t="str">
        <f t="shared" si="62"/>
        <v/>
      </c>
      <c r="AS56" s="3" t="str">
        <f t="shared" si="62"/>
        <v>X</v>
      </c>
      <c r="AT56" s="3" t="str">
        <f t="shared" si="62"/>
        <v>X</v>
      </c>
      <c r="AU56" s="3" t="str">
        <f t="shared" si="62"/>
        <v/>
      </c>
      <c r="AV56" s="3" t="str">
        <f t="shared" si="62"/>
        <v/>
      </c>
      <c r="AW56" s="3" t="str">
        <f t="shared" si="12"/>
        <v/>
      </c>
      <c r="AX56" s="3" t="str">
        <f t="shared" si="13"/>
        <v/>
      </c>
      <c r="AY56" s="3" t="str">
        <f t="shared" si="14"/>
        <v/>
      </c>
      <c r="AZ56" s="3" t="str">
        <f t="shared" si="15"/>
        <v>X</v>
      </c>
      <c r="BA56" s="3" t="str">
        <f t="shared" si="37"/>
        <v/>
      </c>
      <c r="BB56" s="3" t="str">
        <f t="shared" si="38"/>
        <v/>
      </c>
      <c r="BC56" s="3" t="str">
        <f t="shared" si="39"/>
        <v/>
      </c>
      <c r="BD56" s="3">
        <f t="shared" si="40"/>
        <v>4099</v>
      </c>
      <c r="BE56" s="9" t="str">
        <f t="shared" si="41"/>
        <v/>
      </c>
      <c r="BF56" s="9" t="str">
        <f t="shared" si="42"/>
        <v/>
      </c>
      <c r="BG56" s="9" t="str">
        <f t="shared" si="43"/>
        <v/>
      </c>
      <c r="BH56" s="9" t="str">
        <f t="shared" si="44"/>
        <v>00001003</v>
      </c>
      <c r="BI56" s="3" t="str">
        <f t="shared" si="45"/>
        <v/>
      </c>
      <c r="BJ56" s="3" t="str">
        <f t="shared" si="46"/>
        <v/>
      </c>
      <c r="BK56" s="3" t="str">
        <f t="shared" si="47"/>
        <v/>
      </c>
      <c r="BL56" s="3" t="str">
        <f t="shared" si="48"/>
        <v>(3 downto 2)</v>
      </c>
      <c r="BM56" s="3" t="str">
        <f t="shared" si="49"/>
        <v/>
      </c>
      <c r="BN56" s="3" t="str">
        <f t="shared" si="50"/>
        <v/>
      </c>
      <c r="BO56" s="3" t="str">
        <f t="shared" si="51"/>
        <v/>
      </c>
      <c r="BP56" s="3">
        <f t="shared" si="52"/>
        <v>1</v>
      </c>
      <c r="BQ56" s="3" t="str">
        <f t="shared" si="53"/>
        <v/>
      </c>
      <c r="BR56" s="3" t="str">
        <f t="shared" si="54"/>
        <v/>
      </c>
      <c r="BS56" s="3" t="str">
        <f t="shared" si="55"/>
        <v/>
      </c>
      <c r="BT56" s="3" t="str">
        <f t="shared" si="56"/>
        <v/>
      </c>
    </row>
    <row r="57" spans="2:72" x14ac:dyDescent="0.25">
      <c r="B57" s="3" t="s">
        <v>230</v>
      </c>
      <c r="C57" s="3" t="s">
        <v>246</v>
      </c>
      <c r="D57" s="3" t="s">
        <v>0</v>
      </c>
      <c r="E57" s="3" t="s">
        <v>114</v>
      </c>
      <c r="F57" s="3" t="s">
        <v>231</v>
      </c>
      <c r="G57" s="3" t="s">
        <v>373</v>
      </c>
      <c r="H57" s="20" t="s">
        <v>247</v>
      </c>
      <c r="I57" s="3" t="s">
        <v>24</v>
      </c>
      <c r="J57" s="3">
        <v>1</v>
      </c>
      <c r="K57" s="3" t="s">
        <v>57</v>
      </c>
      <c r="L57" s="3" t="s">
        <v>23</v>
      </c>
      <c r="M57" s="3">
        <v>1024</v>
      </c>
      <c r="N57" s="3" t="str">
        <f t="shared" si="59"/>
        <v>00000400</v>
      </c>
      <c r="O57" s="3">
        <v>0</v>
      </c>
      <c r="P57" s="3">
        <v>0</v>
      </c>
      <c r="Q57" s="3" t="str">
        <f t="shared" si="64"/>
        <v/>
      </c>
      <c r="R57" s="3" t="str">
        <f t="shared" si="63"/>
        <v/>
      </c>
      <c r="S57" s="3" t="str">
        <f t="shared" si="63"/>
        <v/>
      </c>
      <c r="T57" s="3" t="str">
        <f t="shared" si="63"/>
        <v/>
      </c>
      <c r="U57" s="3" t="str">
        <f t="shared" si="63"/>
        <v/>
      </c>
      <c r="V57" s="3" t="str">
        <f t="shared" si="63"/>
        <v/>
      </c>
      <c r="W57" s="3" t="str">
        <f t="shared" si="63"/>
        <v/>
      </c>
      <c r="X57" s="3" t="str">
        <f t="shared" si="63"/>
        <v/>
      </c>
      <c r="Y57" s="3" t="str">
        <f t="shared" si="63"/>
        <v/>
      </c>
      <c r="Z57" s="3" t="str">
        <f t="shared" si="63"/>
        <v/>
      </c>
      <c r="AA57" s="3" t="str">
        <f t="shared" si="63"/>
        <v/>
      </c>
      <c r="AB57" s="3" t="str">
        <f t="shared" si="63"/>
        <v/>
      </c>
      <c r="AC57" s="3" t="str">
        <f t="shared" si="63"/>
        <v/>
      </c>
      <c r="AD57" s="3" t="str">
        <f t="shared" si="63"/>
        <v/>
      </c>
      <c r="AE57" s="3" t="str">
        <f t="shared" si="63"/>
        <v/>
      </c>
      <c r="AF57" s="3" t="str">
        <f t="shared" si="63"/>
        <v/>
      </c>
      <c r="AG57" s="3" t="str">
        <f t="shared" si="63"/>
        <v/>
      </c>
      <c r="AH57" s="3" t="str">
        <f t="shared" si="62"/>
        <v/>
      </c>
      <c r="AI57" s="3" t="str">
        <f t="shared" si="62"/>
        <v/>
      </c>
      <c r="AJ57" s="3" t="str">
        <f t="shared" si="62"/>
        <v/>
      </c>
      <c r="AK57" s="3" t="str">
        <f t="shared" si="62"/>
        <v/>
      </c>
      <c r="AL57" s="3" t="str">
        <f t="shared" si="62"/>
        <v/>
      </c>
      <c r="AM57" s="3" t="str">
        <f t="shared" si="62"/>
        <v/>
      </c>
      <c r="AN57" s="3" t="str">
        <f t="shared" si="62"/>
        <v/>
      </c>
      <c r="AO57" s="3" t="str">
        <f t="shared" si="62"/>
        <v/>
      </c>
      <c r="AP57" s="3" t="str">
        <f t="shared" si="62"/>
        <v/>
      </c>
      <c r="AQ57" s="3" t="str">
        <f t="shared" si="62"/>
        <v/>
      </c>
      <c r="AR57" s="3" t="str">
        <f t="shared" si="62"/>
        <v/>
      </c>
      <c r="AS57" s="3" t="str">
        <f t="shared" si="62"/>
        <v/>
      </c>
      <c r="AT57" s="3" t="str">
        <f t="shared" si="62"/>
        <v/>
      </c>
      <c r="AU57" s="3" t="str">
        <f t="shared" si="62"/>
        <v/>
      </c>
      <c r="AV57" s="3" t="str">
        <f t="shared" si="62"/>
        <v>X</v>
      </c>
      <c r="AW57" s="3" t="str">
        <f t="shared" si="12"/>
        <v/>
      </c>
      <c r="AX57" s="3" t="str">
        <f t="shared" si="13"/>
        <v/>
      </c>
      <c r="AY57" s="3" t="str">
        <f t="shared" si="14"/>
        <v/>
      </c>
      <c r="AZ57" s="3" t="str">
        <f t="shared" si="15"/>
        <v>X</v>
      </c>
      <c r="BA57" s="3" t="str">
        <f t="shared" si="37"/>
        <v/>
      </c>
      <c r="BB57" s="3" t="str">
        <f t="shared" si="38"/>
        <v/>
      </c>
      <c r="BC57" s="3" t="str">
        <f t="shared" si="39"/>
        <v/>
      </c>
      <c r="BD57" s="3">
        <f t="shared" si="40"/>
        <v>4099</v>
      </c>
      <c r="BE57" s="9" t="str">
        <f t="shared" si="41"/>
        <v/>
      </c>
      <c r="BF57" s="9" t="str">
        <f t="shared" si="42"/>
        <v/>
      </c>
      <c r="BG57" s="9" t="str">
        <f t="shared" si="43"/>
        <v/>
      </c>
      <c r="BH57" s="9" t="str">
        <f t="shared" si="44"/>
        <v>00001003</v>
      </c>
      <c r="BI57" s="3" t="str">
        <f t="shared" si="45"/>
        <v/>
      </c>
      <c r="BJ57" s="3" t="str">
        <f t="shared" si="46"/>
        <v/>
      </c>
      <c r="BK57" s="3" t="str">
        <f t="shared" si="47"/>
        <v/>
      </c>
      <c r="BL57" s="3" t="str">
        <f t="shared" si="48"/>
        <v>(0)</v>
      </c>
      <c r="BM57" s="3" t="str">
        <f t="shared" si="49"/>
        <v/>
      </c>
      <c r="BN57" s="3" t="str">
        <f t="shared" si="50"/>
        <v/>
      </c>
      <c r="BO57" s="3" t="str">
        <f t="shared" si="51"/>
        <v/>
      </c>
      <c r="BP57" s="3">
        <f t="shared" si="52"/>
        <v>0</v>
      </c>
      <c r="BQ57" s="3" t="str">
        <f t="shared" si="53"/>
        <v/>
      </c>
      <c r="BR57" s="3" t="str">
        <f t="shared" si="54"/>
        <v/>
      </c>
      <c r="BS57" s="3" t="str">
        <f t="shared" si="55"/>
        <v/>
      </c>
      <c r="BT57" s="3" t="str">
        <f t="shared" si="56"/>
        <v/>
      </c>
    </row>
    <row r="58" spans="2:72" x14ac:dyDescent="0.25">
      <c r="B58" s="3" t="s">
        <v>248</v>
      </c>
      <c r="C58" s="3" t="s">
        <v>249</v>
      </c>
      <c r="D58" s="3" t="s">
        <v>0</v>
      </c>
      <c r="E58" s="3" t="s">
        <v>114</v>
      </c>
      <c r="F58" s="3" t="s">
        <v>673</v>
      </c>
      <c r="G58" s="3" t="s">
        <v>675</v>
      </c>
      <c r="H58" s="20" t="s">
        <v>250</v>
      </c>
      <c r="I58" s="3" t="s">
        <v>24</v>
      </c>
      <c r="J58" s="3">
        <v>1</v>
      </c>
      <c r="K58" s="3" t="s">
        <v>57</v>
      </c>
      <c r="L58" s="3" t="s">
        <v>23</v>
      </c>
      <c r="M58" s="3">
        <v>1025</v>
      </c>
      <c r="N58" s="3" t="str">
        <f t="shared" si="59"/>
        <v>00000401</v>
      </c>
      <c r="O58" s="3">
        <v>31</v>
      </c>
      <c r="P58" s="3">
        <v>31</v>
      </c>
      <c r="Q58" s="3" t="str">
        <f t="shared" si="64"/>
        <v>X</v>
      </c>
      <c r="R58" s="3" t="str">
        <f t="shared" si="63"/>
        <v/>
      </c>
      <c r="S58" s="3" t="str">
        <f t="shared" si="63"/>
        <v/>
      </c>
      <c r="T58" s="3" t="str">
        <f t="shared" si="63"/>
        <v/>
      </c>
      <c r="U58" s="3" t="str">
        <f t="shared" si="63"/>
        <v/>
      </c>
      <c r="V58" s="3" t="str">
        <f t="shared" si="63"/>
        <v/>
      </c>
      <c r="W58" s="3" t="str">
        <f t="shared" si="63"/>
        <v/>
      </c>
      <c r="X58" s="3" t="str">
        <f t="shared" si="63"/>
        <v/>
      </c>
      <c r="Y58" s="3" t="str">
        <f t="shared" si="63"/>
        <v/>
      </c>
      <c r="Z58" s="3" t="str">
        <f t="shared" si="63"/>
        <v/>
      </c>
      <c r="AA58" s="3" t="str">
        <f t="shared" si="63"/>
        <v/>
      </c>
      <c r="AB58" s="3" t="str">
        <f t="shared" si="63"/>
        <v/>
      </c>
      <c r="AC58" s="3" t="str">
        <f t="shared" si="63"/>
        <v/>
      </c>
      <c r="AD58" s="3" t="str">
        <f t="shared" si="63"/>
        <v/>
      </c>
      <c r="AE58" s="3" t="str">
        <f t="shared" si="63"/>
        <v/>
      </c>
      <c r="AF58" s="3" t="str">
        <f t="shared" si="63"/>
        <v/>
      </c>
      <c r="AG58" s="3" t="str">
        <f t="shared" si="63"/>
        <v/>
      </c>
      <c r="AH58" s="3" t="str">
        <f t="shared" si="62"/>
        <v/>
      </c>
      <c r="AI58" s="3" t="str">
        <f t="shared" si="62"/>
        <v/>
      </c>
      <c r="AJ58" s="3" t="str">
        <f t="shared" si="62"/>
        <v/>
      </c>
      <c r="AK58" s="3" t="str">
        <f t="shared" si="62"/>
        <v/>
      </c>
      <c r="AL58" s="3" t="str">
        <f t="shared" si="62"/>
        <v/>
      </c>
      <c r="AM58" s="3" t="str">
        <f t="shared" si="62"/>
        <v/>
      </c>
      <c r="AN58" s="3" t="str">
        <f t="shared" si="62"/>
        <v/>
      </c>
      <c r="AO58" s="3" t="str">
        <f t="shared" si="62"/>
        <v/>
      </c>
      <c r="AP58" s="3" t="str">
        <f t="shared" si="62"/>
        <v/>
      </c>
      <c r="AQ58" s="3" t="str">
        <f t="shared" si="62"/>
        <v/>
      </c>
      <c r="AR58" s="3" t="str">
        <f t="shared" si="62"/>
        <v/>
      </c>
      <c r="AS58" s="3" t="str">
        <f t="shared" si="62"/>
        <v/>
      </c>
      <c r="AT58" s="3" t="str">
        <f t="shared" si="62"/>
        <v/>
      </c>
      <c r="AU58" s="3" t="str">
        <f t="shared" si="62"/>
        <v/>
      </c>
      <c r="AV58" s="3" t="str">
        <f t="shared" si="62"/>
        <v/>
      </c>
      <c r="AW58" s="3" t="str">
        <f t="shared" si="12"/>
        <v>X</v>
      </c>
      <c r="AX58" s="3" t="str">
        <f t="shared" si="13"/>
        <v/>
      </c>
      <c r="AY58" s="3" t="str">
        <f t="shared" si="14"/>
        <v/>
      </c>
      <c r="AZ58" s="3" t="str">
        <f t="shared" si="15"/>
        <v/>
      </c>
      <c r="BA58" s="3">
        <f t="shared" si="37"/>
        <v>4100</v>
      </c>
      <c r="BB58" s="3" t="str">
        <f t="shared" si="38"/>
        <v/>
      </c>
      <c r="BC58" s="3" t="str">
        <f t="shared" si="39"/>
        <v/>
      </c>
      <c r="BD58" s="3" t="str">
        <f t="shared" si="40"/>
        <v/>
      </c>
      <c r="BE58" s="9" t="str">
        <f t="shared" si="41"/>
        <v>00001004</v>
      </c>
      <c r="BF58" s="9" t="str">
        <f t="shared" si="42"/>
        <v/>
      </c>
      <c r="BG58" s="9" t="str">
        <f t="shared" si="43"/>
        <v/>
      </c>
      <c r="BH58" s="9" t="str">
        <f t="shared" si="44"/>
        <v/>
      </c>
      <c r="BI58" s="3" t="str">
        <f t="shared" si="45"/>
        <v>(7)</v>
      </c>
      <c r="BJ58" s="3" t="str">
        <f t="shared" si="46"/>
        <v/>
      </c>
      <c r="BK58" s="3" t="str">
        <f t="shared" si="47"/>
        <v/>
      </c>
      <c r="BL58" s="3" t="str">
        <f t="shared" si="48"/>
        <v/>
      </c>
      <c r="BM58" s="3">
        <f t="shared" si="49"/>
        <v>0</v>
      </c>
      <c r="BN58" s="3" t="str">
        <f t="shared" si="50"/>
        <v/>
      </c>
      <c r="BO58" s="3" t="str">
        <f t="shared" si="51"/>
        <v/>
      </c>
      <c r="BP58" s="3" t="str">
        <f t="shared" si="52"/>
        <v/>
      </c>
      <c r="BQ58" s="3" t="str">
        <f t="shared" si="53"/>
        <v/>
      </c>
      <c r="BR58" s="3" t="str">
        <f t="shared" si="54"/>
        <v/>
      </c>
      <c r="BS58" s="3" t="str">
        <f t="shared" si="55"/>
        <v/>
      </c>
      <c r="BT58" s="3" t="str">
        <f t="shared" si="56"/>
        <v/>
      </c>
    </row>
    <row r="59" spans="2:72" x14ac:dyDescent="0.25">
      <c r="B59" s="3" t="s">
        <v>248</v>
      </c>
      <c r="C59" s="3" t="s">
        <v>251</v>
      </c>
      <c r="D59" s="3" t="s">
        <v>0</v>
      </c>
      <c r="E59" s="3" t="s">
        <v>114</v>
      </c>
      <c r="F59" s="3" t="s">
        <v>673</v>
      </c>
      <c r="G59" s="3" t="s">
        <v>675</v>
      </c>
      <c r="H59" s="20" t="s">
        <v>252</v>
      </c>
      <c r="I59" s="3" t="s">
        <v>24</v>
      </c>
      <c r="J59" s="3">
        <v>1</v>
      </c>
      <c r="K59" s="3" t="s">
        <v>57</v>
      </c>
      <c r="L59" s="3" t="s">
        <v>23</v>
      </c>
      <c r="M59" s="3">
        <v>1025</v>
      </c>
      <c r="N59" s="3" t="str">
        <f t="shared" si="59"/>
        <v>00000401</v>
      </c>
      <c r="O59" s="3">
        <v>30</v>
      </c>
      <c r="P59" s="3">
        <v>30</v>
      </c>
      <c r="Q59" s="3" t="str">
        <f t="shared" si="64"/>
        <v/>
      </c>
      <c r="R59" s="3" t="str">
        <f t="shared" si="63"/>
        <v>X</v>
      </c>
      <c r="S59" s="3" t="str">
        <f t="shared" si="63"/>
        <v/>
      </c>
      <c r="T59" s="3" t="str">
        <f t="shared" si="63"/>
        <v/>
      </c>
      <c r="U59" s="3" t="str">
        <f t="shared" si="63"/>
        <v/>
      </c>
      <c r="V59" s="3" t="str">
        <f t="shared" si="63"/>
        <v/>
      </c>
      <c r="W59" s="3" t="str">
        <f t="shared" si="63"/>
        <v/>
      </c>
      <c r="X59" s="3" t="str">
        <f t="shared" si="63"/>
        <v/>
      </c>
      <c r="Y59" s="3" t="str">
        <f t="shared" si="63"/>
        <v/>
      </c>
      <c r="Z59" s="3" t="str">
        <f t="shared" si="63"/>
        <v/>
      </c>
      <c r="AA59" s="3" t="str">
        <f t="shared" si="63"/>
        <v/>
      </c>
      <c r="AB59" s="3" t="str">
        <f t="shared" si="63"/>
        <v/>
      </c>
      <c r="AC59" s="3" t="str">
        <f t="shared" si="63"/>
        <v/>
      </c>
      <c r="AD59" s="3" t="str">
        <f t="shared" si="63"/>
        <v/>
      </c>
      <c r="AE59" s="3" t="str">
        <f t="shared" si="63"/>
        <v/>
      </c>
      <c r="AF59" s="3" t="str">
        <f t="shared" si="63"/>
        <v/>
      </c>
      <c r="AG59" s="3" t="str">
        <f t="shared" si="63"/>
        <v/>
      </c>
      <c r="AH59" s="3" t="str">
        <f t="shared" ref="AH59:AV75" si="65">IF(AND($O59&gt;=AH$3,AH$3&gt;=$P59),"X","")</f>
        <v/>
      </c>
      <c r="AI59" s="3" t="str">
        <f t="shared" si="65"/>
        <v/>
      </c>
      <c r="AJ59" s="3" t="str">
        <f t="shared" si="65"/>
        <v/>
      </c>
      <c r="AK59" s="3" t="str">
        <f t="shared" si="65"/>
        <v/>
      </c>
      <c r="AL59" s="3" t="str">
        <f t="shared" si="65"/>
        <v/>
      </c>
      <c r="AM59" s="3" t="str">
        <f t="shared" si="65"/>
        <v/>
      </c>
      <c r="AN59" s="3" t="str">
        <f t="shared" si="65"/>
        <v/>
      </c>
      <c r="AO59" s="3" t="str">
        <f t="shared" si="65"/>
        <v/>
      </c>
      <c r="AP59" s="3" t="str">
        <f t="shared" si="65"/>
        <v/>
      </c>
      <c r="AQ59" s="3" t="str">
        <f t="shared" si="65"/>
        <v/>
      </c>
      <c r="AR59" s="3" t="str">
        <f t="shared" si="65"/>
        <v/>
      </c>
      <c r="AS59" s="3" t="str">
        <f t="shared" si="65"/>
        <v/>
      </c>
      <c r="AT59" s="3" t="str">
        <f t="shared" si="65"/>
        <v/>
      </c>
      <c r="AU59" s="3" t="str">
        <f t="shared" si="65"/>
        <v/>
      </c>
      <c r="AV59" s="3" t="str">
        <f t="shared" si="65"/>
        <v/>
      </c>
      <c r="AW59" s="3" t="str">
        <f t="shared" si="12"/>
        <v>X</v>
      </c>
      <c r="AX59" s="3" t="str">
        <f t="shared" si="13"/>
        <v/>
      </c>
      <c r="AY59" s="3" t="str">
        <f t="shared" si="14"/>
        <v/>
      </c>
      <c r="AZ59" s="3" t="str">
        <f t="shared" si="15"/>
        <v/>
      </c>
      <c r="BA59" s="3">
        <f t="shared" si="37"/>
        <v>4100</v>
      </c>
      <c r="BB59" s="3" t="str">
        <f t="shared" si="38"/>
        <v/>
      </c>
      <c r="BC59" s="3" t="str">
        <f t="shared" si="39"/>
        <v/>
      </c>
      <c r="BD59" s="3" t="str">
        <f t="shared" si="40"/>
        <v/>
      </c>
      <c r="BE59" s="9" t="str">
        <f t="shared" si="41"/>
        <v>00001004</v>
      </c>
      <c r="BF59" s="9" t="str">
        <f t="shared" si="42"/>
        <v/>
      </c>
      <c r="BG59" s="9" t="str">
        <f t="shared" si="43"/>
        <v/>
      </c>
      <c r="BH59" s="9" t="str">
        <f t="shared" si="44"/>
        <v/>
      </c>
      <c r="BI59" s="3" t="str">
        <f t="shared" si="45"/>
        <v>(6)</v>
      </c>
      <c r="BJ59" s="3" t="str">
        <f t="shared" si="46"/>
        <v/>
      </c>
      <c r="BK59" s="3" t="str">
        <f t="shared" si="47"/>
        <v/>
      </c>
      <c r="BL59" s="3" t="str">
        <f t="shared" si="48"/>
        <v/>
      </c>
      <c r="BM59" s="3">
        <f t="shared" si="49"/>
        <v>0</v>
      </c>
      <c r="BN59" s="3" t="str">
        <f t="shared" si="50"/>
        <v/>
      </c>
      <c r="BO59" s="3" t="str">
        <f t="shared" si="51"/>
        <v/>
      </c>
      <c r="BP59" s="3" t="str">
        <f t="shared" si="52"/>
        <v/>
      </c>
      <c r="BQ59" s="3" t="str">
        <f t="shared" si="53"/>
        <v/>
      </c>
      <c r="BR59" s="3" t="str">
        <f t="shared" si="54"/>
        <v/>
      </c>
      <c r="BS59" s="3" t="str">
        <f t="shared" si="55"/>
        <v/>
      </c>
      <c r="BT59" s="3" t="str">
        <f t="shared" si="56"/>
        <v/>
      </c>
    </row>
    <row r="60" spans="2:72" x14ac:dyDescent="0.25">
      <c r="B60" s="3" t="s">
        <v>248</v>
      </c>
      <c r="C60" s="3" t="s">
        <v>253</v>
      </c>
      <c r="D60" s="3" t="s">
        <v>0</v>
      </c>
      <c r="E60" s="3" t="s">
        <v>114</v>
      </c>
      <c r="F60" s="3" t="s">
        <v>673</v>
      </c>
      <c r="G60" s="3" t="s">
        <v>675</v>
      </c>
      <c r="H60" s="20" t="s">
        <v>254</v>
      </c>
      <c r="I60" s="3" t="s">
        <v>24</v>
      </c>
      <c r="J60" s="3">
        <v>1</v>
      </c>
      <c r="K60" s="3" t="s">
        <v>57</v>
      </c>
      <c r="L60" s="3" t="s">
        <v>23</v>
      </c>
      <c r="M60" s="3">
        <v>1025</v>
      </c>
      <c r="N60" s="3" t="str">
        <f t="shared" si="59"/>
        <v>00000401</v>
      </c>
      <c r="O60" s="3">
        <v>29</v>
      </c>
      <c r="P60" s="3">
        <v>29</v>
      </c>
      <c r="Q60" s="3" t="str">
        <f t="shared" si="64"/>
        <v/>
      </c>
      <c r="R60" s="3" t="str">
        <f t="shared" si="63"/>
        <v/>
      </c>
      <c r="S60" s="3" t="str">
        <f t="shared" si="63"/>
        <v>X</v>
      </c>
      <c r="T60" s="3" t="str">
        <f t="shared" si="63"/>
        <v/>
      </c>
      <c r="U60" s="3" t="str">
        <f t="shared" si="63"/>
        <v/>
      </c>
      <c r="V60" s="3" t="str">
        <f t="shared" si="63"/>
        <v/>
      </c>
      <c r="W60" s="3" t="str">
        <f t="shared" si="63"/>
        <v/>
      </c>
      <c r="X60" s="3" t="str">
        <f t="shared" si="63"/>
        <v/>
      </c>
      <c r="Y60" s="3" t="str">
        <f t="shared" si="63"/>
        <v/>
      </c>
      <c r="Z60" s="3" t="str">
        <f t="shared" si="63"/>
        <v/>
      </c>
      <c r="AA60" s="3" t="str">
        <f t="shared" si="63"/>
        <v/>
      </c>
      <c r="AB60" s="3" t="str">
        <f t="shared" si="63"/>
        <v/>
      </c>
      <c r="AC60" s="3" t="str">
        <f t="shared" si="63"/>
        <v/>
      </c>
      <c r="AD60" s="3" t="str">
        <f t="shared" si="63"/>
        <v/>
      </c>
      <c r="AE60" s="3" t="str">
        <f t="shared" si="63"/>
        <v/>
      </c>
      <c r="AF60" s="3" t="str">
        <f t="shared" si="63"/>
        <v/>
      </c>
      <c r="AG60" s="3" t="str">
        <f t="shared" si="63"/>
        <v/>
      </c>
      <c r="AH60" s="3" t="str">
        <f t="shared" si="65"/>
        <v/>
      </c>
      <c r="AI60" s="3" t="str">
        <f t="shared" si="65"/>
        <v/>
      </c>
      <c r="AJ60" s="3" t="str">
        <f t="shared" si="65"/>
        <v/>
      </c>
      <c r="AK60" s="3" t="str">
        <f t="shared" si="65"/>
        <v/>
      </c>
      <c r="AL60" s="3" t="str">
        <f t="shared" si="65"/>
        <v/>
      </c>
      <c r="AM60" s="3" t="str">
        <f t="shared" si="65"/>
        <v/>
      </c>
      <c r="AN60" s="3" t="str">
        <f t="shared" si="65"/>
        <v/>
      </c>
      <c r="AO60" s="3" t="str">
        <f t="shared" si="65"/>
        <v/>
      </c>
      <c r="AP60" s="3" t="str">
        <f t="shared" si="65"/>
        <v/>
      </c>
      <c r="AQ60" s="3" t="str">
        <f t="shared" si="65"/>
        <v/>
      </c>
      <c r="AR60" s="3" t="str">
        <f t="shared" si="65"/>
        <v/>
      </c>
      <c r="AS60" s="3" t="str">
        <f t="shared" si="65"/>
        <v/>
      </c>
      <c r="AT60" s="3" t="str">
        <f t="shared" si="65"/>
        <v/>
      </c>
      <c r="AU60" s="3" t="str">
        <f t="shared" si="65"/>
        <v/>
      </c>
      <c r="AV60" s="3" t="str">
        <f t="shared" si="65"/>
        <v/>
      </c>
      <c r="AW60" s="3" t="str">
        <f t="shared" si="12"/>
        <v>X</v>
      </c>
      <c r="AX60" s="3" t="str">
        <f t="shared" si="13"/>
        <v/>
      </c>
      <c r="AY60" s="3" t="str">
        <f t="shared" si="14"/>
        <v/>
      </c>
      <c r="AZ60" s="3" t="str">
        <f t="shared" si="15"/>
        <v/>
      </c>
      <c r="BA60" s="3">
        <f t="shared" si="37"/>
        <v>4100</v>
      </c>
      <c r="BB60" s="3" t="str">
        <f t="shared" si="38"/>
        <v/>
      </c>
      <c r="BC60" s="3" t="str">
        <f t="shared" si="39"/>
        <v/>
      </c>
      <c r="BD60" s="3" t="str">
        <f t="shared" si="40"/>
        <v/>
      </c>
      <c r="BE60" s="9" t="str">
        <f t="shared" si="41"/>
        <v>00001004</v>
      </c>
      <c r="BF60" s="9" t="str">
        <f t="shared" si="42"/>
        <v/>
      </c>
      <c r="BG60" s="9" t="str">
        <f t="shared" si="43"/>
        <v/>
      </c>
      <c r="BH60" s="9" t="str">
        <f t="shared" si="44"/>
        <v/>
      </c>
      <c r="BI60" s="3" t="str">
        <f t="shared" si="45"/>
        <v>(5)</v>
      </c>
      <c r="BJ60" s="3" t="str">
        <f t="shared" si="46"/>
        <v/>
      </c>
      <c r="BK60" s="3" t="str">
        <f t="shared" si="47"/>
        <v/>
      </c>
      <c r="BL60" s="3" t="str">
        <f t="shared" si="48"/>
        <v/>
      </c>
      <c r="BM60" s="3">
        <f t="shared" si="49"/>
        <v>0</v>
      </c>
      <c r="BN60" s="3" t="str">
        <f t="shared" si="50"/>
        <v/>
      </c>
      <c r="BO60" s="3" t="str">
        <f t="shared" si="51"/>
        <v/>
      </c>
      <c r="BP60" s="3" t="str">
        <f t="shared" si="52"/>
        <v/>
      </c>
      <c r="BQ60" s="3" t="str">
        <f t="shared" si="53"/>
        <v/>
      </c>
      <c r="BR60" s="3" t="str">
        <f t="shared" si="54"/>
        <v/>
      </c>
      <c r="BS60" s="3" t="str">
        <f t="shared" si="55"/>
        <v/>
      </c>
      <c r="BT60" s="3" t="str">
        <f t="shared" si="56"/>
        <v/>
      </c>
    </row>
    <row r="61" spans="2:72" x14ac:dyDescent="0.25">
      <c r="B61" s="3" t="s">
        <v>248</v>
      </c>
      <c r="C61" s="3" t="s">
        <v>255</v>
      </c>
      <c r="D61" s="3" t="s">
        <v>0</v>
      </c>
      <c r="E61" s="3" t="s">
        <v>114</v>
      </c>
      <c r="F61" s="3" t="s">
        <v>673</v>
      </c>
      <c r="G61" s="3" t="s">
        <v>675</v>
      </c>
      <c r="H61" s="20" t="s">
        <v>256</v>
      </c>
      <c r="I61" s="3" t="s">
        <v>24</v>
      </c>
      <c r="J61" s="3">
        <v>1</v>
      </c>
      <c r="K61" s="3" t="s">
        <v>57</v>
      </c>
      <c r="L61" s="3" t="s">
        <v>23</v>
      </c>
      <c r="M61" s="3">
        <v>1025</v>
      </c>
      <c r="N61" s="3" t="str">
        <f t="shared" si="59"/>
        <v>00000401</v>
      </c>
      <c r="O61" s="3">
        <v>28</v>
      </c>
      <c r="P61" s="3">
        <v>28</v>
      </c>
      <c r="Q61" s="3" t="str">
        <f t="shared" si="64"/>
        <v/>
      </c>
      <c r="R61" s="3" t="str">
        <f t="shared" si="63"/>
        <v/>
      </c>
      <c r="S61" s="3" t="str">
        <f t="shared" si="63"/>
        <v/>
      </c>
      <c r="T61" s="3" t="str">
        <f t="shared" si="63"/>
        <v>X</v>
      </c>
      <c r="U61" s="3" t="str">
        <f t="shared" si="63"/>
        <v/>
      </c>
      <c r="V61" s="3" t="str">
        <f t="shared" si="63"/>
        <v/>
      </c>
      <c r="W61" s="3" t="str">
        <f t="shared" si="63"/>
        <v/>
      </c>
      <c r="X61" s="3" t="str">
        <f t="shared" si="63"/>
        <v/>
      </c>
      <c r="Y61" s="3" t="str">
        <f t="shared" si="63"/>
        <v/>
      </c>
      <c r="Z61" s="3" t="str">
        <f t="shared" si="63"/>
        <v/>
      </c>
      <c r="AA61" s="3" t="str">
        <f t="shared" si="63"/>
        <v/>
      </c>
      <c r="AB61" s="3" t="str">
        <f t="shared" si="63"/>
        <v/>
      </c>
      <c r="AC61" s="3" t="str">
        <f t="shared" si="63"/>
        <v/>
      </c>
      <c r="AD61" s="3" t="str">
        <f t="shared" si="63"/>
        <v/>
      </c>
      <c r="AE61" s="3" t="str">
        <f t="shared" si="63"/>
        <v/>
      </c>
      <c r="AF61" s="3" t="str">
        <f t="shared" si="63"/>
        <v/>
      </c>
      <c r="AG61" s="3" t="str">
        <f t="shared" si="63"/>
        <v/>
      </c>
      <c r="AH61" s="3" t="str">
        <f t="shared" si="65"/>
        <v/>
      </c>
      <c r="AI61" s="3" t="str">
        <f t="shared" si="65"/>
        <v/>
      </c>
      <c r="AJ61" s="3" t="str">
        <f t="shared" si="65"/>
        <v/>
      </c>
      <c r="AK61" s="3" t="str">
        <f t="shared" si="65"/>
        <v/>
      </c>
      <c r="AL61" s="3" t="str">
        <f t="shared" si="65"/>
        <v/>
      </c>
      <c r="AM61" s="3" t="str">
        <f t="shared" si="65"/>
        <v/>
      </c>
      <c r="AN61" s="3" t="str">
        <f t="shared" si="65"/>
        <v/>
      </c>
      <c r="AO61" s="3" t="str">
        <f t="shared" si="65"/>
        <v/>
      </c>
      <c r="AP61" s="3" t="str">
        <f t="shared" si="65"/>
        <v/>
      </c>
      <c r="AQ61" s="3" t="str">
        <f t="shared" si="65"/>
        <v/>
      </c>
      <c r="AR61" s="3" t="str">
        <f t="shared" si="65"/>
        <v/>
      </c>
      <c r="AS61" s="3" t="str">
        <f t="shared" si="65"/>
        <v/>
      </c>
      <c r="AT61" s="3" t="str">
        <f t="shared" si="65"/>
        <v/>
      </c>
      <c r="AU61" s="3" t="str">
        <f t="shared" si="65"/>
        <v/>
      </c>
      <c r="AV61" s="3" t="str">
        <f t="shared" si="65"/>
        <v/>
      </c>
      <c r="AW61" s="3" t="str">
        <f t="shared" si="12"/>
        <v>X</v>
      </c>
      <c r="AX61" s="3" t="str">
        <f t="shared" si="13"/>
        <v/>
      </c>
      <c r="AY61" s="3" t="str">
        <f t="shared" si="14"/>
        <v/>
      </c>
      <c r="AZ61" s="3" t="str">
        <f t="shared" si="15"/>
        <v/>
      </c>
      <c r="BA61" s="3">
        <f t="shared" si="37"/>
        <v>4100</v>
      </c>
      <c r="BB61" s="3" t="str">
        <f t="shared" si="38"/>
        <v/>
      </c>
      <c r="BC61" s="3" t="str">
        <f t="shared" si="39"/>
        <v/>
      </c>
      <c r="BD61" s="3" t="str">
        <f t="shared" si="40"/>
        <v/>
      </c>
      <c r="BE61" s="9" t="str">
        <f t="shared" si="41"/>
        <v>00001004</v>
      </c>
      <c r="BF61" s="9" t="str">
        <f t="shared" si="42"/>
        <v/>
      </c>
      <c r="BG61" s="9" t="str">
        <f t="shared" si="43"/>
        <v/>
      </c>
      <c r="BH61" s="9" t="str">
        <f t="shared" si="44"/>
        <v/>
      </c>
      <c r="BI61" s="3" t="str">
        <f t="shared" si="45"/>
        <v>(4)</v>
      </c>
      <c r="BJ61" s="3" t="str">
        <f t="shared" si="46"/>
        <v/>
      </c>
      <c r="BK61" s="3" t="str">
        <f t="shared" si="47"/>
        <v/>
      </c>
      <c r="BL61" s="3" t="str">
        <f t="shared" si="48"/>
        <v/>
      </c>
      <c r="BM61" s="3">
        <f t="shared" si="49"/>
        <v>0</v>
      </c>
      <c r="BN61" s="3" t="str">
        <f t="shared" si="50"/>
        <v/>
      </c>
      <c r="BO61" s="3" t="str">
        <f t="shared" si="51"/>
        <v/>
      </c>
      <c r="BP61" s="3" t="str">
        <f t="shared" si="52"/>
        <v/>
      </c>
      <c r="BQ61" s="3" t="str">
        <f t="shared" si="53"/>
        <v/>
      </c>
      <c r="BR61" s="3" t="str">
        <f t="shared" si="54"/>
        <v/>
      </c>
      <c r="BS61" s="3" t="str">
        <f t="shared" si="55"/>
        <v/>
      </c>
      <c r="BT61" s="3" t="str">
        <f t="shared" si="56"/>
        <v/>
      </c>
    </row>
    <row r="62" spans="2:72" x14ac:dyDescent="0.25">
      <c r="B62" s="3" t="s">
        <v>248</v>
      </c>
      <c r="C62" s="3" t="s">
        <v>257</v>
      </c>
      <c r="D62" s="3" t="s">
        <v>0</v>
      </c>
      <c r="E62" s="3" t="s">
        <v>114</v>
      </c>
      <c r="F62" s="3" t="s">
        <v>673</v>
      </c>
      <c r="G62" s="3" t="s">
        <v>675</v>
      </c>
      <c r="H62" s="20" t="s">
        <v>258</v>
      </c>
      <c r="I62" s="3" t="s">
        <v>24</v>
      </c>
      <c r="J62" s="3">
        <v>1</v>
      </c>
      <c r="K62" s="3" t="s">
        <v>57</v>
      </c>
      <c r="L62" s="3" t="s">
        <v>23</v>
      </c>
      <c r="M62" s="3">
        <v>1025</v>
      </c>
      <c r="N62" s="3" t="str">
        <f t="shared" si="59"/>
        <v>00000401</v>
      </c>
      <c r="O62" s="3">
        <v>27</v>
      </c>
      <c r="P62" s="3">
        <v>27</v>
      </c>
      <c r="Q62" s="3" t="str">
        <f t="shared" si="64"/>
        <v/>
      </c>
      <c r="R62" s="3" t="str">
        <f t="shared" si="63"/>
        <v/>
      </c>
      <c r="S62" s="3" t="str">
        <f t="shared" si="63"/>
        <v/>
      </c>
      <c r="T62" s="3" t="str">
        <f t="shared" si="63"/>
        <v/>
      </c>
      <c r="U62" s="3" t="str">
        <f t="shared" si="63"/>
        <v>X</v>
      </c>
      <c r="V62" s="3" t="str">
        <f t="shared" si="63"/>
        <v/>
      </c>
      <c r="W62" s="3" t="str">
        <f t="shared" si="63"/>
        <v/>
      </c>
      <c r="X62" s="3" t="str">
        <f t="shared" si="63"/>
        <v/>
      </c>
      <c r="Y62" s="3" t="str">
        <f t="shared" si="63"/>
        <v/>
      </c>
      <c r="Z62" s="3" t="str">
        <f t="shared" si="63"/>
        <v/>
      </c>
      <c r="AA62" s="3" t="str">
        <f t="shared" si="63"/>
        <v/>
      </c>
      <c r="AB62" s="3" t="str">
        <f t="shared" si="63"/>
        <v/>
      </c>
      <c r="AC62" s="3" t="str">
        <f t="shared" si="63"/>
        <v/>
      </c>
      <c r="AD62" s="3" t="str">
        <f t="shared" si="63"/>
        <v/>
      </c>
      <c r="AE62" s="3" t="str">
        <f t="shared" si="63"/>
        <v/>
      </c>
      <c r="AF62" s="3" t="str">
        <f t="shared" si="63"/>
        <v/>
      </c>
      <c r="AG62" s="3" t="str">
        <f t="shared" si="63"/>
        <v/>
      </c>
      <c r="AH62" s="3" t="str">
        <f t="shared" si="65"/>
        <v/>
      </c>
      <c r="AI62" s="3" t="str">
        <f t="shared" si="65"/>
        <v/>
      </c>
      <c r="AJ62" s="3" t="str">
        <f t="shared" si="65"/>
        <v/>
      </c>
      <c r="AK62" s="3" t="str">
        <f t="shared" si="65"/>
        <v/>
      </c>
      <c r="AL62" s="3" t="str">
        <f t="shared" si="65"/>
        <v/>
      </c>
      <c r="AM62" s="3" t="str">
        <f t="shared" si="65"/>
        <v/>
      </c>
      <c r="AN62" s="3" t="str">
        <f t="shared" si="65"/>
        <v/>
      </c>
      <c r="AO62" s="3" t="str">
        <f t="shared" si="65"/>
        <v/>
      </c>
      <c r="AP62" s="3" t="str">
        <f t="shared" si="65"/>
        <v/>
      </c>
      <c r="AQ62" s="3" t="str">
        <f t="shared" si="65"/>
        <v/>
      </c>
      <c r="AR62" s="3" t="str">
        <f t="shared" si="65"/>
        <v/>
      </c>
      <c r="AS62" s="3" t="str">
        <f t="shared" si="65"/>
        <v/>
      </c>
      <c r="AT62" s="3" t="str">
        <f t="shared" si="65"/>
        <v/>
      </c>
      <c r="AU62" s="3" t="str">
        <f t="shared" si="65"/>
        <v/>
      </c>
      <c r="AV62" s="3" t="str">
        <f t="shared" si="65"/>
        <v/>
      </c>
      <c r="AW62" s="3" t="str">
        <f t="shared" si="12"/>
        <v>X</v>
      </c>
      <c r="AX62" s="3" t="str">
        <f t="shared" si="13"/>
        <v/>
      </c>
      <c r="AY62" s="3" t="str">
        <f t="shared" si="14"/>
        <v/>
      </c>
      <c r="AZ62" s="3" t="str">
        <f t="shared" si="15"/>
        <v/>
      </c>
      <c r="BA62" s="3">
        <f t="shared" si="37"/>
        <v>4100</v>
      </c>
      <c r="BB62" s="3" t="str">
        <f t="shared" si="38"/>
        <v/>
      </c>
      <c r="BC62" s="3" t="str">
        <f t="shared" si="39"/>
        <v/>
      </c>
      <c r="BD62" s="3" t="str">
        <f t="shared" si="40"/>
        <v/>
      </c>
      <c r="BE62" s="9" t="str">
        <f t="shared" si="41"/>
        <v>00001004</v>
      </c>
      <c r="BF62" s="9" t="str">
        <f t="shared" si="42"/>
        <v/>
      </c>
      <c r="BG62" s="9" t="str">
        <f t="shared" si="43"/>
        <v/>
      </c>
      <c r="BH62" s="9" t="str">
        <f t="shared" si="44"/>
        <v/>
      </c>
      <c r="BI62" s="3" t="str">
        <f t="shared" si="45"/>
        <v>(3)</v>
      </c>
      <c r="BJ62" s="3" t="str">
        <f t="shared" si="46"/>
        <v/>
      </c>
      <c r="BK62" s="3" t="str">
        <f t="shared" si="47"/>
        <v/>
      </c>
      <c r="BL62" s="3" t="str">
        <f t="shared" si="48"/>
        <v/>
      </c>
      <c r="BM62" s="3">
        <f t="shared" si="49"/>
        <v>0</v>
      </c>
      <c r="BN62" s="3" t="str">
        <f t="shared" si="50"/>
        <v/>
      </c>
      <c r="BO62" s="3" t="str">
        <f t="shared" si="51"/>
        <v/>
      </c>
      <c r="BP62" s="3" t="str">
        <f t="shared" si="52"/>
        <v/>
      </c>
      <c r="BQ62" s="3" t="str">
        <f t="shared" si="53"/>
        <v/>
      </c>
      <c r="BR62" s="3" t="str">
        <f t="shared" si="54"/>
        <v/>
      </c>
      <c r="BS62" s="3" t="str">
        <f t="shared" si="55"/>
        <v/>
      </c>
      <c r="BT62" s="3" t="str">
        <f t="shared" si="56"/>
        <v/>
      </c>
    </row>
    <row r="63" spans="2:72" x14ac:dyDescent="0.25">
      <c r="B63" s="3" t="s">
        <v>248</v>
      </c>
      <c r="C63" s="3" t="s">
        <v>259</v>
      </c>
      <c r="D63" s="3" t="s">
        <v>0</v>
      </c>
      <c r="E63" s="3" t="s">
        <v>114</v>
      </c>
      <c r="F63" s="3" t="s">
        <v>673</v>
      </c>
      <c r="G63" s="3" t="s">
        <v>675</v>
      </c>
      <c r="H63" s="20" t="s">
        <v>260</v>
      </c>
      <c r="I63" s="3" t="s">
        <v>24</v>
      </c>
      <c r="J63" s="3">
        <v>1</v>
      </c>
      <c r="K63" s="3" t="s">
        <v>57</v>
      </c>
      <c r="L63" s="3" t="s">
        <v>23</v>
      </c>
      <c r="M63" s="3">
        <v>1025</v>
      </c>
      <c r="N63" s="3" t="str">
        <f t="shared" si="59"/>
        <v>00000401</v>
      </c>
      <c r="O63" s="3">
        <v>26</v>
      </c>
      <c r="P63" s="3">
        <v>26</v>
      </c>
      <c r="Q63" s="3" t="str">
        <f t="shared" si="64"/>
        <v/>
      </c>
      <c r="R63" s="3" t="str">
        <f t="shared" si="63"/>
        <v/>
      </c>
      <c r="S63" s="3" t="str">
        <f t="shared" si="63"/>
        <v/>
      </c>
      <c r="T63" s="3" t="str">
        <f t="shared" si="63"/>
        <v/>
      </c>
      <c r="U63" s="3" t="str">
        <f t="shared" si="63"/>
        <v/>
      </c>
      <c r="V63" s="3" t="str">
        <f t="shared" si="63"/>
        <v>X</v>
      </c>
      <c r="W63" s="3" t="str">
        <f t="shared" si="63"/>
        <v/>
      </c>
      <c r="X63" s="3" t="str">
        <f t="shared" si="63"/>
        <v/>
      </c>
      <c r="Y63" s="3" t="str">
        <f t="shared" si="63"/>
        <v/>
      </c>
      <c r="Z63" s="3" t="str">
        <f t="shared" si="63"/>
        <v/>
      </c>
      <c r="AA63" s="3" t="str">
        <f t="shared" si="63"/>
        <v/>
      </c>
      <c r="AB63" s="3" t="str">
        <f t="shared" si="63"/>
        <v/>
      </c>
      <c r="AC63" s="3" t="str">
        <f t="shared" si="63"/>
        <v/>
      </c>
      <c r="AD63" s="3" t="str">
        <f t="shared" si="63"/>
        <v/>
      </c>
      <c r="AE63" s="3" t="str">
        <f t="shared" si="63"/>
        <v/>
      </c>
      <c r="AF63" s="3" t="str">
        <f t="shared" ref="R63:AG79" si="66">IF(AND($O63&gt;=AF$3,AF$3&gt;=$P63),"X","")</f>
        <v/>
      </c>
      <c r="AG63" s="3" t="str">
        <f t="shared" si="66"/>
        <v/>
      </c>
      <c r="AH63" s="3" t="str">
        <f t="shared" si="65"/>
        <v/>
      </c>
      <c r="AI63" s="3" t="str">
        <f t="shared" si="65"/>
        <v/>
      </c>
      <c r="AJ63" s="3" t="str">
        <f t="shared" si="65"/>
        <v/>
      </c>
      <c r="AK63" s="3" t="str">
        <f t="shared" si="65"/>
        <v/>
      </c>
      <c r="AL63" s="3" t="str">
        <f t="shared" si="65"/>
        <v/>
      </c>
      <c r="AM63" s="3" t="str">
        <f t="shared" si="65"/>
        <v/>
      </c>
      <c r="AN63" s="3" t="str">
        <f t="shared" si="65"/>
        <v/>
      </c>
      <c r="AO63" s="3" t="str">
        <f t="shared" si="65"/>
        <v/>
      </c>
      <c r="AP63" s="3" t="str">
        <f t="shared" si="65"/>
        <v/>
      </c>
      <c r="AQ63" s="3" t="str">
        <f t="shared" si="65"/>
        <v/>
      </c>
      <c r="AR63" s="3" t="str">
        <f t="shared" si="65"/>
        <v/>
      </c>
      <c r="AS63" s="3" t="str">
        <f t="shared" si="65"/>
        <v/>
      </c>
      <c r="AT63" s="3" t="str">
        <f t="shared" si="65"/>
        <v/>
      </c>
      <c r="AU63" s="3" t="str">
        <f t="shared" si="65"/>
        <v/>
      </c>
      <c r="AV63" s="3" t="str">
        <f t="shared" si="65"/>
        <v/>
      </c>
      <c r="AW63" s="3" t="str">
        <f t="shared" si="12"/>
        <v>X</v>
      </c>
      <c r="AX63" s="3" t="str">
        <f t="shared" si="13"/>
        <v/>
      </c>
      <c r="AY63" s="3" t="str">
        <f t="shared" si="14"/>
        <v/>
      </c>
      <c r="AZ63" s="3" t="str">
        <f t="shared" si="15"/>
        <v/>
      </c>
      <c r="BA63" s="3">
        <f t="shared" si="37"/>
        <v>4100</v>
      </c>
      <c r="BB63" s="3" t="str">
        <f t="shared" si="38"/>
        <v/>
      </c>
      <c r="BC63" s="3" t="str">
        <f t="shared" si="39"/>
        <v/>
      </c>
      <c r="BD63" s="3" t="str">
        <f t="shared" si="40"/>
        <v/>
      </c>
      <c r="BE63" s="9" t="str">
        <f t="shared" si="41"/>
        <v>00001004</v>
      </c>
      <c r="BF63" s="9" t="str">
        <f t="shared" si="42"/>
        <v/>
      </c>
      <c r="BG63" s="9" t="str">
        <f t="shared" si="43"/>
        <v/>
      </c>
      <c r="BH63" s="9" t="str">
        <f t="shared" si="44"/>
        <v/>
      </c>
      <c r="BI63" s="3" t="str">
        <f t="shared" si="45"/>
        <v>(2)</v>
      </c>
      <c r="BJ63" s="3" t="str">
        <f t="shared" si="46"/>
        <v/>
      </c>
      <c r="BK63" s="3" t="str">
        <f t="shared" si="47"/>
        <v/>
      </c>
      <c r="BL63" s="3" t="str">
        <f t="shared" si="48"/>
        <v/>
      </c>
      <c r="BM63" s="3">
        <f t="shared" si="49"/>
        <v>0</v>
      </c>
      <c r="BN63" s="3" t="str">
        <f t="shared" si="50"/>
        <v/>
      </c>
      <c r="BO63" s="3" t="str">
        <f t="shared" si="51"/>
        <v/>
      </c>
      <c r="BP63" s="3" t="str">
        <f t="shared" si="52"/>
        <v/>
      </c>
      <c r="BQ63" s="3" t="str">
        <f t="shared" si="53"/>
        <v/>
      </c>
      <c r="BR63" s="3" t="str">
        <f t="shared" si="54"/>
        <v/>
      </c>
      <c r="BS63" s="3" t="str">
        <f t="shared" si="55"/>
        <v/>
      </c>
      <c r="BT63" s="3" t="str">
        <f t="shared" si="56"/>
        <v/>
      </c>
    </row>
    <row r="64" spans="2:72" x14ac:dyDescent="0.25">
      <c r="B64" s="3" t="s">
        <v>248</v>
      </c>
      <c r="C64" s="3" t="s">
        <v>261</v>
      </c>
      <c r="D64" s="3" t="s">
        <v>0</v>
      </c>
      <c r="E64" s="3" t="s">
        <v>114</v>
      </c>
      <c r="F64" s="3" t="s">
        <v>673</v>
      </c>
      <c r="G64" s="3" t="s">
        <v>675</v>
      </c>
      <c r="H64" s="20" t="s">
        <v>262</v>
      </c>
      <c r="I64" s="3" t="s">
        <v>24</v>
      </c>
      <c r="J64" s="3">
        <v>1</v>
      </c>
      <c r="K64" s="3" t="s">
        <v>57</v>
      </c>
      <c r="L64" s="3" t="s">
        <v>23</v>
      </c>
      <c r="M64" s="3">
        <v>1025</v>
      </c>
      <c r="N64" s="3" t="str">
        <f t="shared" si="59"/>
        <v>00000401</v>
      </c>
      <c r="O64" s="3">
        <v>25</v>
      </c>
      <c r="P64" s="3">
        <v>25</v>
      </c>
      <c r="Q64" s="3" t="str">
        <f t="shared" si="64"/>
        <v/>
      </c>
      <c r="R64" s="3" t="str">
        <f t="shared" si="66"/>
        <v/>
      </c>
      <c r="S64" s="3" t="str">
        <f t="shared" si="66"/>
        <v/>
      </c>
      <c r="T64" s="3" t="str">
        <f t="shared" si="66"/>
        <v/>
      </c>
      <c r="U64" s="3" t="str">
        <f t="shared" si="66"/>
        <v/>
      </c>
      <c r="V64" s="3" t="str">
        <f t="shared" si="66"/>
        <v/>
      </c>
      <c r="W64" s="3" t="str">
        <f t="shared" si="66"/>
        <v>X</v>
      </c>
      <c r="X64" s="3" t="str">
        <f t="shared" si="66"/>
        <v/>
      </c>
      <c r="Y64" s="3" t="str">
        <f t="shared" si="66"/>
        <v/>
      </c>
      <c r="Z64" s="3" t="str">
        <f t="shared" si="66"/>
        <v/>
      </c>
      <c r="AA64" s="3" t="str">
        <f t="shared" si="66"/>
        <v/>
      </c>
      <c r="AB64" s="3" t="str">
        <f t="shared" si="66"/>
        <v/>
      </c>
      <c r="AC64" s="3" t="str">
        <f t="shared" si="66"/>
        <v/>
      </c>
      <c r="AD64" s="3" t="str">
        <f t="shared" si="66"/>
        <v/>
      </c>
      <c r="AE64" s="3" t="str">
        <f t="shared" si="66"/>
        <v/>
      </c>
      <c r="AF64" s="3" t="str">
        <f t="shared" si="66"/>
        <v/>
      </c>
      <c r="AG64" s="3" t="str">
        <f t="shared" si="66"/>
        <v/>
      </c>
      <c r="AH64" s="3" t="str">
        <f t="shared" si="65"/>
        <v/>
      </c>
      <c r="AI64" s="3" t="str">
        <f t="shared" si="65"/>
        <v/>
      </c>
      <c r="AJ64" s="3" t="str">
        <f t="shared" si="65"/>
        <v/>
      </c>
      <c r="AK64" s="3" t="str">
        <f t="shared" si="65"/>
        <v/>
      </c>
      <c r="AL64" s="3" t="str">
        <f t="shared" si="65"/>
        <v/>
      </c>
      <c r="AM64" s="3" t="str">
        <f t="shared" si="65"/>
        <v/>
      </c>
      <c r="AN64" s="3" t="str">
        <f t="shared" si="65"/>
        <v/>
      </c>
      <c r="AO64" s="3" t="str">
        <f t="shared" si="65"/>
        <v/>
      </c>
      <c r="AP64" s="3" t="str">
        <f t="shared" si="65"/>
        <v/>
      </c>
      <c r="AQ64" s="3" t="str">
        <f t="shared" si="65"/>
        <v/>
      </c>
      <c r="AR64" s="3" t="str">
        <f t="shared" si="65"/>
        <v/>
      </c>
      <c r="AS64" s="3" t="str">
        <f t="shared" si="65"/>
        <v/>
      </c>
      <c r="AT64" s="3" t="str">
        <f t="shared" si="65"/>
        <v/>
      </c>
      <c r="AU64" s="3" t="str">
        <f t="shared" si="65"/>
        <v/>
      </c>
      <c r="AV64" s="3" t="str">
        <f t="shared" si="65"/>
        <v/>
      </c>
      <c r="AW64" s="3" t="str">
        <f t="shared" si="12"/>
        <v>X</v>
      </c>
      <c r="AX64" s="3" t="str">
        <f t="shared" si="13"/>
        <v/>
      </c>
      <c r="AY64" s="3" t="str">
        <f t="shared" si="14"/>
        <v/>
      </c>
      <c r="AZ64" s="3" t="str">
        <f t="shared" si="15"/>
        <v/>
      </c>
      <c r="BA64" s="3">
        <f t="shared" si="37"/>
        <v>4100</v>
      </c>
      <c r="BB64" s="3" t="str">
        <f t="shared" si="38"/>
        <v/>
      </c>
      <c r="BC64" s="3" t="str">
        <f t="shared" si="39"/>
        <v/>
      </c>
      <c r="BD64" s="3" t="str">
        <f t="shared" si="40"/>
        <v/>
      </c>
      <c r="BE64" s="9" t="str">
        <f t="shared" si="41"/>
        <v>00001004</v>
      </c>
      <c r="BF64" s="9" t="str">
        <f t="shared" si="42"/>
        <v/>
      </c>
      <c r="BG64" s="9" t="str">
        <f t="shared" si="43"/>
        <v/>
      </c>
      <c r="BH64" s="9" t="str">
        <f t="shared" si="44"/>
        <v/>
      </c>
      <c r="BI64" s="3" t="str">
        <f t="shared" si="45"/>
        <v>(1)</v>
      </c>
      <c r="BJ64" s="3" t="str">
        <f t="shared" si="46"/>
        <v/>
      </c>
      <c r="BK64" s="3" t="str">
        <f t="shared" si="47"/>
        <v/>
      </c>
      <c r="BL64" s="3" t="str">
        <f t="shared" si="48"/>
        <v/>
      </c>
      <c r="BM64" s="3">
        <f t="shared" si="49"/>
        <v>0</v>
      </c>
      <c r="BN64" s="3" t="str">
        <f t="shared" si="50"/>
        <v/>
      </c>
      <c r="BO64" s="3" t="str">
        <f t="shared" si="51"/>
        <v/>
      </c>
      <c r="BP64" s="3" t="str">
        <f t="shared" si="52"/>
        <v/>
      </c>
      <c r="BQ64" s="3" t="str">
        <f t="shared" si="53"/>
        <v/>
      </c>
      <c r="BR64" s="3" t="str">
        <f t="shared" si="54"/>
        <v/>
      </c>
      <c r="BS64" s="3" t="str">
        <f t="shared" si="55"/>
        <v/>
      </c>
      <c r="BT64" s="3" t="str">
        <f t="shared" si="56"/>
        <v/>
      </c>
    </row>
    <row r="65" spans="2:72" x14ac:dyDescent="0.25">
      <c r="B65" s="3" t="s">
        <v>248</v>
      </c>
      <c r="C65" s="3" t="s">
        <v>263</v>
      </c>
      <c r="D65" s="3" t="s">
        <v>0</v>
      </c>
      <c r="E65" s="3" t="s">
        <v>114</v>
      </c>
      <c r="F65" s="3" t="s">
        <v>673</v>
      </c>
      <c r="G65" s="3" t="s">
        <v>675</v>
      </c>
      <c r="H65" s="20" t="s">
        <v>264</v>
      </c>
      <c r="I65" s="3" t="s">
        <v>24</v>
      </c>
      <c r="J65" s="3">
        <v>1</v>
      </c>
      <c r="K65" s="3" t="s">
        <v>57</v>
      </c>
      <c r="L65" s="3" t="s">
        <v>23</v>
      </c>
      <c r="M65" s="3">
        <v>1025</v>
      </c>
      <c r="N65" s="3" t="str">
        <f t="shared" si="59"/>
        <v>00000401</v>
      </c>
      <c r="O65" s="3">
        <v>24</v>
      </c>
      <c r="P65" s="3">
        <v>24</v>
      </c>
      <c r="Q65" s="3" t="str">
        <f t="shared" si="64"/>
        <v/>
      </c>
      <c r="R65" s="3" t="str">
        <f t="shared" si="66"/>
        <v/>
      </c>
      <c r="S65" s="3" t="str">
        <f t="shared" si="66"/>
        <v/>
      </c>
      <c r="T65" s="3" t="str">
        <f t="shared" si="66"/>
        <v/>
      </c>
      <c r="U65" s="3" t="str">
        <f t="shared" si="66"/>
        <v/>
      </c>
      <c r="V65" s="3" t="str">
        <f t="shared" si="66"/>
        <v/>
      </c>
      <c r="W65" s="3" t="str">
        <f t="shared" si="66"/>
        <v/>
      </c>
      <c r="X65" s="3" t="str">
        <f t="shared" si="66"/>
        <v>X</v>
      </c>
      <c r="Y65" s="3" t="str">
        <f t="shared" si="66"/>
        <v/>
      </c>
      <c r="Z65" s="3" t="str">
        <f t="shared" si="66"/>
        <v/>
      </c>
      <c r="AA65" s="3" t="str">
        <f t="shared" si="66"/>
        <v/>
      </c>
      <c r="AB65" s="3" t="str">
        <f t="shared" si="66"/>
        <v/>
      </c>
      <c r="AC65" s="3" t="str">
        <f t="shared" si="66"/>
        <v/>
      </c>
      <c r="AD65" s="3" t="str">
        <f t="shared" si="66"/>
        <v/>
      </c>
      <c r="AE65" s="3" t="str">
        <f t="shared" si="66"/>
        <v/>
      </c>
      <c r="AF65" s="3" t="str">
        <f t="shared" si="66"/>
        <v/>
      </c>
      <c r="AG65" s="3" t="str">
        <f t="shared" si="66"/>
        <v/>
      </c>
      <c r="AH65" s="3" t="str">
        <f t="shared" si="65"/>
        <v/>
      </c>
      <c r="AI65" s="3" t="str">
        <f t="shared" si="65"/>
        <v/>
      </c>
      <c r="AJ65" s="3" t="str">
        <f t="shared" si="65"/>
        <v/>
      </c>
      <c r="AK65" s="3" t="str">
        <f t="shared" si="65"/>
        <v/>
      </c>
      <c r="AL65" s="3" t="str">
        <f t="shared" si="65"/>
        <v/>
      </c>
      <c r="AM65" s="3" t="str">
        <f t="shared" si="65"/>
        <v/>
      </c>
      <c r="AN65" s="3" t="str">
        <f t="shared" si="65"/>
        <v/>
      </c>
      <c r="AO65" s="3" t="str">
        <f t="shared" si="65"/>
        <v/>
      </c>
      <c r="AP65" s="3" t="str">
        <f t="shared" si="65"/>
        <v/>
      </c>
      <c r="AQ65" s="3" t="str">
        <f t="shared" si="65"/>
        <v/>
      </c>
      <c r="AR65" s="3" t="str">
        <f t="shared" si="65"/>
        <v/>
      </c>
      <c r="AS65" s="3" t="str">
        <f t="shared" si="65"/>
        <v/>
      </c>
      <c r="AT65" s="3" t="str">
        <f t="shared" si="65"/>
        <v/>
      </c>
      <c r="AU65" s="3" t="str">
        <f t="shared" si="65"/>
        <v/>
      </c>
      <c r="AV65" s="3" t="str">
        <f t="shared" si="65"/>
        <v/>
      </c>
      <c r="AW65" s="3" t="str">
        <f t="shared" si="12"/>
        <v>X</v>
      </c>
      <c r="AX65" s="3" t="str">
        <f t="shared" si="13"/>
        <v/>
      </c>
      <c r="AY65" s="3" t="str">
        <f t="shared" si="14"/>
        <v/>
      </c>
      <c r="AZ65" s="3" t="str">
        <f t="shared" si="15"/>
        <v/>
      </c>
      <c r="BA65" s="3">
        <f t="shared" si="37"/>
        <v>4100</v>
      </c>
      <c r="BB65" s="3" t="str">
        <f t="shared" si="38"/>
        <v/>
      </c>
      <c r="BC65" s="3" t="str">
        <f t="shared" si="39"/>
        <v/>
      </c>
      <c r="BD65" s="3" t="str">
        <f t="shared" si="40"/>
        <v/>
      </c>
      <c r="BE65" s="9" t="str">
        <f t="shared" si="41"/>
        <v>00001004</v>
      </c>
      <c r="BF65" s="9" t="str">
        <f t="shared" si="42"/>
        <v/>
      </c>
      <c r="BG65" s="9" t="str">
        <f t="shared" si="43"/>
        <v/>
      </c>
      <c r="BH65" s="9" t="str">
        <f t="shared" si="44"/>
        <v/>
      </c>
      <c r="BI65" s="3" t="str">
        <f t="shared" si="45"/>
        <v>(0)</v>
      </c>
      <c r="BJ65" s="3" t="str">
        <f t="shared" si="46"/>
        <v/>
      </c>
      <c r="BK65" s="3" t="str">
        <f t="shared" si="47"/>
        <v/>
      </c>
      <c r="BL65" s="3" t="str">
        <f t="shared" si="48"/>
        <v/>
      </c>
      <c r="BM65" s="3">
        <f t="shared" si="49"/>
        <v>0</v>
      </c>
      <c r="BN65" s="3" t="str">
        <f t="shared" si="50"/>
        <v/>
      </c>
      <c r="BO65" s="3" t="str">
        <f t="shared" si="51"/>
        <v/>
      </c>
      <c r="BP65" s="3" t="str">
        <f t="shared" si="52"/>
        <v/>
      </c>
      <c r="BQ65" s="3" t="str">
        <f t="shared" si="53"/>
        <v/>
      </c>
      <c r="BR65" s="3" t="str">
        <f t="shared" si="54"/>
        <v/>
      </c>
      <c r="BS65" s="3" t="str">
        <f t="shared" si="55"/>
        <v/>
      </c>
      <c r="BT65" s="3" t="str">
        <f t="shared" si="56"/>
        <v/>
      </c>
    </row>
    <row r="66" spans="2:72" x14ac:dyDescent="0.25">
      <c r="B66" s="3" t="s">
        <v>248</v>
      </c>
      <c r="C66" s="3" t="s">
        <v>265</v>
      </c>
      <c r="D66" s="3" t="s">
        <v>0</v>
      </c>
      <c r="E66" s="3" t="s">
        <v>670</v>
      </c>
      <c r="F66" s="3" t="s">
        <v>674</v>
      </c>
      <c r="G66" s="3" t="s">
        <v>671</v>
      </c>
      <c r="H66" s="20" t="s">
        <v>266</v>
      </c>
      <c r="I66" s="3" t="s">
        <v>24</v>
      </c>
      <c r="J66" s="3">
        <v>1</v>
      </c>
      <c r="K66" s="3" t="s">
        <v>57</v>
      </c>
      <c r="L66" s="3" t="s">
        <v>23</v>
      </c>
      <c r="M66" s="3">
        <v>1025</v>
      </c>
      <c r="N66" s="3" t="str">
        <f t="shared" si="59"/>
        <v>00000401</v>
      </c>
      <c r="O66" s="3">
        <v>23</v>
      </c>
      <c r="P66" s="3">
        <v>23</v>
      </c>
      <c r="Q66" s="3" t="str">
        <f t="shared" si="64"/>
        <v/>
      </c>
      <c r="R66" s="3" t="str">
        <f t="shared" si="66"/>
        <v/>
      </c>
      <c r="S66" s="3" t="str">
        <f t="shared" si="66"/>
        <v/>
      </c>
      <c r="T66" s="3" t="str">
        <f t="shared" si="66"/>
        <v/>
      </c>
      <c r="U66" s="3" t="str">
        <f t="shared" si="66"/>
        <v/>
      </c>
      <c r="V66" s="3" t="str">
        <f t="shared" si="66"/>
        <v/>
      </c>
      <c r="W66" s="3" t="str">
        <f t="shared" si="66"/>
        <v/>
      </c>
      <c r="X66" s="3" t="str">
        <f t="shared" si="66"/>
        <v/>
      </c>
      <c r="Y66" s="3" t="str">
        <f t="shared" si="66"/>
        <v>X</v>
      </c>
      <c r="Z66" s="3" t="str">
        <f t="shared" si="66"/>
        <v/>
      </c>
      <c r="AA66" s="3" t="str">
        <f t="shared" si="66"/>
        <v/>
      </c>
      <c r="AB66" s="3" t="str">
        <f t="shared" si="66"/>
        <v/>
      </c>
      <c r="AC66" s="3" t="str">
        <f t="shared" si="66"/>
        <v/>
      </c>
      <c r="AD66" s="3" t="str">
        <f t="shared" si="66"/>
        <v/>
      </c>
      <c r="AE66" s="3" t="str">
        <f t="shared" si="66"/>
        <v/>
      </c>
      <c r="AF66" s="3" t="str">
        <f t="shared" si="66"/>
        <v/>
      </c>
      <c r="AG66" s="3" t="str">
        <f t="shared" si="66"/>
        <v/>
      </c>
      <c r="AH66" s="3" t="str">
        <f t="shared" si="65"/>
        <v/>
      </c>
      <c r="AI66" s="3" t="str">
        <f t="shared" si="65"/>
        <v/>
      </c>
      <c r="AJ66" s="3" t="str">
        <f t="shared" si="65"/>
        <v/>
      </c>
      <c r="AK66" s="3" t="str">
        <f t="shared" si="65"/>
        <v/>
      </c>
      <c r="AL66" s="3" t="str">
        <f t="shared" si="65"/>
        <v/>
      </c>
      <c r="AM66" s="3" t="str">
        <f t="shared" si="65"/>
        <v/>
      </c>
      <c r="AN66" s="3" t="str">
        <f t="shared" si="65"/>
        <v/>
      </c>
      <c r="AO66" s="3" t="str">
        <f t="shared" si="65"/>
        <v/>
      </c>
      <c r="AP66" s="3" t="str">
        <f t="shared" si="65"/>
        <v/>
      </c>
      <c r="AQ66" s="3" t="str">
        <f t="shared" si="65"/>
        <v/>
      </c>
      <c r="AR66" s="3" t="str">
        <f t="shared" si="65"/>
        <v/>
      </c>
      <c r="AS66" s="3" t="str">
        <f t="shared" si="65"/>
        <v/>
      </c>
      <c r="AT66" s="3" t="str">
        <f t="shared" si="65"/>
        <v/>
      </c>
      <c r="AU66" s="3" t="str">
        <f t="shared" si="65"/>
        <v/>
      </c>
      <c r="AV66" s="3" t="str">
        <f t="shared" si="65"/>
        <v/>
      </c>
      <c r="AW66" s="3" t="str">
        <f t="shared" si="12"/>
        <v/>
      </c>
      <c r="AX66" s="3" t="str">
        <f t="shared" si="13"/>
        <v>X</v>
      </c>
      <c r="AY66" s="3" t="str">
        <f t="shared" si="14"/>
        <v/>
      </c>
      <c r="AZ66" s="3" t="str">
        <f t="shared" si="15"/>
        <v/>
      </c>
      <c r="BA66" s="3" t="str">
        <f t="shared" si="37"/>
        <v/>
      </c>
      <c r="BB66" s="3">
        <f t="shared" si="38"/>
        <v>4101</v>
      </c>
      <c r="BC66" s="3" t="str">
        <f t="shared" si="39"/>
        <v/>
      </c>
      <c r="BD66" s="3" t="str">
        <f t="shared" si="40"/>
        <v/>
      </c>
      <c r="BE66" s="9" t="str">
        <f t="shared" si="41"/>
        <v/>
      </c>
      <c r="BF66" s="9" t="str">
        <f t="shared" si="42"/>
        <v>00001005</v>
      </c>
      <c r="BG66" s="9" t="str">
        <f t="shared" si="43"/>
        <v/>
      </c>
      <c r="BH66" s="9" t="str">
        <f t="shared" si="44"/>
        <v/>
      </c>
      <c r="BI66" s="3" t="str">
        <f t="shared" si="45"/>
        <v/>
      </c>
      <c r="BJ66" s="3" t="str">
        <f t="shared" si="46"/>
        <v>(7)</v>
      </c>
      <c r="BK66" s="3" t="str">
        <f t="shared" si="47"/>
        <v/>
      </c>
      <c r="BL66" s="3" t="str">
        <f t="shared" si="48"/>
        <v/>
      </c>
      <c r="BM66" s="3" t="str">
        <f t="shared" si="49"/>
        <v/>
      </c>
      <c r="BN66" s="3">
        <f t="shared" si="50"/>
        <v>0</v>
      </c>
      <c r="BO66" s="3" t="str">
        <f t="shared" si="51"/>
        <v/>
      </c>
      <c r="BP66" s="3" t="str">
        <f t="shared" si="52"/>
        <v/>
      </c>
      <c r="BQ66" s="3" t="str">
        <f t="shared" si="53"/>
        <v/>
      </c>
      <c r="BR66" s="3" t="str">
        <f t="shared" si="54"/>
        <v/>
      </c>
      <c r="BS66" s="3" t="str">
        <f t="shared" si="55"/>
        <v/>
      </c>
      <c r="BT66" s="3" t="str">
        <f t="shared" si="56"/>
        <v/>
      </c>
    </row>
    <row r="67" spans="2:72" x14ac:dyDescent="0.25">
      <c r="B67" s="3" t="s">
        <v>248</v>
      </c>
      <c r="C67" s="3" t="s">
        <v>267</v>
      </c>
      <c r="D67" s="3" t="s">
        <v>0</v>
      </c>
      <c r="E67" s="3" t="s">
        <v>670</v>
      </c>
      <c r="F67" s="3" t="s">
        <v>674</v>
      </c>
      <c r="G67" s="3" t="s">
        <v>671</v>
      </c>
      <c r="H67" s="20" t="s">
        <v>268</v>
      </c>
      <c r="I67" s="3" t="s">
        <v>24</v>
      </c>
      <c r="J67" s="3">
        <v>1</v>
      </c>
      <c r="K67" s="3" t="s">
        <v>57</v>
      </c>
      <c r="L67" s="3" t="s">
        <v>23</v>
      </c>
      <c r="M67" s="3">
        <v>1025</v>
      </c>
      <c r="N67" s="3" t="str">
        <f t="shared" si="59"/>
        <v>00000401</v>
      </c>
      <c r="O67" s="3">
        <v>22</v>
      </c>
      <c r="P67" s="3">
        <v>22</v>
      </c>
      <c r="Q67" s="3" t="str">
        <f t="shared" si="64"/>
        <v/>
      </c>
      <c r="R67" s="3" t="str">
        <f t="shared" si="66"/>
        <v/>
      </c>
      <c r="S67" s="3" t="str">
        <f t="shared" si="66"/>
        <v/>
      </c>
      <c r="T67" s="3" t="str">
        <f t="shared" si="66"/>
        <v/>
      </c>
      <c r="U67" s="3" t="str">
        <f t="shared" si="66"/>
        <v/>
      </c>
      <c r="V67" s="3" t="str">
        <f t="shared" si="66"/>
        <v/>
      </c>
      <c r="W67" s="3" t="str">
        <f t="shared" si="66"/>
        <v/>
      </c>
      <c r="X67" s="3" t="str">
        <f t="shared" si="66"/>
        <v/>
      </c>
      <c r="Y67" s="3" t="str">
        <f t="shared" si="66"/>
        <v/>
      </c>
      <c r="Z67" s="3" t="str">
        <f t="shared" si="66"/>
        <v>X</v>
      </c>
      <c r="AA67" s="3" t="str">
        <f t="shared" si="66"/>
        <v/>
      </c>
      <c r="AB67" s="3" t="str">
        <f t="shared" si="66"/>
        <v/>
      </c>
      <c r="AC67" s="3" t="str">
        <f t="shared" si="66"/>
        <v/>
      </c>
      <c r="AD67" s="3" t="str">
        <f t="shared" si="66"/>
        <v/>
      </c>
      <c r="AE67" s="3" t="str">
        <f t="shared" si="66"/>
        <v/>
      </c>
      <c r="AF67" s="3" t="str">
        <f t="shared" si="66"/>
        <v/>
      </c>
      <c r="AG67" s="3" t="str">
        <f t="shared" si="66"/>
        <v/>
      </c>
      <c r="AH67" s="3" t="str">
        <f t="shared" si="65"/>
        <v/>
      </c>
      <c r="AI67" s="3" t="str">
        <f t="shared" si="65"/>
        <v/>
      </c>
      <c r="AJ67" s="3" t="str">
        <f t="shared" si="65"/>
        <v/>
      </c>
      <c r="AK67" s="3" t="str">
        <f t="shared" si="65"/>
        <v/>
      </c>
      <c r="AL67" s="3" t="str">
        <f t="shared" si="65"/>
        <v/>
      </c>
      <c r="AM67" s="3" t="str">
        <f t="shared" si="65"/>
        <v/>
      </c>
      <c r="AN67" s="3" t="str">
        <f t="shared" si="65"/>
        <v/>
      </c>
      <c r="AO67" s="3" t="str">
        <f t="shared" si="65"/>
        <v/>
      </c>
      <c r="AP67" s="3" t="str">
        <f t="shared" si="65"/>
        <v/>
      </c>
      <c r="AQ67" s="3" t="str">
        <f t="shared" si="65"/>
        <v/>
      </c>
      <c r="AR67" s="3" t="str">
        <f t="shared" si="65"/>
        <v/>
      </c>
      <c r="AS67" s="3" t="str">
        <f t="shared" si="65"/>
        <v/>
      </c>
      <c r="AT67" s="3" t="str">
        <f t="shared" si="65"/>
        <v/>
      </c>
      <c r="AU67" s="3" t="str">
        <f t="shared" si="65"/>
        <v/>
      </c>
      <c r="AV67" s="3" t="str">
        <f t="shared" si="65"/>
        <v/>
      </c>
      <c r="AW67" s="3" t="str">
        <f t="shared" si="12"/>
        <v/>
      </c>
      <c r="AX67" s="3" t="str">
        <f t="shared" si="13"/>
        <v>X</v>
      </c>
      <c r="AY67" s="3" t="str">
        <f t="shared" si="14"/>
        <v/>
      </c>
      <c r="AZ67" s="3" t="str">
        <f t="shared" si="15"/>
        <v/>
      </c>
      <c r="BA67" s="3" t="str">
        <f t="shared" si="37"/>
        <v/>
      </c>
      <c r="BB67" s="3">
        <f t="shared" si="38"/>
        <v>4101</v>
      </c>
      <c r="BC67" s="3" t="str">
        <f t="shared" si="39"/>
        <v/>
      </c>
      <c r="BD67" s="3" t="str">
        <f t="shared" si="40"/>
        <v/>
      </c>
      <c r="BE67" s="9" t="str">
        <f t="shared" si="41"/>
        <v/>
      </c>
      <c r="BF67" s="9" t="str">
        <f t="shared" si="42"/>
        <v>00001005</v>
      </c>
      <c r="BG67" s="9" t="str">
        <f t="shared" si="43"/>
        <v/>
      </c>
      <c r="BH67" s="9" t="str">
        <f t="shared" si="44"/>
        <v/>
      </c>
      <c r="BI67" s="3" t="str">
        <f t="shared" si="45"/>
        <v/>
      </c>
      <c r="BJ67" s="3" t="str">
        <f t="shared" si="46"/>
        <v>(6)</v>
      </c>
      <c r="BK67" s="3" t="str">
        <f t="shared" si="47"/>
        <v/>
      </c>
      <c r="BL67" s="3" t="str">
        <f t="shared" si="48"/>
        <v/>
      </c>
      <c r="BM67" s="3" t="str">
        <f t="shared" si="49"/>
        <v/>
      </c>
      <c r="BN67" s="3">
        <f t="shared" si="50"/>
        <v>0</v>
      </c>
      <c r="BO67" s="3" t="str">
        <f t="shared" si="51"/>
        <v/>
      </c>
      <c r="BP67" s="3" t="str">
        <f t="shared" si="52"/>
        <v/>
      </c>
      <c r="BQ67" s="3" t="str">
        <f t="shared" si="53"/>
        <v/>
      </c>
      <c r="BR67" s="3" t="str">
        <f t="shared" si="54"/>
        <v/>
      </c>
      <c r="BS67" s="3" t="str">
        <f t="shared" si="55"/>
        <v/>
      </c>
      <c r="BT67" s="3" t="str">
        <f t="shared" si="56"/>
        <v/>
      </c>
    </row>
    <row r="68" spans="2:72" x14ac:dyDescent="0.25">
      <c r="B68" s="3" t="s">
        <v>248</v>
      </c>
      <c r="C68" s="3" t="s">
        <v>269</v>
      </c>
      <c r="D68" s="3" t="s">
        <v>0</v>
      </c>
      <c r="E68" s="3" t="s">
        <v>670</v>
      </c>
      <c r="F68" s="3" t="s">
        <v>674</v>
      </c>
      <c r="G68" s="3" t="s">
        <v>671</v>
      </c>
      <c r="H68" s="20" t="s">
        <v>270</v>
      </c>
      <c r="I68" s="3" t="s">
        <v>24</v>
      </c>
      <c r="J68" s="3">
        <v>1</v>
      </c>
      <c r="K68" s="3" t="s">
        <v>57</v>
      </c>
      <c r="L68" s="3" t="s">
        <v>23</v>
      </c>
      <c r="M68" s="3">
        <v>1025</v>
      </c>
      <c r="N68" s="3" t="str">
        <f t="shared" si="59"/>
        <v>00000401</v>
      </c>
      <c r="O68" s="3">
        <v>21</v>
      </c>
      <c r="P68" s="3">
        <v>21</v>
      </c>
      <c r="Q68" s="3" t="str">
        <f t="shared" si="64"/>
        <v/>
      </c>
      <c r="R68" s="3" t="str">
        <f t="shared" si="66"/>
        <v/>
      </c>
      <c r="S68" s="3" t="str">
        <f t="shared" si="66"/>
        <v/>
      </c>
      <c r="T68" s="3" t="str">
        <f t="shared" si="66"/>
        <v/>
      </c>
      <c r="U68" s="3" t="str">
        <f t="shared" si="66"/>
        <v/>
      </c>
      <c r="V68" s="3" t="str">
        <f t="shared" si="66"/>
        <v/>
      </c>
      <c r="W68" s="3" t="str">
        <f t="shared" si="66"/>
        <v/>
      </c>
      <c r="X68" s="3" t="str">
        <f t="shared" si="66"/>
        <v/>
      </c>
      <c r="Y68" s="3" t="str">
        <f t="shared" si="66"/>
        <v/>
      </c>
      <c r="Z68" s="3" t="str">
        <f t="shared" si="66"/>
        <v/>
      </c>
      <c r="AA68" s="3" t="str">
        <f t="shared" si="66"/>
        <v>X</v>
      </c>
      <c r="AB68" s="3" t="str">
        <f t="shared" si="66"/>
        <v/>
      </c>
      <c r="AC68" s="3" t="str">
        <f t="shared" si="66"/>
        <v/>
      </c>
      <c r="AD68" s="3" t="str">
        <f t="shared" si="66"/>
        <v/>
      </c>
      <c r="AE68" s="3" t="str">
        <f t="shared" si="66"/>
        <v/>
      </c>
      <c r="AF68" s="3" t="str">
        <f t="shared" si="66"/>
        <v/>
      </c>
      <c r="AG68" s="3" t="str">
        <f t="shared" si="66"/>
        <v/>
      </c>
      <c r="AH68" s="3" t="str">
        <f t="shared" si="65"/>
        <v/>
      </c>
      <c r="AI68" s="3" t="str">
        <f t="shared" si="65"/>
        <v/>
      </c>
      <c r="AJ68" s="3" t="str">
        <f t="shared" si="65"/>
        <v/>
      </c>
      <c r="AK68" s="3" t="str">
        <f t="shared" si="65"/>
        <v/>
      </c>
      <c r="AL68" s="3" t="str">
        <f t="shared" si="65"/>
        <v/>
      </c>
      <c r="AM68" s="3" t="str">
        <f t="shared" si="65"/>
        <v/>
      </c>
      <c r="AN68" s="3" t="str">
        <f t="shared" si="65"/>
        <v/>
      </c>
      <c r="AO68" s="3" t="str">
        <f t="shared" si="65"/>
        <v/>
      </c>
      <c r="AP68" s="3" t="str">
        <f t="shared" si="65"/>
        <v/>
      </c>
      <c r="AQ68" s="3" t="str">
        <f t="shared" si="65"/>
        <v/>
      </c>
      <c r="AR68" s="3" t="str">
        <f t="shared" si="65"/>
        <v/>
      </c>
      <c r="AS68" s="3" t="str">
        <f t="shared" si="65"/>
        <v/>
      </c>
      <c r="AT68" s="3" t="str">
        <f t="shared" si="65"/>
        <v/>
      </c>
      <c r="AU68" s="3" t="str">
        <f t="shared" si="65"/>
        <v/>
      </c>
      <c r="AV68" s="3" t="str">
        <f t="shared" si="65"/>
        <v/>
      </c>
      <c r="AW68" s="3" t="str">
        <f t="shared" si="12"/>
        <v/>
      </c>
      <c r="AX68" s="3" t="str">
        <f t="shared" si="13"/>
        <v>X</v>
      </c>
      <c r="AY68" s="3" t="str">
        <f t="shared" si="14"/>
        <v/>
      </c>
      <c r="AZ68" s="3" t="str">
        <f t="shared" si="15"/>
        <v/>
      </c>
      <c r="BA68" s="3" t="str">
        <f t="shared" si="37"/>
        <v/>
      </c>
      <c r="BB68" s="3">
        <f t="shared" si="38"/>
        <v>4101</v>
      </c>
      <c r="BC68" s="3" t="str">
        <f t="shared" si="39"/>
        <v/>
      </c>
      <c r="BD68" s="3" t="str">
        <f t="shared" si="40"/>
        <v/>
      </c>
      <c r="BE68" s="9" t="str">
        <f t="shared" si="41"/>
        <v/>
      </c>
      <c r="BF68" s="9" t="str">
        <f t="shared" si="42"/>
        <v>00001005</v>
      </c>
      <c r="BG68" s="9" t="str">
        <f t="shared" si="43"/>
        <v/>
      </c>
      <c r="BH68" s="9" t="str">
        <f t="shared" si="44"/>
        <v/>
      </c>
      <c r="BI68" s="3" t="str">
        <f t="shared" si="45"/>
        <v/>
      </c>
      <c r="BJ68" s="3" t="str">
        <f t="shared" si="46"/>
        <v>(5)</v>
      </c>
      <c r="BK68" s="3" t="str">
        <f t="shared" si="47"/>
        <v/>
      </c>
      <c r="BL68" s="3" t="str">
        <f t="shared" si="48"/>
        <v/>
      </c>
      <c r="BM68" s="3" t="str">
        <f t="shared" si="49"/>
        <v/>
      </c>
      <c r="BN68" s="3">
        <f t="shared" si="50"/>
        <v>0</v>
      </c>
      <c r="BO68" s="3" t="str">
        <f t="shared" si="51"/>
        <v/>
      </c>
      <c r="BP68" s="3" t="str">
        <f t="shared" si="52"/>
        <v/>
      </c>
      <c r="BQ68" s="3" t="str">
        <f t="shared" si="53"/>
        <v/>
      </c>
      <c r="BR68" s="3" t="str">
        <f t="shared" si="54"/>
        <v/>
      </c>
      <c r="BS68" s="3" t="str">
        <f t="shared" si="55"/>
        <v/>
      </c>
      <c r="BT68" s="3" t="str">
        <f t="shared" si="56"/>
        <v/>
      </c>
    </row>
    <row r="69" spans="2:72" x14ac:dyDescent="0.25">
      <c r="B69" s="3" t="s">
        <v>248</v>
      </c>
      <c r="C69" s="3" t="s">
        <v>271</v>
      </c>
      <c r="D69" s="3" t="s">
        <v>0</v>
      </c>
      <c r="E69" s="3" t="s">
        <v>670</v>
      </c>
      <c r="F69" s="3" t="s">
        <v>674</v>
      </c>
      <c r="G69" s="3" t="s">
        <v>671</v>
      </c>
      <c r="H69" s="20" t="s">
        <v>272</v>
      </c>
      <c r="I69" s="3" t="s">
        <v>24</v>
      </c>
      <c r="J69" s="3">
        <v>1</v>
      </c>
      <c r="K69" s="3" t="s">
        <v>57</v>
      </c>
      <c r="L69" s="3" t="s">
        <v>23</v>
      </c>
      <c r="M69" s="3">
        <v>1025</v>
      </c>
      <c r="N69" s="3" t="str">
        <f t="shared" si="59"/>
        <v>00000401</v>
      </c>
      <c r="O69" s="3">
        <v>20</v>
      </c>
      <c r="P69" s="3">
        <v>20</v>
      </c>
      <c r="Q69" s="3" t="str">
        <f t="shared" si="64"/>
        <v/>
      </c>
      <c r="R69" s="3" t="str">
        <f t="shared" si="66"/>
        <v/>
      </c>
      <c r="S69" s="3" t="str">
        <f t="shared" si="66"/>
        <v/>
      </c>
      <c r="T69" s="3" t="str">
        <f t="shared" si="66"/>
        <v/>
      </c>
      <c r="U69" s="3" t="str">
        <f t="shared" si="66"/>
        <v/>
      </c>
      <c r="V69" s="3" t="str">
        <f t="shared" si="66"/>
        <v/>
      </c>
      <c r="W69" s="3" t="str">
        <f t="shared" si="66"/>
        <v/>
      </c>
      <c r="X69" s="3" t="str">
        <f t="shared" si="66"/>
        <v/>
      </c>
      <c r="Y69" s="3" t="str">
        <f t="shared" si="66"/>
        <v/>
      </c>
      <c r="Z69" s="3" t="str">
        <f t="shared" si="66"/>
        <v/>
      </c>
      <c r="AA69" s="3" t="str">
        <f t="shared" si="66"/>
        <v/>
      </c>
      <c r="AB69" s="3" t="str">
        <f t="shared" si="66"/>
        <v>X</v>
      </c>
      <c r="AC69" s="3" t="str">
        <f t="shared" si="66"/>
        <v/>
      </c>
      <c r="AD69" s="3" t="str">
        <f t="shared" si="66"/>
        <v/>
      </c>
      <c r="AE69" s="3" t="str">
        <f t="shared" si="66"/>
        <v/>
      </c>
      <c r="AF69" s="3" t="str">
        <f t="shared" si="66"/>
        <v/>
      </c>
      <c r="AG69" s="3" t="str">
        <f t="shared" si="66"/>
        <v/>
      </c>
      <c r="AH69" s="3" t="str">
        <f t="shared" si="65"/>
        <v/>
      </c>
      <c r="AI69" s="3" t="str">
        <f t="shared" si="65"/>
        <v/>
      </c>
      <c r="AJ69" s="3" t="str">
        <f t="shared" si="65"/>
        <v/>
      </c>
      <c r="AK69" s="3" t="str">
        <f t="shared" si="65"/>
        <v/>
      </c>
      <c r="AL69" s="3" t="str">
        <f t="shared" si="65"/>
        <v/>
      </c>
      <c r="AM69" s="3" t="str">
        <f t="shared" si="65"/>
        <v/>
      </c>
      <c r="AN69" s="3" t="str">
        <f t="shared" si="65"/>
        <v/>
      </c>
      <c r="AO69" s="3" t="str">
        <f t="shared" si="65"/>
        <v/>
      </c>
      <c r="AP69" s="3" t="str">
        <f t="shared" si="65"/>
        <v/>
      </c>
      <c r="AQ69" s="3" t="str">
        <f t="shared" si="65"/>
        <v/>
      </c>
      <c r="AR69" s="3" t="str">
        <f t="shared" si="65"/>
        <v/>
      </c>
      <c r="AS69" s="3" t="str">
        <f t="shared" si="65"/>
        <v/>
      </c>
      <c r="AT69" s="3" t="str">
        <f t="shared" si="65"/>
        <v/>
      </c>
      <c r="AU69" s="3" t="str">
        <f t="shared" si="65"/>
        <v/>
      </c>
      <c r="AV69" s="3" t="str">
        <f t="shared" si="65"/>
        <v/>
      </c>
      <c r="AW69" s="3" t="str">
        <f t="shared" ref="AW69:AW109" si="67">IF(OR($Q69="X",$R69="X",$S69="X",$T69="X",$U69="X",$V69="X",$W69="X",$X69="X"),"X","")</f>
        <v/>
      </c>
      <c r="AX69" s="3" t="str">
        <f t="shared" ref="AX69:AX109" si="68">IF(OR($Y69="X",$Z69="X",$AA69="X",$AB69="X",$AC69="X",$AD69="X",$AE69="X",$AF69="X"),"X","")</f>
        <v>X</v>
      </c>
      <c r="AY69" s="3" t="str">
        <f t="shared" ref="AY69:AY109" si="69">IF(OR($AG69="X",$AH69="X",$AI69="X",$AJ69="X",$AK69="X",$AL69="X",$AM69="X",$AN69="X"),"X","")</f>
        <v/>
      </c>
      <c r="AZ69" s="3" t="str">
        <f t="shared" ref="AZ69:AZ109" si="70">IF(OR($AO69="X",$AP69="X",$AQ69="X",$AR69="X",$AS69="X",$AT69="X",$AU69="X",$AV69="X"),"X","")</f>
        <v/>
      </c>
      <c r="BA69" s="3" t="str">
        <f t="shared" si="37"/>
        <v/>
      </c>
      <c r="BB69" s="3">
        <f t="shared" si="38"/>
        <v>4101</v>
      </c>
      <c r="BC69" s="3" t="str">
        <f t="shared" si="39"/>
        <v/>
      </c>
      <c r="BD69" s="3" t="str">
        <f t="shared" si="40"/>
        <v/>
      </c>
      <c r="BE69" s="9" t="str">
        <f t="shared" si="41"/>
        <v/>
      </c>
      <c r="BF69" s="9" t="str">
        <f t="shared" si="42"/>
        <v>00001005</v>
      </c>
      <c r="BG69" s="9" t="str">
        <f t="shared" si="43"/>
        <v/>
      </c>
      <c r="BH69" s="9" t="str">
        <f t="shared" si="44"/>
        <v/>
      </c>
      <c r="BI69" s="3" t="str">
        <f t="shared" si="45"/>
        <v/>
      </c>
      <c r="BJ69" s="3" t="str">
        <f t="shared" si="46"/>
        <v>(4)</v>
      </c>
      <c r="BK69" s="3" t="str">
        <f t="shared" si="47"/>
        <v/>
      </c>
      <c r="BL69" s="3" t="str">
        <f t="shared" si="48"/>
        <v/>
      </c>
      <c r="BM69" s="3" t="str">
        <f t="shared" si="49"/>
        <v/>
      </c>
      <c r="BN69" s="3">
        <f t="shared" si="50"/>
        <v>0</v>
      </c>
      <c r="BO69" s="3" t="str">
        <f t="shared" si="51"/>
        <v/>
      </c>
      <c r="BP69" s="3" t="str">
        <f t="shared" si="52"/>
        <v/>
      </c>
      <c r="BQ69" s="3" t="str">
        <f t="shared" si="53"/>
        <v/>
      </c>
      <c r="BR69" s="3" t="str">
        <f t="shared" si="54"/>
        <v/>
      </c>
      <c r="BS69" s="3" t="str">
        <f t="shared" si="55"/>
        <v/>
      </c>
      <c r="BT69" s="3" t="str">
        <f t="shared" si="56"/>
        <v/>
      </c>
    </row>
    <row r="70" spans="2:72" x14ac:dyDescent="0.25">
      <c r="B70" s="3" t="s">
        <v>248</v>
      </c>
      <c r="C70" s="3" t="s">
        <v>273</v>
      </c>
      <c r="D70" s="3" t="s">
        <v>0</v>
      </c>
      <c r="E70" s="3" t="s">
        <v>670</v>
      </c>
      <c r="F70" s="3" t="s">
        <v>674</v>
      </c>
      <c r="G70" s="3" t="s">
        <v>671</v>
      </c>
      <c r="H70" s="20" t="s">
        <v>274</v>
      </c>
      <c r="I70" s="3" t="s">
        <v>24</v>
      </c>
      <c r="J70" s="3">
        <v>1</v>
      </c>
      <c r="K70" s="3" t="s">
        <v>57</v>
      </c>
      <c r="L70" s="3" t="s">
        <v>23</v>
      </c>
      <c r="M70" s="3">
        <v>1025</v>
      </c>
      <c r="N70" s="3" t="str">
        <f t="shared" si="59"/>
        <v>00000401</v>
      </c>
      <c r="O70" s="3">
        <v>19</v>
      </c>
      <c r="P70" s="3">
        <v>19</v>
      </c>
      <c r="Q70" s="3" t="str">
        <f t="shared" si="64"/>
        <v/>
      </c>
      <c r="R70" s="3" t="str">
        <f t="shared" si="66"/>
        <v/>
      </c>
      <c r="S70" s="3" t="str">
        <f t="shared" si="66"/>
        <v/>
      </c>
      <c r="T70" s="3" t="str">
        <f t="shared" si="66"/>
        <v/>
      </c>
      <c r="U70" s="3" t="str">
        <f t="shared" si="66"/>
        <v/>
      </c>
      <c r="V70" s="3" t="str">
        <f t="shared" si="66"/>
        <v/>
      </c>
      <c r="W70" s="3" t="str">
        <f t="shared" si="66"/>
        <v/>
      </c>
      <c r="X70" s="3" t="str">
        <f t="shared" si="66"/>
        <v/>
      </c>
      <c r="Y70" s="3" t="str">
        <f t="shared" si="66"/>
        <v/>
      </c>
      <c r="Z70" s="3" t="str">
        <f t="shared" si="66"/>
        <v/>
      </c>
      <c r="AA70" s="3" t="str">
        <f t="shared" si="66"/>
        <v/>
      </c>
      <c r="AB70" s="3" t="str">
        <f t="shared" si="66"/>
        <v/>
      </c>
      <c r="AC70" s="3" t="str">
        <f t="shared" si="66"/>
        <v>X</v>
      </c>
      <c r="AD70" s="3" t="str">
        <f t="shared" si="66"/>
        <v/>
      </c>
      <c r="AE70" s="3" t="str">
        <f t="shared" si="66"/>
        <v/>
      </c>
      <c r="AF70" s="3" t="str">
        <f t="shared" si="66"/>
        <v/>
      </c>
      <c r="AG70" s="3" t="str">
        <f t="shared" si="66"/>
        <v/>
      </c>
      <c r="AH70" s="3" t="str">
        <f t="shared" si="65"/>
        <v/>
      </c>
      <c r="AI70" s="3" t="str">
        <f t="shared" si="65"/>
        <v/>
      </c>
      <c r="AJ70" s="3" t="str">
        <f t="shared" si="65"/>
        <v/>
      </c>
      <c r="AK70" s="3" t="str">
        <f t="shared" si="65"/>
        <v/>
      </c>
      <c r="AL70" s="3" t="str">
        <f t="shared" si="65"/>
        <v/>
      </c>
      <c r="AM70" s="3" t="str">
        <f t="shared" si="65"/>
        <v/>
      </c>
      <c r="AN70" s="3" t="str">
        <f t="shared" si="65"/>
        <v/>
      </c>
      <c r="AO70" s="3" t="str">
        <f t="shared" si="65"/>
        <v/>
      </c>
      <c r="AP70" s="3" t="str">
        <f t="shared" si="65"/>
        <v/>
      </c>
      <c r="AQ70" s="3" t="str">
        <f t="shared" si="65"/>
        <v/>
      </c>
      <c r="AR70" s="3" t="str">
        <f t="shared" si="65"/>
        <v/>
      </c>
      <c r="AS70" s="3" t="str">
        <f t="shared" si="65"/>
        <v/>
      </c>
      <c r="AT70" s="3" t="str">
        <f t="shared" si="65"/>
        <v/>
      </c>
      <c r="AU70" s="3" t="str">
        <f t="shared" si="65"/>
        <v/>
      </c>
      <c r="AV70" s="3" t="str">
        <f t="shared" si="65"/>
        <v/>
      </c>
      <c r="AW70" s="3" t="str">
        <f t="shared" si="67"/>
        <v/>
      </c>
      <c r="AX70" s="3" t="str">
        <f t="shared" si="68"/>
        <v>X</v>
      </c>
      <c r="AY70" s="3" t="str">
        <f t="shared" si="69"/>
        <v/>
      </c>
      <c r="AZ70" s="3" t="str">
        <f t="shared" si="70"/>
        <v/>
      </c>
      <c r="BA70" s="3" t="str">
        <f t="shared" si="37"/>
        <v/>
      </c>
      <c r="BB70" s="3">
        <f t="shared" si="38"/>
        <v>4101</v>
      </c>
      <c r="BC70" s="3" t="str">
        <f t="shared" si="39"/>
        <v/>
      </c>
      <c r="BD70" s="3" t="str">
        <f t="shared" si="40"/>
        <v/>
      </c>
      <c r="BE70" s="9" t="str">
        <f t="shared" si="41"/>
        <v/>
      </c>
      <c r="BF70" s="9" t="str">
        <f t="shared" si="42"/>
        <v>00001005</v>
      </c>
      <c r="BG70" s="9" t="str">
        <f t="shared" si="43"/>
        <v/>
      </c>
      <c r="BH70" s="9" t="str">
        <f t="shared" si="44"/>
        <v/>
      </c>
      <c r="BI70" s="3" t="str">
        <f t="shared" si="45"/>
        <v/>
      </c>
      <c r="BJ70" s="3" t="str">
        <f t="shared" si="46"/>
        <v>(3)</v>
      </c>
      <c r="BK70" s="3" t="str">
        <f t="shared" si="47"/>
        <v/>
      </c>
      <c r="BL70" s="3" t="str">
        <f t="shared" si="48"/>
        <v/>
      </c>
      <c r="BM70" s="3" t="str">
        <f t="shared" si="49"/>
        <v/>
      </c>
      <c r="BN70" s="3">
        <f t="shared" si="50"/>
        <v>0</v>
      </c>
      <c r="BO70" s="3" t="str">
        <f t="shared" si="51"/>
        <v/>
      </c>
      <c r="BP70" s="3" t="str">
        <f t="shared" si="52"/>
        <v/>
      </c>
      <c r="BQ70" s="3" t="str">
        <f t="shared" si="53"/>
        <v/>
      </c>
      <c r="BR70" s="3" t="str">
        <f t="shared" si="54"/>
        <v/>
      </c>
      <c r="BS70" s="3" t="str">
        <f t="shared" si="55"/>
        <v/>
      </c>
      <c r="BT70" s="3" t="str">
        <f t="shared" si="56"/>
        <v/>
      </c>
    </row>
    <row r="71" spans="2:72" x14ac:dyDescent="0.25">
      <c r="B71" s="3" t="s">
        <v>248</v>
      </c>
      <c r="C71" s="3" t="s">
        <v>275</v>
      </c>
      <c r="D71" s="3" t="s">
        <v>0</v>
      </c>
      <c r="E71" s="3" t="s">
        <v>670</v>
      </c>
      <c r="F71" s="3" t="s">
        <v>674</v>
      </c>
      <c r="G71" s="3" t="s">
        <v>671</v>
      </c>
      <c r="H71" s="20" t="s">
        <v>276</v>
      </c>
      <c r="I71" s="3" t="s">
        <v>24</v>
      </c>
      <c r="J71" s="3">
        <v>1</v>
      </c>
      <c r="K71" s="3" t="s">
        <v>57</v>
      </c>
      <c r="L71" s="3" t="s">
        <v>23</v>
      </c>
      <c r="M71" s="3">
        <v>1025</v>
      </c>
      <c r="N71" s="3" t="str">
        <f t="shared" si="59"/>
        <v>00000401</v>
      </c>
      <c r="O71" s="3">
        <v>18</v>
      </c>
      <c r="P71" s="3">
        <v>18</v>
      </c>
      <c r="Q71" s="3" t="str">
        <f t="shared" si="64"/>
        <v/>
      </c>
      <c r="R71" s="3" t="str">
        <f t="shared" si="66"/>
        <v/>
      </c>
      <c r="S71" s="3" t="str">
        <f t="shared" si="66"/>
        <v/>
      </c>
      <c r="T71" s="3" t="str">
        <f t="shared" si="66"/>
        <v/>
      </c>
      <c r="U71" s="3" t="str">
        <f t="shared" si="66"/>
        <v/>
      </c>
      <c r="V71" s="3" t="str">
        <f t="shared" si="66"/>
        <v/>
      </c>
      <c r="W71" s="3" t="str">
        <f t="shared" si="66"/>
        <v/>
      </c>
      <c r="X71" s="3" t="str">
        <f t="shared" si="66"/>
        <v/>
      </c>
      <c r="Y71" s="3" t="str">
        <f t="shared" si="66"/>
        <v/>
      </c>
      <c r="Z71" s="3" t="str">
        <f t="shared" si="66"/>
        <v/>
      </c>
      <c r="AA71" s="3" t="str">
        <f t="shared" si="66"/>
        <v/>
      </c>
      <c r="AB71" s="3" t="str">
        <f t="shared" si="66"/>
        <v/>
      </c>
      <c r="AC71" s="3" t="str">
        <f t="shared" si="66"/>
        <v/>
      </c>
      <c r="AD71" s="3" t="str">
        <f t="shared" si="66"/>
        <v>X</v>
      </c>
      <c r="AE71" s="3" t="str">
        <f t="shared" si="66"/>
        <v/>
      </c>
      <c r="AF71" s="3" t="str">
        <f t="shared" si="66"/>
        <v/>
      </c>
      <c r="AG71" s="3" t="str">
        <f t="shared" si="66"/>
        <v/>
      </c>
      <c r="AH71" s="3" t="str">
        <f t="shared" si="65"/>
        <v/>
      </c>
      <c r="AI71" s="3" t="str">
        <f t="shared" si="65"/>
        <v/>
      </c>
      <c r="AJ71" s="3" t="str">
        <f t="shared" si="65"/>
        <v/>
      </c>
      <c r="AK71" s="3" t="str">
        <f t="shared" si="65"/>
        <v/>
      </c>
      <c r="AL71" s="3" t="str">
        <f t="shared" si="65"/>
        <v/>
      </c>
      <c r="AM71" s="3" t="str">
        <f t="shared" si="65"/>
        <v/>
      </c>
      <c r="AN71" s="3" t="str">
        <f t="shared" si="65"/>
        <v/>
      </c>
      <c r="AO71" s="3" t="str">
        <f t="shared" si="65"/>
        <v/>
      </c>
      <c r="AP71" s="3" t="str">
        <f t="shared" si="65"/>
        <v/>
      </c>
      <c r="AQ71" s="3" t="str">
        <f t="shared" si="65"/>
        <v/>
      </c>
      <c r="AR71" s="3" t="str">
        <f t="shared" si="65"/>
        <v/>
      </c>
      <c r="AS71" s="3" t="str">
        <f t="shared" si="65"/>
        <v/>
      </c>
      <c r="AT71" s="3" t="str">
        <f t="shared" si="65"/>
        <v/>
      </c>
      <c r="AU71" s="3" t="str">
        <f t="shared" si="65"/>
        <v/>
      </c>
      <c r="AV71" s="3" t="str">
        <f t="shared" si="65"/>
        <v/>
      </c>
      <c r="AW71" s="3" t="str">
        <f t="shared" si="67"/>
        <v/>
      </c>
      <c r="AX71" s="3" t="str">
        <f t="shared" si="68"/>
        <v>X</v>
      </c>
      <c r="AY71" s="3" t="str">
        <f t="shared" si="69"/>
        <v/>
      </c>
      <c r="AZ71" s="3" t="str">
        <f t="shared" si="70"/>
        <v/>
      </c>
      <c r="BA71" s="3" t="str">
        <f t="shared" si="37"/>
        <v/>
      </c>
      <c r="BB71" s="3">
        <f t="shared" si="38"/>
        <v>4101</v>
      </c>
      <c r="BC71" s="3" t="str">
        <f t="shared" si="39"/>
        <v/>
      </c>
      <c r="BD71" s="3" t="str">
        <f t="shared" si="40"/>
        <v/>
      </c>
      <c r="BE71" s="9" t="str">
        <f t="shared" si="41"/>
        <v/>
      </c>
      <c r="BF71" s="9" t="str">
        <f t="shared" si="42"/>
        <v>00001005</v>
      </c>
      <c r="BG71" s="9" t="str">
        <f t="shared" si="43"/>
        <v/>
      </c>
      <c r="BH71" s="9" t="str">
        <f t="shared" si="44"/>
        <v/>
      </c>
      <c r="BI71" s="3" t="str">
        <f t="shared" si="45"/>
        <v/>
      </c>
      <c r="BJ71" s="3" t="str">
        <f t="shared" si="46"/>
        <v>(2)</v>
      </c>
      <c r="BK71" s="3" t="str">
        <f t="shared" si="47"/>
        <v/>
      </c>
      <c r="BL71" s="3" t="str">
        <f t="shared" si="48"/>
        <v/>
      </c>
      <c r="BM71" s="3" t="str">
        <f t="shared" si="49"/>
        <v/>
      </c>
      <c r="BN71" s="3">
        <f t="shared" si="50"/>
        <v>0</v>
      </c>
      <c r="BO71" s="3" t="str">
        <f t="shared" si="51"/>
        <v/>
      </c>
      <c r="BP71" s="3" t="str">
        <f t="shared" si="52"/>
        <v/>
      </c>
      <c r="BQ71" s="3" t="str">
        <f t="shared" si="53"/>
        <v/>
      </c>
      <c r="BR71" s="3" t="str">
        <f t="shared" si="54"/>
        <v/>
      </c>
      <c r="BS71" s="3" t="str">
        <f t="shared" si="55"/>
        <v/>
      </c>
      <c r="BT71" s="3" t="str">
        <f t="shared" si="56"/>
        <v/>
      </c>
    </row>
    <row r="72" spans="2:72" x14ac:dyDescent="0.25">
      <c r="B72" s="3" t="s">
        <v>248</v>
      </c>
      <c r="C72" s="3" t="s">
        <v>277</v>
      </c>
      <c r="D72" s="3" t="s">
        <v>0</v>
      </c>
      <c r="E72" s="3" t="s">
        <v>670</v>
      </c>
      <c r="F72" s="3" t="s">
        <v>674</v>
      </c>
      <c r="G72" s="3" t="s">
        <v>671</v>
      </c>
      <c r="H72" s="20" t="s">
        <v>278</v>
      </c>
      <c r="I72" s="3" t="s">
        <v>24</v>
      </c>
      <c r="J72" s="3">
        <v>1</v>
      </c>
      <c r="K72" s="3" t="s">
        <v>57</v>
      </c>
      <c r="L72" s="3" t="s">
        <v>23</v>
      </c>
      <c r="M72" s="3">
        <v>1025</v>
      </c>
      <c r="N72" s="3" t="str">
        <f t="shared" si="59"/>
        <v>00000401</v>
      </c>
      <c r="O72" s="3">
        <v>17</v>
      </c>
      <c r="P72" s="3">
        <v>17</v>
      </c>
      <c r="Q72" s="3" t="str">
        <f t="shared" si="64"/>
        <v/>
      </c>
      <c r="R72" s="3" t="str">
        <f t="shared" si="66"/>
        <v/>
      </c>
      <c r="S72" s="3" t="str">
        <f t="shared" si="66"/>
        <v/>
      </c>
      <c r="T72" s="3" t="str">
        <f t="shared" si="66"/>
        <v/>
      </c>
      <c r="U72" s="3" t="str">
        <f t="shared" si="66"/>
        <v/>
      </c>
      <c r="V72" s="3" t="str">
        <f t="shared" si="66"/>
        <v/>
      </c>
      <c r="W72" s="3" t="str">
        <f t="shared" si="66"/>
        <v/>
      </c>
      <c r="X72" s="3" t="str">
        <f t="shared" si="66"/>
        <v/>
      </c>
      <c r="Y72" s="3" t="str">
        <f t="shared" si="66"/>
        <v/>
      </c>
      <c r="Z72" s="3" t="str">
        <f t="shared" si="66"/>
        <v/>
      </c>
      <c r="AA72" s="3" t="str">
        <f t="shared" si="66"/>
        <v/>
      </c>
      <c r="AB72" s="3" t="str">
        <f t="shared" si="66"/>
        <v/>
      </c>
      <c r="AC72" s="3" t="str">
        <f t="shared" si="66"/>
        <v/>
      </c>
      <c r="AD72" s="3" t="str">
        <f t="shared" si="66"/>
        <v/>
      </c>
      <c r="AE72" s="3" t="str">
        <f t="shared" si="66"/>
        <v>X</v>
      </c>
      <c r="AF72" s="3" t="str">
        <f t="shared" si="66"/>
        <v/>
      </c>
      <c r="AG72" s="3" t="str">
        <f t="shared" si="66"/>
        <v/>
      </c>
      <c r="AH72" s="3" t="str">
        <f t="shared" si="65"/>
        <v/>
      </c>
      <c r="AI72" s="3" t="str">
        <f t="shared" si="65"/>
        <v/>
      </c>
      <c r="AJ72" s="3" t="str">
        <f t="shared" si="65"/>
        <v/>
      </c>
      <c r="AK72" s="3" t="str">
        <f t="shared" si="65"/>
        <v/>
      </c>
      <c r="AL72" s="3" t="str">
        <f t="shared" si="65"/>
        <v/>
      </c>
      <c r="AM72" s="3" t="str">
        <f t="shared" si="65"/>
        <v/>
      </c>
      <c r="AN72" s="3" t="str">
        <f t="shared" si="65"/>
        <v/>
      </c>
      <c r="AO72" s="3" t="str">
        <f t="shared" si="65"/>
        <v/>
      </c>
      <c r="AP72" s="3" t="str">
        <f t="shared" si="65"/>
        <v/>
      </c>
      <c r="AQ72" s="3" t="str">
        <f t="shared" si="65"/>
        <v/>
      </c>
      <c r="AR72" s="3" t="str">
        <f t="shared" si="65"/>
        <v/>
      </c>
      <c r="AS72" s="3" t="str">
        <f t="shared" si="65"/>
        <v/>
      </c>
      <c r="AT72" s="3" t="str">
        <f t="shared" si="65"/>
        <v/>
      </c>
      <c r="AU72" s="3" t="str">
        <f t="shared" si="65"/>
        <v/>
      </c>
      <c r="AV72" s="3" t="str">
        <f t="shared" si="65"/>
        <v/>
      </c>
      <c r="AW72" s="3" t="str">
        <f t="shared" si="67"/>
        <v/>
      </c>
      <c r="AX72" s="3" t="str">
        <f t="shared" si="68"/>
        <v>X</v>
      </c>
      <c r="AY72" s="3" t="str">
        <f t="shared" si="69"/>
        <v/>
      </c>
      <c r="AZ72" s="3" t="str">
        <f t="shared" si="70"/>
        <v/>
      </c>
      <c r="BA72" s="3" t="str">
        <f t="shared" ref="BA72:BA106" si="71">IF(AW72="","",$M72*4+BA$3)</f>
        <v/>
      </c>
      <c r="BB72" s="3">
        <f t="shared" ref="BB72:BB106" si="72">IF(AX72="","",$M72*4+BB$3)</f>
        <v>4101</v>
      </c>
      <c r="BC72" s="3" t="str">
        <f t="shared" ref="BC72:BC106" si="73">IF(AY72="","",$M72*4+BC$3)</f>
        <v/>
      </c>
      <c r="BD72" s="3" t="str">
        <f t="shared" ref="BD72:BD106" si="74">IF(AZ72="","",$M72*4+BD$3)</f>
        <v/>
      </c>
      <c r="BE72" s="9" t="str">
        <f t="shared" ref="BE72:BE106" si="75">IF(BA72="","",DEC2HEX(BA72,8))</f>
        <v/>
      </c>
      <c r="BF72" s="9" t="str">
        <f t="shared" ref="BF72:BF106" si="76">IF(BB72="","",DEC2HEX(BB72,8))</f>
        <v>00001005</v>
      </c>
      <c r="BG72" s="9" t="str">
        <f t="shared" ref="BG72:BG106" si="77">IF(BC72="","",DEC2HEX(BC72,8))</f>
        <v/>
      </c>
      <c r="BH72" s="9" t="str">
        <f t="shared" ref="BH72:BH106" si="78">IF(BD72="","",DEC2HEX(BD72,8))</f>
        <v/>
      </c>
      <c r="BI72" s="3" t="str">
        <f t="shared" ref="BI72:BI106" si="79">IF(AW72="","",IF(COUNTIF($Q72:$X72,"X")=8,"",CONCATENATE("(",INDEX($Q$3:$X$3,MATCH("X",$Q72:$X72,0))-24,IF(COUNTIF($Q72:$X72,"X")=1,")",CONCATENATE(" downto ",INDEX($Q$3:$X$3,MATCH("X",$Q72:$X72,0)+COUNTIF($Q72:$X72,"X")-1)-24,")")))))</f>
        <v/>
      </c>
      <c r="BJ72" s="3" t="str">
        <f t="shared" ref="BJ72:BJ106" si="80">IF(AX72="","",IF(COUNTIF($Y72:$AF72,"X")=8,"",CONCATENATE("(",INDEX($Y$3:$AF$3,MATCH("X",$Y72:$AF72,0))-16,IF(COUNTIF($Y72:$AF72,"X")=1,")",CONCATENATE(" downto ",INDEX($Y$3:$AF$3,MATCH("X",$Y72:$AF72,0)+COUNTIF($Y72:$AF72,"X")-1)-16,")")))))</f>
        <v>(1)</v>
      </c>
      <c r="BK72" s="3" t="str">
        <f t="shared" ref="BK72:BK106" si="81">IF(AY72="","",IF(COUNTIF($AG72:$AN72,"X")=8,"",CONCATENATE("(",INDEX($AG$3:$AN$3,MATCH("X",$AG72:$AN72,0))-8,IF(COUNTIF($AG72:$AN72,"X")=1,")",CONCATENATE(" downto ",INDEX($AG$3:$AN$3,MATCH("X",$AG72:$AN72,0)+COUNTIF($AG72:$AN72,"X")-1)-8,")")))))</f>
        <v/>
      </c>
      <c r="BL72" s="3" t="str">
        <f t="shared" ref="BL72:BL106" si="82">IF(AZ72="","",IF(COUNTIF($AO72:$AV72,"X")=8,"",CONCATENATE("(",INDEX($AO$3:$AV$3,MATCH("X",$AO72:$AV72,0)),IF(COUNTIF($AO72:$AV72,"X")=1,")",CONCATENATE(" downto ",INDEX($AO$3:$AV$3,MATCH("X",$AO72:$AV72,0)+COUNTIF($AO72:$AV72,"X")-1),")")))))</f>
        <v/>
      </c>
      <c r="BM72" s="3" t="str">
        <f t="shared" ref="BM72:BM106" si="83">IF(AW72="","",$J72-1)</f>
        <v/>
      </c>
      <c r="BN72" s="3">
        <f t="shared" ref="BN72:BN106" si="84">IF(AX72="","",IF(BM72="",$J72-1,BM72-COUNTIF($Q72:$X72,"X")))</f>
        <v>0</v>
      </c>
      <c r="BO72" s="3" t="str">
        <f t="shared" ref="BO72:BO106" si="85">IF(AY72="","",IF(BN72="",$J72-1,BN72-COUNTIF($Y72:$AF72,"X")))</f>
        <v/>
      </c>
      <c r="BP72" s="3" t="str">
        <f t="shared" ref="BP72:BP106" si="86">IF(AZ72="","",IF(BO72="",$J72-1,BO72-COUNTIF($AG72:$AN72,"X")))</f>
        <v/>
      </c>
      <c r="BQ72" s="3" t="str">
        <f t="shared" ref="BQ72:BQ106" si="87">IF(AW72="","",IF((4-COUNTIF($BM72:$BP72,""))=1,"",CONCATENATE("(",BM72,IF(COUNTIF($Q72:$X72,"X")=1,"",CONCATENATE(" downto ",BM72-COUNTIF($Q72:$X72,"X")+1)),")")))</f>
        <v/>
      </c>
      <c r="BR72" s="3" t="str">
        <f t="shared" ref="BR72:BR106" si="88">IF(AX72="","",IF((4-COUNTIF($BM72:$BP72,""))=1,"",CONCATENATE("(",BN72,IF(COUNTIF($Y72:$AF72,"X")=1,"",CONCATENATE(" downto ",BN72-COUNTIF($Y72:$AF72,"X")+1)),")")))</f>
        <v/>
      </c>
      <c r="BS72" s="3" t="str">
        <f t="shared" ref="BS72:BS106" si="89">IF(AY72="","",IF((4-COUNTIF($BM72:$BP72,""))=1,"",CONCATENATE("(",BO72,IF(COUNTIF($AG72:$AN72,"X")=1,"",CONCATENATE(" downto ",BO72-COUNTIF($AG72:$AN72,"X")+1)),")")))</f>
        <v/>
      </c>
      <c r="BT72" s="3" t="str">
        <f t="shared" ref="BT72:BT106" si="90">IF(AZ72="","",IF((4-COUNTIF($BM72:$BP72,""))=1,"",CONCATENATE("(",BP72,IF(COUNTIF($AO72:$AV72,"X") = 1,"",CONCATENATE(" downto ",BP72-COUNTIF($AO72:$AV72,"X")+1)),")")))</f>
        <v/>
      </c>
    </row>
    <row r="73" spans="2:72" x14ac:dyDescent="0.25">
      <c r="B73" s="3" t="s">
        <v>248</v>
      </c>
      <c r="C73" s="3" t="s">
        <v>279</v>
      </c>
      <c r="D73" s="3" t="s">
        <v>0</v>
      </c>
      <c r="E73" s="3" t="s">
        <v>670</v>
      </c>
      <c r="F73" s="3" t="s">
        <v>674</v>
      </c>
      <c r="G73" s="3" t="s">
        <v>671</v>
      </c>
      <c r="H73" s="20" t="s">
        <v>280</v>
      </c>
      <c r="I73" s="3" t="s">
        <v>24</v>
      </c>
      <c r="J73" s="3">
        <v>1</v>
      </c>
      <c r="K73" s="3" t="s">
        <v>57</v>
      </c>
      <c r="L73" s="3" t="s">
        <v>23</v>
      </c>
      <c r="M73" s="3">
        <v>1025</v>
      </c>
      <c r="N73" s="3" t="str">
        <f t="shared" si="59"/>
        <v>00000401</v>
      </c>
      <c r="O73" s="3">
        <v>16</v>
      </c>
      <c r="P73" s="3">
        <v>16</v>
      </c>
      <c r="Q73" s="3" t="str">
        <f t="shared" si="64"/>
        <v/>
      </c>
      <c r="R73" s="3" t="str">
        <f t="shared" si="66"/>
        <v/>
      </c>
      <c r="S73" s="3" t="str">
        <f t="shared" si="66"/>
        <v/>
      </c>
      <c r="T73" s="3" t="str">
        <f t="shared" si="66"/>
        <v/>
      </c>
      <c r="U73" s="3" t="str">
        <f t="shared" si="66"/>
        <v/>
      </c>
      <c r="V73" s="3" t="str">
        <f t="shared" si="66"/>
        <v/>
      </c>
      <c r="W73" s="3" t="str">
        <f t="shared" si="66"/>
        <v/>
      </c>
      <c r="X73" s="3" t="str">
        <f t="shared" si="66"/>
        <v/>
      </c>
      <c r="Y73" s="3" t="str">
        <f t="shared" si="66"/>
        <v/>
      </c>
      <c r="Z73" s="3" t="str">
        <f t="shared" si="66"/>
        <v/>
      </c>
      <c r="AA73" s="3" t="str">
        <f t="shared" si="66"/>
        <v/>
      </c>
      <c r="AB73" s="3" t="str">
        <f t="shared" si="66"/>
        <v/>
      </c>
      <c r="AC73" s="3" t="str">
        <f t="shared" si="66"/>
        <v/>
      </c>
      <c r="AD73" s="3" t="str">
        <f t="shared" si="66"/>
        <v/>
      </c>
      <c r="AE73" s="3" t="str">
        <f t="shared" si="66"/>
        <v/>
      </c>
      <c r="AF73" s="3" t="str">
        <f t="shared" si="66"/>
        <v>X</v>
      </c>
      <c r="AG73" s="3" t="str">
        <f t="shared" si="66"/>
        <v/>
      </c>
      <c r="AH73" s="3" t="str">
        <f t="shared" si="65"/>
        <v/>
      </c>
      <c r="AI73" s="3" t="str">
        <f t="shared" si="65"/>
        <v/>
      </c>
      <c r="AJ73" s="3" t="str">
        <f t="shared" si="65"/>
        <v/>
      </c>
      <c r="AK73" s="3" t="str">
        <f t="shared" si="65"/>
        <v/>
      </c>
      <c r="AL73" s="3" t="str">
        <f t="shared" si="65"/>
        <v/>
      </c>
      <c r="AM73" s="3" t="str">
        <f t="shared" si="65"/>
        <v/>
      </c>
      <c r="AN73" s="3" t="str">
        <f t="shared" si="65"/>
        <v/>
      </c>
      <c r="AO73" s="3" t="str">
        <f t="shared" si="65"/>
        <v/>
      </c>
      <c r="AP73" s="3" t="str">
        <f t="shared" si="65"/>
        <v/>
      </c>
      <c r="AQ73" s="3" t="str">
        <f t="shared" si="65"/>
        <v/>
      </c>
      <c r="AR73" s="3" t="str">
        <f t="shared" si="65"/>
        <v/>
      </c>
      <c r="AS73" s="3" t="str">
        <f t="shared" si="65"/>
        <v/>
      </c>
      <c r="AT73" s="3" t="str">
        <f t="shared" si="65"/>
        <v/>
      </c>
      <c r="AU73" s="3" t="str">
        <f t="shared" si="65"/>
        <v/>
      </c>
      <c r="AV73" s="3" t="str">
        <f t="shared" si="65"/>
        <v/>
      </c>
      <c r="AW73" s="3" t="str">
        <f t="shared" si="67"/>
        <v/>
      </c>
      <c r="AX73" s="3" t="str">
        <f t="shared" si="68"/>
        <v>X</v>
      </c>
      <c r="AY73" s="3" t="str">
        <f t="shared" si="69"/>
        <v/>
      </c>
      <c r="AZ73" s="3" t="str">
        <f t="shared" si="70"/>
        <v/>
      </c>
      <c r="BA73" s="3" t="str">
        <f t="shared" si="71"/>
        <v/>
      </c>
      <c r="BB73" s="3">
        <f t="shared" si="72"/>
        <v>4101</v>
      </c>
      <c r="BC73" s="3" t="str">
        <f t="shared" si="73"/>
        <v/>
      </c>
      <c r="BD73" s="3" t="str">
        <f t="shared" si="74"/>
        <v/>
      </c>
      <c r="BE73" s="9" t="str">
        <f t="shared" si="75"/>
        <v/>
      </c>
      <c r="BF73" s="9" t="str">
        <f t="shared" si="76"/>
        <v>00001005</v>
      </c>
      <c r="BG73" s="9" t="str">
        <f t="shared" si="77"/>
        <v/>
      </c>
      <c r="BH73" s="9" t="str">
        <f t="shared" si="78"/>
        <v/>
      </c>
      <c r="BI73" s="3" t="str">
        <f t="shared" si="79"/>
        <v/>
      </c>
      <c r="BJ73" s="3" t="str">
        <f t="shared" si="80"/>
        <v>(0)</v>
      </c>
      <c r="BK73" s="3" t="str">
        <f t="shared" si="81"/>
        <v/>
      </c>
      <c r="BL73" s="3" t="str">
        <f t="shared" si="82"/>
        <v/>
      </c>
      <c r="BM73" s="3" t="str">
        <f t="shared" si="83"/>
        <v/>
      </c>
      <c r="BN73" s="3">
        <f t="shared" si="84"/>
        <v>0</v>
      </c>
      <c r="BO73" s="3" t="str">
        <f t="shared" si="85"/>
        <v/>
      </c>
      <c r="BP73" s="3" t="str">
        <f t="shared" si="86"/>
        <v/>
      </c>
      <c r="BQ73" s="3" t="str">
        <f t="shared" si="87"/>
        <v/>
      </c>
      <c r="BR73" s="3" t="str">
        <f t="shared" si="88"/>
        <v/>
      </c>
      <c r="BS73" s="3" t="str">
        <f t="shared" si="89"/>
        <v/>
      </c>
      <c r="BT73" s="3" t="str">
        <f t="shared" si="90"/>
        <v/>
      </c>
    </row>
    <row r="74" spans="2:72" x14ac:dyDescent="0.25">
      <c r="B74" s="3" t="s">
        <v>248</v>
      </c>
      <c r="C74" s="3" t="s">
        <v>281</v>
      </c>
      <c r="D74" s="3" t="s">
        <v>0</v>
      </c>
      <c r="E74" s="3" t="s">
        <v>670</v>
      </c>
      <c r="F74" s="3" t="s">
        <v>674</v>
      </c>
      <c r="G74" s="3" t="s">
        <v>671</v>
      </c>
      <c r="H74" s="20" t="s">
        <v>282</v>
      </c>
      <c r="I74" s="3" t="s">
        <v>24</v>
      </c>
      <c r="J74" s="3">
        <v>1</v>
      </c>
      <c r="K74" s="3" t="s">
        <v>57</v>
      </c>
      <c r="L74" s="3" t="s">
        <v>23</v>
      </c>
      <c r="M74" s="3">
        <v>1025</v>
      </c>
      <c r="N74" s="3" t="str">
        <f t="shared" si="59"/>
        <v>00000401</v>
      </c>
      <c r="O74" s="3">
        <v>14</v>
      </c>
      <c r="P74" s="3">
        <v>14</v>
      </c>
      <c r="Q74" s="3" t="str">
        <f t="shared" si="64"/>
        <v/>
      </c>
      <c r="R74" s="3" t="str">
        <f t="shared" si="66"/>
        <v/>
      </c>
      <c r="S74" s="3" t="str">
        <f t="shared" si="66"/>
        <v/>
      </c>
      <c r="T74" s="3" t="str">
        <f t="shared" si="66"/>
        <v/>
      </c>
      <c r="U74" s="3" t="str">
        <f t="shared" si="66"/>
        <v/>
      </c>
      <c r="V74" s="3" t="str">
        <f t="shared" si="66"/>
        <v/>
      </c>
      <c r="W74" s="3" t="str">
        <f t="shared" si="66"/>
        <v/>
      </c>
      <c r="X74" s="3" t="str">
        <f t="shared" si="66"/>
        <v/>
      </c>
      <c r="Y74" s="3" t="str">
        <f t="shared" si="66"/>
        <v/>
      </c>
      <c r="Z74" s="3" t="str">
        <f t="shared" si="66"/>
        <v/>
      </c>
      <c r="AA74" s="3" t="str">
        <f t="shared" si="66"/>
        <v/>
      </c>
      <c r="AB74" s="3" t="str">
        <f t="shared" si="66"/>
        <v/>
      </c>
      <c r="AC74" s="3" t="str">
        <f t="shared" si="66"/>
        <v/>
      </c>
      <c r="AD74" s="3" t="str">
        <f t="shared" si="66"/>
        <v/>
      </c>
      <c r="AE74" s="3" t="str">
        <f t="shared" si="66"/>
        <v/>
      </c>
      <c r="AF74" s="3" t="str">
        <f t="shared" si="66"/>
        <v/>
      </c>
      <c r="AG74" s="3" t="str">
        <f t="shared" si="66"/>
        <v/>
      </c>
      <c r="AH74" s="3" t="str">
        <f t="shared" si="65"/>
        <v>X</v>
      </c>
      <c r="AI74" s="3" t="str">
        <f t="shared" si="65"/>
        <v/>
      </c>
      <c r="AJ74" s="3" t="str">
        <f t="shared" si="65"/>
        <v/>
      </c>
      <c r="AK74" s="3" t="str">
        <f t="shared" si="65"/>
        <v/>
      </c>
      <c r="AL74" s="3" t="str">
        <f t="shared" si="65"/>
        <v/>
      </c>
      <c r="AM74" s="3" t="str">
        <f t="shared" si="65"/>
        <v/>
      </c>
      <c r="AN74" s="3" t="str">
        <f t="shared" si="65"/>
        <v/>
      </c>
      <c r="AO74" s="3" t="str">
        <f t="shared" si="65"/>
        <v/>
      </c>
      <c r="AP74" s="3" t="str">
        <f t="shared" si="65"/>
        <v/>
      </c>
      <c r="AQ74" s="3" t="str">
        <f t="shared" si="65"/>
        <v/>
      </c>
      <c r="AR74" s="3" t="str">
        <f t="shared" si="65"/>
        <v/>
      </c>
      <c r="AS74" s="3" t="str">
        <f t="shared" si="65"/>
        <v/>
      </c>
      <c r="AT74" s="3" t="str">
        <f t="shared" si="65"/>
        <v/>
      </c>
      <c r="AU74" s="3" t="str">
        <f t="shared" si="65"/>
        <v/>
      </c>
      <c r="AV74" s="3" t="str">
        <f t="shared" si="65"/>
        <v/>
      </c>
      <c r="AW74" s="3" t="str">
        <f t="shared" si="67"/>
        <v/>
      </c>
      <c r="AX74" s="3" t="str">
        <f t="shared" si="68"/>
        <v/>
      </c>
      <c r="AY74" s="3" t="str">
        <f t="shared" si="69"/>
        <v>X</v>
      </c>
      <c r="AZ74" s="3" t="str">
        <f t="shared" si="70"/>
        <v/>
      </c>
      <c r="BA74" s="3" t="str">
        <f t="shared" si="71"/>
        <v/>
      </c>
      <c r="BB74" s="3" t="str">
        <f t="shared" si="72"/>
        <v/>
      </c>
      <c r="BC74" s="3">
        <f t="shared" si="73"/>
        <v>4102</v>
      </c>
      <c r="BD74" s="3" t="str">
        <f t="shared" si="74"/>
        <v/>
      </c>
      <c r="BE74" s="9" t="str">
        <f t="shared" si="75"/>
        <v/>
      </c>
      <c r="BF74" s="9" t="str">
        <f t="shared" si="76"/>
        <v/>
      </c>
      <c r="BG74" s="9" t="str">
        <f t="shared" si="77"/>
        <v>00001006</v>
      </c>
      <c r="BH74" s="9" t="str">
        <f t="shared" si="78"/>
        <v/>
      </c>
      <c r="BI74" s="3" t="str">
        <f t="shared" si="79"/>
        <v/>
      </c>
      <c r="BJ74" s="3" t="str">
        <f t="shared" si="80"/>
        <v/>
      </c>
      <c r="BK74" s="3" t="str">
        <f t="shared" si="81"/>
        <v>(6)</v>
      </c>
      <c r="BL74" s="3" t="str">
        <f t="shared" si="82"/>
        <v/>
      </c>
      <c r="BM74" s="3" t="str">
        <f t="shared" si="83"/>
        <v/>
      </c>
      <c r="BN74" s="3" t="str">
        <f t="shared" si="84"/>
        <v/>
      </c>
      <c r="BO74" s="3">
        <f t="shared" si="85"/>
        <v>0</v>
      </c>
      <c r="BP74" s="3" t="str">
        <f t="shared" si="86"/>
        <v/>
      </c>
      <c r="BQ74" s="3" t="str">
        <f t="shared" si="87"/>
        <v/>
      </c>
      <c r="BR74" s="3" t="str">
        <f t="shared" si="88"/>
        <v/>
      </c>
      <c r="BS74" s="3" t="str">
        <f t="shared" si="89"/>
        <v/>
      </c>
      <c r="BT74" s="3" t="str">
        <f t="shared" si="90"/>
        <v/>
      </c>
    </row>
    <row r="75" spans="2:72" x14ac:dyDescent="0.25">
      <c r="B75" s="3" t="s">
        <v>248</v>
      </c>
      <c r="C75" s="3" t="s">
        <v>283</v>
      </c>
      <c r="D75" s="3" t="s">
        <v>0</v>
      </c>
      <c r="E75" s="3" t="s">
        <v>670</v>
      </c>
      <c r="F75" s="3" t="s">
        <v>674</v>
      </c>
      <c r="G75" s="3" t="s">
        <v>671</v>
      </c>
      <c r="H75" s="20" t="s">
        <v>284</v>
      </c>
      <c r="I75" s="3" t="s">
        <v>24</v>
      </c>
      <c r="J75" s="3">
        <v>1</v>
      </c>
      <c r="K75" s="3" t="s">
        <v>57</v>
      </c>
      <c r="L75" s="3" t="s">
        <v>23</v>
      </c>
      <c r="M75" s="3">
        <v>1025</v>
      </c>
      <c r="N75" s="3" t="str">
        <f t="shared" si="59"/>
        <v>00000401</v>
      </c>
      <c r="O75" s="3">
        <v>12</v>
      </c>
      <c r="P75" s="3">
        <v>12</v>
      </c>
      <c r="Q75" s="3" t="str">
        <f t="shared" si="64"/>
        <v/>
      </c>
      <c r="R75" s="3" t="str">
        <f t="shared" si="66"/>
        <v/>
      </c>
      <c r="S75" s="3" t="str">
        <f t="shared" si="66"/>
        <v/>
      </c>
      <c r="T75" s="3" t="str">
        <f t="shared" si="66"/>
        <v/>
      </c>
      <c r="U75" s="3" t="str">
        <f t="shared" si="66"/>
        <v/>
      </c>
      <c r="V75" s="3" t="str">
        <f t="shared" si="66"/>
        <v/>
      </c>
      <c r="W75" s="3" t="str">
        <f t="shared" si="66"/>
        <v/>
      </c>
      <c r="X75" s="3" t="str">
        <f t="shared" si="66"/>
        <v/>
      </c>
      <c r="Y75" s="3" t="str">
        <f t="shared" si="66"/>
        <v/>
      </c>
      <c r="Z75" s="3" t="str">
        <f t="shared" si="66"/>
        <v/>
      </c>
      <c r="AA75" s="3" t="str">
        <f t="shared" si="66"/>
        <v/>
      </c>
      <c r="AB75" s="3" t="str">
        <f t="shared" si="66"/>
        <v/>
      </c>
      <c r="AC75" s="3" t="str">
        <f t="shared" si="66"/>
        <v/>
      </c>
      <c r="AD75" s="3" t="str">
        <f t="shared" si="66"/>
        <v/>
      </c>
      <c r="AE75" s="3" t="str">
        <f t="shared" si="66"/>
        <v/>
      </c>
      <c r="AF75" s="3" t="str">
        <f t="shared" si="66"/>
        <v/>
      </c>
      <c r="AG75" s="3" t="str">
        <f t="shared" si="66"/>
        <v/>
      </c>
      <c r="AH75" s="3" t="str">
        <f t="shared" si="65"/>
        <v/>
      </c>
      <c r="AI75" s="3" t="str">
        <f t="shared" si="65"/>
        <v/>
      </c>
      <c r="AJ75" s="3" t="str">
        <f t="shared" si="65"/>
        <v>X</v>
      </c>
      <c r="AK75" s="3" t="str">
        <f t="shared" si="65"/>
        <v/>
      </c>
      <c r="AL75" s="3" t="str">
        <f t="shared" si="65"/>
        <v/>
      </c>
      <c r="AM75" s="3" t="str">
        <f t="shared" si="65"/>
        <v/>
      </c>
      <c r="AN75" s="3" t="str">
        <f t="shared" si="65"/>
        <v/>
      </c>
      <c r="AO75" s="3" t="str">
        <f t="shared" si="65"/>
        <v/>
      </c>
      <c r="AP75" s="3" t="str">
        <f t="shared" si="65"/>
        <v/>
      </c>
      <c r="AQ75" s="3" t="str">
        <f t="shared" si="65"/>
        <v/>
      </c>
      <c r="AR75" s="3" t="str">
        <f t="shared" si="65"/>
        <v/>
      </c>
      <c r="AS75" s="3" t="str">
        <f t="shared" si="65"/>
        <v/>
      </c>
      <c r="AT75" s="3" t="str">
        <f t="shared" si="65"/>
        <v/>
      </c>
      <c r="AU75" s="3" t="str">
        <f t="shared" si="65"/>
        <v/>
      </c>
      <c r="AV75" s="3" t="str">
        <f t="shared" si="65"/>
        <v/>
      </c>
      <c r="AW75" s="3" t="str">
        <f t="shared" si="67"/>
        <v/>
      </c>
      <c r="AX75" s="3" t="str">
        <f t="shared" si="68"/>
        <v/>
      </c>
      <c r="AY75" s="3" t="str">
        <f t="shared" si="69"/>
        <v>X</v>
      </c>
      <c r="AZ75" s="3" t="str">
        <f t="shared" si="70"/>
        <v/>
      </c>
      <c r="BA75" s="3" t="str">
        <f t="shared" si="71"/>
        <v/>
      </c>
      <c r="BB75" s="3" t="str">
        <f t="shared" si="72"/>
        <v/>
      </c>
      <c r="BC75" s="3">
        <f t="shared" si="73"/>
        <v>4102</v>
      </c>
      <c r="BD75" s="3" t="str">
        <f t="shared" si="74"/>
        <v/>
      </c>
      <c r="BE75" s="9" t="str">
        <f t="shared" si="75"/>
        <v/>
      </c>
      <c r="BF75" s="9" t="str">
        <f t="shared" si="76"/>
        <v/>
      </c>
      <c r="BG75" s="9" t="str">
        <f t="shared" si="77"/>
        <v>00001006</v>
      </c>
      <c r="BH75" s="9" t="str">
        <f t="shared" si="78"/>
        <v/>
      </c>
      <c r="BI75" s="3" t="str">
        <f t="shared" si="79"/>
        <v/>
      </c>
      <c r="BJ75" s="3" t="str">
        <f t="shared" si="80"/>
        <v/>
      </c>
      <c r="BK75" s="3" t="str">
        <f t="shared" si="81"/>
        <v>(4)</v>
      </c>
      <c r="BL75" s="3" t="str">
        <f t="shared" si="82"/>
        <v/>
      </c>
      <c r="BM75" s="3" t="str">
        <f t="shared" si="83"/>
        <v/>
      </c>
      <c r="BN75" s="3" t="str">
        <f t="shared" si="84"/>
        <v/>
      </c>
      <c r="BO75" s="3">
        <f t="shared" si="85"/>
        <v>0</v>
      </c>
      <c r="BP75" s="3" t="str">
        <f t="shared" si="86"/>
        <v/>
      </c>
      <c r="BQ75" s="3" t="str">
        <f t="shared" si="87"/>
        <v/>
      </c>
      <c r="BR75" s="3" t="str">
        <f t="shared" si="88"/>
        <v/>
      </c>
      <c r="BS75" s="3" t="str">
        <f t="shared" si="89"/>
        <v/>
      </c>
      <c r="BT75" s="3" t="str">
        <f t="shared" si="90"/>
        <v/>
      </c>
    </row>
    <row r="76" spans="2:72" x14ac:dyDescent="0.25">
      <c r="B76" s="3" t="s">
        <v>248</v>
      </c>
      <c r="C76" s="3" t="s">
        <v>285</v>
      </c>
      <c r="D76" s="3" t="s">
        <v>0</v>
      </c>
      <c r="E76" s="3" t="s">
        <v>670</v>
      </c>
      <c r="F76" s="3" t="s">
        <v>674</v>
      </c>
      <c r="G76" s="3" t="s">
        <v>671</v>
      </c>
      <c r="H76" s="20" t="s">
        <v>286</v>
      </c>
      <c r="I76" s="3" t="s">
        <v>24</v>
      </c>
      <c r="J76" s="3">
        <v>1</v>
      </c>
      <c r="K76" s="3" t="s">
        <v>57</v>
      </c>
      <c r="L76" s="3" t="s">
        <v>23</v>
      </c>
      <c r="M76" s="3">
        <v>1025</v>
      </c>
      <c r="N76" s="3" t="str">
        <f t="shared" si="59"/>
        <v>00000401</v>
      </c>
      <c r="O76" s="3">
        <v>10</v>
      </c>
      <c r="P76" s="3">
        <v>10</v>
      </c>
      <c r="Q76" s="3" t="str">
        <f t="shared" si="64"/>
        <v/>
      </c>
      <c r="R76" s="3" t="str">
        <f t="shared" si="66"/>
        <v/>
      </c>
      <c r="S76" s="3" t="str">
        <f t="shared" si="66"/>
        <v/>
      </c>
      <c r="T76" s="3" t="str">
        <f t="shared" si="66"/>
        <v/>
      </c>
      <c r="U76" s="3" t="str">
        <f t="shared" si="66"/>
        <v/>
      </c>
      <c r="V76" s="3" t="str">
        <f t="shared" si="66"/>
        <v/>
      </c>
      <c r="W76" s="3" t="str">
        <f t="shared" si="66"/>
        <v/>
      </c>
      <c r="X76" s="3" t="str">
        <f t="shared" si="66"/>
        <v/>
      </c>
      <c r="Y76" s="3" t="str">
        <f t="shared" si="66"/>
        <v/>
      </c>
      <c r="Z76" s="3" t="str">
        <f t="shared" si="66"/>
        <v/>
      </c>
      <c r="AA76" s="3" t="str">
        <f t="shared" si="66"/>
        <v/>
      </c>
      <c r="AB76" s="3" t="str">
        <f t="shared" si="66"/>
        <v/>
      </c>
      <c r="AC76" s="3" t="str">
        <f t="shared" si="66"/>
        <v/>
      </c>
      <c r="AD76" s="3" t="str">
        <f t="shared" si="66"/>
        <v/>
      </c>
      <c r="AE76" s="3" t="str">
        <f t="shared" si="66"/>
        <v/>
      </c>
      <c r="AF76" s="3" t="str">
        <f t="shared" si="66"/>
        <v/>
      </c>
      <c r="AG76" s="3" t="str">
        <f t="shared" si="66"/>
        <v/>
      </c>
      <c r="AH76" s="3" t="str">
        <f t="shared" ref="AH76:AV92" si="91">IF(AND($O76&gt;=AH$3,AH$3&gt;=$P76),"X","")</f>
        <v/>
      </c>
      <c r="AI76" s="3" t="str">
        <f t="shared" si="91"/>
        <v/>
      </c>
      <c r="AJ76" s="3" t="str">
        <f t="shared" si="91"/>
        <v/>
      </c>
      <c r="AK76" s="3" t="str">
        <f t="shared" si="91"/>
        <v/>
      </c>
      <c r="AL76" s="3" t="str">
        <f t="shared" si="91"/>
        <v>X</v>
      </c>
      <c r="AM76" s="3" t="str">
        <f t="shared" si="91"/>
        <v/>
      </c>
      <c r="AN76" s="3" t="str">
        <f t="shared" si="91"/>
        <v/>
      </c>
      <c r="AO76" s="3" t="str">
        <f t="shared" si="91"/>
        <v/>
      </c>
      <c r="AP76" s="3" t="str">
        <f t="shared" si="91"/>
        <v/>
      </c>
      <c r="AQ76" s="3" t="str">
        <f t="shared" si="91"/>
        <v/>
      </c>
      <c r="AR76" s="3" t="str">
        <f t="shared" si="91"/>
        <v/>
      </c>
      <c r="AS76" s="3" t="str">
        <f t="shared" si="91"/>
        <v/>
      </c>
      <c r="AT76" s="3" t="str">
        <f t="shared" si="91"/>
        <v/>
      </c>
      <c r="AU76" s="3" t="str">
        <f t="shared" si="91"/>
        <v/>
      </c>
      <c r="AV76" s="3" t="str">
        <f t="shared" si="91"/>
        <v/>
      </c>
      <c r="AW76" s="3" t="str">
        <f t="shared" si="67"/>
        <v/>
      </c>
      <c r="AX76" s="3" t="str">
        <f t="shared" si="68"/>
        <v/>
      </c>
      <c r="AY76" s="3" t="str">
        <f t="shared" si="69"/>
        <v>X</v>
      </c>
      <c r="AZ76" s="3" t="str">
        <f t="shared" si="70"/>
        <v/>
      </c>
      <c r="BA76" s="3" t="str">
        <f t="shared" si="71"/>
        <v/>
      </c>
      <c r="BB76" s="3" t="str">
        <f t="shared" si="72"/>
        <v/>
      </c>
      <c r="BC76" s="3">
        <f t="shared" si="73"/>
        <v>4102</v>
      </c>
      <c r="BD76" s="3" t="str">
        <f t="shared" si="74"/>
        <v/>
      </c>
      <c r="BE76" s="9" t="str">
        <f t="shared" si="75"/>
        <v/>
      </c>
      <c r="BF76" s="9" t="str">
        <f t="shared" si="76"/>
        <v/>
      </c>
      <c r="BG76" s="9" t="str">
        <f t="shared" si="77"/>
        <v>00001006</v>
      </c>
      <c r="BH76" s="9" t="str">
        <f t="shared" si="78"/>
        <v/>
      </c>
      <c r="BI76" s="3" t="str">
        <f t="shared" si="79"/>
        <v/>
      </c>
      <c r="BJ76" s="3" t="str">
        <f t="shared" si="80"/>
        <v/>
      </c>
      <c r="BK76" s="3" t="str">
        <f t="shared" si="81"/>
        <v>(2)</v>
      </c>
      <c r="BL76" s="3" t="str">
        <f t="shared" si="82"/>
        <v/>
      </c>
      <c r="BM76" s="3" t="str">
        <f t="shared" si="83"/>
        <v/>
      </c>
      <c r="BN76" s="3" t="str">
        <f t="shared" si="84"/>
        <v/>
      </c>
      <c r="BO76" s="3">
        <f t="shared" si="85"/>
        <v>0</v>
      </c>
      <c r="BP76" s="3" t="str">
        <f t="shared" si="86"/>
        <v/>
      </c>
      <c r="BQ76" s="3" t="str">
        <f t="shared" si="87"/>
        <v/>
      </c>
      <c r="BR76" s="3" t="str">
        <f t="shared" si="88"/>
        <v/>
      </c>
      <c r="BS76" s="3" t="str">
        <f t="shared" si="89"/>
        <v/>
      </c>
      <c r="BT76" s="3" t="str">
        <f t="shared" si="90"/>
        <v/>
      </c>
    </row>
    <row r="77" spans="2:72" x14ac:dyDescent="0.25">
      <c r="B77" s="3" t="s">
        <v>248</v>
      </c>
      <c r="C77" s="3" t="s">
        <v>287</v>
      </c>
      <c r="D77" s="3" t="s">
        <v>0</v>
      </c>
      <c r="E77" s="3" t="s">
        <v>670</v>
      </c>
      <c r="F77" s="3" t="s">
        <v>674</v>
      </c>
      <c r="G77" s="3" t="s">
        <v>671</v>
      </c>
      <c r="H77" s="20" t="s">
        <v>288</v>
      </c>
      <c r="I77" s="3" t="s">
        <v>24</v>
      </c>
      <c r="J77" s="3">
        <v>1</v>
      </c>
      <c r="K77" s="3" t="s">
        <v>57</v>
      </c>
      <c r="L77" s="3" t="s">
        <v>23</v>
      </c>
      <c r="M77" s="3">
        <v>1025</v>
      </c>
      <c r="N77" s="3" t="str">
        <f t="shared" si="59"/>
        <v>00000401</v>
      </c>
      <c r="O77" s="3">
        <v>8</v>
      </c>
      <c r="P77" s="3">
        <v>8</v>
      </c>
      <c r="Q77" s="3" t="str">
        <f t="shared" si="64"/>
        <v/>
      </c>
      <c r="R77" s="3" t="str">
        <f t="shared" si="66"/>
        <v/>
      </c>
      <c r="S77" s="3" t="str">
        <f t="shared" si="66"/>
        <v/>
      </c>
      <c r="T77" s="3" t="str">
        <f t="shared" si="66"/>
        <v/>
      </c>
      <c r="U77" s="3" t="str">
        <f t="shared" si="66"/>
        <v/>
      </c>
      <c r="V77" s="3" t="str">
        <f t="shared" si="66"/>
        <v/>
      </c>
      <c r="W77" s="3" t="str">
        <f t="shared" si="66"/>
        <v/>
      </c>
      <c r="X77" s="3" t="str">
        <f t="shared" si="66"/>
        <v/>
      </c>
      <c r="Y77" s="3" t="str">
        <f t="shared" si="66"/>
        <v/>
      </c>
      <c r="Z77" s="3" t="str">
        <f t="shared" si="66"/>
        <v/>
      </c>
      <c r="AA77" s="3" t="str">
        <f t="shared" si="66"/>
        <v/>
      </c>
      <c r="AB77" s="3" t="str">
        <f t="shared" si="66"/>
        <v/>
      </c>
      <c r="AC77" s="3" t="str">
        <f t="shared" si="66"/>
        <v/>
      </c>
      <c r="AD77" s="3" t="str">
        <f t="shared" si="66"/>
        <v/>
      </c>
      <c r="AE77" s="3" t="str">
        <f t="shared" si="66"/>
        <v/>
      </c>
      <c r="AF77" s="3" t="str">
        <f t="shared" si="66"/>
        <v/>
      </c>
      <c r="AG77" s="3" t="str">
        <f t="shared" si="66"/>
        <v/>
      </c>
      <c r="AH77" s="3" t="str">
        <f t="shared" si="91"/>
        <v/>
      </c>
      <c r="AI77" s="3" t="str">
        <f t="shared" si="91"/>
        <v/>
      </c>
      <c r="AJ77" s="3" t="str">
        <f t="shared" si="91"/>
        <v/>
      </c>
      <c r="AK77" s="3" t="str">
        <f t="shared" si="91"/>
        <v/>
      </c>
      <c r="AL77" s="3" t="str">
        <f t="shared" si="91"/>
        <v/>
      </c>
      <c r="AM77" s="3" t="str">
        <f t="shared" si="91"/>
        <v/>
      </c>
      <c r="AN77" s="3" t="str">
        <f t="shared" si="91"/>
        <v>X</v>
      </c>
      <c r="AO77" s="3" t="str">
        <f t="shared" si="91"/>
        <v/>
      </c>
      <c r="AP77" s="3" t="str">
        <f t="shared" si="91"/>
        <v/>
      </c>
      <c r="AQ77" s="3" t="str">
        <f t="shared" si="91"/>
        <v/>
      </c>
      <c r="AR77" s="3" t="str">
        <f t="shared" si="91"/>
        <v/>
      </c>
      <c r="AS77" s="3" t="str">
        <f t="shared" si="91"/>
        <v/>
      </c>
      <c r="AT77" s="3" t="str">
        <f t="shared" si="91"/>
        <v/>
      </c>
      <c r="AU77" s="3" t="str">
        <f t="shared" si="91"/>
        <v/>
      </c>
      <c r="AV77" s="3" t="str">
        <f t="shared" si="91"/>
        <v/>
      </c>
      <c r="AW77" s="3" t="str">
        <f t="shared" si="67"/>
        <v/>
      </c>
      <c r="AX77" s="3" t="str">
        <f t="shared" si="68"/>
        <v/>
      </c>
      <c r="AY77" s="3" t="str">
        <f t="shared" si="69"/>
        <v>X</v>
      </c>
      <c r="AZ77" s="3" t="str">
        <f t="shared" si="70"/>
        <v/>
      </c>
      <c r="BA77" s="3" t="str">
        <f t="shared" si="71"/>
        <v/>
      </c>
      <c r="BB77" s="3" t="str">
        <f t="shared" si="72"/>
        <v/>
      </c>
      <c r="BC77" s="3">
        <f t="shared" si="73"/>
        <v>4102</v>
      </c>
      <c r="BD77" s="3" t="str">
        <f t="shared" si="74"/>
        <v/>
      </c>
      <c r="BE77" s="9" t="str">
        <f t="shared" si="75"/>
        <v/>
      </c>
      <c r="BF77" s="9" t="str">
        <f t="shared" si="76"/>
        <v/>
      </c>
      <c r="BG77" s="9" t="str">
        <f t="shared" si="77"/>
        <v>00001006</v>
      </c>
      <c r="BH77" s="9" t="str">
        <f t="shared" si="78"/>
        <v/>
      </c>
      <c r="BI77" s="3" t="str">
        <f t="shared" si="79"/>
        <v/>
      </c>
      <c r="BJ77" s="3" t="str">
        <f t="shared" si="80"/>
        <v/>
      </c>
      <c r="BK77" s="3" t="str">
        <f t="shared" si="81"/>
        <v>(0)</v>
      </c>
      <c r="BL77" s="3" t="str">
        <f t="shared" si="82"/>
        <v/>
      </c>
      <c r="BM77" s="3" t="str">
        <f t="shared" si="83"/>
        <v/>
      </c>
      <c r="BN77" s="3" t="str">
        <f t="shared" si="84"/>
        <v/>
      </c>
      <c r="BO77" s="3">
        <f t="shared" si="85"/>
        <v>0</v>
      </c>
      <c r="BP77" s="3" t="str">
        <f t="shared" si="86"/>
        <v/>
      </c>
      <c r="BQ77" s="3" t="str">
        <f t="shared" si="87"/>
        <v/>
      </c>
      <c r="BR77" s="3" t="str">
        <f t="shared" si="88"/>
        <v/>
      </c>
      <c r="BS77" s="3" t="str">
        <f t="shared" si="89"/>
        <v/>
      </c>
      <c r="BT77" s="3" t="str">
        <f t="shared" si="90"/>
        <v/>
      </c>
    </row>
    <row r="78" spans="2:72" x14ac:dyDescent="0.25">
      <c r="B78" s="3" t="s">
        <v>289</v>
      </c>
      <c r="C78" s="3" t="s">
        <v>290</v>
      </c>
      <c r="D78" s="3" t="s">
        <v>0</v>
      </c>
      <c r="E78" s="3" t="s">
        <v>670</v>
      </c>
      <c r="F78" s="3" t="s">
        <v>291</v>
      </c>
      <c r="G78" s="3" t="s">
        <v>672</v>
      </c>
      <c r="H78" s="20" t="s">
        <v>292</v>
      </c>
      <c r="I78" s="3" t="s">
        <v>24</v>
      </c>
      <c r="J78" s="3">
        <v>3</v>
      </c>
      <c r="K78" s="3" t="s">
        <v>118</v>
      </c>
      <c r="L78" s="3" t="s">
        <v>23</v>
      </c>
      <c r="M78" s="3">
        <v>1026</v>
      </c>
      <c r="N78" s="3" t="str">
        <f t="shared" si="59"/>
        <v>00000402</v>
      </c>
      <c r="O78" s="3">
        <v>31</v>
      </c>
      <c r="P78" s="3">
        <v>29</v>
      </c>
      <c r="Q78" s="3" t="str">
        <f t="shared" si="64"/>
        <v>X</v>
      </c>
      <c r="R78" s="3" t="str">
        <f t="shared" si="66"/>
        <v>X</v>
      </c>
      <c r="S78" s="3" t="str">
        <f t="shared" si="66"/>
        <v>X</v>
      </c>
      <c r="T78" s="3" t="str">
        <f t="shared" si="66"/>
        <v/>
      </c>
      <c r="U78" s="3" t="str">
        <f t="shared" si="66"/>
        <v/>
      </c>
      <c r="V78" s="3" t="str">
        <f t="shared" si="66"/>
        <v/>
      </c>
      <c r="W78" s="3" t="str">
        <f t="shared" si="66"/>
        <v/>
      </c>
      <c r="X78" s="3" t="str">
        <f t="shared" si="66"/>
        <v/>
      </c>
      <c r="Y78" s="3" t="str">
        <f t="shared" si="66"/>
        <v/>
      </c>
      <c r="Z78" s="3" t="str">
        <f t="shared" si="66"/>
        <v/>
      </c>
      <c r="AA78" s="3" t="str">
        <f t="shared" si="66"/>
        <v/>
      </c>
      <c r="AB78" s="3" t="str">
        <f t="shared" si="66"/>
        <v/>
      </c>
      <c r="AC78" s="3" t="str">
        <f t="shared" si="66"/>
        <v/>
      </c>
      <c r="AD78" s="3" t="str">
        <f t="shared" si="66"/>
        <v/>
      </c>
      <c r="AE78" s="3" t="str">
        <f t="shared" si="66"/>
        <v/>
      </c>
      <c r="AF78" s="3" t="str">
        <f t="shared" si="66"/>
        <v/>
      </c>
      <c r="AG78" s="3" t="str">
        <f t="shared" si="66"/>
        <v/>
      </c>
      <c r="AH78" s="3" t="str">
        <f t="shared" si="91"/>
        <v/>
      </c>
      <c r="AI78" s="3" t="str">
        <f t="shared" si="91"/>
        <v/>
      </c>
      <c r="AJ78" s="3" t="str">
        <f t="shared" si="91"/>
        <v/>
      </c>
      <c r="AK78" s="3" t="str">
        <f t="shared" si="91"/>
        <v/>
      </c>
      <c r="AL78" s="3" t="str">
        <f t="shared" si="91"/>
        <v/>
      </c>
      <c r="AM78" s="3" t="str">
        <f t="shared" si="91"/>
        <v/>
      </c>
      <c r="AN78" s="3" t="str">
        <f t="shared" si="91"/>
        <v/>
      </c>
      <c r="AO78" s="3" t="str">
        <f t="shared" si="91"/>
        <v/>
      </c>
      <c r="AP78" s="3" t="str">
        <f t="shared" si="91"/>
        <v/>
      </c>
      <c r="AQ78" s="3" t="str">
        <f t="shared" si="91"/>
        <v/>
      </c>
      <c r="AR78" s="3" t="str">
        <f t="shared" si="91"/>
        <v/>
      </c>
      <c r="AS78" s="3" t="str">
        <f t="shared" si="91"/>
        <v/>
      </c>
      <c r="AT78" s="3" t="str">
        <f t="shared" si="91"/>
        <v/>
      </c>
      <c r="AU78" s="3" t="str">
        <f t="shared" si="91"/>
        <v/>
      </c>
      <c r="AV78" s="3" t="str">
        <f t="shared" si="91"/>
        <v/>
      </c>
      <c r="AW78" s="3" t="str">
        <f t="shared" si="67"/>
        <v>X</v>
      </c>
      <c r="AX78" s="3" t="str">
        <f t="shared" si="68"/>
        <v/>
      </c>
      <c r="AY78" s="3" t="str">
        <f t="shared" si="69"/>
        <v/>
      </c>
      <c r="AZ78" s="3" t="str">
        <f t="shared" si="70"/>
        <v/>
      </c>
      <c r="BA78" s="3">
        <f t="shared" si="71"/>
        <v>4104</v>
      </c>
      <c r="BB78" s="3" t="str">
        <f t="shared" si="72"/>
        <v/>
      </c>
      <c r="BC78" s="3" t="str">
        <f t="shared" si="73"/>
        <v/>
      </c>
      <c r="BD78" s="3" t="str">
        <f t="shared" si="74"/>
        <v/>
      </c>
      <c r="BE78" s="9" t="str">
        <f t="shared" si="75"/>
        <v>00001008</v>
      </c>
      <c r="BF78" s="9" t="str">
        <f t="shared" si="76"/>
        <v/>
      </c>
      <c r="BG78" s="9" t="str">
        <f t="shared" si="77"/>
        <v/>
      </c>
      <c r="BH78" s="9" t="str">
        <f t="shared" si="78"/>
        <v/>
      </c>
      <c r="BI78" s="3" t="str">
        <f t="shared" si="79"/>
        <v>(7 downto 5)</v>
      </c>
      <c r="BJ78" s="3" t="str">
        <f t="shared" si="80"/>
        <v/>
      </c>
      <c r="BK78" s="3" t="str">
        <f t="shared" si="81"/>
        <v/>
      </c>
      <c r="BL78" s="3" t="str">
        <f t="shared" si="82"/>
        <v/>
      </c>
      <c r="BM78" s="3">
        <f t="shared" si="83"/>
        <v>2</v>
      </c>
      <c r="BN78" s="3" t="str">
        <f t="shared" si="84"/>
        <v/>
      </c>
      <c r="BO78" s="3" t="str">
        <f t="shared" si="85"/>
        <v/>
      </c>
      <c r="BP78" s="3" t="str">
        <f t="shared" si="86"/>
        <v/>
      </c>
      <c r="BQ78" s="3" t="str">
        <f t="shared" si="87"/>
        <v/>
      </c>
      <c r="BR78" s="3" t="str">
        <f t="shared" si="88"/>
        <v/>
      </c>
      <c r="BS78" s="3" t="str">
        <f t="shared" si="89"/>
        <v/>
      </c>
      <c r="BT78" s="3" t="str">
        <f t="shared" si="90"/>
        <v/>
      </c>
    </row>
    <row r="79" spans="2:72" x14ac:dyDescent="0.25">
      <c r="B79" s="3" t="s">
        <v>289</v>
      </c>
      <c r="C79" s="3" t="s">
        <v>293</v>
      </c>
      <c r="D79" s="3" t="s">
        <v>0</v>
      </c>
      <c r="E79" s="3" t="s">
        <v>670</v>
      </c>
      <c r="F79" s="3" t="s">
        <v>291</v>
      </c>
      <c r="G79" s="3" t="s">
        <v>672</v>
      </c>
      <c r="H79" s="20" t="s">
        <v>294</v>
      </c>
      <c r="I79" s="3" t="s">
        <v>24</v>
      </c>
      <c r="J79" s="3">
        <v>1</v>
      </c>
      <c r="K79" s="3" t="s">
        <v>57</v>
      </c>
      <c r="L79" s="3" t="s">
        <v>23</v>
      </c>
      <c r="M79" s="3">
        <v>1026</v>
      </c>
      <c r="N79" s="3" t="str">
        <f t="shared" si="59"/>
        <v>00000402</v>
      </c>
      <c r="O79" s="3">
        <v>28</v>
      </c>
      <c r="P79" s="3">
        <v>28</v>
      </c>
      <c r="Q79" s="3" t="str">
        <f t="shared" si="64"/>
        <v/>
      </c>
      <c r="R79" s="3" t="str">
        <f t="shared" si="66"/>
        <v/>
      </c>
      <c r="S79" s="3" t="str">
        <f t="shared" si="66"/>
        <v/>
      </c>
      <c r="T79" s="3" t="str">
        <f t="shared" si="66"/>
        <v>X</v>
      </c>
      <c r="U79" s="3" t="str">
        <f t="shared" si="66"/>
        <v/>
      </c>
      <c r="V79" s="3" t="str">
        <f t="shared" si="66"/>
        <v/>
      </c>
      <c r="W79" s="3" t="str">
        <f t="shared" si="66"/>
        <v/>
      </c>
      <c r="X79" s="3" t="str">
        <f t="shared" si="66"/>
        <v/>
      </c>
      <c r="Y79" s="3" t="str">
        <f t="shared" si="66"/>
        <v/>
      </c>
      <c r="Z79" s="3" t="str">
        <f t="shared" si="66"/>
        <v/>
      </c>
      <c r="AA79" s="3" t="str">
        <f t="shared" si="66"/>
        <v/>
      </c>
      <c r="AB79" s="3" t="str">
        <f t="shared" si="66"/>
        <v/>
      </c>
      <c r="AC79" s="3" t="str">
        <f t="shared" si="66"/>
        <v/>
      </c>
      <c r="AD79" s="3" t="str">
        <f t="shared" si="66"/>
        <v/>
      </c>
      <c r="AE79" s="3" t="str">
        <f t="shared" ref="R79:AG95" si="92">IF(AND($O79&gt;=AE$3,AE$3&gt;=$P79),"X","")</f>
        <v/>
      </c>
      <c r="AF79" s="3" t="str">
        <f t="shared" si="92"/>
        <v/>
      </c>
      <c r="AG79" s="3" t="str">
        <f t="shared" si="92"/>
        <v/>
      </c>
      <c r="AH79" s="3" t="str">
        <f t="shared" si="91"/>
        <v/>
      </c>
      <c r="AI79" s="3" t="str">
        <f t="shared" si="91"/>
        <v/>
      </c>
      <c r="AJ79" s="3" t="str">
        <f t="shared" si="91"/>
        <v/>
      </c>
      <c r="AK79" s="3" t="str">
        <f t="shared" si="91"/>
        <v/>
      </c>
      <c r="AL79" s="3" t="str">
        <f t="shared" si="91"/>
        <v/>
      </c>
      <c r="AM79" s="3" t="str">
        <f t="shared" si="91"/>
        <v/>
      </c>
      <c r="AN79" s="3" t="str">
        <f t="shared" si="91"/>
        <v/>
      </c>
      <c r="AO79" s="3" t="str">
        <f t="shared" si="91"/>
        <v/>
      </c>
      <c r="AP79" s="3" t="str">
        <f t="shared" si="91"/>
        <v/>
      </c>
      <c r="AQ79" s="3" t="str">
        <f t="shared" si="91"/>
        <v/>
      </c>
      <c r="AR79" s="3" t="str">
        <f t="shared" si="91"/>
        <v/>
      </c>
      <c r="AS79" s="3" t="str">
        <f t="shared" si="91"/>
        <v/>
      </c>
      <c r="AT79" s="3" t="str">
        <f t="shared" si="91"/>
        <v/>
      </c>
      <c r="AU79" s="3" t="str">
        <f t="shared" si="91"/>
        <v/>
      </c>
      <c r="AV79" s="3" t="str">
        <f t="shared" si="91"/>
        <v/>
      </c>
      <c r="AW79" s="3" t="str">
        <f t="shared" si="67"/>
        <v>X</v>
      </c>
      <c r="AX79" s="3" t="str">
        <f t="shared" si="68"/>
        <v/>
      </c>
      <c r="AY79" s="3" t="str">
        <f t="shared" si="69"/>
        <v/>
      </c>
      <c r="AZ79" s="3" t="str">
        <f t="shared" si="70"/>
        <v/>
      </c>
      <c r="BA79" s="3">
        <f t="shared" si="71"/>
        <v>4104</v>
      </c>
      <c r="BB79" s="3" t="str">
        <f t="shared" si="72"/>
        <v/>
      </c>
      <c r="BC79" s="3" t="str">
        <f t="shared" si="73"/>
        <v/>
      </c>
      <c r="BD79" s="3" t="str">
        <f t="shared" si="74"/>
        <v/>
      </c>
      <c r="BE79" s="9" t="str">
        <f t="shared" si="75"/>
        <v>00001008</v>
      </c>
      <c r="BF79" s="9" t="str">
        <f t="shared" si="76"/>
        <v/>
      </c>
      <c r="BG79" s="9" t="str">
        <f t="shared" si="77"/>
        <v/>
      </c>
      <c r="BH79" s="9" t="str">
        <f t="shared" si="78"/>
        <v/>
      </c>
      <c r="BI79" s="3" t="str">
        <f t="shared" si="79"/>
        <v>(4)</v>
      </c>
      <c r="BJ79" s="3" t="str">
        <f t="shared" si="80"/>
        <v/>
      </c>
      <c r="BK79" s="3" t="str">
        <f t="shared" si="81"/>
        <v/>
      </c>
      <c r="BL79" s="3" t="str">
        <f t="shared" si="82"/>
        <v/>
      </c>
      <c r="BM79" s="3">
        <f t="shared" si="83"/>
        <v>0</v>
      </c>
      <c r="BN79" s="3" t="str">
        <f t="shared" si="84"/>
        <v/>
      </c>
      <c r="BO79" s="3" t="str">
        <f t="shared" si="85"/>
        <v/>
      </c>
      <c r="BP79" s="3" t="str">
        <f t="shared" si="86"/>
        <v/>
      </c>
      <c r="BQ79" s="3" t="str">
        <f t="shared" si="87"/>
        <v/>
      </c>
      <c r="BR79" s="3" t="str">
        <f t="shared" si="88"/>
        <v/>
      </c>
      <c r="BS79" s="3" t="str">
        <f t="shared" si="89"/>
        <v/>
      </c>
      <c r="BT79" s="3" t="str">
        <f t="shared" si="90"/>
        <v/>
      </c>
    </row>
    <row r="80" spans="2:72" x14ac:dyDescent="0.25">
      <c r="B80" s="3" t="s">
        <v>289</v>
      </c>
      <c r="C80" s="3" t="s">
        <v>295</v>
      </c>
      <c r="D80" s="3" t="s">
        <v>0</v>
      </c>
      <c r="E80" s="3" t="s">
        <v>670</v>
      </c>
      <c r="F80" s="3" t="s">
        <v>291</v>
      </c>
      <c r="G80" s="3" t="s">
        <v>672</v>
      </c>
      <c r="H80" s="20" t="s">
        <v>296</v>
      </c>
      <c r="I80" s="3" t="s">
        <v>24</v>
      </c>
      <c r="J80" s="3">
        <v>1</v>
      </c>
      <c r="K80" s="3" t="s">
        <v>57</v>
      </c>
      <c r="L80" s="3" t="s">
        <v>23</v>
      </c>
      <c r="M80" s="3">
        <v>1026</v>
      </c>
      <c r="N80" s="3" t="str">
        <f t="shared" si="59"/>
        <v>00000402</v>
      </c>
      <c r="O80" s="3">
        <v>27</v>
      </c>
      <c r="P80" s="3">
        <v>27</v>
      </c>
      <c r="Q80" s="3" t="str">
        <f t="shared" si="64"/>
        <v/>
      </c>
      <c r="R80" s="3" t="str">
        <f t="shared" si="92"/>
        <v/>
      </c>
      <c r="S80" s="3" t="str">
        <f t="shared" si="92"/>
        <v/>
      </c>
      <c r="T80" s="3" t="str">
        <f t="shared" si="92"/>
        <v/>
      </c>
      <c r="U80" s="3" t="str">
        <f t="shared" si="92"/>
        <v>X</v>
      </c>
      <c r="V80" s="3" t="str">
        <f t="shared" si="92"/>
        <v/>
      </c>
      <c r="W80" s="3" t="str">
        <f t="shared" si="92"/>
        <v/>
      </c>
      <c r="X80" s="3" t="str">
        <f t="shared" si="92"/>
        <v/>
      </c>
      <c r="Y80" s="3" t="str">
        <f t="shared" si="92"/>
        <v/>
      </c>
      <c r="Z80" s="3" t="str">
        <f t="shared" si="92"/>
        <v/>
      </c>
      <c r="AA80" s="3" t="str">
        <f t="shared" si="92"/>
        <v/>
      </c>
      <c r="AB80" s="3" t="str">
        <f t="shared" si="92"/>
        <v/>
      </c>
      <c r="AC80" s="3" t="str">
        <f t="shared" si="92"/>
        <v/>
      </c>
      <c r="AD80" s="3" t="str">
        <f t="shared" si="92"/>
        <v/>
      </c>
      <c r="AE80" s="3" t="str">
        <f t="shared" si="92"/>
        <v/>
      </c>
      <c r="AF80" s="3" t="str">
        <f t="shared" si="92"/>
        <v/>
      </c>
      <c r="AG80" s="3" t="str">
        <f t="shared" si="92"/>
        <v/>
      </c>
      <c r="AH80" s="3" t="str">
        <f t="shared" si="91"/>
        <v/>
      </c>
      <c r="AI80" s="3" t="str">
        <f t="shared" si="91"/>
        <v/>
      </c>
      <c r="AJ80" s="3" t="str">
        <f t="shared" si="91"/>
        <v/>
      </c>
      <c r="AK80" s="3" t="str">
        <f t="shared" si="91"/>
        <v/>
      </c>
      <c r="AL80" s="3" t="str">
        <f t="shared" si="91"/>
        <v/>
      </c>
      <c r="AM80" s="3" t="str">
        <f t="shared" si="91"/>
        <v/>
      </c>
      <c r="AN80" s="3" t="str">
        <f t="shared" si="91"/>
        <v/>
      </c>
      <c r="AO80" s="3" t="str">
        <f t="shared" si="91"/>
        <v/>
      </c>
      <c r="AP80" s="3" t="str">
        <f t="shared" si="91"/>
        <v/>
      </c>
      <c r="AQ80" s="3" t="str">
        <f t="shared" si="91"/>
        <v/>
      </c>
      <c r="AR80" s="3" t="str">
        <f t="shared" si="91"/>
        <v/>
      </c>
      <c r="AS80" s="3" t="str">
        <f t="shared" si="91"/>
        <v/>
      </c>
      <c r="AT80" s="3" t="str">
        <f t="shared" si="91"/>
        <v/>
      </c>
      <c r="AU80" s="3" t="str">
        <f t="shared" si="91"/>
        <v/>
      </c>
      <c r="AV80" s="3" t="str">
        <f t="shared" si="91"/>
        <v/>
      </c>
      <c r="AW80" s="3" t="str">
        <f t="shared" si="67"/>
        <v>X</v>
      </c>
      <c r="AX80" s="3" t="str">
        <f t="shared" si="68"/>
        <v/>
      </c>
      <c r="AY80" s="3" t="str">
        <f t="shared" si="69"/>
        <v/>
      </c>
      <c r="AZ80" s="3" t="str">
        <f t="shared" si="70"/>
        <v/>
      </c>
      <c r="BA80" s="3">
        <f t="shared" si="71"/>
        <v>4104</v>
      </c>
      <c r="BB80" s="3" t="str">
        <f t="shared" si="72"/>
        <v/>
      </c>
      <c r="BC80" s="3" t="str">
        <f t="shared" si="73"/>
        <v/>
      </c>
      <c r="BD80" s="3" t="str">
        <f t="shared" si="74"/>
        <v/>
      </c>
      <c r="BE80" s="9" t="str">
        <f t="shared" si="75"/>
        <v>00001008</v>
      </c>
      <c r="BF80" s="9" t="str">
        <f t="shared" si="76"/>
        <v/>
      </c>
      <c r="BG80" s="9" t="str">
        <f t="shared" si="77"/>
        <v/>
      </c>
      <c r="BH80" s="9" t="str">
        <f t="shared" si="78"/>
        <v/>
      </c>
      <c r="BI80" s="3" t="str">
        <f t="shared" si="79"/>
        <v>(3)</v>
      </c>
      <c r="BJ80" s="3" t="str">
        <f t="shared" si="80"/>
        <v/>
      </c>
      <c r="BK80" s="3" t="str">
        <f t="shared" si="81"/>
        <v/>
      </c>
      <c r="BL80" s="3" t="str">
        <f t="shared" si="82"/>
        <v/>
      </c>
      <c r="BM80" s="3">
        <f t="shared" si="83"/>
        <v>0</v>
      </c>
      <c r="BN80" s="3" t="str">
        <f t="shared" si="84"/>
        <v/>
      </c>
      <c r="BO80" s="3" t="str">
        <f t="shared" si="85"/>
        <v/>
      </c>
      <c r="BP80" s="3" t="str">
        <f t="shared" si="86"/>
        <v/>
      </c>
      <c r="BQ80" s="3" t="str">
        <f t="shared" si="87"/>
        <v/>
      </c>
      <c r="BR80" s="3" t="str">
        <f t="shared" si="88"/>
        <v/>
      </c>
      <c r="BS80" s="3" t="str">
        <f t="shared" si="89"/>
        <v/>
      </c>
      <c r="BT80" s="3" t="str">
        <f t="shared" si="90"/>
        <v/>
      </c>
    </row>
    <row r="81" spans="2:72" x14ac:dyDescent="0.25">
      <c r="B81" s="3" t="s">
        <v>289</v>
      </c>
      <c r="C81" s="3" t="s">
        <v>297</v>
      </c>
      <c r="D81" s="3" t="s">
        <v>0</v>
      </c>
      <c r="E81" s="3" t="s">
        <v>670</v>
      </c>
      <c r="F81" s="3" t="s">
        <v>291</v>
      </c>
      <c r="G81" s="3" t="s">
        <v>672</v>
      </c>
      <c r="H81" s="20" t="s">
        <v>298</v>
      </c>
      <c r="I81" s="3" t="s">
        <v>24</v>
      </c>
      <c r="J81" s="3">
        <v>1</v>
      </c>
      <c r="K81" s="3" t="s">
        <v>57</v>
      </c>
      <c r="L81" s="3" t="s">
        <v>23</v>
      </c>
      <c r="M81" s="3">
        <v>1026</v>
      </c>
      <c r="N81" s="3" t="str">
        <f t="shared" si="59"/>
        <v>00000402</v>
      </c>
      <c r="O81" s="3">
        <v>26</v>
      </c>
      <c r="P81" s="3">
        <v>26</v>
      </c>
      <c r="Q81" s="3" t="str">
        <f t="shared" si="64"/>
        <v/>
      </c>
      <c r="R81" s="3" t="str">
        <f t="shared" si="92"/>
        <v/>
      </c>
      <c r="S81" s="3" t="str">
        <f t="shared" si="92"/>
        <v/>
      </c>
      <c r="T81" s="3" t="str">
        <f t="shared" si="92"/>
        <v/>
      </c>
      <c r="U81" s="3" t="str">
        <f t="shared" si="92"/>
        <v/>
      </c>
      <c r="V81" s="3" t="str">
        <f t="shared" si="92"/>
        <v>X</v>
      </c>
      <c r="W81" s="3" t="str">
        <f t="shared" si="92"/>
        <v/>
      </c>
      <c r="X81" s="3" t="str">
        <f t="shared" si="92"/>
        <v/>
      </c>
      <c r="Y81" s="3" t="str">
        <f t="shared" si="92"/>
        <v/>
      </c>
      <c r="Z81" s="3" t="str">
        <f t="shared" si="92"/>
        <v/>
      </c>
      <c r="AA81" s="3" t="str">
        <f t="shared" si="92"/>
        <v/>
      </c>
      <c r="AB81" s="3" t="str">
        <f t="shared" si="92"/>
        <v/>
      </c>
      <c r="AC81" s="3" t="str">
        <f t="shared" si="92"/>
        <v/>
      </c>
      <c r="AD81" s="3" t="str">
        <f t="shared" si="92"/>
        <v/>
      </c>
      <c r="AE81" s="3" t="str">
        <f t="shared" si="92"/>
        <v/>
      </c>
      <c r="AF81" s="3" t="str">
        <f t="shared" si="92"/>
        <v/>
      </c>
      <c r="AG81" s="3" t="str">
        <f t="shared" si="92"/>
        <v/>
      </c>
      <c r="AH81" s="3" t="str">
        <f t="shared" si="91"/>
        <v/>
      </c>
      <c r="AI81" s="3" t="str">
        <f t="shared" si="91"/>
        <v/>
      </c>
      <c r="AJ81" s="3" t="str">
        <f t="shared" si="91"/>
        <v/>
      </c>
      <c r="AK81" s="3" t="str">
        <f t="shared" si="91"/>
        <v/>
      </c>
      <c r="AL81" s="3" t="str">
        <f t="shared" si="91"/>
        <v/>
      </c>
      <c r="AM81" s="3" t="str">
        <f t="shared" si="91"/>
        <v/>
      </c>
      <c r="AN81" s="3" t="str">
        <f t="shared" si="91"/>
        <v/>
      </c>
      <c r="AO81" s="3" t="str">
        <f t="shared" si="91"/>
        <v/>
      </c>
      <c r="AP81" s="3" t="str">
        <f t="shared" si="91"/>
        <v/>
      </c>
      <c r="AQ81" s="3" t="str">
        <f t="shared" si="91"/>
        <v/>
      </c>
      <c r="AR81" s="3" t="str">
        <f t="shared" si="91"/>
        <v/>
      </c>
      <c r="AS81" s="3" t="str">
        <f t="shared" si="91"/>
        <v/>
      </c>
      <c r="AT81" s="3" t="str">
        <f t="shared" si="91"/>
        <v/>
      </c>
      <c r="AU81" s="3" t="str">
        <f t="shared" si="91"/>
        <v/>
      </c>
      <c r="AV81" s="3" t="str">
        <f t="shared" si="91"/>
        <v/>
      </c>
      <c r="AW81" s="3" t="str">
        <f t="shared" si="67"/>
        <v>X</v>
      </c>
      <c r="AX81" s="3" t="str">
        <f t="shared" si="68"/>
        <v/>
      </c>
      <c r="AY81" s="3" t="str">
        <f t="shared" si="69"/>
        <v/>
      </c>
      <c r="AZ81" s="3" t="str">
        <f t="shared" si="70"/>
        <v/>
      </c>
      <c r="BA81" s="3">
        <f t="shared" si="71"/>
        <v>4104</v>
      </c>
      <c r="BB81" s="3" t="str">
        <f t="shared" si="72"/>
        <v/>
      </c>
      <c r="BC81" s="3" t="str">
        <f t="shared" si="73"/>
        <v/>
      </c>
      <c r="BD81" s="3" t="str">
        <f t="shared" si="74"/>
        <v/>
      </c>
      <c r="BE81" s="9" t="str">
        <f t="shared" si="75"/>
        <v>00001008</v>
      </c>
      <c r="BF81" s="9" t="str">
        <f t="shared" si="76"/>
        <v/>
      </c>
      <c r="BG81" s="9" t="str">
        <f t="shared" si="77"/>
        <v/>
      </c>
      <c r="BH81" s="9" t="str">
        <f t="shared" si="78"/>
        <v/>
      </c>
      <c r="BI81" s="3" t="str">
        <f t="shared" si="79"/>
        <v>(2)</v>
      </c>
      <c r="BJ81" s="3" t="str">
        <f t="shared" si="80"/>
        <v/>
      </c>
      <c r="BK81" s="3" t="str">
        <f t="shared" si="81"/>
        <v/>
      </c>
      <c r="BL81" s="3" t="str">
        <f t="shared" si="82"/>
        <v/>
      </c>
      <c r="BM81" s="3">
        <f t="shared" si="83"/>
        <v>0</v>
      </c>
      <c r="BN81" s="3" t="str">
        <f t="shared" si="84"/>
        <v/>
      </c>
      <c r="BO81" s="3" t="str">
        <f t="shared" si="85"/>
        <v/>
      </c>
      <c r="BP81" s="3" t="str">
        <f t="shared" si="86"/>
        <v/>
      </c>
      <c r="BQ81" s="3" t="str">
        <f t="shared" si="87"/>
        <v/>
      </c>
      <c r="BR81" s="3" t="str">
        <f t="shared" si="88"/>
        <v/>
      </c>
      <c r="BS81" s="3" t="str">
        <f t="shared" si="89"/>
        <v/>
      </c>
      <c r="BT81" s="3" t="str">
        <f t="shared" si="90"/>
        <v/>
      </c>
    </row>
    <row r="82" spans="2:72" x14ac:dyDescent="0.25">
      <c r="B82" s="3" t="s">
        <v>289</v>
      </c>
      <c r="C82" s="3" t="s">
        <v>299</v>
      </c>
      <c r="D82" s="3" t="s">
        <v>0</v>
      </c>
      <c r="E82" s="3" t="s">
        <v>670</v>
      </c>
      <c r="F82" s="3" t="s">
        <v>291</v>
      </c>
      <c r="G82" s="3" t="s">
        <v>672</v>
      </c>
      <c r="H82" s="20" t="s">
        <v>300</v>
      </c>
      <c r="I82" s="3" t="s">
        <v>24</v>
      </c>
      <c r="J82" s="3">
        <v>1</v>
      </c>
      <c r="K82" s="3" t="s">
        <v>57</v>
      </c>
      <c r="L82" s="3" t="s">
        <v>23</v>
      </c>
      <c r="M82" s="3">
        <v>1026</v>
      </c>
      <c r="N82" s="3" t="str">
        <f t="shared" si="59"/>
        <v>00000402</v>
      </c>
      <c r="O82" s="3">
        <v>25</v>
      </c>
      <c r="P82" s="3">
        <v>25</v>
      </c>
      <c r="Q82" s="3" t="str">
        <f t="shared" si="64"/>
        <v/>
      </c>
      <c r="R82" s="3" t="str">
        <f t="shared" si="92"/>
        <v/>
      </c>
      <c r="S82" s="3" t="str">
        <f t="shared" si="92"/>
        <v/>
      </c>
      <c r="T82" s="3" t="str">
        <f t="shared" si="92"/>
        <v/>
      </c>
      <c r="U82" s="3" t="str">
        <f t="shared" si="92"/>
        <v/>
      </c>
      <c r="V82" s="3" t="str">
        <f t="shared" si="92"/>
        <v/>
      </c>
      <c r="W82" s="3" t="str">
        <f t="shared" si="92"/>
        <v>X</v>
      </c>
      <c r="X82" s="3" t="str">
        <f t="shared" si="92"/>
        <v/>
      </c>
      <c r="Y82" s="3" t="str">
        <f t="shared" si="92"/>
        <v/>
      </c>
      <c r="Z82" s="3" t="str">
        <f t="shared" si="92"/>
        <v/>
      </c>
      <c r="AA82" s="3" t="str">
        <f t="shared" si="92"/>
        <v/>
      </c>
      <c r="AB82" s="3" t="str">
        <f t="shared" si="92"/>
        <v/>
      </c>
      <c r="AC82" s="3" t="str">
        <f t="shared" si="92"/>
        <v/>
      </c>
      <c r="AD82" s="3" t="str">
        <f t="shared" si="92"/>
        <v/>
      </c>
      <c r="AE82" s="3" t="str">
        <f t="shared" si="92"/>
        <v/>
      </c>
      <c r="AF82" s="3" t="str">
        <f t="shared" si="92"/>
        <v/>
      </c>
      <c r="AG82" s="3" t="str">
        <f t="shared" si="92"/>
        <v/>
      </c>
      <c r="AH82" s="3" t="str">
        <f t="shared" si="91"/>
        <v/>
      </c>
      <c r="AI82" s="3" t="str">
        <f t="shared" si="91"/>
        <v/>
      </c>
      <c r="AJ82" s="3" t="str">
        <f t="shared" si="91"/>
        <v/>
      </c>
      <c r="AK82" s="3" t="str">
        <f t="shared" si="91"/>
        <v/>
      </c>
      <c r="AL82" s="3" t="str">
        <f t="shared" si="91"/>
        <v/>
      </c>
      <c r="AM82" s="3" t="str">
        <f t="shared" si="91"/>
        <v/>
      </c>
      <c r="AN82" s="3" t="str">
        <f t="shared" si="91"/>
        <v/>
      </c>
      <c r="AO82" s="3" t="str">
        <f t="shared" si="91"/>
        <v/>
      </c>
      <c r="AP82" s="3" t="str">
        <f t="shared" si="91"/>
        <v/>
      </c>
      <c r="AQ82" s="3" t="str">
        <f t="shared" si="91"/>
        <v/>
      </c>
      <c r="AR82" s="3" t="str">
        <f t="shared" si="91"/>
        <v/>
      </c>
      <c r="AS82" s="3" t="str">
        <f t="shared" si="91"/>
        <v/>
      </c>
      <c r="AT82" s="3" t="str">
        <f t="shared" si="91"/>
        <v/>
      </c>
      <c r="AU82" s="3" t="str">
        <f t="shared" si="91"/>
        <v/>
      </c>
      <c r="AV82" s="3" t="str">
        <f t="shared" si="91"/>
        <v/>
      </c>
      <c r="AW82" s="3" t="str">
        <f t="shared" si="67"/>
        <v>X</v>
      </c>
      <c r="AX82" s="3" t="str">
        <f t="shared" si="68"/>
        <v/>
      </c>
      <c r="AY82" s="3" t="str">
        <f t="shared" si="69"/>
        <v/>
      </c>
      <c r="AZ82" s="3" t="str">
        <f t="shared" si="70"/>
        <v/>
      </c>
      <c r="BA82" s="3">
        <f t="shared" si="71"/>
        <v>4104</v>
      </c>
      <c r="BB82" s="3" t="str">
        <f t="shared" si="72"/>
        <v/>
      </c>
      <c r="BC82" s="3" t="str">
        <f t="shared" si="73"/>
        <v/>
      </c>
      <c r="BD82" s="3" t="str">
        <f t="shared" si="74"/>
        <v/>
      </c>
      <c r="BE82" s="9" t="str">
        <f t="shared" si="75"/>
        <v>00001008</v>
      </c>
      <c r="BF82" s="9" t="str">
        <f t="shared" si="76"/>
        <v/>
      </c>
      <c r="BG82" s="9" t="str">
        <f t="shared" si="77"/>
        <v/>
      </c>
      <c r="BH82" s="9" t="str">
        <f t="shared" si="78"/>
        <v/>
      </c>
      <c r="BI82" s="3" t="str">
        <f t="shared" si="79"/>
        <v>(1)</v>
      </c>
      <c r="BJ82" s="3" t="str">
        <f t="shared" si="80"/>
        <v/>
      </c>
      <c r="BK82" s="3" t="str">
        <f t="shared" si="81"/>
        <v/>
      </c>
      <c r="BL82" s="3" t="str">
        <f t="shared" si="82"/>
        <v/>
      </c>
      <c r="BM82" s="3">
        <f t="shared" si="83"/>
        <v>0</v>
      </c>
      <c r="BN82" s="3" t="str">
        <f t="shared" si="84"/>
        <v/>
      </c>
      <c r="BO82" s="3" t="str">
        <f t="shared" si="85"/>
        <v/>
      </c>
      <c r="BP82" s="3" t="str">
        <f t="shared" si="86"/>
        <v/>
      </c>
      <c r="BQ82" s="3" t="str">
        <f t="shared" si="87"/>
        <v/>
      </c>
      <c r="BR82" s="3" t="str">
        <f t="shared" si="88"/>
        <v/>
      </c>
      <c r="BS82" s="3" t="str">
        <f t="shared" si="89"/>
        <v/>
      </c>
      <c r="BT82" s="3" t="str">
        <f t="shared" si="90"/>
        <v/>
      </c>
    </row>
    <row r="83" spans="2:72" x14ac:dyDescent="0.25">
      <c r="B83" s="3" t="s">
        <v>289</v>
      </c>
      <c r="C83" s="3" t="s">
        <v>301</v>
      </c>
      <c r="D83" s="3" t="s">
        <v>0</v>
      </c>
      <c r="E83" s="3" t="s">
        <v>670</v>
      </c>
      <c r="F83" s="3" t="s">
        <v>291</v>
      </c>
      <c r="G83" s="3" t="s">
        <v>672</v>
      </c>
      <c r="H83" s="20" t="s">
        <v>302</v>
      </c>
      <c r="I83" s="3" t="s">
        <v>24</v>
      </c>
      <c r="J83" s="3">
        <v>1</v>
      </c>
      <c r="K83" s="3" t="s">
        <v>57</v>
      </c>
      <c r="L83" s="3" t="s">
        <v>23</v>
      </c>
      <c r="M83" s="3">
        <v>1026</v>
      </c>
      <c r="N83" s="3" t="str">
        <f t="shared" si="59"/>
        <v>00000402</v>
      </c>
      <c r="O83" s="3">
        <v>24</v>
      </c>
      <c r="P83" s="3">
        <v>24</v>
      </c>
      <c r="Q83" s="3" t="str">
        <f t="shared" si="64"/>
        <v/>
      </c>
      <c r="R83" s="3" t="str">
        <f t="shared" si="92"/>
        <v/>
      </c>
      <c r="S83" s="3" t="str">
        <f t="shared" si="92"/>
        <v/>
      </c>
      <c r="T83" s="3" t="str">
        <f t="shared" si="92"/>
        <v/>
      </c>
      <c r="U83" s="3" t="str">
        <f t="shared" si="92"/>
        <v/>
      </c>
      <c r="V83" s="3" t="str">
        <f t="shared" si="92"/>
        <v/>
      </c>
      <c r="W83" s="3" t="str">
        <f t="shared" si="92"/>
        <v/>
      </c>
      <c r="X83" s="3" t="str">
        <f t="shared" si="92"/>
        <v>X</v>
      </c>
      <c r="Y83" s="3" t="str">
        <f t="shared" si="92"/>
        <v/>
      </c>
      <c r="Z83" s="3" t="str">
        <f t="shared" si="92"/>
        <v/>
      </c>
      <c r="AA83" s="3" t="str">
        <f t="shared" si="92"/>
        <v/>
      </c>
      <c r="AB83" s="3" t="str">
        <f t="shared" si="92"/>
        <v/>
      </c>
      <c r="AC83" s="3" t="str">
        <f t="shared" si="92"/>
        <v/>
      </c>
      <c r="AD83" s="3" t="str">
        <f t="shared" si="92"/>
        <v/>
      </c>
      <c r="AE83" s="3" t="str">
        <f t="shared" si="92"/>
        <v/>
      </c>
      <c r="AF83" s="3" t="str">
        <f t="shared" si="92"/>
        <v/>
      </c>
      <c r="AG83" s="3" t="str">
        <f t="shared" si="92"/>
        <v/>
      </c>
      <c r="AH83" s="3" t="str">
        <f t="shared" si="91"/>
        <v/>
      </c>
      <c r="AI83" s="3" t="str">
        <f t="shared" si="91"/>
        <v/>
      </c>
      <c r="AJ83" s="3" t="str">
        <f t="shared" si="91"/>
        <v/>
      </c>
      <c r="AK83" s="3" t="str">
        <f t="shared" si="91"/>
        <v/>
      </c>
      <c r="AL83" s="3" t="str">
        <f t="shared" si="91"/>
        <v/>
      </c>
      <c r="AM83" s="3" t="str">
        <f t="shared" si="91"/>
        <v/>
      </c>
      <c r="AN83" s="3" t="str">
        <f t="shared" si="91"/>
        <v/>
      </c>
      <c r="AO83" s="3" t="str">
        <f t="shared" si="91"/>
        <v/>
      </c>
      <c r="AP83" s="3" t="str">
        <f t="shared" si="91"/>
        <v/>
      </c>
      <c r="AQ83" s="3" t="str">
        <f t="shared" si="91"/>
        <v/>
      </c>
      <c r="AR83" s="3" t="str">
        <f t="shared" si="91"/>
        <v/>
      </c>
      <c r="AS83" s="3" t="str">
        <f t="shared" si="91"/>
        <v/>
      </c>
      <c r="AT83" s="3" t="str">
        <f t="shared" si="91"/>
        <v/>
      </c>
      <c r="AU83" s="3" t="str">
        <f t="shared" si="91"/>
        <v/>
      </c>
      <c r="AV83" s="3" t="str">
        <f t="shared" si="91"/>
        <v/>
      </c>
      <c r="AW83" s="3" t="str">
        <f t="shared" si="67"/>
        <v>X</v>
      </c>
      <c r="AX83" s="3" t="str">
        <f t="shared" si="68"/>
        <v/>
      </c>
      <c r="AY83" s="3" t="str">
        <f t="shared" si="69"/>
        <v/>
      </c>
      <c r="AZ83" s="3" t="str">
        <f t="shared" si="70"/>
        <v/>
      </c>
      <c r="BA83" s="3">
        <f t="shared" si="71"/>
        <v>4104</v>
      </c>
      <c r="BB83" s="3" t="str">
        <f t="shared" si="72"/>
        <v/>
      </c>
      <c r="BC83" s="3" t="str">
        <f t="shared" si="73"/>
        <v/>
      </c>
      <c r="BD83" s="3" t="str">
        <f t="shared" si="74"/>
        <v/>
      </c>
      <c r="BE83" s="9" t="str">
        <f t="shared" si="75"/>
        <v>00001008</v>
      </c>
      <c r="BF83" s="9" t="str">
        <f t="shared" si="76"/>
        <v/>
      </c>
      <c r="BG83" s="9" t="str">
        <f t="shared" si="77"/>
        <v/>
      </c>
      <c r="BH83" s="9" t="str">
        <f t="shared" si="78"/>
        <v/>
      </c>
      <c r="BI83" s="3" t="str">
        <f t="shared" si="79"/>
        <v>(0)</v>
      </c>
      <c r="BJ83" s="3" t="str">
        <f t="shared" si="80"/>
        <v/>
      </c>
      <c r="BK83" s="3" t="str">
        <f t="shared" si="81"/>
        <v/>
      </c>
      <c r="BL83" s="3" t="str">
        <f t="shared" si="82"/>
        <v/>
      </c>
      <c r="BM83" s="3">
        <f t="shared" si="83"/>
        <v>0</v>
      </c>
      <c r="BN83" s="3" t="str">
        <f t="shared" si="84"/>
        <v/>
      </c>
      <c r="BO83" s="3" t="str">
        <f t="shared" si="85"/>
        <v/>
      </c>
      <c r="BP83" s="3" t="str">
        <f t="shared" si="86"/>
        <v/>
      </c>
      <c r="BQ83" s="3" t="str">
        <f t="shared" si="87"/>
        <v/>
      </c>
      <c r="BR83" s="3" t="str">
        <f t="shared" si="88"/>
        <v/>
      </c>
      <c r="BS83" s="3" t="str">
        <f t="shared" si="89"/>
        <v/>
      </c>
      <c r="BT83" s="3" t="str">
        <f t="shared" si="90"/>
        <v/>
      </c>
    </row>
    <row r="84" spans="2:72" x14ac:dyDescent="0.25">
      <c r="B84" s="3" t="s">
        <v>289</v>
      </c>
      <c r="C84" s="3" t="s">
        <v>303</v>
      </c>
      <c r="D84" s="3" t="s">
        <v>0</v>
      </c>
      <c r="E84" s="3" t="s">
        <v>670</v>
      </c>
      <c r="F84" s="3" t="s">
        <v>291</v>
      </c>
      <c r="G84" s="3" t="s">
        <v>672</v>
      </c>
      <c r="H84" s="20" t="s">
        <v>304</v>
      </c>
      <c r="I84" s="3" t="s">
        <v>24</v>
      </c>
      <c r="J84" s="3">
        <v>3</v>
      </c>
      <c r="K84" s="3" t="s">
        <v>118</v>
      </c>
      <c r="L84" s="3" t="s">
        <v>23</v>
      </c>
      <c r="M84" s="3">
        <v>1026</v>
      </c>
      <c r="N84" s="3" t="str">
        <f t="shared" si="59"/>
        <v>00000402</v>
      </c>
      <c r="O84" s="3">
        <v>23</v>
      </c>
      <c r="P84" s="3">
        <v>21</v>
      </c>
      <c r="Q84" s="3" t="str">
        <f t="shared" si="64"/>
        <v/>
      </c>
      <c r="R84" s="3" t="str">
        <f t="shared" si="92"/>
        <v/>
      </c>
      <c r="S84" s="3" t="str">
        <f t="shared" si="92"/>
        <v/>
      </c>
      <c r="T84" s="3" t="str">
        <f t="shared" si="92"/>
        <v/>
      </c>
      <c r="U84" s="3" t="str">
        <f t="shared" si="92"/>
        <v/>
      </c>
      <c r="V84" s="3" t="str">
        <f t="shared" si="92"/>
        <v/>
      </c>
      <c r="W84" s="3" t="str">
        <f t="shared" si="92"/>
        <v/>
      </c>
      <c r="X84" s="3" t="str">
        <f t="shared" si="92"/>
        <v/>
      </c>
      <c r="Y84" s="3" t="str">
        <f t="shared" si="92"/>
        <v>X</v>
      </c>
      <c r="Z84" s="3" t="str">
        <f t="shared" si="92"/>
        <v>X</v>
      </c>
      <c r="AA84" s="3" t="str">
        <f t="shared" si="92"/>
        <v>X</v>
      </c>
      <c r="AB84" s="3" t="str">
        <f t="shared" si="92"/>
        <v/>
      </c>
      <c r="AC84" s="3" t="str">
        <f t="shared" si="92"/>
        <v/>
      </c>
      <c r="AD84" s="3" t="str">
        <f t="shared" si="92"/>
        <v/>
      </c>
      <c r="AE84" s="3" t="str">
        <f t="shared" si="92"/>
        <v/>
      </c>
      <c r="AF84" s="3" t="str">
        <f t="shared" si="92"/>
        <v/>
      </c>
      <c r="AG84" s="3" t="str">
        <f t="shared" si="92"/>
        <v/>
      </c>
      <c r="AH84" s="3" t="str">
        <f t="shared" si="91"/>
        <v/>
      </c>
      <c r="AI84" s="3" t="str">
        <f t="shared" si="91"/>
        <v/>
      </c>
      <c r="AJ84" s="3" t="str">
        <f t="shared" si="91"/>
        <v/>
      </c>
      <c r="AK84" s="3" t="str">
        <f t="shared" si="91"/>
        <v/>
      </c>
      <c r="AL84" s="3" t="str">
        <f t="shared" si="91"/>
        <v/>
      </c>
      <c r="AM84" s="3" t="str">
        <f t="shared" si="91"/>
        <v/>
      </c>
      <c r="AN84" s="3" t="str">
        <f t="shared" si="91"/>
        <v/>
      </c>
      <c r="AO84" s="3" t="str">
        <f t="shared" si="91"/>
        <v/>
      </c>
      <c r="AP84" s="3" t="str">
        <f t="shared" si="91"/>
        <v/>
      </c>
      <c r="AQ84" s="3" t="str">
        <f t="shared" si="91"/>
        <v/>
      </c>
      <c r="AR84" s="3" t="str">
        <f t="shared" si="91"/>
        <v/>
      </c>
      <c r="AS84" s="3" t="str">
        <f t="shared" si="91"/>
        <v/>
      </c>
      <c r="AT84" s="3" t="str">
        <f t="shared" si="91"/>
        <v/>
      </c>
      <c r="AU84" s="3" t="str">
        <f t="shared" si="91"/>
        <v/>
      </c>
      <c r="AV84" s="3" t="str">
        <f t="shared" si="91"/>
        <v/>
      </c>
      <c r="AW84" s="3" t="str">
        <f t="shared" si="67"/>
        <v/>
      </c>
      <c r="AX84" s="3" t="str">
        <f t="shared" si="68"/>
        <v>X</v>
      </c>
      <c r="AY84" s="3" t="str">
        <f t="shared" si="69"/>
        <v/>
      </c>
      <c r="AZ84" s="3" t="str">
        <f t="shared" si="70"/>
        <v/>
      </c>
      <c r="BA84" s="3" t="str">
        <f t="shared" si="71"/>
        <v/>
      </c>
      <c r="BB84" s="3">
        <f t="shared" si="72"/>
        <v>4105</v>
      </c>
      <c r="BC84" s="3" t="str">
        <f t="shared" si="73"/>
        <v/>
      </c>
      <c r="BD84" s="3" t="str">
        <f t="shared" si="74"/>
        <v/>
      </c>
      <c r="BE84" s="9" t="str">
        <f t="shared" si="75"/>
        <v/>
      </c>
      <c r="BF84" s="9" t="str">
        <f t="shared" si="76"/>
        <v>00001009</v>
      </c>
      <c r="BG84" s="9" t="str">
        <f t="shared" si="77"/>
        <v/>
      </c>
      <c r="BH84" s="9" t="str">
        <f t="shared" si="78"/>
        <v/>
      </c>
      <c r="BI84" s="3" t="str">
        <f t="shared" si="79"/>
        <v/>
      </c>
      <c r="BJ84" s="3" t="str">
        <f t="shared" si="80"/>
        <v>(7 downto 5)</v>
      </c>
      <c r="BK84" s="3" t="str">
        <f t="shared" si="81"/>
        <v/>
      </c>
      <c r="BL84" s="3" t="str">
        <f t="shared" si="82"/>
        <v/>
      </c>
      <c r="BM84" s="3" t="str">
        <f t="shared" si="83"/>
        <v/>
      </c>
      <c r="BN84" s="3">
        <f t="shared" si="84"/>
        <v>2</v>
      </c>
      <c r="BO84" s="3" t="str">
        <f t="shared" si="85"/>
        <v/>
      </c>
      <c r="BP84" s="3" t="str">
        <f t="shared" si="86"/>
        <v/>
      </c>
      <c r="BQ84" s="3" t="str">
        <f t="shared" si="87"/>
        <v/>
      </c>
      <c r="BR84" s="3" t="str">
        <f t="shared" si="88"/>
        <v/>
      </c>
      <c r="BS84" s="3" t="str">
        <f t="shared" si="89"/>
        <v/>
      </c>
      <c r="BT84" s="3" t="str">
        <f t="shared" si="90"/>
        <v/>
      </c>
    </row>
    <row r="85" spans="2:72" x14ac:dyDescent="0.25">
      <c r="B85" s="3" t="s">
        <v>289</v>
      </c>
      <c r="C85" s="3" t="s">
        <v>305</v>
      </c>
      <c r="D85" s="3" t="s">
        <v>0</v>
      </c>
      <c r="E85" s="3" t="s">
        <v>670</v>
      </c>
      <c r="F85" s="3" t="s">
        <v>291</v>
      </c>
      <c r="G85" s="3" t="s">
        <v>672</v>
      </c>
      <c r="H85" s="20" t="s">
        <v>306</v>
      </c>
      <c r="I85" s="3" t="s">
        <v>24</v>
      </c>
      <c r="J85" s="3">
        <v>1</v>
      </c>
      <c r="K85" s="3" t="s">
        <v>57</v>
      </c>
      <c r="L85" s="3" t="s">
        <v>23</v>
      </c>
      <c r="M85" s="3">
        <v>1026</v>
      </c>
      <c r="N85" s="3" t="str">
        <f t="shared" si="59"/>
        <v>00000402</v>
      </c>
      <c r="O85" s="3">
        <v>20</v>
      </c>
      <c r="P85" s="3">
        <v>20</v>
      </c>
      <c r="Q85" s="3" t="str">
        <f t="shared" si="64"/>
        <v/>
      </c>
      <c r="R85" s="3" t="str">
        <f t="shared" si="92"/>
        <v/>
      </c>
      <c r="S85" s="3" t="str">
        <f t="shared" si="92"/>
        <v/>
      </c>
      <c r="T85" s="3" t="str">
        <f t="shared" si="92"/>
        <v/>
      </c>
      <c r="U85" s="3" t="str">
        <f t="shared" si="92"/>
        <v/>
      </c>
      <c r="V85" s="3" t="str">
        <f t="shared" si="92"/>
        <v/>
      </c>
      <c r="W85" s="3" t="str">
        <f t="shared" si="92"/>
        <v/>
      </c>
      <c r="X85" s="3" t="str">
        <f t="shared" si="92"/>
        <v/>
      </c>
      <c r="Y85" s="3" t="str">
        <f t="shared" si="92"/>
        <v/>
      </c>
      <c r="Z85" s="3" t="str">
        <f t="shared" si="92"/>
        <v/>
      </c>
      <c r="AA85" s="3" t="str">
        <f t="shared" si="92"/>
        <v/>
      </c>
      <c r="AB85" s="3" t="str">
        <f t="shared" si="92"/>
        <v>X</v>
      </c>
      <c r="AC85" s="3" t="str">
        <f t="shared" si="92"/>
        <v/>
      </c>
      <c r="AD85" s="3" t="str">
        <f t="shared" si="92"/>
        <v/>
      </c>
      <c r="AE85" s="3" t="str">
        <f t="shared" si="92"/>
        <v/>
      </c>
      <c r="AF85" s="3" t="str">
        <f t="shared" si="92"/>
        <v/>
      </c>
      <c r="AG85" s="3" t="str">
        <f t="shared" si="92"/>
        <v/>
      </c>
      <c r="AH85" s="3" t="str">
        <f t="shared" si="91"/>
        <v/>
      </c>
      <c r="AI85" s="3" t="str">
        <f t="shared" si="91"/>
        <v/>
      </c>
      <c r="AJ85" s="3" t="str">
        <f t="shared" si="91"/>
        <v/>
      </c>
      <c r="AK85" s="3" t="str">
        <f t="shared" si="91"/>
        <v/>
      </c>
      <c r="AL85" s="3" t="str">
        <f t="shared" si="91"/>
        <v/>
      </c>
      <c r="AM85" s="3" t="str">
        <f t="shared" si="91"/>
        <v/>
      </c>
      <c r="AN85" s="3" t="str">
        <f t="shared" si="91"/>
        <v/>
      </c>
      <c r="AO85" s="3" t="str">
        <f t="shared" si="91"/>
        <v/>
      </c>
      <c r="AP85" s="3" t="str">
        <f t="shared" si="91"/>
        <v/>
      </c>
      <c r="AQ85" s="3" t="str">
        <f t="shared" si="91"/>
        <v/>
      </c>
      <c r="AR85" s="3" t="str">
        <f t="shared" si="91"/>
        <v/>
      </c>
      <c r="AS85" s="3" t="str">
        <f t="shared" si="91"/>
        <v/>
      </c>
      <c r="AT85" s="3" t="str">
        <f t="shared" si="91"/>
        <v/>
      </c>
      <c r="AU85" s="3" t="str">
        <f t="shared" si="91"/>
        <v/>
      </c>
      <c r="AV85" s="3" t="str">
        <f t="shared" si="91"/>
        <v/>
      </c>
      <c r="AW85" s="3" t="str">
        <f t="shared" si="67"/>
        <v/>
      </c>
      <c r="AX85" s="3" t="str">
        <f t="shared" si="68"/>
        <v>X</v>
      </c>
      <c r="AY85" s="3" t="str">
        <f t="shared" si="69"/>
        <v/>
      </c>
      <c r="AZ85" s="3" t="str">
        <f t="shared" si="70"/>
        <v/>
      </c>
      <c r="BA85" s="3" t="str">
        <f t="shared" si="71"/>
        <v/>
      </c>
      <c r="BB85" s="3">
        <f t="shared" si="72"/>
        <v>4105</v>
      </c>
      <c r="BC85" s="3" t="str">
        <f t="shared" si="73"/>
        <v/>
      </c>
      <c r="BD85" s="3" t="str">
        <f t="shared" si="74"/>
        <v/>
      </c>
      <c r="BE85" s="9" t="str">
        <f t="shared" si="75"/>
        <v/>
      </c>
      <c r="BF85" s="9" t="str">
        <f t="shared" si="76"/>
        <v>00001009</v>
      </c>
      <c r="BG85" s="9" t="str">
        <f t="shared" si="77"/>
        <v/>
      </c>
      <c r="BH85" s="9" t="str">
        <f t="shared" si="78"/>
        <v/>
      </c>
      <c r="BI85" s="3" t="str">
        <f t="shared" si="79"/>
        <v/>
      </c>
      <c r="BJ85" s="3" t="str">
        <f t="shared" si="80"/>
        <v>(4)</v>
      </c>
      <c r="BK85" s="3" t="str">
        <f t="shared" si="81"/>
        <v/>
      </c>
      <c r="BL85" s="3" t="str">
        <f t="shared" si="82"/>
        <v/>
      </c>
      <c r="BM85" s="3" t="str">
        <f t="shared" si="83"/>
        <v/>
      </c>
      <c r="BN85" s="3">
        <f t="shared" si="84"/>
        <v>0</v>
      </c>
      <c r="BO85" s="3" t="str">
        <f t="shared" si="85"/>
        <v/>
      </c>
      <c r="BP85" s="3" t="str">
        <f t="shared" si="86"/>
        <v/>
      </c>
      <c r="BQ85" s="3" t="str">
        <f t="shared" si="87"/>
        <v/>
      </c>
      <c r="BR85" s="3" t="str">
        <f t="shared" si="88"/>
        <v/>
      </c>
      <c r="BS85" s="3" t="str">
        <f t="shared" si="89"/>
        <v/>
      </c>
      <c r="BT85" s="3" t="str">
        <f t="shared" si="90"/>
        <v/>
      </c>
    </row>
    <row r="86" spans="2:72" x14ac:dyDescent="0.25">
      <c r="B86" s="3" t="s">
        <v>289</v>
      </c>
      <c r="C86" s="3" t="s">
        <v>307</v>
      </c>
      <c r="D86" s="3" t="s">
        <v>0</v>
      </c>
      <c r="E86" s="3" t="s">
        <v>670</v>
      </c>
      <c r="F86" s="3" t="s">
        <v>291</v>
      </c>
      <c r="G86" s="3" t="s">
        <v>672</v>
      </c>
      <c r="H86" s="20" t="s">
        <v>308</v>
      </c>
      <c r="I86" s="3" t="s">
        <v>24</v>
      </c>
      <c r="J86" s="3">
        <v>1</v>
      </c>
      <c r="K86" s="3" t="s">
        <v>57</v>
      </c>
      <c r="L86" s="3" t="s">
        <v>23</v>
      </c>
      <c r="M86" s="3">
        <v>1026</v>
      </c>
      <c r="N86" s="3" t="str">
        <f t="shared" si="59"/>
        <v>00000402</v>
      </c>
      <c r="O86" s="3">
        <v>19</v>
      </c>
      <c r="P86" s="3">
        <v>19</v>
      </c>
      <c r="Q86" s="3" t="str">
        <f t="shared" si="64"/>
        <v/>
      </c>
      <c r="R86" s="3" t="str">
        <f t="shared" si="92"/>
        <v/>
      </c>
      <c r="S86" s="3" t="str">
        <f t="shared" si="92"/>
        <v/>
      </c>
      <c r="T86" s="3" t="str">
        <f t="shared" si="92"/>
        <v/>
      </c>
      <c r="U86" s="3" t="str">
        <f t="shared" si="92"/>
        <v/>
      </c>
      <c r="V86" s="3" t="str">
        <f t="shared" si="92"/>
        <v/>
      </c>
      <c r="W86" s="3" t="str">
        <f t="shared" si="92"/>
        <v/>
      </c>
      <c r="X86" s="3" t="str">
        <f t="shared" si="92"/>
        <v/>
      </c>
      <c r="Y86" s="3" t="str">
        <f t="shared" si="92"/>
        <v/>
      </c>
      <c r="Z86" s="3" t="str">
        <f t="shared" si="92"/>
        <v/>
      </c>
      <c r="AA86" s="3" t="str">
        <f t="shared" si="92"/>
        <v/>
      </c>
      <c r="AB86" s="3" t="str">
        <f t="shared" si="92"/>
        <v/>
      </c>
      <c r="AC86" s="3" t="str">
        <f t="shared" si="92"/>
        <v>X</v>
      </c>
      <c r="AD86" s="3" t="str">
        <f t="shared" si="92"/>
        <v/>
      </c>
      <c r="AE86" s="3" t="str">
        <f t="shared" si="92"/>
        <v/>
      </c>
      <c r="AF86" s="3" t="str">
        <f t="shared" si="92"/>
        <v/>
      </c>
      <c r="AG86" s="3" t="str">
        <f t="shared" si="92"/>
        <v/>
      </c>
      <c r="AH86" s="3" t="str">
        <f t="shared" si="91"/>
        <v/>
      </c>
      <c r="AI86" s="3" t="str">
        <f t="shared" si="91"/>
        <v/>
      </c>
      <c r="AJ86" s="3" t="str">
        <f t="shared" si="91"/>
        <v/>
      </c>
      <c r="AK86" s="3" t="str">
        <f t="shared" si="91"/>
        <v/>
      </c>
      <c r="AL86" s="3" t="str">
        <f t="shared" si="91"/>
        <v/>
      </c>
      <c r="AM86" s="3" t="str">
        <f t="shared" si="91"/>
        <v/>
      </c>
      <c r="AN86" s="3" t="str">
        <f t="shared" si="91"/>
        <v/>
      </c>
      <c r="AO86" s="3" t="str">
        <f t="shared" si="91"/>
        <v/>
      </c>
      <c r="AP86" s="3" t="str">
        <f t="shared" si="91"/>
        <v/>
      </c>
      <c r="AQ86" s="3" t="str">
        <f t="shared" si="91"/>
        <v/>
      </c>
      <c r="AR86" s="3" t="str">
        <f t="shared" si="91"/>
        <v/>
      </c>
      <c r="AS86" s="3" t="str">
        <f t="shared" si="91"/>
        <v/>
      </c>
      <c r="AT86" s="3" t="str">
        <f t="shared" si="91"/>
        <v/>
      </c>
      <c r="AU86" s="3" t="str">
        <f t="shared" si="91"/>
        <v/>
      </c>
      <c r="AV86" s="3" t="str">
        <f t="shared" si="91"/>
        <v/>
      </c>
      <c r="AW86" s="3" t="str">
        <f t="shared" si="67"/>
        <v/>
      </c>
      <c r="AX86" s="3" t="str">
        <f t="shared" si="68"/>
        <v>X</v>
      </c>
      <c r="AY86" s="3" t="str">
        <f t="shared" si="69"/>
        <v/>
      </c>
      <c r="AZ86" s="3" t="str">
        <f t="shared" si="70"/>
        <v/>
      </c>
      <c r="BA86" s="3" t="str">
        <f t="shared" si="71"/>
        <v/>
      </c>
      <c r="BB86" s="3">
        <f t="shared" si="72"/>
        <v>4105</v>
      </c>
      <c r="BC86" s="3" t="str">
        <f t="shared" si="73"/>
        <v/>
      </c>
      <c r="BD86" s="3" t="str">
        <f t="shared" si="74"/>
        <v/>
      </c>
      <c r="BE86" s="9" t="str">
        <f t="shared" si="75"/>
        <v/>
      </c>
      <c r="BF86" s="9" t="str">
        <f t="shared" si="76"/>
        <v>00001009</v>
      </c>
      <c r="BG86" s="9" t="str">
        <f t="shared" si="77"/>
        <v/>
      </c>
      <c r="BH86" s="9" t="str">
        <f t="shared" si="78"/>
        <v/>
      </c>
      <c r="BI86" s="3" t="str">
        <f t="shared" si="79"/>
        <v/>
      </c>
      <c r="BJ86" s="3" t="str">
        <f t="shared" si="80"/>
        <v>(3)</v>
      </c>
      <c r="BK86" s="3" t="str">
        <f t="shared" si="81"/>
        <v/>
      </c>
      <c r="BL86" s="3" t="str">
        <f t="shared" si="82"/>
        <v/>
      </c>
      <c r="BM86" s="3" t="str">
        <f t="shared" si="83"/>
        <v/>
      </c>
      <c r="BN86" s="3">
        <f t="shared" si="84"/>
        <v>0</v>
      </c>
      <c r="BO86" s="3" t="str">
        <f t="shared" si="85"/>
        <v/>
      </c>
      <c r="BP86" s="3" t="str">
        <f t="shared" si="86"/>
        <v/>
      </c>
      <c r="BQ86" s="3" t="str">
        <f t="shared" si="87"/>
        <v/>
      </c>
      <c r="BR86" s="3" t="str">
        <f t="shared" si="88"/>
        <v/>
      </c>
      <c r="BS86" s="3" t="str">
        <f t="shared" si="89"/>
        <v/>
      </c>
      <c r="BT86" s="3" t="str">
        <f t="shared" si="90"/>
        <v/>
      </c>
    </row>
    <row r="87" spans="2:72" x14ac:dyDescent="0.25">
      <c r="B87" s="3" t="s">
        <v>289</v>
      </c>
      <c r="C87" s="3" t="s">
        <v>309</v>
      </c>
      <c r="D87" s="3" t="s">
        <v>0</v>
      </c>
      <c r="E87" s="3" t="s">
        <v>670</v>
      </c>
      <c r="F87" s="3" t="s">
        <v>291</v>
      </c>
      <c r="G87" s="3" t="s">
        <v>672</v>
      </c>
      <c r="H87" s="20" t="s">
        <v>310</v>
      </c>
      <c r="I87" s="3" t="s">
        <v>24</v>
      </c>
      <c r="J87" s="3">
        <v>1</v>
      </c>
      <c r="K87" s="3" t="s">
        <v>57</v>
      </c>
      <c r="L87" s="3" t="s">
        <v>23</v>
      </c>
      <c r="M87" s="3">
        <v>1026</v>
      </c>
      <c r="N87" s="3" t="str">
        <f t="shared" ref="N87:N109" si="93">DEC2HEX($M87,8)</f>
        <v>00000402</v>
      </c>
      <c r="O87" s="3">
        <v>18</v>
      </c>
      <c r="P87" s="3">
        <v>18</v>
      </c>
      <c r="Q87" s="3" t="str">
        <f t="shared" si="64"/>
        <v/>
      </c>
      <c r="R87" s="3" t="str">
        <f t="shared" si="92"/>
        <v/>
      </c>
      <c r="S87" s="3" t="str">
        <f t="shared" si="92"/>
        <v/>
      </c>
      <c r="T87" s="3" t="str">
        <f t="shared" si="92"/>
        <v/>
      </c>
      <c r="U87" s="3" t="str">
        <f t="shared" si="92"/>
        <v/>
      </c>
      <c r="V87" s="3" t="str">
        <f t="shared" si="92"/>
        <v/>
      </c>
      <c r="W87" s="3" t="str">
        <f t="shared" si="92"/>
        <v/>
      </c>
      <c r="X87" s="3" t="str">
        <f t="shared" si="92"/>
        <v/>
      </c>
      <c r="Y87" s="3" t="str">
        <f t="shared" si="92"/>
        <v/>
      </c>
      <c r="Z87" s="3" t="str">
        <f t="shared" si="92"/>
        <v/>
      </c>
      <c r="AA87" s="3" t="str">
        <f t="shared" si="92"/>
        <v/>
      </c>
      <c r="AB87" s="3" t="str">
        <f t="shared" si="92"/>
        <v/>
      </c>
      <c r="AC87" s="3" t="str">
        <f t="shared" si="92"/>
        <v/>
      </c>
      <c r="AD87" s="3" t="str">
        <f t="shared" si="92"/>
        <v>X</v>
      </c>
      <c r="AE87" s="3" t="str">
        <f t="shared" si="92"/>
        <v/>
      </c>
      <c r="AF87" s="3" t="str">
        <f t="shared" si="92"/>
        <v/>
      </c>
      <c r="AG87" s="3" t="str">
        <f t="shared" si="92"/>
        <v/>
      </c>
      <c r="AH87" s="3" t="str">
        <f t="shared" si="91"/>
        <v/>
      </c>
      <c r="AI87" s="3" t="str">
        <f t="shared" si="91"/>
        <v/>
      </c>
      <c r="AJ87" s="3" t="str">
        <f t="shared" si="91"/>
        <v/>
      </c>
      <c r="AK87" s="3" t="str">
        <f t="shared" si="91"/>
        <v/>
      </c>
      <c r="AL87" s="3" t="str">
        <f t="shared" si="91"/>
        <v/>
      </c>
      <c r="AM87" s="3" t="str">
        <f t="shared" si="91"/>
        <v/>
      </c>
      <c r="AN87" s="3" t="str">
        <f t="shared" si="91"/>
        <v/>
      </c>
      <c r="AO87" s="3" t="str">
        <f t="shared" si="91"/>
        <v/>
      </c>
      <c r="AP87" s="3" t="str">
        <f t="shared" si="91"/>
        <v/>
      </c>
      <c r="AQ87" s="3" t="str">
        <f t="shared" si="91"/>
        <v/>
      </c>
      <c r="AR87" s="3" t="str">
        <f t="shared" si="91"/>
        <v/>
      </c>
      <c r="AS87" s="3" t="str">
        <f t="shared" si="91"/>
        <v/>
      </c>
      <c r="AT87" s="3" t="str">
        <f t="shared" si="91"/>
        <v/>
      </c>
      <c r="AU87" s="3" t="str">
        <f t="shared" si="91"/>
        <v/>
      </c>
      <c r="AV87" s="3" t="str">
        <f t="shared" si="91"/>
        <v/>
      </c>
      <c r="AW87" s="3" t="str">
        <f t="shared" si="67"/>
        <v/>
      </c>
      <c r="AX87" s="3" t="str">
        <f t="shared" si="68"/>
        <v>X</v>
      </c>
      <c r="AY87" s="3" t="str">
        <f t="shared" si="69"/>
        <v/>
      </c>
      <c r="AZ87" s="3" t="str">
        <f t="shared" si="70"/>
        <v/>
      </c>
      <c r="BA87" s="3" t="str">
        <f t="shared" si="71"/>
        <v/>
      </c>
      <c r="BB87" s="3">
        <f t="shared" si="72"/>
        <v>4105</v>
      </c>
      <c r="BC87" s="3" t="str">
        <f t="shared" si="73"/>
        <v/>
      </c>
      <c r="BD87" s="3" t="str">
        <f t="shared" si="74"/>
        <v/>
      </c>
      <c r="BE87" s="9" t="str">
        <f t="shared" si="75"/>
        <v/>
      </c>
      <c r="BF87" s="9" t="str">
        <f t="shared" si="76"/>
        <v>00001009</v>
      </c>
      <c r="BG87" s="9" t="str">
        <f t="shared" si="77"/>
        <v/>
      </c>
      <c r="BH87" s="9" t="str">
        <f t="shared" si="78"/>
        <v/>
      </c>
      <c r="BI87" s="3" t="str">
        <f t="shared" si="79"/>
        <v/>
      </c>
      <c r="BJ87" s="3" t="str">
        <f t="shared" si="80"/>
        <v>(2)</v>
      </c>
      <c r="BK87" s="3" t="str">
        <f t="shared" si="81"/>
        <v/>
      </c>
      <c r="BL87" s="3" t="str">
        <f t="shared" si="82"/>
        <v/>
      </c>
      <c r="BM87" s="3" t="str">
        <f t="shared" si="83"/>
        <v/>
      </c>
      <c r="BN87" s="3">
        <f t="shared" si="84"/>
        <v>0</v>
      </c>
      <c r="BO87" s="3" t="str">
        <f t="shared" si="85"/>
        <v/>
      </c>
      <c r="BP87" s="3" t="str">
        <f t="shared" si="86"/>
        <v/>
      </c>
      <c r="BQ87" s="3" t="str">
        <f t="shared" si="87"/>
        <v/>
      </c>
      <c r="BR87" s="3" t="str">
        <f t="shared" si="88"/>
        <v/>
      </c>
      <c r="BS87" s="3" t="str">
        <f t="shared" si="89"/>
        <v/>
      </c>
      <c r="BT87" s="3" t="str">
        <f t="shared" si="90"/>
        <v/>
      </c>
    </row>
    <row r="88" spans="2:72" x14ac:dyDescent="0.25">
      <c r="B88" s="3" t="s">
        <v>289</v>
      </c>
      <c r="C88" s="3" t="s">
        <v>311</v>
      </c>
      <c r="D88" s="3" t="s">
        <v>0</v>
      </c>
      <c r="E88" s="3" t="s">
        <v>670</v>
      </c>
      <c r="F88" s="3" t="s">
        <v>291</v>
      </c>
      <c r="G88" s="3" t="s">
        <v>672</v>
      </c>
      <c r="H88" s="20" t="s">
        <v>312</v>
      </c>
      <c r="I88" s="3" t="s">
        <v>24</v>
      </c>
      <c r="J88" s="3">
        <v>1</v>
      </c>
      <c r="K88" s="3" t="s">
        <v>57</v>
      </c>
      <c r="L88" s="3" t="s">
        <v>23</v>
      </c>
      <c r="M88" s="3">
        <v>1026</v>
      </c>
      <c r="N88" s="3" t="str">
        <f t="shared" si="93"/>
        <v>00000402</v>
      </c>
      <c r="O88" s="3">
        <v>17</v>
      </c>
      <c r="P88" s="3">
        <v>17</v>
      </c>
      <c r="Q88" s="3" t="str">
        <f t="shared" si="64"/>
        <v/>
      </c>
      <c r="R88" s="3" t="str">
        <f t="shared" si="92"/>
        <v/>
      </c>
      <c r="S88" s="3" t="str">
        <f t="shared" si="92"/>
        <v/>
      </c>
      <c r="T88" s="3" t="str">
        <f t="shared" si="92"/>
        <v/>
      </c>
      <c r="U88" s="3" t="str">
        <f t="shared" si="92"/>
        <v/>
      </c>
      <c r="V88" s="3" t="str">
        <f t="shared" si="92"/>
        <v/>
      </c>
      <c r="W88" s="3" t="str">
        <f t="shared" si="92"/>
        <v/>
      </c>
      <c r="X88" s="3" t="str">
        <f t="shared" si="92"/>
        <v/>
      </c>
      <c r="Y88" s="3" t="str">
        <f t="shared" si="92"/>
        <v/>
      </c>
      <c r="Z88" s="3" t="str">
        <f t="shared" si="92"/>
        <v/>
      </c>
      <c r="AA88" s="3" t="str">
        <f t="shared" si="92"/>
        <v/>
      </c>
      <c r="AB88" s="3" t="str">
        <f t="shared" si="92"/>
        <v/>
      </c>
      <c r="AC88" s="3" t="str">
        <f t="shared" si="92"/>
        <v/>
      </c>
      <c r="AD88" s="3" t="str">
        <f t="shared" si="92"/>
        <v/>
      </c>
      <c r="AE88" s="3" t="str">
        <f t="shared" si="92"/>
        <v>X</v>
      </c>
      <c r="AF88" s="3" t="str">
        <f t="shared" si="92"/>
        <v/>
      </c>
      <c r="AG88" s="3" t="str">
        <f t="shared" si="92"/>
        <v/>
      </c>
      <c r="AH88" s="3" t="str">
        <f t="shared" si="91"/>
        <v/>
      </c>
      <c r="AI88" s="3" t="str">
        <f t="shared" si="91"/>
        <v/>
      </c>
      <c r="AJ88" s="3" t="str">
        <f t="shared" si="91"/>
        <v/>
      </c>
      <c r="AK88" s="3" t="str">
        <f t="shared" si="91"/>
        <v/>
      </c>
      <c r="AL88" s="3" t="str">
        <f t="shared" si="91"/>
        <v/>
      </c>
      <c r="AM88" s="3" t="str">
        <f t="shared" si="91"/>
        <v/>
      </c>
      <c r="AN88" s="3" t="str">
        <f t="shared" si="91"/>
        <v/>
      </c>
      <c r="AO88" s="3" t="str">
        <f t="shared" si="91"/>
        <v/>
      </c>
      <c r="AP88" s="3" t="str">
        <f t="shared" si="91"/>
        <v/>
      </c>
      <c r="AQ88" s="3" t="str">
        <f t="shared" si="91"/>
        <v/>
      </c>
      <c r="AR88" s="3" t="str">
        <f t="shared" si="91"/>
        <v/>
      </c>
      <c r="AS88" s="3" t="str">
        <f t="shared" si="91"/>
        <v/>
      </c>
      <c r="AT88" s="3" t="str">
        <f t="shared" si="91"/>
        <v/>
      </c>
      <c r="AU88" s="3" t="str">
        <f t="shared" si="91"/>
        <v/>
      </c>
      <c r="AV88" s="3" t="str">
        <f t="shared" si="91"/>
        <v/>
      </c>
      <c r="AW88" s="3" t="str">
        <f t="shared" si="67"/>
        <v/>
      </c>
      <c r="AX88" s="3" t="str">
        <f t="shared" si="68"/>
        <v>X</v>
      </c>
      <c r="AY88" s="3" t="str">
        <f t="shared" si="69"/>
        <v/>
      </c>
      <c r="AZ88" s="3" t="str">
        <f t="shared" si="70"/>
        <v/>
      </c>
      <c r="BA88" s="3" t="str">
        <f t="shared" si="71"/>
        <v/>
      </c>
      <c r="BB88" s="3">
        <f t="shared" si="72"/>
        <v>4105</v>
      </c>
      <c r="BC88" s="3" t="str">
        <f t="shared" si="73"/>
        <v/>
      </c>
      <c r="BD88" s="3" t="str">
        <f t="shared" si="74"/>
        <v/>
      </c>
      <c r="BE88" s="9" t="str">
        <f t="shared" si="75"/>
        <v/>
      </c>
      <c r="BF88" s="9" t="str">
        <f t="shared" si="76"/>
        <v>00001009</v>
      </c>
      <c r="BG88" s="9" t="str">
        <f t="shared" si="77"/>
        <v/>
      </c>
      <c r="BH88" s="9" t="str">
        <f t="shared" si="78"/>
        <v/>
      </c>
      <c r="BI88" s="3" t="str">
        <f t="shared" si="79"/>
        <v/>
      </c>
      <c r="BJ88" s="3" t="str">
        <f t="shared" si="80"/>
        <v>(1)</v>
      </c>
      <c r="BK88" s="3" t="str">
        <f t="shared" si="81"/>
        <v/>
      </c>
      <c r="BL88" s="3" t="str">
        <f t="shared" si="82"/>
        <v/>
      </c>
      <c r="BM88" s="3" t="str">
        <f t="shared" si="83"/>
        <v/>
      </c>
      <c r="BN88" s="3">
        <f t="shared" si="84"/>
        <v>0</v>
      </c>
      <c r="BO88" s="3" t="str">
        <f t="shared" si="85"/>
        <v/>
      </c>
      <c r="BP88" s="3" t="str">
        <f t="shared" si="86"/>
        <v/>
      </c>
      <c r="BQ88" s="3" t="str">
        <f t="shared" si="87"/>
        <v/>
      </c>
      <c r="BR88" s="3" t="str">
        <f t="shared" si="88"/>
        <v/>
      </c>
      <c r="BS88" s="3" t="str">
        <f t="shared" si="89"/>
        <v/>
      </c>
      <c r="BT88" s="3" t="str">
        <f t="shared" si="90"/>
        <v/>
      </c>
    </row>
    <row r="89" spans="2:72" x14ac:dyDescent="0.25">
      <c r="B89" s="3" t="s">
        <v>289</v>
      </c>
      <c r="C89" s="3" t="s">
        <v>313</v>
      </c>
      <c r="D89" s="3" t="s">
        <v>0</v>
      </c>
      <c r="E89" s="3" t="s">
        <v>670</v>
      </c>
      <c r="F89" s="3" t="s">
        <v>291</v>
      </c>
      <c r="G89" s="3" t="s">
        <v>672</v>
      </c>
      <c r="H89" s="20" t="s">
        <v>314</v>
      </c>
      <c r="I89" s="3" t="s">
        <v>24</v>
      </c>
      <c r="J89" s="3">
        <v>1</v>
      </c>
      <c r="K89" s="3" t="s">
        <v>57</v>
      </c>
      <c r="L89" s="3" t="s">
        <v>23</v>
      </c>
      <c r="M89" s="3">
        <v>1026</v>
      </c>
      <c r="N89" s="3" t="str">
        <f t="shared" si="93"/>
        <v>00000402</v>
      </c>
      <c r="O89" s="3">
        <v>16</v>
      </c>
      <c r="P89" s="3">
        <v>16</v>
      </c>
      <c r="Q89" s="3" t="str">
        <f t="shared" si="64"/>
        <v/>
      </c>
      <c r="R89" s="3" t="str">
        <f t="shared" si="92"/>
        <v/>
      </c>
      <c r="S89" s="3" t="str">
        <f t="shared" si="92"/>
        <v/>
      </c>
      <c r="T89" s="3" t="str">
        <f t="shared" si="92"/>
        <v/>
      </c>
      <c r="U89" s="3" t="str">
        <f t="shared" si="92"/>
        <v/>
      </c>
      <c r="V89" s="3" t="str">
        <f t="shared" si="92"/>
        <v/>
      </c>
      <c r="W89" s="3" t="str">
        <f t="shared" si="92"/>
        <v/>
      </c>
      <c r="X89" s="3" t="str">
        <f t="shared" si="92"/>
        <v/>
      </c>
      <c r="Y89" s="3" t="str">
        <f t="shared" si="92"/>
        <v/>
      </c>
      <c r="Z89" s="3" t="str">
        <f t="shared" si="92"/>
        <v/>
      </c>
      <c r="AA89" s="3" t="str">
        <f t="shared" si="92"/>
        <v/>
      </c>
      <c r="AB89" s="3" t="str">
        <f t="shared" si="92"/>
        <v/>
      </c>
      <c r="AC89" s="3" t="str">
        <f t="shared" si="92"/>
        <v/>
      </c>
      <c r="AD89" s="3" t="str">
        <f t="shared" si="92"/>
        <v/>
      </c>
      <c r="AE89" s="3" t="str">
        <f t="shared" si="92"/>
        <v/>
      </c>
      <c r="AF89" s="3" t="str">
        <f t="shared" si="92"/>
        <v>X</v>
      </c>
      <c r="AG89" s="3" t="str">
        <f t="shared" si="92"/>
        <v/>
      </c>
      <c r="AH89" s="3" t="str">
        <f t="shared" si="91"/>
        <v/>
      </c>
      <c r="AI89" s="3" t="str">
        <f t="shared" si="91"/>
        <v/>
      </c>
      <c r="AJ89" s="3" t="str">
        <f t="shared" si="91"/>
        <v/>
      </c>
      <c r="AK89" s="3" t="str">
        <f t="shared" si="91"/>
        <v/>
      </c>
      <c r="AL89" s="3" t="str">
        <f t="shared" si="91"/>
        <v/>
      </c>
      <c r="AM89" s="3" t="str">
        <f t="shared" si="91"/>
        <v/>
      </c>
      <c r="AN89" s="3" t="str">
        <f t="shared" si="91"/>
        <v/>
      </c>
      <c r="AO89" s="3" t="str">
        <f t="shared" si="91"/>
        <v/>
      </c>
      <c r="AP89" s="3" t="str">
        <f t="shared" si="91"/>
        <v/>
      </c>
      <c r="AQ89" s="3" t="str">
        <f t="shared" si="91"/>
        <v/>
      </c>
      <c r="AR89" s="3" t="str">
        <f t="shared" si="91"/>
        <v/>
      </c>
      <c r="AS89" s="3" t="str">
        <f t="shared" si="91"/>
        <v/>
      </c>
      <c r="AT89" s="3" t="str">
        <f t="shared" si="91"/>
        <v/>
      </c>
      <c r="AU89" s="3" t="str">
        <f t="shared" si="91"/>
        <v/>
      </c>
      <c r="AV89" s="3" t="str">
        <f t="shared" si="91"/>
        <v/>
      </c>
      <c r="AW89" s="3" t="str">
        <f t="shared" si="67"/>
        <v/>
      </c>
      <c r="AX89" s="3" t="str">
        <f t="shared" si="68"/>
        <v>X</v>
      </c>
      <c r="AY89" s="3" t="str">
        <f t="shared" si="69"/>
        <v/>
      </c>
      <c r="AZ89" s="3" t="str">
        <f t="shared" si="70"/>
        <v/>
      </c>
      <c r="BA89" s="3" t="str">
        <f t="shared" si="71"/>
        <v/>
      </c>
      <c r="BB89" s="3">
        <f t="shared" si="72"/>
        <v>4105</v>
      </c>
      <c r="BC89" s="3" t="str">
        <f t="shared" si="73"/>
        <v/>
      </c>
      <c r="BD89" s="3" t="str">
        <f t="shared" si="74"/>
        <v/>
      </c>
      <c r="BE89" s="9" t="str">
        <f t="shared" si="75"/>
        <v/>
      </c>
      <c r="BF89" s="9" t="str">
        <f t="shared" si="76"/>
        <v>00001009</v>
      </c>
      <c r="BG89" s="9" t="str">
        <f t="shared" si="77"/>
        <v/>
      </c>
      <c r="BH89" s="9" t="str">
        <f t="shared" si="78"/>
        <v/>
      </c>
      <c r="BI89" s="3" t="str">
        <f t="shared" si="79"/>
        <v/>
      </c>
      <c r="BJ89" s="3" t="str">
        <f t="shared" si="80"/>
        <v>(0)</v>
      </c>
      <c r="BK89" s="3" t="str">
        <f t="shared" si="81"/>
        <v/>
      </c>
      <c r="BL89" s="3" t="str">
        <f t="shared" si="82"/>
        <v/>
      </c>
      <c r="BM89" s="3" t="str">
        <f t="shared" si="83"/>
        <v/>
      </c>
      <c r="BN89" s="3">
        <f t="shared" si="84"/>
        <v>0</v>
      </c>
      <c r="BO89" s="3" t="str">
        <f t="shared" si="85"/>
        <v/>
      </c>
      <c r="BP89" s="3" t="str">
        <f t="shared" si="86"/>
        <v/>
      </c>
      <c r="BQ89" s="3" t="str">
        <f t="shared" si="87"/>
        <v/>
      </c>
      <c r="BR89" s="3" t="str">
        <f t="shared" si="88"/>
        <v/>
      </c>
      <c r="BS89" s="3" t="str">
        <f t="shared" si="89"/>
        <v/>
      </c>
      <c r="BT89" s="3" t="str">
        <f t="shared" si="90"/>
        <v/>
      </c>
    </row>
    <row r="90" spans="2:72" x14ac:dyDescent="0.25">
      <c r="B90" s="3" t="s">
        <v>289</v>
      </c>
      <c r="C90" s="3" t="s">
        <v>315</v>
      </c>
      <c r="D90" s="3" t="s">
        <v>0</v>
      </c>
      <c r="E90" s="3" t="s">
        <v>670</v>
      </c>
      <c r="F90" s="3" t="s">
        <v>291</v>
      </c>
      <c r="G90" s="3" t="s">
        <v>672</v>
      </c>
      <c r="H90" s="20" t="s">
        <v>316</v>
      </c>
      <c r="I90" s="3" t="s">
        <v>24</v>
      </c>
      <c r="J90" s="3">
        <v>3</v>
      </c>
      <c r="K90" s="3" t="s">
        <v>118</v>
      </c>
      <c r="L90" s="3" t="s">
        <v>23</v>
      </c>
      <c r="M90" s="3">
        <v>1026</v>
      </c>
      <c r="N90" s="3" t="str">
        <f t="shared" si="93"/>
        <v>00000402</v>
      </c>
      <c r="O90" s="3">
        <v>15</v>
      </c>
      <c r="P90" s="3">
        <v>13</v>
      </c>
      <c r="Q90" s="3" t="str">
        <f t="shared" si="64"/>
        <v/>
      </c>
      <c r="R90" s="3" t="str">
        <f t="shared" si="92"/>
        <v/>
      </c>
      <c r="S90" s="3" t="str">
        <f t="shared" si="92"/>
        <v/>
      </c>
      <c r="T90" s="3" t="str">
        <f t="shared" si="92"/>
        <v/>
      </c>
      <c r="U90" s="3" t="str">
        <f t="shared" si="92"/>
        <v/>
      </c>
      <c r="V90" s="3" t="str">
        <f t="shared" si="92"/>
        <v/>
      </c>
      <c r="W90" s="3" t="str">
        <f t="shared" si="92"/>
        <v/>
      </c>
      <c r="X90" s="3" t="str">
        <f t="shared" si="92"/>
        <v/>
      </c>
      <c r="Y90" s="3" t="str">
        <f t="shared" si="92"/>
        <v/>
      </c>
      <c r="Z90" s="3" t="str">
        <f t="shared" si="92"/>
        <v/>
      </c>
      <c r="AA90" s="3" t="str">
        <f t="shared" si="92"/>
        <v/>
      </c>
      <c r="AB90" s="3" t="str">
        <f t="shared" si="92"/>
        <v/>
      </c>
      <c r="AC90" s="3" t="str">
        <f t="shared" si="92"/>
        <v/>
      </c>
      <c r="AD90" s="3" t="str">
        <f t="shared" si="92"/>
        <v/>
      </c>
      <c r="AE90" s="3" t="str">
        <f t="shared" si="92"/>
        <v/>
      </c>
      <c r="AF90" s="3" t="str">
        <f t="shared" si="92"/>
        <v/>
      </c>
      <c r="AG90" s="3" t="str">
        <f t="shared" si="92"/>
        <v>X</v>
      </c>
      <c r="AH90" s="3" t="str">
        <f t="shared" si="91"/>
        <v>X</v>
      </c>
      <c r="AI90" s="3" t="str">
        <f t="shared" si="91"/>
        <v>X</v>
      </c>
      <c r="AJ90" s="3" t="str">
        <f t="shared" si="91"/>
        <v/>
      </c>
      <c r="AK90" s="3" t="str">
        <f t="shared" si="91"/>
        <v/>
      </c>
      <c r="AL90" s="3" t="str">
        <f t="shared" si="91"/>
        <v/>
      </c>
      <c r="AM90" s="3" t="str">
        <f t="shared" si="91"/>
        <v/>
      </c>
      <c r="AN90" s="3" t="str">
        <f t="shared" si="91"/>
        <v/>
      </c>
      <c r="AO90" s="3" t="str">
        <f t="shared" si="91"/>
        <v/>
      </c>
      <c r="AP90" s="3" t="str">
        <f t="shared" si="91"/>
        <v/>
      </c>
      <c r="AQ90" s="3" t="str">
        <f t="shared" si="91"/>
        <v/>
      </c>
      <c r="AR90" s="3" t="str">
        <f t="shared" si="91"/>
        <v/>
      </c>
      <c r="AS90" s="3" t="str">
        <f t="shared" si="91"/>
        <v/>
      </c>
      <c r="AT90" s="3" t="str">
        <f t="shared" si="91"/>
        <v/>
      </c>
      <c r="AU90" s="3" t="str">
        <f t="shared" si="91"/>
        <v/>
      </c>
      <c r="AV90" s="3" t="str">
        <f t="shared" si="91"/>
        <v/>
      </c>
      <c r="AW90" s="3" t="str">
        <f t="shared" si="67"/>
        <v/>
      </c>
      <c r="AX90" s="3" t="str">
        <f t="shared" si="68"/>
        <v/>
      </c>
      <c r="AY90" s="3" t="str">
        <f t="shared" si="69"/>
        <v>X</v>
      </c>
      <c r="AZ90" s="3" t="str">
        <f t="shared" si="70"/>
        <v/>
      </c>
      <c r="BA90" s="3" t="str">
        <f t="shared" si="71"/>
        <v/>
      </c>
      <c r="BB90" s="3" t="str">
        <f t="shared" si="72"/>
        <v/>
      </c>
      <c r="BC90" s="3">
        <f t="shared" si="73"/>
        <v>4106</v>
      </c>
      <c r="BD90" s="3" t="str">
        <f t="shared" si="74"/>
        <v/>
      </c>
      <c r="BE90" s="9" t="str">
        <f t="shared" si="75"/>
        <v/>
      </c>
      <c r="BF90" s="9" t="str">
        <f t="shared" si="76"/>
        <v/>
      </c>
      <c r="BG90" s="9" t="str">
        <f t="shared" si="77"/>
        <v>0000100A</v>
      </c>
      <c r="BH90" s="9" t="str">
        <f t="shared" si="78"/>
        <v/>
      </c>
      <c r="BI90" s="3" t="str">
        <f t="shared" si="79"/>
        <v/>
      </c>
      <c r="BJ90" s="3" t="str">
        <f t="shared" si="80"/>
        <v/>
      </c>
      <c r="BK90" s="3" t="str">
        <f t="shared" si="81"/>
        <v>(7 downto 5)</v>
      </c>
      <c r="BL90" s="3" t="str">
        <f t="shared" si="82"/>
        <v/>
      </c>
      <c r="BM90" s="3" t="str">
        <f t="shared" si="83"/>
        <v/>
      </c>
      <c r="BN90" s="3" t="str">
        <f t="shared" si="84"/>
        <v/>
      </c>
      <c r="BO90" s="3">
        <f t="shared" si="85"/>
        <v>2</v>
      </c>
      <c r="BP90" s="3" t="str">
        <f t="shared" si="86"/>
        <v/>
      </c>
      <c r="BQ90" s="3" t="str">
        <f t="shared" si="87"/>
        <v/>
      </c>
      <c r="BR90" s="3" t="str">
        <f t="shared" si="88"/>
        <v/>
      </c>
      <c r="BS90" s="3" t="str">
        <f t="shared" si="89"/>
        <v/>
      </c>
      <c r="BT90" s="3" t="str">
        <f t="shared" si="90"/>
        <v/>
      </c>
    </row>
    <row r="91" spans="2:72" x14ac:dyDescent="0.25">
      <c r="B91" s="3" t="s">
        <v>289</v>
      </c>
      <c r="C91" s="3" t="s">
        <v>317</v>
      </c>
      <c r="D91" s="3" t="s">
        <v>0</v>
      </c>
      <c r="E91" s="3" t="s">
        <v>670</v>
      </c>
      <c r="F91" s="3" t="s">
        <v>291</v>
      </c>
      <c r="G91" s="3" t="s">
        <v>672</v>
      </c>
      <c r="H91" s="20" t="s">
        <v>318</v>
      </c>
      <c r="I91" s="3" t="s">
        <v>24</v>
      </c>
      <c r="J91" s="3">
        <v>1</v>
      </c>
      <c r="K91" s="3" t="s">
        <v>57</v>
      </c>
      <c r="L91" s="3" t="s">
        <v>23</v>
      </c>
      <c r="M91" s="3">
        <v>1026</v>
      </c>
      <c r="N91" s="3" t="str">
        <f t="shared" si="93"/>
        <v>00000402</v>
      </c>
      <c r="O91" s="3">
        <v>12</v>
      </c>
      <c r="P91" s="3">
        <v>12</v>
      </c>
      <c r="Q91" s="3" t="str">
        <f t="shared" si="64"/>
        <v/>
      </c>
      <c r="R91" s="3" t="str">
        <f t="shared" si="92"/>
        <v/>
      </c>
      <c r="S91" s="3" t="str">
        <f t="shared" si="92"/>
        <v/>
      </c>
      <c r="T91" s="3" t="str">
        <f t="shared" si="92"/>
        <v/>
      </c>
      <c r="U91" s="3" t="str">
        <f t="shared" si="92"/>
        <v/>
      </c>
      <c r="V91" s="3" t="str">
        <f t="shared" si="92"/>
        <v/>
      </c>
      <c r="W91" s="3" t="str">
        <f t="shared" si="92"/>
        <v/>
      </c>
      <c r="X91" s="3" t="str">
        <f t="shared" si="92"/>
        <v/>
      </c>
      <c r="Y91" s="3" t="str">
        <f t="shared" si="92"/>
        <v/>
      </c>
      <c r="Z91" s="3" t="str">
        <f t="shared" si="92"/>
        <v/>
      </c>
      <c r="AA91" s="3" t="str">
        <f t="shared" si="92"/>
        <v/>
      </c>
      <c r="AB91" s="3" t="str">
        <f t="shared" si="92"/>
        <v/>
      </c>
      <c r="AC91" s="3" t="str">
        <f t="shared" si="92"/>
        <v/>
      </c>
      <c r="AD91" s="3" t="str">
        <f t="shared" si="92"/>
        <v/>
      </c>
      <c r="AE91" s="3" t="str">
        <f t="shared" si="92"/>
        <v/>
      </c>
      <c r="AF91" s="3" t="str">
        <f t="shared" si="92"/>
        <v/>
      </c>
      <c r="AG91" s="3" t="str">
        <f t="shared" si="92"/>
        <v/>
      </c>
      <c r="AH91" s="3" t="str">
        <f t="shared" si="91"/>
        <v/>
      </c>
      <c r="AI91" s="3" t="str">
        <f t="shared" si="91"/>
        <v/>
      </c>
      <c r="AJ91" s="3" t="str">
        <f t="shared" si="91"/>
        <v>X</v>
      </c>
      <c r="AK91" s="3" t="str">
        <f t="shared" si="91"/>
        <v/>
      </c>
      <c r="AL91" s="3" t="str">
        <f t="shared" si="91"/>
        <v/>
      </c>
      <c r="AM91" s="3" t="str">
        <f t="shared" si="91"/>
        <v/>
      </c>
      <c r="AN91" s="3" t="str">
        <f t="shared" si="91"/>
        <v/>
      </c>
      <c r="AO91" s="3" t="str">
        <f t="shared" si="91"/>
        <v/>
      </c>
      <c r="AP91" s="3" t="str">
        <f t="shared" si="91"/>
        <v/>
      </c>
      <c r="AQ91" s="3" t="str">
        <f t="shared" si="91"/>
        <v/>
      </c>
      <c r="AR91" s="3" t="str">
        <f t="shared" si="91"/>
        <v/>
      </c>
      <c r="AS91" s="3" t="str">
        <f t="shared" si="91"/>
        <v/>
      </c>
      <c r="AT91" s="3" t="str">
        <f t="shared" si="91"/>
        <v/>
      </c>
      <c r="AU91" s="3" t="str">
        <f t="shared" si="91"/>
        <v/>
      </c>
      <c r="AV91" s="3" t="str">
        <f t="shared" si="91"/>
        <v/>
      </c>
      <c r="AW91" s="3" t="str">
        <f t="shared" si="67"/>
        <v/>
      </c>
      <c r="AX91" s="3" t="str">
        <f t="shared" si="68"/>
        <v/>
      </c>
      <c r="AY91" s="3" t="str">
        <f t="shared" si="69"/>
        <v>X</v>
      </c>
      <c r="AZ91" s="3" t="str">
        <f t="shared" si="70"/>
        <v/>
      </c>
      <c r="BA91" s="3" t="str">
        <f t="shared" si="71"/>
        <v/>
      </c>
      <c r="BB91" s="3" t="str">
        <f t="shared" si="72"/>
        <v/>
      </c>
      <c r="BC91" s="3">
        <f t="shared" si="73"/>
        <v>4106</v>
      </c>
      <c r="BD91" s="3" t="str">
        <f t="shared" si="74"/>
        <v/>
      </c>
      <c r="BE91" s="9" t="str">
        <f t="shared" si="75"/>
        <v/>
      </c>
      <c r="BF91" s="9" t="str">
        <f t="shared" si="76"/>
        <v/>
      </c>
      <c r="BG91" s="9" t="str">
        <f t="shared" si="77"/>
        <v>0000100A</v>
      </c>
      <c r="BH91" s="9" t="str">
        <f t="shared" si="78"/>
        <v/>
      </c>
      <c r="BI91" s="3" t="str">
        <f t="shared" si="79"/>
        <v/>
      </c>
      <c r="BJ91" s="3" t="str">
        <f t="shared" si="80"/>
        <v/>
      </c>
      <c r="BK91" s="3" t="str">
        <f t="shared" si="81"/>
        <v>(4)</v>
      </c>
      <c r="BL91" s="3" t="str">
        <f t="shared" si="82"/>
        <v/>
      </c>
      <c r="BM91" s="3" t="str">
        <f t="shared" si="83"/>
        <v/>
      </c>
      <c r="BN91" s="3" t="str">
        <f t="shared" si="84"/>
        <v/>
      </c>
      <c r="BO91" s="3">
        <f t="shared" si="85"/>
        <v>0</v>
      </c>
      <c r="BP91" s="3" t="str">
        <f t="shared" si="86"/>
        <v/>
      </c>
      <c r="BQ91" s="3" t="str">
        <f t="shared" si="87"/>
        <v/>
      </c>
      <c r="BR91" s="3" t="str">
        <f t="shared" si="88"/>
        <v/>
      </c>
      <c r="BS91" s="3" t="str">
        <f t="shared" si="89"/>
        <v/>
      </c>
      <c r="BT91" s="3" t="str">
        <f t="shared" si="90"/>
        <v/>
      </c>
    </row>
    <row r="92" spans="2:72" x14ac:dyDescent="0.25">
      <c r="B92" s="3" t="s">
        <v>289</v>
      </c>
      <c r="C92" s="3" t="s">
        <v>319</v>
      </c>
      <c r="D92" s="3" t="s">
        <v>0</v>
      </c>
      <c r="E92" s="3" t="s">
        <v>670</v>
      </c>
      <c r="F92" s="3" t="s">
        <v>291</v>
      </c>
      <c r="G92" s="3" t="s">
        <v>672</v>
      </c>
      <c r="H92" s="20" t="s">
        <v>320</v>
      </c>
      <c r="I92" s="3" t="s">
        <v>24</v>
      </c>
      <c r="J92" s="3">
        <v>1</v>
      </c>
      <c r="K92" s="3" t="s">
        <v>57</v>
      </c>
      <c r="L92" s="3" t="s">
        <v>23</v>
      </c>
      <c r="M92" s="3">
        <v>1026</v>
      </c>
      <c r="N92" s="3" t="str">
        <f t="shared" si="93"/>
        <v>00000402</v>
      </c>
      <c r="O92" s="3">
        <v>11</v>
      </c>
      <c r="P92" s="3">
        <v>11</v>
      </c>
      <c r="Q92" s="3" t="str">
        <f t="shared" si="64"/>
        <v/>
      </c>
      <c r="R92" s="3" t="str">
        <f t="shared" si="92"/>
        <v/>
      </c>
      <c r="S92" s="3" t="str">
        <f t="shared" si="92"/>
        <v/>
      </c>
      <c r="T92" s="3" t="str">
        <f t="shared" si="92"/>
        <v/>
      </c>
      <c r="U92" s="3" t="str">
        <f t="shared" si="92"/>
        <v/>
      </c>
      <c r="V92" s="3" t="str">
        <f t="shared" si="92"/>
        <v/>
      </c>
      <c r="W92" s="3" t="str">
        <f t="shared" si="92"/>
        <v/>
      </c>
      <c r="X92" s="3" t="str">
        <f t="shared" si="92"/>
        <v/>
      </c>
      <c r="Y92" s="3" t="str">
        <f t="shared" si="92"/>
        <v/>
      </c>
      <c r="Z92" s="3" t="str">
        <f t="shared" si="92"/>
        <v/>
      </c>
      <c r="AA92" s="3" t="str">
        <f t="shared" si="92"/>
        <v/>
      </c>
      <c r="AB92" s="3" t="str">
        <f t="shared" si="92"/>
        <v/>
      </c>
      <c r="AC92" s="3" t="str">
        <f t="shared" si="92"/>
        <v/>
      </c>
      <c r="AD92" s="3" t="str">
        <f t="shared" si="92"/>
        <v/>
      </c>
      <c r="AE92" s="3" t="str">
        <f t="shared" si="92"/>
        <v/>
      </c>
      <c r="AF92" s="3" t="str">
        <f t="shared" si="92"/>
        <v/>
      </c>
      <c r="AG92" s="3" t="str">
        <f t="shared" si="92"/>
        <v/>
      </c>
      <c r="AH92" s="3" t="str">
        <f t="shared" si="91"/>
        <v/>
      </c>
      <c r="AI92" s="3" t="str">
        <f t="shared" si="91"/>
        <v/>
      </c>
      <c r="AJ92" s="3" t="str">
        <f t="shared" si="91"/>
        <v/>
      </c>
      <c r="AK92" s="3" t="str">
        <f t="shared" si="91"/>
        <v>X</v>
      </c>
      <c r="AL92" s="3" t="str">
        <f t="shared" si="91"/>
        <v/>
      </c>
      <c r="AM92" s="3" t="str">
        <f t="shared" si="91"/>
        <v/>
      </c>
      <c r="AN92" s="3" t="str">
        <f t="shared" si="91"/>
        <v/>
      </c>
      <c r="AO92" s="3" t="str">
        <f t="shared" si="91"/>
        <v/>
      </c>
      <c r="AP92" s="3" t="str">
        <f t="shared" si="91"/>
        <v/>
      </c>
      <c r="AQ92" s="3" t="str">
        <f t="shared" si="91"/>
        <v/>
      </c>
      <c r="AR92" s="3" t="str">
        <f t="shared" si="91"/>
        <v/>
      </c>
      <c r="AS92" s="3" t="str">
        <f t="shared" si="91"/>
        <v/>
      </c>
      <c r="AT92" s="3" t="str">
        <f t="shared" si="91"/>
        <v/>
      </c>
      <c r="AU92" s="3" t="str">
        <f t="shared" si="91"/>
        <v/>
      </c>
      <c r="AV92" s="3" t="str">
        <f t="shared" si="91"/>
        <v/>
      </c>
      <c r="AW92" s="3" t="str">
        <f t="shared" si="67"/>
        <v/>
      </c>
      <c r="AX92" s="3" t="str">
        <f t="shared" si="68"/>
        <v/>
      </c>
      <c r="AY92" s="3" t="str">
        <f t="shared" si="69"/>
        <v>X</v>
      </c>
      <c r="AZ92" s="3" t="str">
        <f t="shared" si="70"/>
        <v/>
      </c>
      <c r="BA92" s="3" t="str">
        <f t="shared" si="71"/>
        <v/>
      </c>
      <c r="BB92" s="3" t="str">
        <f t="shared" si="72"/>
        <v/>
      </c>
      <c r="BC92" s="3">
        <f t="shared" si="73"/>
        <v>4106</v>
      </c>
      <c r="BD92" s="3" t="str">
        <f t="shared" si="74"/>
        <v/>
      </c>
      <c r="BE92" s="9" t="str">
        <f t="shared" si="75"/>
        <v/>
      </c>
      <c r="BF92" s="9" t="str">
        <f t="shared" si="76"/>
        <v/>
      </c>
      <c r="BG92" s="9" t="str">
        <f t="shared" si="77"/>
        <v>0000100A</v>
      </c>
      <c r="BH92" s="9" t="str">
        <f t="shared" si="78"/>
        <v/>
      </c>
      <c r="BI92" s="3" t="str">
        <f t="shared" si="79"/>
        <v/>
      </c>
      <c r="BJ92" s="3" t="str">
        <f t="shared" si="80"/>
        <v/>
      </c>
      <c r="BK92" s="3" t="str">
        <f t="shared" si="81"/>
        <v>(3)</v>
      </c>
      <c r="BL92" s="3" t="str">
        <f t="shared" si="82"/>
        <v/>
      </c>
      <c r="BM92" s="3" t="str">
        <f t="shared" si="83"/>
        <v/>
      </c>
      <c r="BN92" s="3" t="str">
        <f t="shared" si="84"/>
        <v/>
      </c>
      <c r="BO92" s="3">
        <f t="shared" si="85"/>
        <v>0</v>
      </c>
      <c r="BP92" s="3" t="str">
        <f t="shared" si="86"/>
        <v/>
      </c>
      <c r="BQ92" s="3" t="str">
        <f t="shared" si="87"/>
        <v/>
      </c>
      <c r="BR92" s="3" t="str">
        <f t="shared" si="88"/>
        <v/>
      </c>
      <c r="BS92" s="3" t="str">
        <f t="shared" si="89"/>
        <v/>
      </c>
      <c r="BT92" s="3" t="str">
        <f t="shared" si="90"/>
        <v/>
      </c>
    </row>
    <row r="93" spans="2:72" x14ac:dyDescent="0.25">
      <c r="B93" s="3" t="s">
        <v>289</v>
      </c>
      <c r="C93" s="3" t="s">
        <v>321</v>
      </c>
      <c r="D93" s="3" t="s">
        <v>0</v>
      </c>
      <c r="E93" s="3" t="s">
        <v>670</v>
      </c>
      <c r="F93" s="3" t="s">
        <v>291</v>
      </c>
      <c r="G93" s="3" t="s">
        <v>672</v>
      </c>
      <c r="H93" s="20" t="s">
        <v>322</v>
      </c>
      <c r="I93" s="3" t="s">
        <v>24</v>
      </c>
      <c r="J93" s="3">
        <v>1</v>
      </c>
      <c r="K93" s="3" t="s">
        <v>57</v>
      </c>
      <c r="L93" s="3" t="s">
        <v>23</v>
      </c>
      <c r="M93" s="3">
        <v>1026</v>
      </c>
      <c r="N93" s="3" t="str">
        <f t="shared" si="93"/>
        <v>00000402</v>
      </c>
      <c r="O93" s="3">
        <v>10</v>
      </c>
      <c r="P93" s="3">
        <v>10</v>
      </c>
      <c r="Q93" s="3" t="str">
        <f t="shared" si="64"/>
        <v/>
      </c>
      <c r="R93" s="3" t="str">
        <f t="shared" si="92"/>
        <v/>
      </c>
      <c r="S93" s="3" t="str">
        <f t="shared" si="92"/>
        <v/>
      </c>
      <c r="T93" s="3" t="str">
        <f t="shared" si="92"/>
        <v/>
      </c>
      <c r="U93" s="3" t="str">
        <f t="shared" si="92"/>
        <v/>
      </c>
      <c r="V93" s="3" t="str">
        <f t="shared" si="92"/>
        <v/>
      </c>
      <c r="W93" s="3" t="str">
        <f t="shared" si="92"/>
        <v/>
      </c>
      <c r="X93" s="3" t="str">
        <f t="shared" si="92"/>
        <v/>
      </c>
      <c r="Y93" s="3" t="str">
        <f t="shared" si="92"/>
        <v/>
      </c>
      <c r="Z93" s="3" t="str">
        <f t="shared" si="92"/>
        <v/>
      </c>
      <c r="AA93" s="3" t="str">
        <f t="shared" si="92"/>
        <v/>
      </c>
      <c r="AB93" s="3" t="str">
        <f t="shared" si="92"/>
        <v/>
      </c>
      <c r="AC93" s="3" t="str">
        <f t="shared" si="92"/>
        <v/>
      </c>
      <c r="AD93" s="3" t="str">
        <f t="shared" si="92"/>
        <v/>
      </c>
      <c r="AE93" s="3" t="str">
        <f t="shared" si="92"/>
        <v/>
      </c>
      <c r="AF93" s="3" t="str">
        <f t="shared" si="92"/>
        <v/>
      </c>
      <c r="AG93" s="3" t="str">
        <f t="shared" si="92"/>
        <v/>
      </c>
      <c r="AH93" s="3" t="str">
        <f t="shared" ref="AH93:AV108" si="94">IF(AND($O93&gt;=AH$3,AH$3&gt;=$P93),"X","")</f>
        <v/>
      </c>
      <c r="AI93" s="3" t="str">
        <f t="shared" si="94"/>
        <v/>
      </c>
      <c r="AJ93" s="3" t="str">
        <f t="shared" si="94"/>
        <v/>
      </c>
      <c r="AK93" s="3" t="str">
        <f t="shared" si="94"/>
        <v/>
      </c>
      <c r="AL93" s="3" t="str">
        <f t="shared" si="94"/>
        <v>X</v>
      </c>
      <c r="AM93" s="3" t="str">
        <f t="shared" si="94"/>
        <v/>
      </c>
      <c r="AN93" s="3" t="str">
        <f t="shared" si="94"/>
        <v/>
      </c>
      <c r="AO93" s="3" t="str">
        <f t="shared" si="94"/>
        <v/>
      </c>
      <c r="AP93" s="3" t="str">
        <f t="shared" si="94"/>
        <v/>
      </c>
      <c r="AQ93" s="3" t="str">
        <f t="shared" si="94"/>
        <v/>
      </c>
      <c r="AR93" s="3" t="str">
        <f t="shared" si="94"/>
        <v/>
      </c>
      <c r="AS93" s="3" t="str">
        <f t="shared" si="94"/>
        <v/>
      </c>
      <c r="AT93" s="3" t="str">
        <f t="shared" si="94"/>
        <v/>
      </c>
      <c r="AU93" s="3" t="str">
        <f t="shared" si="94"/>
        <v/>
      </c>
      <c r="AV93" s="3" t="str">
        <f t="shared" si="94"/>
        <v/>
      </c>
      <c r="AW93" s="3" t="str">
        <f t="shared" si="67"/>
        <v/>
      </c>
      <c r="AX93" s="3" t="str">
        <f t="shared" si="68"/>
        <v/>
      </c>
      <c r="AY93" s="3" t="str">
        <f t="shared" si="69"/>
        <v>X</v>
      </c>
      <c r="AZ93" s="3" t="str">
        <f t="shared" si="70"/>
        <v/>
      </c>
      <c r="BA93" s="3" t="str">
        <f t="shared" si="71"/>
        <v/>
      </c>
      <c r="BB93" s="3" t="str">
        <f t="shared" si="72"/>
        <v/>
      </c>
      <c r="BC93" s="3">
        <f t="shared" si="73"/>
        <v>4106</v>
      </c>
      <c r="BD93" s="3" t="str">
        <f t="shared" si="74"/>
        <v/>
      </c>
      <c r="BE93" s="9" t="str">
        <f t="shared" si="75"/>
        <v/>
      </c>
      <c r="BF93" s="9" t="str">
        <f t="shared" si="76"/>
        <v/>
      </c>
      <c r="BG93" s="9" t="str">
        <f t="shared" si="77"/>
        <v>0000100A</v>
      </c>
      <c r="BH93" s="9" t="str">
        <f t="shared" si="78"/>
        <v/>
      </c>
      <c r="BI93" s="3" t="str">
        <f t="shared" si="79"/>
        <v/>
      </c>
      <c r="BJ93" s="3" t="str">
        <f t="shared" si="80"/>
        <v/>
      </c>
      <c r="BK93" s="3" t="str">
        <f t="shared" si="81"/>
        <v>(2)</v>
      </c>
      <c r="BL93" s="3" t="str">
        <f t="shared" si="82"/>
        <v/>
      </c>
      <c r="BM93" s="3" t="str">
        <f t="shared" si="83"/>
        <v/>
      </c>
      <c r="BN93" s="3" t="str">
        <f t="shared" si="84"/>
        <v/>
      </c>
      <c r="BO93" s="3">
        <f t="shared" si="85"/>
        <v>0</v>
      </c>
      <c r="BP93" s="3" t="str">
        <f t="shared" si="86"/>
        <v/>
      </c>
      <c r="BQ93" s="3" t="str">
        <f t="shared" si="87"/>
        <v/>
      </c>
      <c r="BR93" s="3" t="str">
        <f t="shared" si="88"/>
        <v/>
      </c>
      <c r="BS93" s="3" t="str">
        <f t="shared" si="89"/>
        <v/>
      </c>
      <c r="BT93" s="3" t="str">
        <f t="shared" si="90"/>
        <v/>
      </c>
    </row>
    <row r="94" spans="2:72" x14ac:dyDescent="0.25">
      <c r="B94" s="3" t="s">
        <v>289</v>
      </c>
      <c r="C94" s="3" t="s">
        <v>323</v>
      </c>
      <c r="D94" s="3" t="s">
        <v>0</v>
      </c>
      <c r="E94" s="3" t="s">
        <v>670</v>
      </c>
      <c r="F94" s="3" t="s">
        <v>291</v>
      </c>
      <c r="G94" s="3" t="s">
        <v>672</v>
      </c>
      <c r="H94" s="20" t="s">
        <v>324</v>
      </c>
      <c r="I94" s="3" t="s">
        <v>24</v>
      </c>
      <c r="J94" s="3">
        <v>1</v>
      </c>
      <c r="K94" s="3" t="s">
        <v>57</v>
      </c>
      <c r="L94" s="3" t="s">
        <v>23</v>
      </c>
      <c r="M94" s="3">
        <v>1026</v>
      </c>
      <c r="N94" s="3" t="str">
        <f t="shared" si="93"/>
        <v>00000402</v>
      </c>
      <c r="O94" s="3">
        <v>9</v>
      </c>
      <c r="P94" s="3">
        <v>9</v>
      </c>
      <c r="Q94" s="3" t="str">
        <f t="shared" si="64"/>
        <v/>
      </c>
      <c r="R94" s="3" t="str">
        <f t="shared" si="92"/>
        <v/>
      </c>
      <c r="S94" s="3" t="str">
        <f t="shared" si="92"/>
        <v/>
      </c>
      <c r="T94" s="3" t="str">
        <f t="shared" si="92"/>
        <v/>
      </c>
      <c r="U94" s="3" t="str">
        <f t="shared" si="92"/>
        <v/>
      </c>
      <c r="V94" s="3" t="str">
        <f t="shared" si="92"/>
        <v/>
      </c>
      <c r="W94" s="3" t="str">
        <f t="shared" si="92"/>
        <v/>
      </c>
      <c r="X94" s="3" t="str">
        <f t="shared" si="92"/>
        <v/>
      </c>
      <c r="Y94" s="3" t="str">
        <f t="shared" si="92"/>
        <v/>
      </c>
      <c r="Z94" s="3" t="str">
        <f t="shared" si="92"/>
        <v/>
      </c>
      <c r="AA94" s="3" t="str">
        <f t="shared" si="92"/>
        <v/>
      </c>
      <c r="AB94" s="3" t="str">
        <f t="shared" si="92"/>
        <v/>
      </c>
      <c r="AC94" s="3" t="str">
        <f t="shared" si="92"/>
        <v/>
      </c>
      <c r="AD94" s="3" t="str">
        <f t="shared" si="92"/>
        <v/>
      </c>
      <c r="AE94" s="3" t="str">
        <f t="shared" si="92"/>
        <v/>
      </c>
      <c r="AF94" s="3" t="str">
        <f t="shared" si="92"/>
        <v/>
      </c>
      <c r="AG94" s="3" t="str">
        <f t="shared" si="92"/>
        <v/>
      </c>
      <c r="AH94" s="3" t="str">
        <f t="shared" si="94"/>
        <v/>
      </c>
      <c r="AI94" s="3" t="str">
        <f t="shared" si="94"/>
        <v/>
      </c>
      <c r="AJ94" s="3" t="str">
        <f t="shared" si="94"/>
        <v/>
      </c>
      <c r="AK94" s="3" t="str">
        <f t="shared" si="94"/>
        <v/>
      </c>
      <c r="AL94" s="3" t="str">
        <f t="shared" si="94"/>
        <v/>
      </c>
      <c r="AM94" s="3" t="str">
        <f t="shared" si="94"/>
        <v>X</v>
      </c>
      <c r="AN94" s="3" t="str">
        <f t="shared" si="94"/>
        <v/>
      </c>
      <c r="AO94" s="3" t="str">
        <f t="shared" si="94"/>
        <v/>
      </c>
      <c r="AP94" s="3" t="str">
        <f t="shared" si="94"/>
        <v/>
      </c>
      <c r="AQ94" s="3" t="str">
        <f t="shared" si="94"/>
        <v/>
      </c>
      <c r="AR94" s="3" t="str">
        <f t="shared" si="94"/>
        <v/>
      </c>
      <c r="AS94" s="3" t="str">
        <f t="shared" si="94"/>
        <v/>
      </c>
      <c r="AT94" s="3" t="str">
        <f t="shared" si="94"/>
        <v/>
      </c>
      <c r="AU94" s="3" t="str">
        <f t="shared" si="94"/>
        <v/>
      </c>
      <c r="AV94" s="3" t="str">
        <f t="shared" si="94"/>
        <v/>
      </c>
      <c r="AW94" s="3" t="str">
        <f t="shared" si="67"/>
        <v/>
      </c>
      <c r="AX94" s="3" t="str">
        <f t="shared" si="68"/>
        <v/>
      </c>
      <c r="AY94" s="3" t="str">
        <f t="shared" si="69"/>
        <v>X</v>
      </c>
      <c r="AZ94" s="3" t="str">
        <f t="shared" si="70"/>
        <v/>
      </c>
      <c r="BA94" s="3" t="str">
        <f t="shared" si="71"/>
        <v/>
      </c>
      <c r="BB94" s="3" t="str">
        <f t="shared" si="72"/>
        <v/>
      </c>
      <c r="BC94" s="3">
        <f t="shared" si="73"/>
        <v>4106</v>
      </c>
      <c r="BD94" s="3" t="str">
        <f t="shared" si="74"/>
        <v/>
      </c>
      <c r="BE94" s="9" t="str">
        <f t="shared" si="75"/>
        <v/>
      </c>
      <c r="BF94" s="9" t="str">
        <f t="shared" si="76"/>
        <v/>
      </c>
      <c r="BG94" s="9" t="str">
        <f t="shared" si="77"/>
        <v>0000100A</v>
      </c>
      <c r="BH94" s="9" t="str">
        <f t="shared" si="78"/>
        <v/>
      </c>
      <c r="BI94" s="3" t="str">
        <f t="shared" si="79"/>
        <v/>
      </c>
      <c r="BJ94" s="3" t="str">
        <f t="shared" si="80"/>
        <v/>
      </c>
      <c r="BK94" s="3" t="str">
        <f t="shared" si="81"/>
        <v>(1)</v>
      </c>
      <c r="BL94" s="3" t="str">
        <f t="shared" si="82"/>
        <v/>
      </c>
      <c r="BM94" s="3" t="str">
        <f t="shared" si="83"/>
        <v/>
      </c>
      <c r="BN94" s="3" t="str">
        <f t="shared" si="84"/>
        <v/>
      </c>
      <c r="BO94" s="3">
        <f t="shared" si="85"/>
        <v>0</v>
      </c>
      <c r="BP94" s="3" t="str">
        <f t="shared" si="86"/>
        <v/>
      </c>
      <c r="BQ94" s="3" t="str">
        <f t="shared" si="87"/>
        <v/>
      </c>
      <c r="BR94" s="3" t="str">
        <f t="shared" si="88"/>
        <v/>
      </c>
      <c r="BS94" s="3" t="str">
        <f t="shared" si="89"/>
        <v/>
      </c>
      <c r="BT94" s="3" t="str">
        <f t="shared" si="90"/>
        <v/>
      </c>
    </row>
    <row r="95" spans="2:72" x14ac:dyDescent="0.25">
      <c r="B95" s="3" t="s">
        <v>289</v>
      </c>
      <c r="C95" s="3" t="s">
        <v>325</v>
      </c>
      <c r="D95" s="3" t="s">
        <v>0</v>
      </c>
      <c r="E95" s="3" t="s">
        <v>670</v>
      </c>
      <c r="F95" s="3" t="s">
        <v>291</v>
      </c>
      <c r="G95" s="3" t="s">
        <v>672</v>
      </c>
      <c r="H95" s="20" t="s">
        <v>326</v>
      </c>
      <c r="I95" s="3" t="s">
        <v>24</v>
      </c>
      <c r="J95" s="3">
        <v>1</v>
      </c>
      <c r="K95" s="3" t="s">
        <v>57</v>
      </c>
      <c r="L95" s="3" t="s">
        <v>23</v>
      </c>
      <c r="M95" s="3">
        <v>1026</v>
      </c>
      <c r="N95" s="3" t="str">
        <f t="shared" si="93"/>
        <v>00000402</v>
      </c>
      <c r="O95" s="3">
        <v>8</v>
      </c>
      <c r="P95" s="3">
        <v>8</v>
      </c>
      <c r="Q95" s="3" t="str">
        <f t="shared" si="64"/>
        <v/>
      </c>
      <c r="R95" s="3" t="str">
        <f t="shared" si="92"/>
        <v/>
      </c>
      <c r="S95" s="3" t="str">
        <f t="shared" si="92"/>
        <v/>
      </c>
      <c r="T95" s="3" t="str">
        <f t="shared" si="92"/>
        <v/>
      </c>
      <c r="U95" s="3" t="str">
        <f t="shared" si="92"/>
        <v/>
      </c>
      <c r="V95" s="3" t="str">
        <f t="shared" si="92"/>
        <v/>
      </c>
      <c r="W95" s="3" t="str">
        <f t="shared" si="92"/>
        <v/>
      </c>
      <c r="X95" s="3" t="str">
        <f t="shared" si="92"/>
        <v/>
      </c>
      <c r="Y95" s="3" t="str">
        <f t="shared" si="92"/>
        <v/>
      </c>
      <c r="Z95" s="3" t="str">
        <f t="shared" si="92"/>
        <v/>
      </c>
      <c r="AA95" s="3" t="str">
        <f t="shared" si="92"/>
        <v/>
      </c>
      <c r="AB95" s="3" t="str">
        <f t="shared" si="92"/>
        <v/>
      </c>
      <c r="AC95" s="3" t="str">
        <f t="shared" si="92"/>
        <v/>
      </c>
      <c r="AD95" s="3" t="str">
        <f t="shared" ref="R95:AG109" si="95">IF(AND($O95&gt;=AD$3,AD$3&gt;=$P95),"X","")</f>
        <v/>
      </c>
      <c r="AE95" s="3" t="str">
        <f t="shared" si="95"/>
        <v/>
      </c>
      <c r="AF95" s="3" t="str">
        <f t="shared" si="95"/>
        <v/>
      </c>
      <c r="AG95" s="3" t="str">
        <f t="shared" si="95"/>
        <v/>
      </c>
      <c r="AH95" s="3" t="str">
        <f t="shared" si="94"/>
        <v/>
      </c>
      <c r="AI95" s="3" t="str">
        <f t="shared" si="94"/>
        <v/>
      </c>
      <c r="AJ95" s="3" t="str">
        <f t="shared" si="94"/>
        <v/>
      </c>
      <c r="AK95" s="3" t="str">
        <f t="shared" si="94"/>
        <v/>
      </c>
      <c r="AL95" s="3" t="str">
        <f t="shared" si="94"/>
        <v/>
      </c>
      <c r="AM95" s="3" t="str">
        <f t="shared" si="94"/>
        <v/>
      </c>
      <c r="AN95" s="3" t="str">
        <f t="shared" si="94"/>
        <v>X</v>
      </c>
      <c r="AO95" s="3" t="str">
        <f t="shared" si="94"/>
        <v/>
      </c>
      <c r="AP95" s="3" t="str">
        <f t="shared" si="94"/>
        <v/>
      </c>
      <c r="AQ95" s="3" t="str">
        <f t="shared" si="94"/>
        <v/>
      </c>
      <c r="AR95" s="3" t="str">
        <f t="shared" si="94"/>
        <v/>
      </c>
      <c r="AS95" s="3" t="str">
        <f t="shared" si="94"/>
        <v/>
      </c>
      <c r="AT95" s="3" t="str">
        <f t="shared" si="94"/>
        <v/>
      </c>
      <c r="AU95" s="3" t="str">
        <f t="shared" si="94"/>
        <v/>
      </c>
      <c r="AV95" s="3" t="str">
        <f t="shared" si="94"/>
        <v/>
      </c>
      <c r="AW95" s="3" t="str">
        <f t="shared" si="67"/>
        <v/>
      </c>
      <c r="AX95" s="3" t="str">
        <f t="shared" si="68"/>
        <v/>
      </c>
      <c r="AY95" s="3" t="str">
        <f t="shared" si="69"/>
        <v>X</v>
      </c>
      <c r="AZ95" s="3" t="str">
        <f t="shared" si="70"/>
        <v/>
      </c>
      <c r="BA95" s="3" t="str">
        <f t="shared" si="71"/>
        <v/>
      </c>
      <c r="BB95" s="3" t="str">
        <f t="shared" si="72"/>
        <v/>
      </c>
      <c r="BC95" s="3">
        <f t="shared" si="73"/>
        <v>4106</v>
      </c>
      <c r="BD95" s="3" t="str">
        <f t="shared" si="74"/>
        <v/>
      </c>
      <c r="BE95" s="9" t="str">
        <f t="shared" si="75"/>
        <v/>
      </c>
      <c r="BF95" s="9" t="str">
        <f t="shared" si="76"/>
        <v/>
      </c>
      <c r="BG95" s="9" t="str">
        <f t="shared" si="77"/>
        <v>0000100A</v>
      </c>
      <c r="BH95" s="9" t="str">
        <f t="shared" si="78"/>
        <v/>
      </c>
      <c r="BI95" s="3" t="str">
        <f t="shared" si="79"/>
        <v/>
      </c>
      <c r="BJ95" s="3" t="str">
        <f t="shared" si="80"/>
        <v/>
      </c>
      <c r="BK95" s="3" t="str">
        <f t="shared" si="81"/>
        <v>(0)</v>
      </c>
      <c r="BL95" s="3" t="str">
        <f t="shared" si="82"/>
        <v/>
      </c>
      <c r="BM95" s="3" t="str">
        <f t="shared" si="83"/>
        <v/>
      </c>
      <c r="BN95" s="3" t="str">
        <f t="shared" si="84"/>
        <v/>
      </c>
      <c r="BO95" s="3">
        <f t="shared" si="85"/>
        <v>0</v>
      </c>
      <c r="BP95" s="3" t="str">
        <f t="shared" si="86"/>
        <v/>
      </c>
      <c r="BQ95" s="3" t="str">
        <f t="shared" si="87"/>
        <v/>
      </c>
      <c r="BR95" s="3" t="str">
        <f t="shared" si="88"/>
        <v/>
      </c>
      <c r="BS95" s="3" t="str">
        <f t="shared" si="89"/>
        <v/>
      </c>
      <c r="BT95" s="3" t="str">
        <f t="shared" si="90"/>
        <v/>
      </c>
    </row>
    <row r="96" spans="2:72" x14ac:dyDescent="0.25">
      <c r="B96" s="3" t="s">
        <v>289</v>
      </c>
      <c r="C96" s="3" t="s">
        <v>327</v>
      </c>
      <c r="D96" s="3" t="s">
        <v>0</v>
      </c>
      <c r="E96" s="3" t="s">
        <v>670</v>
      </c>
      <c r="F96" s="3" t="s">
        <v>291</v>
      </c>
      <c r="G96" s="3" t="s">
        <v>672</v>
      </c>
      <c r="H96" s="20" t="s">
        <v>328</v>
      </c>
      <c r="I96" s="3" t="s">
        <v>24</v>
      </c>
      <c r="J96" s="3">
        <v>3</v>
      </c>
      <c r="K96" s="3" t="s">
        <v>118</v>
      </c>
      <c r="L96" s="3" t="s">
        <v>23</v>
      </c>
      <c r="M96" s="3">
        <v>1026</v>
      </c>
      <c r="N96" s="3" t="str">
        <f t="shared" si="93"/>
        <v>00000402</v>
      </c>
      <c r="O96" s="3">
        <v>7</v>
      </c>
      <c r="P96" s="3">
        <v>5</v>
      </c>
      <c r="Q96" s="3" t="str">
        <f t="shared" si="64"/>
        <v/>
      </c>
      <c r="R96" s="3" t="str">
        <f t="shared" si="95"/>
        <v/>
      </c>
      <c r="S96" s="3" t="str">
        <f t="shared" si="95"/>
        <v/>
      </c>
      <c r="T96" s="3" t="str">
        <f t="shared" si="95"/>
        <v/>
      </c>
      <c r="U96" s="3" t="str">
        <f t="shared" si="95"/>
        <v/>
      </c>
      <c r="V96" s="3" t="str">
        <f t="shared" si="95"/>
        <v/>
      </c>
      <c r="W96" s="3" t="str">
        <f t="shared" si="95"/>
        <v/>
      </c>
      <c r="X96" s="3" t="str">
        <f t="shared" si="95"/>
        <v/>
      </c>
      <c r="Y96" s="3" t="str">
        <f t="shared" si="95"/>
        <v/>
      </c>
      <c r="Z96" s="3" t="str">
        <f t="shared" si="95"/>
        <v/>
      </c>
      <c r="AA96" s="3" t="str">
        <f t="shared" si="95"/>
        <v/>
      </c>
      <c r="AB96" s="3" t="str">
        <f t="shared" si="95"/>
        <v/>
      </c>
      <c r="AC96" s="3" t="str">
        <f t="shared" si="95"/>
        <v/>
      </c>
      <c r="AD96" s="3" t="str">
        <f t="shared" si="95"/>
        <v/>
      </c>
      <c r="AE96" s="3" t="str">
        <f t="shared" si="95"/>
        <v/>
      </c>
      <c r="AF96" s="3" t="str">
        <f t="shared" si="95"/>
        <v/>
      </c>
      <c r="AG96" s="3" t="str">
        <f t="shared" si="95"/>
        <v/>
      </c>
      <c r="AH96" s="3" t="str">
        <f t="shared" si="94"/>
        <v/>
      </c>
      <c r="AI96" s="3" t="str">
        <f t="shared" si="94"/>
        <v/>
      </c>
      <c r="AJ96" s="3" t="str">
        <f t="shared" si="94"/>
        <v/>
      </c>
      <c r="AK96" s="3" t="str">
        <f t="shared" si="94"/>
        <v/>
      </c>
      <c r="AL96" s="3" t="str">
        <f t="shared" si="94"/>
        <v/>
      </c>
      <c r="AM96" s="3" t="str">
        <f t="shared" si="94"/>
        <v/>
      </c>
      <c r="AN96" s="3" t="str">
        <f t="shared" si="94"/>
        <v/>
      </c>
      <c r="AO96" s="3" t="str">
        <f t="shared" si="94"/>
        <v>X</v>
      </c>
      <c r="AP96" s="3" t="str">
        <f t="shared" si="94"/>
        <v>X</v>
      </c>
      <c r="AQ96" s="3" t="str">
        <f t="shared" si="94"/>
        <v>X</v>
      </c>
      <c r="AR96" s="3" t="str">
        <f t="shared" si="94"/>
        <v/>
      </c>
      <c r="AS96" s="3" t="str">
        <f t="shared" si="94"/>
        <v/>
      </c>
      <c r="AT96" s="3" t="str">
        <f t="shared" si="94"/>
        <v/>
      </c>
      <c r="AU96" s="3" t="str">
        <f t="shared" si="94"/>
        <v/>
      </c>
      <c r="AV96" s="3" t="str">
        <f t="shared" si="94"/>
        <v/>
      </c>
      <c r="AW96" s="3" t="str">
        <f t="shared" si="67"/>
        <v/>
      </c>
      <c r="AX96" s="3" t="str">
        <f t="shared" si="68"/>
        <v/>
      </c>
      <c r="AY96" s="3" t="str">
        <f t="shared" si="69"/>
        <v/>
      </c>
      <c r="AZ96" s="3" t="str">
        <f t="shared" si="70"/>
        <v>X</v>
      </c>
      <c r="BA96" s="3" t="str">
        <f t="shared" si="71"/>
        <v/>
      </c>
      <c r="BB96" s="3" t="str">
        <f t="shared" si="72"/>
        <v/>
      </c>
      <c r="BC96" s="3" t="str">
        <f t="shared" si="73"/>
        <v/>
      </c>
      <c r="BD96" s="3">
        <f t="shared" si="74"/>
        <v>4107</v>
      </c>
      <c r="BE96" s="9" t="str">
        <f t="shared" si="75"/>
        <v/>
      </c>
      <c r="BF96" s="9" t="str">
        <f t="shared" si="76"/>
        <v/>
      </c>
      <c r="BG96" s="9" t="str">
        <f t="shared" si="77"/>
        <v/>
      </c>
      <c r="BH96" s="9" t="str">
        <f t="shared" si="78"/>
        <v>0000100B</v>
      </c>
      <c r="BI96" s="3" t="str">
        <f t="shared" si="79"/>
        <v/>
      </c>
      <c r="BJ96" s="3" t="str">
        <f t="shared" si="80"/>
        <v/>
      </c>
      <c r="BK96" s="3" t="str">
        <f t="shared" si="81"/>
        <v/>
      </c>
      <c r="BL96" s="3" t="str">
        <f t="shared" si="82"/>
        <v>(7 downto 5)</v>
      </c>
      <c r="BM96" s="3" t="str">
        <f t="shared" si="83"/>
        <v/>
      </c>
      <c r="BN96" s="3" t="str">
        <f t="shared" si="84"/>
        <v/>
      </c>
      <c r="BO96" s="3" t="str">
        <f t="shared" si="85"/>
        <v/>
      </c>
      <c r="BP96" s="3">
        <f t="shared" si="86"/>
        <v>2</v>
      </c>
      <c r="BQ96" s="3" t="str">
        <f t="shared" si="87"/>
        <v/>
      </c>
      <c r="BR96" s="3" t="str">
        <f t="shared" si="88"/>
        <v/>
      </c>
      <c r="BS96" s="3" t="str">
        <f t="shared" si="89"/>
        <v/>
      </c>
      <c r="BT96" s="3" t="str">
        <f t="shared" si="90"/>
        <v/>
      </c>
    </row>
    <row r="97" spans="2:72" x14ac:dyDescent="0.25">
      <c r="B97" s="3" t="s">
        <v>289</v>
      </c>
      <c r="C97" s="3" t="s">
        <v>329</v>
      </c>
      <c r="D97" s="3" t="s">
        <v>0</v>
      </c>
      <c r="E97" s="3" t="s">
        <v>670</v>
      </c>
      <c r="F97" s="3" t="s">
        <v>291</v>
      </c>
      <c r="G97" s="3" t="s">
        <v>672</v>
      </c>
      <c r="H97" s="20" t="s">
        <v>330</v>
      </c>
      <c r="I97" s="3" t="s">
        <v>24</v>
      </c>
      <c r="J97" s="3">
        <v>1</v>
      </c>
      <c r="K97" s="3" t="s">
        <v>57</v>
      </c>
      <c r="L97" s="3" t="s">
        <v>23</v>
      </c>
      <c r="M97" s="3">
        <v>1026</v>
      </c>
      <c r="N97" s="3" t="str">
        <f t="shared" si="93"/>
        <v>00000402</v>
      </c>
      <c r="O97" s="3">
        <v>4</v>
      </c>
      <c r="P97" s="3">
        <v>4</v>
      </c>
      <c r="Q97" s="3" t="str">
        <f t="shared" si="64"/>
        <v/>
      </c>
      <c r="R97" s="3" t="str">
        <f t="shared" si="95"/>
        <v/>
      </c>
      <c r="S97" s="3" t="str">
        <f t="shared" si="95"/>
        <v/>
      </c>
      <c r="T97" s="3" t="str">
        <f t="shared" si="95"/>
        <v/>
      </c>
      <c r="U97" s="3" t="str">
        <f t="shared" si="95"/>
        <v/>
      </c>
      <c r="V97" s="3" t="str">
        <f t="shared" si="95"/>
        <v/>
      </c>
      <c r="W97" s="3" t="str">
        <f t="shared" si="95"/>
        <v/>
      </c>
      <c r="X97" s="3" t="str">
        <f t="shared" si="95"/>
        <v/>
      </c>
      <c r="Y97" s="3" t="str">
        <f t="shared" si="95"/>
        <v/>
      </c>
      <c r="Z97" s="3" t="str">
        <f t="shared" si="95"/>
        <v/>
      </c>
      <c r="AA97" s="3" t="str">
        <f t="shared" si="95"/>
        <v/>
      </c>
      <c r="AB97" s="3" t="str">
        <f t="shared" si="95"/>
        <v/>
      </c>
      <c r="AC97" s="3" t="str">
        <f t="shared" si="95"/>
        <v/>
      </c>
      <c r="AD97" s="3" t="str">
        <f t="shared" si="95"/>
        <v/>
      </c>
      <c r="AE97" s="3" t="str">
        <f t="shared" si="95"/>
        <v/>
      </c>
      <c r="AF97" s="3" t="str">
        <f t="shared" si="95"/>
        <v/>
      </c>
      <c r="AG97" s="3" t="str">
        <f t="shared" si="95"/>
        <v/>
      </c>
      <c r="AH97" s="3" t="str">
        <f t="shared" si="94"/>
        <v/>
      </c>
      <c r="AI97" s="3" t="str">
        <f t="shared" si="94"/>
        <v/>
      </c>
      <c r="AJ97" s="3" t="str">
        <f t="shared" si="94"/>
        <v/>
      </c>
      <c r="AK97" s="3" t="str">
        <f t="shared" si="94"/>
        <v/>
      </c>
      <c r="AL97" s="3" t="str">
        <f t="shared" si="94"/>
        <v/>
      </c>
      <c r="AM97" s="3" t="str">
        <f t="shared" si="94"/>
        <v/>
      </c>
      <c r="AN97" s="3" t="str">
        <f t="shared" si="94"/>
        <v/>
      </c>
      <c r="AO97" s="3" t="str">
        <f t="shared" si="94"/>
        <v/>
      </c>
      <c r="AP97" s="3" t="str">
        <f t="shared" si="94"/>
        <v/>
      </c>
      <c r="AQ97" s="3" t="str">
        <f t="shared" si="94"/>
        <v/>
      </c>
      <c r="AR97" s="3" t="str">
        <f t="shared" si="94"/>
        <v>X</v>
      </c>
      <c r="AS97" s="3" t="str">
        <f t="shared" si="94"/>
        <v/>
      </c>
      <c r="AT97" s="3" t="str">
        <f t="shared" si="94"/>
        <v/>
      </c>
      <c r="AU97" s="3" t="str">
        <f t="shared" si="94"/>
        <v/>
      </c>
      <c r="AV97" s="3" t="str">
        <f t="shared" si="94"/>
        <v/>
      </c>
      <c r="AW97" s="3" t="str">
        <f t="shared" si="67"/>
        <v/>
      </c>
      <c r="AX97" s="3" t="str">
        <f t="shared" si="68"/>
        <v/>
      </c>
      <c r="AY97" s="3" t="str">
        <f t="shared" si="69"/>
        <v/>
      </c>
      <c r="AZ97" s="3" t="str">
        <f t="shared" si="70"/>
        <v>X</v>
      </c>
      <c r="BA97" s="3" t="str">
        <f t="shared" si="71"/>
        <v/>
      </c>
      <c r="BB97" s="3" t="str">
        <f t="shared" si="72"/>
        <v/>
      </c>
      <c r="BC97" s="3" t="str">
        <f t="shared" si="73"/>
        <v/>
      </c>
      <c r="BD97" s="3">
        <f t="shared" si="74"/>
        <v>4107</v>
      </c>
      <c r="BE97" s="9" t="str">
        <f t="shared" si="75"/>
        <v/>
      </c>
      <c r="BF97" s="9" t="str">
        <f t="shared" si="76"/>
        <v/>
      </c>
      <c r="BG97" s="9" t="str">
        <f t="shared" si="77"/>
        <v/>
      </c>
      <c r="BH97" s="9" t="str">
        <f t="shared" si="78"/>
        <v>0000100B</v>
      </c>
      <c r="BI97" s="3" t="str">
        <f t="shared" si="79"/>
        <v/>
      </c>
      <c r="BJ97" s="3" t="str">
        <f t="shared" si="80"/>
        <v/>
      </c>
      <c r="BK97" s="3" t="str">
        <f t="shared" si="81"/>
        <v/>
      </c>
      <c r="BL97" s="3" t="str">
        <f t="shared" si="82"/>
        <v>(4)</v>
      </c>
      <c r="BM97" s="3" t="str">
        <f t="shared" si="83"/>
        <v/>
      </c>
      <c r="BN97" s="3" t="str">
        <f t="shared" si="84"/>
        <v/>
      </c>
      <c r="BO97" s="3" t="str">
        <f t="shared" si="85"/>
        <v/>
      </c>
      <c r="BP97" s="3">
        <f t="shared" si="86"/>
        <v>0</v>
      </c>
      <c r="BQ97" s="3" t="str">
        <f t="shared" si="87"/>
        <v/>
      </c>
      <c r="BR97" s="3" t="str">
        <f t="shared" si="88"/>
        <v/>
      </c>
      <c r="BS97" s="3" t="str">
        <f t="shared" si="89"/>
        <v/>
      </c>
      <c r="BT97" s="3" t="str">
        <f t="shared" si="90"/>
        <v/>
      </c>
    </row>
    <row r="98" spans="2:72" x14ac:dyDescent="0.25">
      <c r="B98" s="3" t="s">
        <v>289</v>
      </c>
      <c r="C98" s="3" t="s">
        <v>331</v>
      </c>
      <c r="D98" s="3" t="s">
        <v>0</v>
      </c>
      <c r="E98" s="3" t="s">
        <v>670</v>
      </c>
      <c r="F98" s="3" t="s">
        <v>291</v>
      </c>
      <c r="G98" s="3" t="s">
        <v>672</v>
      </c>
      <c r="H98" s="20" t="s">
        <v>332</v>
      </c>
      <c r="I98" s="3" t="s">
        <v>24</v>
      </c>
      <c r="J98" s="3">
        <v>1</v>
      </c>
      <c r="K98" s="3" t="s">
        <v>57</v>
      </c>
      <c r="L98" s="3" t="s">
        <v>23</v>
      </c>
      <c r="M98" s="3">
        <v>1026</v>
      </c>
      <c r="N98" s="3" t="str">
        <f t="shared" si="93"/>
        <v>00000402</v>
      </c>
      <c r="O98" s="3">
        <v>3</v>
      </c>
      <c r="P98" s="3">
        <v>3</v>
      </c>
      <c r="Q98" s="3" t="str">
        <f t="shared" si="64"/>
        <v/>
      </c>
      <c r="R98" s="3" t="str">
        <f t="shared" si="95"/>
        <v/>
      </c>
      <c r="S98" s="3" t="str">
        <f t="shared" si="95"/>
        <v/>
      </c>
      <c r="T98" s="3" t="str">
        <f t="shared" si="95"/>
        <v/>
      </c>
      <c r="U98" s="3" t="str">
        <f t="shared" si="95"/>
        <v/>
      </c>
      <c r="V98" s="3" t="str">
        <f t="shared" si="95"/>
        <v/>
      </c>
      <c r="W98" s="3" t="str">
        <f t="shared" si="95"/>
        <v/>
      </c>
      <c r="X98" s="3" t="str">
        <f t="shared" si="95"/>
        <v/>
      </c>
      <c r="Y98" s="3" t="str">
        <f t="shared" si="95"/>
        <v/>
      </c>
      <c r="Z98" s="3" t="str">
        <f t="shared" si="95"/>
        <v/>
      </c>
      <c r="AA98" s="3" t="str">
        <f t="shared" si="95"/>
        <v/>
      </c>
      <c r="AB98" s="3" t="str">
        <f t="shared" si="95"/>
        <v/>
      </c>
      <c r="AC98" s="3" t="str">
        <f t="shared" si="95"/>
        <v/>
      </c>
      <c r="AD98" s="3" t="str">
        <f t="shared" si="95"/>
        <v/>
      </c>
      <c r="AE98" s="3" t="str">
        <f t="shared" si="95"/>
        <v/>
      </c>
      <c r="AF98" s="3" t="str">
        <f t="shared" si="95"/>
        <v/>
      </c>
      <c r="AG98" s="3" t="str">
        <f t="shared" si="95"/>
        <v/>
      </c>
      <c r="AH98" s="3" t="str">
        <f t="shared" si="94"/>
        <v/>
      </c>
      <c r="AI98" s="3" t="str">
        <f t="shared" si="94"/>
        <v/>
      </c>
      <c r="AJ98" s="3" t="str">
        <f t="shared" si="94"/>
        <v/>
      </c>
      <c r="AK98" s="3" t="str">
        <f t="shared" si="94"/>
        <v/>
      </c>
      <c r="AL98" s="3" t="str">
        <f t="shared" si="94"/>
        <v/>
      </c>
      <c r="AM98" s="3" t="str">
        <f t="shared" si="94"/>
        <v/>
      </c>
      <c r="AN98" s="3" t="str">
        <f t="shared" si="94"/>
        <v/>
      </c>
      <c r="AO98" s="3" t="str">
        <f t="shared" si="94"/>
        <v/>
      </c>
      <c r="AP98" s="3" t="str">
        <f t="shared" si="94"/>
        <v/>
      </c>
      <c r="AQ98" s="3" t="str">
        <f t="shared" si="94"/>
        <v/>
      </c>
      <c r="AR98" s="3" t="str">
        <f t="shared" si="94"/>
        <v/>
      </c>
      <c r="AS98" s="3" t="str">
        <f t="shared" si="94"/>
        <v>X</v>
      </c>
      <c r="AT98" s="3" t="str">
        <f t="shared" si="94"/>
        <v/>
      </c>
      <c r="AU98" s="3" t="str">
        <f t="shared" si="94"/>
        <v/>
      </c>
      <c r="AV98" s="3" t="str">
        <f t="shared" si="94"/>
        <v/>
      </c>
      <c r="AW98" s="3" t="str">
        <f t="shared" si="67"/>
        <v/>
      </c>
      <c r="AX98" s="3" t="str">
        <f t="shared" si="68"/>
        <v/>
      </c>
      <c r="AY98" s="3" t="str">
        <f t="shared" si="69"/>
        <v/>
      </c>
      <c r="AZ98" s="3" t="str">
        <f t="shared" si="70"/>
        <v>X</v>
      </c>
      <c r="BA98" s="3" t="str">
        <f t="shared" si="71"/>
        <v/>
      </c>
      <c r="BB98" s="3" t="str">
        <f t="shared" si="72"/>
        <v/>
      </c>
      <c r="BC98" s="3" t="str">
        <f t="shared" si="73"/>
        <v/>
      </c>
      <c r="BD98" s="3">
        <f t="shared" si="74"/>
        <v>4107</v>
      </c>
      <c r="BE98" s="9" t="str">
        <f t="shared" si="75"/>
        <v/>
      </c>
      <c r="BF98" s="9" t="str">
        <f t="shared" si="76"/>
        <v/>
      </c>
      <c r="BG98" s="9" t="str">
        <f t="shared" si="77"/>
        <v/>
      </c>
      <c r="BH98" s="9" t="str">
        <f t="shared" si="78"/>
        <v>0000100B</v>
      </c>
      <c r="BI98" s="3" t="str">
        <f t="shared" si="79"/>
        <v/>
      </c>
      <c r="BJ98" s="3" t="str">
        <f t="shared" si="80"/>
        <v/>
      </c>
      <c r="BK98" s="3" t="str">
        <f t="shared" si="81"/>
        <v/>
      </c>
      <c r="BL98" s="3" t="str">
        <f t="shared" si="82"/>
        <v>(3)</v>
      </c>
      <c r="BM98" s="3" t="str">
        <f t="shared" si="83"/>
        <v/>
      </c>
      <c r="BN98" s="3" t="str">
        <f t="shared" si="84"/>
        <v/>
      </c>
      <c r="BO98" s="3" t="str">
        <f t="shared" si="85"/>
        <v/>
      </c>
      <c r="BP98" s="3">
        <f t="shared" si="86"/>
        <v>0</v>
      </c>
      <c r="BQ98" s="3" t="str">
        <f t="shared" si="87"/>
        <v/>
      </c>
      <c r="BR98" s="3" t="str">
        <f t="shared" si="88"/>
        <v/>
      </c>
      <c r="BS98" s="3" t="str">
        <f t="shared" si="89"/>
        <v/>
      </c>
      <c r="BT98" s="3" t="str">
        <f t="shared" si="90"/>
        <v/>
      </c>
    </row>
    <row r="99" spans="2:72" x14ac:dyDescent="0.25">
      <c r="B99" s="3" t="s">
        <v>289</v>
      </c>
      <c r="C99" s="3" t="s">
        <v>333</v>
      </c>
      <c r="D99" s="3" t="s">
        <v>0</v>
      </c>
      <c r="E99" s="3" t="s">
        <v>670</v>
      </c>
      <c r="F99" s="3" t="s">
        <v>291</v>
      </c>
      <c r="G99" s="3" t="s">
        <v>672</v>
      </c>
      <c r="H99" s="20" t="s">
        <v>334</v>
      </c>
      <c r="I99" s="3" t="s">
        <v>24</v>
      </c>
      <c r="J99" s="3">
        <v>1</v>
      </c>
      <c r="K99" s="3" t="s">
        <v>57</v>
      </c>
      <c r="L99" s="3" t="s">
        <v>23</v>
      </c>
      <c r="M99" s="3">
        <v>1026</v>
      </c>
      <c r="N99" s="3" t="str">
        <f t="shared" si="93"/>
        <v>00000402</v>
      </c>
      <c r="O99" s="3">
        <v>2</v>
      </c>
      <c r="P99" s="3">
        <v>2</v>
      </c>
      <c r="Q99" s="3" t="str">
        <f t="shared" si="64"/>
        <v/>
      </c>
      <c r="R99" s="3" t="str">
        <f t="shared" si="95"/>
        <v/>
      </c>
      <c r="S99" s="3" t="str">
        <f t="shared" si="95"/>
        <v/>
      </c>
      <c r="T99" s="3" t="str">
        <f t="shared" si="95"/>
        <v/>
      </c>
      <c r="U99" s="3" t="str">
        <f t="shared" si="95"/>
        <v/>
      </c>
      <c r="V99" s="3" t="str">
        <f t="shared" si="95"/>
        <v/>
      </c>
      <c r="W99" s="3" t="str">
        <f t="shared" si="95"/>
        <v/>
      </c>
      <c r="X99" s="3" t="str">
        <f t="shared" si="95"/>
        <v/>
      </c>
      <c r="Y99" s="3" t="str">
        <f t="shared" si="95"/>
        <v/>
      </c>
      <c r="Z99" s="3" t="str">
        <f t="shared" si="95"/>
        <v/>
      </c>
      <c r="AA99" s="3" t="str">
        <f t="shared" si="95"/>
        <v/>
      </c>
      <c r="AB99" s="3" t="str">
        <f t="shared" si="95"/>
        <v/>
      </c>
      <c r="AC99" s="3" t="str">
        <f t="shared" si="95"/>
        <v/>
      </c>
      <c r="AD99" s="3" t="str">
        <f t="shared" si="95"/>
        <v/>
      </c>
      <c r="AE99" s="3" t="str">
        <f t="shared" si="95"/>
        <v/>
      </c>
      <c r="AF99" s="3" t="str">
        <f t="shared" si="95"/>
        <v/>
      </c>
      <c r="AG99" s="3" t="str">
        <f t="shared" si="95"/>
        <v/>
      </c>
      <c r="AH99" s="3" t="str">
        <f t="shared" si="94"/>
        <v/>
      </c>
      <c r="AI99" s="3" t="str">
        <f t="shared" si="94"/>
        <v/>
      </c>
      <c r="AJ99" s="3" t="str">
        <f t="shared" si="94"/>
        <v/>
      </c>
      <c r="AK99" s="3" t="str">
        <f t="shared" si="94"/>
        <v/>
      </c>
      <c r="AL99" s="3" t="str">
        <f t="shared" si="94"/>
        <v/>
      </c>
      <c r="AM99" s="3" t="str">
        <f t="shared" si="94"/>
        <v/>
      </c>
      <c r="AN99" s="3" t="str">
        <f t="shared" si="94"/>
        <v/>
      </c>
      <c r="AO99" s="3" t="str">
        <f t="shared" si="94"/>
        <v/>
      </c>
      <c r="AP99" s="3" t="str">
        <f t="shared" si="94"/>
        <v/>
      </c>
      <c r="AQ99" s="3" t="str">
        <f t="shared" si="94"/>
        <v/>
      </c>
      <c r="AR99" s="3" t="str">
        <f t="shared" si="94"/>
        <v/>
      </c>
      <c r="AS99" s="3" t="str">
        <f t="shared" si="94"/>
        <v/>
      </c>
      <c r="AT99" s="3" t="str">
        <f t="shared" si="94"/>
        <v>X</v>
      </c>
      <c r="AU99" s="3" t="str">
        <f t="shared" si="94"/>
        <v/>
      </c>
      <c r="AV99" s="3" t="str">
        <f t="shared" si="94"/>
        <v/>
      </c>
      <c r="AW99" s="3" t="str">
        <f t="shared" si="67"/>
        <v/>
      </c>
      <c r="AX99" s="3" t="str">
        <f t="shared" si="68"/>
        <v/>
      </c>
      <c r="AY99" s="3" t="str">
        <f t="shared" si="69"/>
        <v/>
      </c>
      <c r="AZ99" s="3" t="str">
        <f t="shared" si="70"/>
        <v>X</v>
      </c>
      <c r="BA99" s="3" t="str">
        <f t="shared" si="71"/>
        <v/>
      </c>
      <c r="BB99" s="3" t="str">
        <f t="shared" si="72"/>
        <v/>
      </c>
      <c r="BC99" s="3" t="str">
        <f t="shared" si="73"/>
        <v/>
      </c>
      <c r="BD99" s="3">
        <f t="shared" si="74"/>
        <v>4107</v>
      </c>
      <c r="BE99" s="9" t="str">
        <f t="shared" si="75"/>
        <v/>
      </c>
      <c r="BF99" s="9" t="str">
        <f t="shared" si="76"/>
        <v/>
      </c>
      <c r="BG99" s="9" t="str">
        <f t="shared" si="77"/>
        <v/>
      </c>
      <c r="BH99" s="9" t="str">
        <f t="shared" si="78"/>
        <v>0000100B</v>
      </c>
      <c r="BI99" s="3" t="str">
        <f t="shared" si="79"/>
        <v/>
      </c>
      <c r="BJ99" s="3" t="str">
        <f t="shared" si="80"/>
        <v/>
      </c>
      <c r="BK99" s="3" t="str">
        <f t="shared" si="81"/>
        <v/>
      </c>
      <c r="BL99" s="3" t="str">
        <f t="shared" si="82"/>
        <v>(2)</v>
      </c>
      <c r="BM99" s="3" t="str">
        <f t="shared" si="83"/>
        <v/>
      </c>
      <c r="BN99" s="3" t="str">
        <f t="shared" si="84"/>
        <v/>
      </c>
      <c r="BO99" s="3" t="str">
        <f t="shared" si="85"/>
        <v/>
      </c>
      <c r="BP99" s="3">
        <f t="shared" si="86"/>
        <v>0</v>
      </c>
      <c r="BQ99" s="3" t="str">
        <f t="shared" si="87"/>
        <v/>
      </c>
      <c r="BR99" s="3" t="str">
        <f t="shared" si="88"/>
        <v/>
      </c>
      <c r="BS99" s="3" t="str">
        <f t="shared" si="89"/>
        <v/>
      </c>
      <c r="BT99" s="3" t="str">
        <f t="shared" si="90"/>
        <v/>
      </c>
    </row>
    <row r="100" spans="2:72" x14ac:dyDescent="0.25">
      <c r="B100" s="3" t="s">
        <v>289</v>
      </c>
      <c r="C100" s="3" t="s">
        <v>335</v>
      </c>
      <c r="D100" s="3" t="s">
        <v>0</v>
      </c>
      <c r="E100" s="3" t="s">
        <v>670</v>
      </c>
      <c r="F100" s="3" t="s">
        <v>291</v>
      </c>
      <c r="G100" s="3" t="s">
        <v>672</v>
      </c>
      <c r="H100" s="20" t="s">
        <v>336</v>
      </c>
      <c r="I100" s="3" t="s">
        <v>24</v>
      </c>
      <c r="J100" s="3">
        <v>1</v>
      </c>
      <c r="K100" s="3" t="s">
        <v>57</v>
      </c>
      <c r="L100" s="3" t="s">
        <v>23</v>
      </c>
      <c r="M100" s="3">
        <v>1026</v>
      </c>
      <c r="N100" s="3" t="str">
        <f t="shared" si="93"/>
        <v>00000402</v>
      </c>
      <c r="O100" s="3">
        <v>1</v>
      </c>
      <c r="P100" s="3">
        <v>1</v>
      </c>
      <c r="Q100" s="3" t="str">
        <f t="shared" si="64"/>
        <v/>
      </c>
      <c r="R100" s="3" t="str">
        <f t="shared" si="95"/>
        <v/>
      </c>
      <c r="S100" s="3" t="str">
        <f t="shared" si="95"/>
        <v/>
      </c>
      <c r="T100" s="3" t="str">
        <f t="shared" si="95"/>
        <v/>
      </c>
      <c r="U100" s="3" t="str">
        <f t="shared" si="95"/>
        <v/>
      </c>
      <c r="V100" s="3" t="str">
        <f t="shared" si="95"/>
        <v/>
      </c>
      <c r="W100" s="3" t="str">
        <f t="shared" si="95"/>
        <v/>
      </c>
      <c r="X100" s="3" t="str">
        <f t="shared" si="95"/>
        <v/>
      </c>
      <c r="Y100" s="3" t="str">
        <f t="shared" si="95"/>
        <v/>
      </c>
      <c r="Z100" s="3" t="str">
        <f t="shared" si="95"/>
        <v/>
      </c>
      <c r="AA100" s="3" t="str">
        <f t="shared" si="95"/>
        <v/>
      </c>
      <c r="AB100" s="3" t="str">
        <f t="shared" si="95"/>
        <v/>
      </c>
      <c r="AC100" s="3" t="str">
        <f t="shared" si="95"/>
        <v/>
      </c>
      <c r="AD100" s="3" t="str">
        <f t="shared" si="95"/>
        <v/>
      </c>
      <c r="AE100" s="3" t="str">
        <f t="shared" si="95"/>
        <v/>
      </c>
      <c r="AF100" s="3" t="str">
        <f t="shared" si="95"/>
        <v/>
      </c>
      <c r="AG100" s="3" t="str">
        <f t="shared" si="95"/>
        <v/>
      </c>
      <c r="AH100" s="3" t="str">
        <f t="shared" si="94"/>
        <v/>
      </c>
      <c r="AI100" s="3" t="str">
        <f t="shared" si="94"/>
        <v/>
      </c>
      <c r="AJ100" s="3" t="str">
        <f t="shared" si="94"/>
        <v/>
      </c>
      <c r="AK100" s="3" t="str">
        <f t="shared" si="94"/>
        <v/>
      </c>
      <c r="AL100" s="3" t="str">
        <f t="shared" si="94"/>
        <v/>
      </c>
      <c r="AM100" s="3" t="str">
        <f t="shared" si="94"/>
        <v/>
      </c>
      <c r="AN100" s="3" t="str">
        <f t="shared" si="94"/>
        <v/>
      </c>
      <c r="AO100" s="3" t="str">
        <f t="shared" si="94"/>
        <v/>
      </c>
      <c r="AP100" s="3" t="str">
        <f t="shared" si="94"/>
        <v/>
      </c>
      <c r="AQ100" s="3" t="str">
        <f t="shared" si="94"/>
        <v/>
      </c>
      <c r="AR100" s="3" t="str">
        <f t="shared" si="94"/>
        <v/>
      </c>
      <c r="AS100" s="3" t="str">
        <f t="shared" si="94"/>
        <v/>
      </c>
      <c r="AT100" s="3" t="str">
        <f t="shared" si="94"/>
        <v/>
      </c>
      <c r="AU100" s="3" t="str">
        <f t="shared" si="94"/>
        <v>X</v>
      </c>
      <c r="AV100" s="3" t="str">
        <f t="shared" si="94"/>
        <v/>
      </c>
      <c r="AW100" s="3" t="str">
        <f t="shared" si="67"/>
        <v/>
      </c>
      <c r="AX100" s="3" t="str">
        <f t="shared" si="68"/>
        <v/>
      </c>
      <c r="AY100" s="3" t="str">
        <f t="shared" si="69"/>
        <v/>
      </c>
      <c r="AZ100" s="3" t="str">
        <f t="shared" si="70"/>
        <v>X</v>
      </c>
      <c r="BA100" s="3" t="str">
        <f t="shared" si="71"/>
        <v/>
      </c>
      <c r="BB100" s="3" t="str">
        <f t="shared" si="72"/>
        <v/>
      </c>
      <c r="BC100" s="3" t="str">
        <f t="shared" si="73"/>
        <v/>
      </c>
      <c r="BD100" s="3">
        <f t="shared" si="74"/>
        <v>4107</v>
      </c>
      <c r="BE100" s="9" t="str">
        <f t="shared" si="75"/>
        <v/>
      </c>
      <c r="BF100" s="9" t="str">
        <f t="shared" si="76"/>
        <v/>
      </c>
      <c r="BG100" s="9" t="str">
        <f t="shared" si="77"/>
        <v/>
      </c>
      <c r="BH100" s="9" t="str">
        <f t="shared" si="78"/>
        <v>0000100B</v>
      </c>
      <c r="BI100" s="3" t="str">
        <f t="shared" si="79"/>
        <v/>
      </c>
      <c r="BJ100" s="3" t="str">
        <f t="shared" si="80"/>
        <v/>
      </c>
      <c r="BK100" s="3" t="str">
        <f t="shared" si="81"/>
        <v/>
      </c>
      <c r="BL100" s="3" t="str">
        <f t="shared" si="82"/>
        <v>(1)</v>
      </c>
      <c r="BM100" s="3" t="str">
        <f t="shared" si="83"/>
        <v/>
      </c>
      <c r="BN100" s="3" t="str">
        <f t="shared" si="84"/>
        <v/>
      </c>
      <c r="BO100" s="3" t="str">
        <f t="shared" si="85"/>
        <v/>
      </c>
      <c r="BP100" s="3">
        <f t="shared" si="86"/>
        <v>0</v>
      </c>
      <c r="BQ100" s="3" t="str">
        <f t="shared" si="87"/>
        <v/>
      </c>
      <c r="BR100" s="3" t="str">
        <f t="shared" si="88"/>
        <v/>
      </c>
      <c r="BS100" s="3" t="str">
        <f t="shared" si="89"/>
        <v/>
      </c>
      <c r="BT100" s="3" t="str">
        <f t="shared" si="90"/>
        <v/>
      </c>
    </row>
    <row r="101" spans="2:72" x14ac:dyDescent="0.25">
      <c r="B101" s="3" t="s">
        <v>289</v>
      </c>
      <c r="C101" s="3" t="s">
        <v>337</v>
      </c>
      <c r="D101" s="3" t="s">
        <v>0</v>
      </c>
      <c r="E101" s="3" t="s">
        <v>670</v>
      </c>
      <c r="F101" s="3" t="s">
        <v>291</v>
      </c>
      <c r="G101" s="3" t="s">
        <v>672</v>
      </c>
      <c r="H101" s="20" t="s">
        <v>338</v>
      </c>
      <c r="I101" s="3" t="s">
        <v>24</v>
      </c>
      <c r="J101" s="3">
        <v>1</v>
      </c>
      <c r="K101" s="3" t="s">
        <v>57</v>
      </c>
      <c r="L101" s="3" t="s">
        <v>23</v>
      </c>
      <c r="M101" s="3">
        <v>1026</v>
      </c>
      <c r="N101" s="3" t="str">
        <f t="shared" si="93"/>
        <v>00000402</v>
      </c>
      <c r="O101" s="3">
        <v>0</v>
      </c>
      <c r="P101" s="3">
        <v>0</v>
      </c>
      <c r="Q101" s="3" t="str">
        <f t="shared" si="64"/>
        <v/>
      </c>
      <c r="R101" s="3" t="str">
        <f t="shared" si="95"/>
        <v/>
      </c>
      <c r="S101" s="3" t="str">
        <f t="shared" si="95"/>
        <v/>
      </c>
      <c r="T101" s="3" t="str">
        <f t="shared" si="95"/>
        <v/>
      </c>
      <c r="U101" s="3" t="str">
        <f t="shared" si="95"/>
        <v/>
      </c>
      <c r="V101" s="3" t="str">
        <f t="shared" si="95"/>
        <v/>
      </c>
      <c r="W101" s="3" t="str">
        <f t="shared" si="95"/>
        <v/>
      </c>
      <c r="X101" s="3" t="str">
        <f t="shared" si="95"/>
        <v/>
      </c>
      <c r="Y101" s="3" t="str">
        <f t="shared" si="95"/>
        <v/>
      </c>
      <c r="Z101" s="3" t="str">
        <f t="shared" si="95"/>
        <v/>
      </c>
      <c r="AA101" s="3" t="str">
        <f t="shared" si="95"/>
        <v/>
      </c>
      <c r="AB101" s="3" t="str">
        <f t="shared" si="95"/>
        <v/>
      </c>
      <c r="AC101" s="3" t="str">
        <f t="shared" si="95"/>
        <v/>
      </c>
      <c r="AD101" s="3" t="str">
        <f t="shared" si="95"/>
        <v/>
      </c>
      <c r="AE101" s="3" t="str">
        <f t="shared" si="95"/>
        <v/>
      </c>
      <c r="AF101" s="3" t="str">
        <f t="shared" si="95"/>
        <v/>
      </c>
      <c r="AG101" s="3" t="str">
        <f t="shared" si="95"/>
        <v/>
      </c>
      <c r="AH101" s="3" t="str">
        <f t="shared" si="94"/>
        <v/>
      </c>
      <c r="AI101" s="3" t="str">
        <f t="shared" si="94"/>
        <v/>
      </c>
      <c r="AJ101" s="3" t="str">
        <f t="shared" si="94"/>
        <v/>
      </c>
      <c r="AK101" s="3" t="str">
        <f t="shared" si="94"/>
        <v/>
      </c>
      <c r="AL101" s="3" t="str">
        <f t="shared" si="94"/>
        <v/>
      </c>
      <c r="AM101" s="3" t="str">
        <f t="shared" si="94"/>
        <v/>
      </c>
      <c r="AN101" s="3" t="str">
        <f t="shared" si="94"/>
        <v/>
      </c>
      <c r="AO101" s="3" t="str">
        <f t="shared" si="94"/>
        <v/>
      </c>
      <c r="AP101" s="3" t="str">
        <f t="shared" si="94"/>
        <v/>
      </c>
      <c r="AQ101" s="3" t="str">
        <f t="shared" si="94"/>
        <v/>
      </c>
      <c r="AR101" s="3" t="str">
        <f t="shared" si="94"/>
        <v/>
      </c>
      <c r="AS101" s="3" t="str">
        <f t="shared" si="94"/>
        <v/>
      </c>
      <c r="AT101" s="3" t="str">
        <f t="shared" si="94"/>
        <v/>
      </c>
      <c r="AU101" s="3" t="str">
        <f t="shared" si="94"/>
        <v/>
      </c>
      <c r="AV101" s="3" t="str">
        <f t="shared" si="94"/>
        <v>X</v>
      </c>
      <c r="AW101" s="3" t="str">
        <f t="shared" si="67"/>
        <v/>
      </c>
      <c r="AX101" s="3" t="str">
        <f t="shared" si="68"/>
        <v/>
      </c>
      <c r="AY101" s="3" t="str">
        <f t="shared" si="69"/>
        <v/>
      </c>
      <c r="AZ101" s="3" t="str">
        <f t="shared" si="70"/>
        <v>X</v>
      </c>
      <c r="BA101" s="3" t="str">
        <f t="shared" si="71"/>
        <v/>
      </c>
      <c r="BB101" s="3" t="str">
        <f t="shared" si="72"/>
        <v/>
      </c>
      <c r="BC101" s="3" t="str">
        <f t="shared" si="73"/>
        <v/>
      </c>
      <c r="BD101" s="3">
        <f t="shared" si="74"/>
        <v>4107</v>
      </c>
      <c r="BE101" s="9" t="str">
        <f t="shared" si="75"/>
        <v/>
      </c>
      <c r="BF101" s="9" t="str">
        <f t="shared" si="76"/>
        <v/>
      </c>
      <c r="BG101" s="9" t="str">
        <f t="shared" si="77"/>
        <v/>
      </c>
      <c r="BH101" s="9" t="str">
        <f t="shared" si="78"/>
        <v>0000100B</v>
      </c>
      <c r="BI101" s="3" t="str">
        <f t="shared" si="79"/>
        <v/>
      </c>
      <c r="BJ101" s="3" t="str">
        <f t="shared" si="80"/>
        <v/>
      </c>
      <c r="BK101" s="3" t="str">
        <f t="shared" si="81"/>
        <v/>
      </c>
      <c r="BL101" s="3" t="str">
        <f t="shared" si="82"/>
        <v>(0)</v>
      </c>
      <c r="BM101" s="3" t="str">
        <f t="shared" si="83"/>
        <v/>
      </c>
      <c r="BN101" s="3" t="str">
        <f t="shared" si="84"/>
        <v/>
      </c>
      <c r="BO101" s="3" t="str">
        <f t="shared" si="85"/>
        <v/>
      </c>
      <c r="BP101" s="3">
        <f t="shared" si="86"/>
        <v>0</v>
      </c>
      <c r="BQ101" s="3" t="str">
        <f t="shared" si="87"/>
        <v/>
      </c>
      <c r="BR101" s="3" t="str">
        <f t="shared" si="88"/>
        <v/>
      </c>
      <c r="BS101" s="3" t="str">
        <f t="shared" si="89"/>
        <v/>
      </c>
      <c r="BT101" s="3" t="str">
        <f t="shared" si="90"/>
        <v/>
      </c>
    </row>
    <row r="102" spans="2:72" x14ac:dyDescent="0.25">
      <c r="B102" s="3" t="s">
        <v>339</v>
      </c>
      <c r="C102" s="22" t="s">
        <v>350</v>
      </c>
      <c r="D102" s="3" t="s">
        <v>0</v>
      </c>
      <c r="E102" s="3" t="s">
        <v>114</v>
      </c>
      <c r="F102" s="3" t="s">
        <v>340</v>
      </c>
      <c r="G102" s="3" t="s">
        <v>374</v>
      </c>
      <c r="H102" s="22" t="s">
        <v>352</v>
      </c>
      <c r="I102" s="3" t="s">
        <v>24</v>
      </c>
      <c r="J102" s="3">
        <v>12</v>
      </c>
      <c r="K102" s="3" t="s">
        <v>118</v>
      </c>
      <c r="L102" s="3" t="s">
        <v>23</v>
      </c>
      <c r="M102" s="3">
        <v>1027</v>
      </c>
      <c r="N102" s="3" t="str">
        <f t="shared" si="93"/>
        <v>00000403</v>
      </c>
      <c r="O102" s="3">
        <v>27</v>
      </c>
      <c r="P102" s="3">
        <v>16</v>
      </c>
      <c r="Q102" s="3" t="str">
        <f t="shared" si="64"/>
        <v/>
      </c>
      <c r="R102" s="3" t="str">
        <f t="shared" si="95"/>
        <v/>
      </c>
      <c r="S102" s="3" t="str">
        <f t="shared" si="95"/>
        <v/>
      </c>
      <c r="T102" s="3" t="str">
        <f t="shared" si="95"/>
        <v/>
      </c>
      <c r="U102" s="3" t="str">
        <f t="shared" si="95"/>
        <v>X</v>
      </c>
      <c r="V102" s="3" t="str">
        <f t="shared" si="95"/>
        <v>X</v>
      </c>
      <c r="W102" s="3" t="str">
        <f t="shared" si="95"/>
        <v>X</v>
      </c>
      <c r="X102" s="3" t="str">
        <f t="shared" si="95"/>
        <v>X</v>
      </c>
      <c r="Y102" s="3" t="str">
        <f t="shared" si="95"/>
        <v>X</v>
      </c>
      <c r="Z102" s="3" t="str">
        <f t="shared" si="95"/>
        <v>X</v>
      </c>
      <c r="AA102" s="3" t="str">
        <f t="shared" si="95"/>
        <v>X</v>
      </c>
      <c r="AB102" s="3" t="str">
        <f t="shared" si="95"/>
        <v>X</v>
      </c>
      <c r="AC102" s="3" t="str">
        <f t="shared" si="95"/>
        <v>X</v>
      </c>
      <c r="AD102" s="3" t="str">
        <f t="shared" si="95"/>
        <v>X</v>
      </c>
      <c r="AE102" s="3" t="str">
        <f t="shared" si="95"/>
        <v>X</v>
      </c>
      <c r="AF102" s="3" t="str">
        <f t="shared" si="95"/>
        <v>X</v>
      </c>
      <c r="AG102" s="3" t="str">
        <f t="shared" si="95"/>
        <v/>
      </c>
      <c r="AH102" s="3" t="str">
        <f t="shared" si="94"/>
        <v/>
      </c>
      <c r="AI102" s="3" t="str">
        <f t="shared" si="94"/>
        <v/>
      </c>
      <c r="AJ102" s="3" t="str">
        <f t="shared" si="94"/>
        <v/>
      </c>
      <c r="AK102" s="3" t="str">
        <f t="shared" si="94"/>
        <v/>
      </c>
      <c r="AL102" s="3" t="str">
        <f t="shared" si="94"/>
        <v/>
      </c>
      <c r="AM102" s="3" t="str">
        <f t="shared" si="94"/>
        <v/>
      </c>
      <c r="AN102" s="3" t="str">
        <f t="shared" si="94"/>
        <v/>
      </c>
      <c r="AO102" s="3" t="str">
        <f t="shared" si="94"/>
        <v/>
      </c>
      <c r="AP102" s="3" t="str">
        <f t="shared" si="94"/>
        <v/>
      </c>
      <c r="AQ102" s="3" t="str">
        <f t="shared" si="94"/>
        <v/>
      </c>
      <c r="AR102" s="3" t="str">
        <f t="shared" si="94"/>
        <v/>
      </c>
      <c r="AS102" s="3" t="str">
        <f t="shared" si="94"/>
        <v/>
      </c>
      <c r="AT102" s="3" t="str">
        <f t="shared" si="94"/>
        <v/>
      </c>
      <c r="AU102" s="3" t="str">
        <f t="shared" si="94"/>
        <v/>
      </c>
      <c r="AV102" s="3" t="str">
        <f t="shared" si="94"/>
        <v/>
      </c>
      <c r="AW102" s="3" t="str">
        <f t="shared" si="67"/>
        <v>X</v>
      </c>
      <c r="AX102" s="3" t="str">
        <f t="shared" si="68"/>
        <v>X</v>
      </c>
      <c r="AY102" s="3" t="str">
        <f t="shared" si="69"/>
        <v/>
      </c>
      <c r="AZ102" s="3" t="str">
        <f t="shared" si="70"/>
        <v/>
      </c>
      <c r="BA102" s="3">
        <f t="shared" si="71"/>
        <v>4108</v>
      </c>
      <c r="BB102" s="3">
        <f t="shared" si="72"/>
        <v>4109</v>
      </c>
      <c r="BC102" s="3" t="str">
        <f t="shared" si="73"/>
        <v/>
      </c>
      <c r="BD102" s="3" t="str">
        <f t="shared" si="74"/>
        <v/>
      </c>
      <c r="BE102" s="9" t="str">
        <f t="shared" si="75"/>
        <v>0000100C</v>
      </c>
      <c r="BF102" s="9" t="str">
        <f t="shared" si="76"/>
        <v>0000100D</v>
      </c>
      <c r="BG102" s="9" t="str">
        <f t="shared" si="77"/>
        <v/>
      </c>
      <c r="BH102" s="9" t="str">
        <f t="shared" si="78"/>
        <v/>
      </c>
      <c r="BI102" s="3" t="str">
        <f t="shared" si="79"/>
        <v>(3 downto 0)</v>
      </c>
      <c r="BJ102" s="3" t="str">
        <f t="shared" si="80"/>
        <v/>
      </c>
      <c r="BK102" s="3" t="str">
        <f t="shared" si="81"/>
        <v/>
      </c>
      <c r="BL102" s="3" t="str">
        <f t="shared" si="82"/>
        <v/>
      </c>
      <c r="BM102" s="3">
        <f t="shared" si="83"/>
        <v>11</v>
      </c>
      <c r="BN102" s="3">
        <f t="shared" si="84"/>
        <v>7</v>
      </c>
      <c r="BO102" s="3" t="str">
        <f t="shared" si="85"/>
        <v/>
      </c>
      <c r="BP102" s="3" t="str">
        <f t="shared" si="86"/>
        <v/>
      </c>
      <c r="BQ102" s="3" t="str">
        <f t="shared" si="87"/>
        <v>(11 downto 8)</v>
      </c>
      <c r="BR102" s="3" t="str">
        <f t="shared" si="88"/>
        <v>(7 downto 0)</v>
      </c>
      <c r="BS102" s="3" t="str">
        <f t="shared" si="89"/>
        <v/>
      </c>
      <c r="BT102" s="3" t="str">
        <f t="shared" si="90"/>
        <v/>
      </c>
    </row>
    <row r="103" spans="2:72" x14ac:dyDescent="0.25">
      <c r="B103" s="3" t="s">
        <v>339</v>
      </c>
      <c r="C103" s="3" t="s">
        <v>341</v>
      </c>
      <c r="D103" s="3" t="s">
        <v>0</v>
      </c>
      <c r="E103" s="3" t="s">
        <v>114</v>
      </c>
      <c r="F103" s="3" t="s">
        <v>340</v>
      </c>
      <c r="G103" s="3" t="s">
        <v>374</v>
      </c>
      <c r="H103" s="20" t="s">
        <v>342</v>
      </c>
      <c r="I103" s="3" t="s">
        <v>24</v>
      </c>
      <c r="J103" s="3">
        <v>12</v>
      </c>
      <c r="K103" s="3" t="s">
        <v>118</v>
      </c>
      <c r="L103" s="3" t="s">
        <v>23</v>
      </c>
      <c r="M103" s="3">
        <v>1027</v>
      </c>
      <c r="N103" s="3" t="str">
        <f t="shared" si="93"/>
        <v>00000403</v>
      </c>
      <c r="O103" s="3">
        <v>11</v>
      </c>
      <c r="P103" s="3">
        <v>0</v>
      </c>
      <c r="Q103" s="3" t="str">
        <f t="shared" si="64"/>
        <v/>
      </c>
      <c r="R103" s="3" t="str">
        <f t="shared" si="95"/>
        <v/>
      </c>
      <c r="S103" s="3" t="str">
        <f t="shared" si="95"/>
        <v/>
      </c>
      <c r="T103" s="3" t="str">
        <f t="shared" si="95"/>
        <v/>
      </c>
      <c r="U103" s="3" t="str">
        <f t="shared" si="95"/>
        <v/>
      </c>
      <c r="V103" s="3" t="str">
        <f t="shared" si="95"/>
        <v/>
      </c>
      <c r="W103" s="3" t="str">
        <f t="shared" si="95"/>
        <v/>
      </c>
      <c r="X103" s="3" t="str">
        <f t="shared" si="95"/>
        <v/>
      </c>
      <c r="Y103" s="3" t="str">
        <f t="shared" si="95"/>
        <v/>
      </c>
      <c r="Z103" s="3" t="str">
        <f t="shared" si="95"/>
        <v/>
      </c>
      <c r="AA103" s="3" t="str">
        <f t="shared" si="95"/>
        <v/>
      </c>
      <c r="AB103" s="3" t="str">
        <f t="shared" si="95"/>
        <v/>
      </c>
      <c r="AC103" s="3" t="str">
        <f t="shared" si="95"/>
        <v/>
      </c>
      <c r="AD103" s="3" t="str">
        <f t="shared" si="95"/>
        <v/>
      </c>
      <c r="AE103" s="3" t="str">
        <f t="shared" si="95"/>
        <v/>
      </c>
      <c r="AF103" s="3" t="str">
        <f t="shared" si="95"/>
        <v/>
      </c>
      <c r="AG103" s="3" t="str">
        <f t="shared" si="95"/>
        <v/>
      </c>
      <c r="AH103" s="3" t="str">
        <f t="shared" si="94"/>
        <v/>
      </c>
      <c r="AI103" s="3" t="str">
        <f t="shared" si="94"/>
        <v/>
      </c>
      <c r="AJ103" s="3" t="str">
        <f t="shared" si="94"/>
        <v/>
      </c>
      <c r="AK103" s="3" t="str">
        <f t="shared" si="94"/>
        <v>X</v>
      </c>
      <c r="AL103" s="3" t="str">
        <f t="shared" si="94"/>
        <v>X</v>
      </c>
      <c r="AM103" s="3" t="str">
        <f t="shared" si="94"/>
        <v>X</v>
      </c>
      <c r="AN103" s="3" t="str">
        <f t="shared" si="94"/>
        <v>X</v>
      </c>
      <c r="AO103" s="3" t="str">
        <f t="shared" si="94"/>
        <v>X</v>
      </c>
      <c r="AP103" s="3" t="str">
        <f t="shared" si="94"/>
        <v>X</v>
      </c>
      <c r="AQ103" s="3" t="str">
        <f t="shared" si="94"/>
        <v>X</v>
      </c>
      <c r="AR103" s="3" t="str">
        <f t="shared" si="94"/>
        <v>X</v>
      </c>
      <c r="AS103" s="3" t="str">
        <f t="shared" si="94"/>
        <v>X</v>
      </c>
      <c r="AT103" s="3" t="str">
        <f t="shared" si="94"/>
        <v>X</v>
      </c>
      <c r="AU103" s="3" t="str">
        <f t="shared" si="94"/>
        <v>X</v>
      </c>
      <c r="AV103" s="3" t="str">
        <f t="shared" si="94"/>
        <v>X</v>
      </c>
      <c r="AW103" s="3" t="str">
        <f t="shared" si="67"/>
        <v/>
      </c>
      <c r="AX103" s="3" t="str">
        <f t="shared" si="68"/>
        <v/>
      </c>
      <c r="AY103" s="3" t="str">
        <f t="shared" si="69"/>
        <v>X</v>
      </c>
      <c r="AZ103" s="3" t="str">
        <f t="shared" si="70"/>
        <v>X</v>
      </c>
      <c r="BA103" s="3" t="str">
        <f t="shared" si="71"/>
        <v/>
      </c>
      <c r="BB103" s="3" t="str">
        <f t="shared" si="72"/>
        <v/>
      </c>
      <c r="BC103" s="3">
        <f t="shared" si="73"/>
        <v>4110</v>
      </c>
      <c r="BD103" s="3">
        <f t="shared" si="74"/>
        <v>4111</v>
      </c>
      <c r="BE103" s="9" t="str">
        <f t="shared" si="75"/>
        <v/>
      </c>
      <c r="BF103" s="9" t="str">
        <f t="shared" si="76"/>
        <v/>
      </c>
      <c r="BG103" s="9" t="str">
        <f t="shared" si="77"/>
        <v>0000100E</v>
      </c>
      <c r="BH103" s="9" t="str">
        <f t="shared" si="78"/>
        <v>0000100F</v>
      </c>
      <c r="BI103" s="3" t="str">
        <f t="shared" si="79"/>
        <v/>
      </c>
      <c r="BJ103" s="3" t="str">
        <f t="shared" si="80"/>
        <v/>
      </c>
      <c r="BK103" s="3" t="str">
        <f t="shared" si="81"/>
        <v>(3 downto 0)</v>
      </c>
      <c r="BL103" s="3" t="str">
        <f t="shared" si="82"/>
        <v/>
      </c>
      <c r="BM103" s="3" t="str">
        <f t="shared" si="83"/>
        <v/>
      </c>
      <c r="BN103" s="3" t="str">
        <f t="shared" si="84"/>
        <v/>
      </c>
      <c r="BO103" s="3">
        <f t="shared" si="85"/>
        <v>11</v>
      </c>
      <c r="BP103" s="3">
        <f t="shared" si="86"/>
        <v>7</v>
      </c>
      <c r="BQ103" s="3" t="str">
        <f t="shared" si="87"/>
        <v/>
      </c>
      <c r="BR103" s="3" t="str">
        <f t="shared" si="88"/>
        <v/>
      </c>
      <c r="BS103" s="3" t="str">
        <f t="shared" si="89"/>
        <v>(11 downto 8)</v>
      </c>
      <c r="BT103" s="3" t="str">
        <f t="shared" si="90"/>
        <v>(7 downto 0)</v>
      </c>
    </row>
    <row r="104" spans="2:72" x14ac:dyDescent="0.25">
      <c r="B104" s="3" t="s">
        <v>343</v>
      </c>
      <c r="C104" s="22" t="s">
        <v>347</v>
      </c>
      <c r="D104" s="3" t="s">
        <v>0</v>
      </c>
      <c r="E104" s="3" t="s">
        <v>114</v>
      </c>
      <c r="F104" s="3" t="s">
        <v>345</v>
      </c>
      <c r="G104" s="3" t="s">
        <v>375</v>
      </c>
      <c r="H104" s="22" t="s">
        <v>348</v>
      </c>
      <c r="I104" s="3" t="s">
        <v>24</v>
      </c>
      <c r="J104" s="3">
        <v>12</v>
      </c>
      <c r="K104" s="3" t="s">
        <v>118</v>
      </c>
      <c r="L104" s="3" t="s">
        <v>23</v>
      </c>
      <c r="M104" s="3">
        <v>1028</v>
      </c>
      <c r="N104" s="3" t="str">
        <f t="shared" si="93"/>
        <v>00000404</v>
      </c>
      <c r="O104" s="3">
        <v>27</v>
      </c>
      <c r="P104" s="3">
        <v>16</v>
      </c>
      <c r="Q104" s="3" t="str">
        <f t="shared" si="64"/>
        <v/>
      </c>
      <c r="R104" s="3" t="str">
        <f t="shared" si="95"/>
        <v/>
      </c>
      <c r="S104" s="3" t="str">
        <f t="shared" si="95"/>
        <v/>
      </c>
      <c r="T104" s="3" t="str">
        <f t="shared" si="95"/>
        <v/>
      </c>
      <c r="U104" s="3" t="str">
        <f t="shared" si="95"/>
        <v>X</v>
      </c>
      <c r="V104" s="3" t="str">
        <f t="shared" si="95"/>
        <v>X</v>
      </c>
      <c r="W104" s="3" t="str">
        <f t="shared" si="95"/>
        <v>X</v>
      </c>
      <c r="X104" s="3" t="str">
        <f t="shared" si="95"/>
        <v>X</v>
      </c>
      <c r="Y104" s="3" t="str">
        <f t="shared" si="95"/>
        <v>X</v>
      </c>
      <c r="Z104" s="3" t="str">
        <f t="shared" si="95"/>
        <v>X</v>
      </c>
      <c r="AA104" s="3" t="str">
        <f t="shared" si="95"/>
        <v>X</v>
      </c>
      <c r="AB104" s="3" t="str">
        <f t="shared" si="95"/>
        <v>X</v>
      </c>
      <c r="AC104" s="3" t="str">
        <f t="shared" si="95"/>
        <v>X</v>
      </c>
      <c r="AD104" s="3" t="str">
        <f t="shared" si="95"/>
        <v>X</v>
      </c>
      <c r="AE104" s="3" t="str">
        <f t="shared" si="95"/>
        <v>X</v>
      </c>
      <c r="AF104" s="3" t="str">
        <f t="shared" si="95"/>
        <v>X</v>
      </c>
      <c r="AG104" s="3" t="str">
        <f t="shared" si="95"/>
        <v/>
      </c>
      <c r="AH104" s="3" t="str">
        <f t="shared" si="94"/>
        <v/>
      </c>
      <c r="AI104" s="3" t="str">
        <f t="shared" si="94"/>
        <v/>
      </c>
      <c r="AJ104" s="3" t="str">
        <f t="shared" si="94"/>
        <v/>
      </c>
      <c r="AK104" s="3" t="str">
        <f t="shared" si="94"/>
        <v/>
      </c>
      <c r="AL104" s="3" t="str">
        <f t="shared" si="94"/>
        <v/>
      </c>
      <c r="AM104" s="3" t="str">
        <f t="shared" si="94"/>
        <v/>
      </c>
      <c r="AN104" s="3" t="str">
        <f t="shared" si="94"/>
        <v/>
      </c>
      <c r="AO104" s="3" t="str">
        <f t="shared" si="94"/>
        <v/>
      </c>
      <c r="AP104" s="3" t="str">
        <f t="shared" si="94"/>
        <v/>
      </c>
      <c r="AQ104" s="3" t="str">
        <f t="shared" si="94"/>
        <v/>
      </c>
      <c r="AR104" s="3" t="str">
        <f t="shared" si="94"/>
        <v/>
      </c>
      <c r="AS104" s="3" t="str">
        <f t="shared" si="94"/>
        <v/>
      </c>
      <c r="AT104" s="3" t="str">
        <f t="shared" si="94"/>
        <v/>
      </c>
      <c r="AU104" s="3" t="str">
        <f t="shared" si="94"/>
        <v/>
      </c>
      <c r="AV104" s="3" t="str">
        <f t="shared" si="94"/>
        <v/>
      </c>
      <c r="AW104" s="3" t="str">
        <f t="shared" si="67"/>
        <v>X</v>
      </c>
      <c r="AX104" s="3" t="str">
        <f t="shared" si="68"/>
        <v>X</v>
      </c>
      <c r="AY104" s="3" t="str">
        <f t="shared" si="69"/>
        <v/>
      </c>
      <c r="AZ104" s="3" t="str">
        <f t="shared" si="70"/>
        <v/>
      </c>
      <c r="BA104" s="3">
        <f t="shared" si="71"/>
        <v>4112</v>
      </c>
      <c r="BB104" s="3">
        <f t="shared" si="72"/>
        <v>4113</v>
      </c>
      <c r="BC104" s="3" t="str">
        <f t="shared" si="73"/>
        <v/>
      </c>
      <c r="BD104" s="3" t="str">
        <f t="shared" si="74"/>
        <v/>
      </c>
      <c r="BE104" s="9" t="str">
        <f t="shared" si="75"/>
        <v>00001010</v>
      </c>
      <c r="BF104" s="9" t="str">
        <f t="shared" si="76"/>
        <v>00001011</v>
      </c>
      <c r="BG104" s="9" t="str">
        <f t="shared" si="77"/>
        <v/>
      </c>
      <c r="BH104" s="9" t="str">
        <f t="shared" si="78"/>
        <v/>
      </c>
      <c r="BI104" s="3" t="str">
        <f t="shared" si="79"/>
        <v>(3 downto 0)</v>
      </c>
      <c r="BJ104" s="3" t="str">
        <f t="shared" si="80"/>
        <v/>
      </c>
      <c r="BK104" s="3" t="str">
        <f t="shared" si="81"/>
        <v/>
      </c>
      <c r="BL104" s="3" t="str">
        <f t="shared" si="82"/>
        <v/>
      </c>
      <c r="BM104" s="3">
        <f t="shared" si="83"/>
        <v>11</v>
      </c>
      <c r="BN104" s="3">
        <f t="shared" si="84"/>
        <v>7</v>
      </c>
      <c r="BO104" s="3" t="str">
        <f t="shared" si="85"/>
        <v/>
      </c>
      <c r="BP104" s="3" t="str">
        <f t="shared" si="86"/>
        <v/>
      </c>
      <c r="BQ104" s="3" t="str">
        <f t="shared" si="87"/>
        <v>(11 downto 8)</v>
      </c>
      <c r="BR104" s="3" t="str">
        <f t="shared" si="88"/>
        <v>(7 downto 0)</v>
      </c>
      <c r="BS104" s="3" t="str">
        <f t="shared" si="89"/>
        <v/>
      </c>
      <c r="BT104" s="3" t="str">
        <f t="shared" si="90"/>
        <v/>
      </c>
    </row>
    <row r="105" spans="2:72" x14ac:dyDescent="0.25">
      <c r="B105" s="3" t="s">
        <v>343</v>
      </c>
      <c r="C105" s="22" t="s">
        <v>344</v>
      </c>
      <c r="D105" s="3" t="s">
        <v>0</v>
      </c>
      <c r="E105" s="3" t="s">
        <v>114</v>
      </c>
      <c r="F105" s="3" t="s">
        <v>345</v>
      </c>
      <c r="G105" s="3" t="s">
        <v>375</v>
      </c>
      <c r="H105" s="22" t="s">
        <v>346</v>
      </c>
      <c r="I105" s="3" t="s">
        <v>24</v>
      </c>
      <c r="J105" s="3">
        <v>12</v>
      </c>
      <c r="K105" s="3" t="s">
        <v>118</v>
      </c>
      <c r="L105" s="3" t="s">
        <v>23</v>
      </c>
      <c r="M105" s="3">
        <v>1028</v>
      </c>
      <c r="N105" s="3" t="str">
        <f t="shared" si="93"/>
        <v>00000404</v>
      </c>
      <c r="O105" s="3">
        <v>11</v>
      </c>
      <c r="P105" s="3">
        <v>0</v>
      </c>
      <c r="Q105" s="3" t="str">
        <f t="shared" si="64"/>
        <v/>
      </c>
      <c r="R105" s="3" t="str">
        <f t="shared" si="95"/>
        <v/>
      </c>
      <c r="S105" s="3" t="str">
        <f t="shared" si="95"/>
        <v/>
      </c>
      <c r="T105" s="3" t="str">
        <f t="shared" si="95"/>
        <v/>
      </c>
      <c r="U105" s="3" t="str">
        <f t="shared" si="95"/>
        <v/>
      </c>
      <c r="V105" s="3" t="str">
        <f t="shared" si="95"/>
        <v/>
      </c>
      <c r="W105" s="3" t="str">
        <f t="shared" si="95"/>
        <v/>
      </c>
      <c r="X105" s="3" t="str">
        <f t="shared" si="95"/>
        <v/>
      </c>
      <c r="Y105" s="3" t="str">
        <f t="shared" si="95"/>
        <v/>
      </c>
      <c r="Z105" s="3" t="str">
        <f t="shared" si="95"/>
        <v/>
      </c>
      <c r="AA105" s="3" t="str">
        <f t="shared" si="95"/>
        <v/>
      </c>
      <c r="AB105" s="3" t="str">
        <f t="shared" si="95"/>
        <v/>
      </c>
      <c r="AC105" s="3" t="str">
        <f t="shared" si="95"/>
        <v/>
      </c>
      <c r="AD105" s="3" t="str">
        <f t="shared" si="95"/>
        <v/>
      </c>
      <c r="AE105" s="3" t="str">
        <f t="shared" si="95"/>
        <v/>
      </c>
      <c r="AF105" s="3" t="str">
        <f t="shared" si="95"/>
        <v/>
      </c>
      <c r="AG105" s="3" t="str">
        <f t="shared" si="95"/>
        <v/>
      </c>
      <c r="AH105" s="3" t="str">
        <f t="shared" si="94"/>
        <v/>
      </c>
      <c r="AI105" s="3" t="str">
        <f t="shared" si="94"/>
        <v/>
      </c>
      <c r="AJ105" s="3" t="str">
        <f t="shared" si="94"/>
        <v/>
      </c>
      <c r="AK105" s="3" t="str">
        <f t="shared" si="94"/>
        <v>X</v>
      </c>
      <c r="AL105" s="3" t="str">
        <f t="shared" si="94"/>
        <v>X</v>
      </c>
      <c r="AM105" s="3" t="str">
        <f t="shared" si="94"/>
        <v>X</v>
      </c>
      <c r="AN105" s="3" t="str">
        <f t="shared" si="94"/>
        <v>X</v>
      </c>
      <c r="AO105" s="3" t="str">
        <f t="shared" si="94"/>
        <v>X</v>
      </c>
      <c r="AP105" s="3" t="str">
        <f t="shared" si="94"/>
        <v>X</v>
      </c>
      <c r="AQ105" s="3" t="str">
        <f t="shared" si="94"/>
        <v>X</v>
      </c>
      <c r="AR105" s="3" t="str">
        <f t="shared" si="94"/>
        <v>X</v>
      </c>
      <c r="AS105" s="3" t="str">
        <f t="shared" si="94"/>
        <v>X</v>
      </c>
      <c r="AT105" s="3" t="str">
        <f t="shared" si="94"/>
        <v>X</v>
      </c>
      <c r="AU105" s="3" t="str">
        <f t="shared" si="94"/>
        <v>X</v>
      </c>
      <c r="AV105" s="3" t="str">
        <f t="shared" si="94"/>
        <v>X</v>
      </c>
      <c r="AW105" s="3" t="str">
        <f t="shared" si="67"/>
        <v/>
      </c>
      <c r="AX105" s="3" t="str">
        <f t="shared" si="68"/>
        <v/>
      </c>
      <c r="AY105" s="3" t="str">
        <f t="shared" si="69"/>
        <v>X</v>
      </c>
      <c r="AZ105" s="3" t="str">
        <f t="shared" si="70"/>
        <v>X</v>
      </c>
      <c r="BA105" s="3" t="str">
        <f t="shared" si="71"/>
        <v/>
      </c>
      <c r="BB105" s="3" t="str">
        <f t="shared" si="72"/>
        <v/>
      </c>
      <c r="BC105" s="3">
        <f t="shared" si="73"/>
        <v>4114</v>
      </c>
      <c r="BD105" s="3">
        <f t="shared" si="74"/>
        <v>4115</v>
      </c>
      <c r="BE105" s="9" t="str">
        <f t="shared" si="75"/>
        <v/>
      </c>
      <c r="BF105" s="9" t="str">
        <f t="shared" si="76"/>
        <v/>
      </c>
      <c r="BG105" s="9" t="str">
        <f t="shared" si="77"/>
        <v>00001012</v>
      </c>
      <c r="BH105" s="9" t="str">
        <f t="shared" si="78"/>
        <v>00001013</v>
      </c>
      <c r="BI105" s="3" t="str">
        <f t="shared" si="79"/>
        <v/>
      </c>
      <c r="BJ105" s="3" t="str">
        <f t="shared" si="80"/>
        <v/>
      </c>
      <c r="BK105" s="3" t="str">
        <f t="shared" si="81"/>
        <v>(3 downto 0)</v>
      </c>
      <c r="BL105" s="3" t="str">
        <f t="shared" si="82"/>
        <v/>
      </c>
      <c r="BM105" s="3" t="str">
        <f t="shared" si="83"/>
        <v/>
      </c>
      <c r="BN105" s="3" t="str">
        <f t="shared" si="84"/>
        <v/>
      </c>
      <c r="BO105" s="3">
        <f t="shared" si="85"/>
        <v>11</v>
      </c>
      <c r="BP105" s="3">
        <f t="shared" si="86"/>
        <v>7</v>
      </c>
      <c r="BQ105" s="3" t="str">
        <f t="shared" si="87"/>
        <v/>
      </c>
      <c r="BR105" s="3" t="str">
        <f t="shared" si="88"/>
        <v/>
      </c>
      <c r="BS105" s="3" t="str">
        <f t="shared" si="89"/>
        <v>(11 downto 8)</v>
      </c>
      <c r="BT105" s="3" t="str">
        <f t="shared" si="90"/>
        <v>(7 downto 0)</v>
      </c>
    </row>
    <row r="106" spans="2:72" x14ac:dyDescent="0.25">
      <c r="B106" s="3" t="s">
        <v>349</v>
      </c>
      <c r="C106" s="22" t="s">
        <v>742</v>
      </c>
      <c r="D106" s="3" t="s">
        <v>0</v>
      </c>
      <c r="E106" s="3" t="s">
        <v>114</v>
      </c>
      <c r="F106" s="3" t="s">
        <v>351</v>
      </c>
      <c r="G106" s="3" t="s">
        <v>376</v>
      </c>
      <c r="H106" s="22" t="s">
        <v>746</v>
      </c>
      <c r="I106" s="3" t="s">
        <v>24</v>
      </c>
      <c r="J106" s="3">
        <v>8</v>
      </c>
      <c r="K106" s="3" t="s">
        <v>118</v>
      </c>
      <c r="L106" s="3" t="s">
        <v>23</v>
      </c>
      <c r="M106" s="3">
        <v>1029</v>
      </c>
      <c r="N106" s="3" t="str">
        <f t="shared" si="93"/>
        <v>00000405</v>
      </c>
      <c r="O106" s="3">
        <v>31</v>
      </c>
      <c r="P106" s="3">
        <v>24</v>
      </c>
      <c r="Q106" s="3" t="str">
        <f t="shared" si="64"/>
        <v>X</v>
      </c>
      <c r="R106" s="3" t="str">
        <f t="shared" si="95"/>
        <v>X</v>
      </c>
      <c r="S106" s="3" t="str">
        <f t="shared" si="95"/>
        <v>X</v>
      </c>
      <c r="T106" s="3" t="str">
        <f t="shared" si="95"/>
        <v>X</v>
      </c>
      <c r="U106" s="3" t="str">
        <f t="shared" si="95"/>
        <v>X</v>
      </c>
      <c r="V106" s="3" t="str">
        <f t="shared" si="95"/>
        <v>X</v>
      </c>
      <c r="W106" s="3" t="str">
        <f t="shared" si="95"/>
        <v>X</v>
      </c>
      <c r="X106" s="3" t="str">
        <f t="shared" si="95"/>
        <v>X</v>
      </c>
      <c r="Y106" s="3" t="str">
        <f t="shared" si="95"/>
        <v/>
      </c>
      <c r="Z106" s="3" t="str">
        <f t="shared" si="95"/>
        <v/>
      </c>
      <c r="AA106" s="3" t="str">
        <f t="shared" si="95"/>
        <v/>
      </c>
      <c r="AB106" s="3" t="str">
        <f t="shared" si="95"/>
        <v/>
      </c>
      <c r="AC106" s="3" t="str">
        <f t="shared" si="95"/>
        <v/>
      </c>
      <c r="AD106" s="3" t="str">
        <f t="shared" si="95"/>
        <v/>
      </c>
      <c r="AE106" s="3" t="str">
        <f t="shared" si="95"/>
        <v/>
      </c>
      <c r="AF106" s="3" t="str">
        <f t="shared" si="95"/>
        <v/>
      </c>
      <c r="AG106" s="3" t="str">
        <f t="shared" si="95"/>
        <v/>
      </c>
      <c r="AH106" s="3" t="str">
        <f t="shared" si="94"/>
        <v/>
      </c>
      <c r="AI106" s="3" t="str">
        <f t="shared" si="94"/>
        <v/>
      </c>
      <c r="AJ106" s="3" t="str">
        <f t="shared" si="94"/>
        <v/>
      </c>
      <c r="AK106" s="3" t="str">
        <f t="shared" si="94"/>
        <v/>
      </c>
      <c r="AL106" s="3" t="str">
        <f t="shared" si="94"/>
        <v/>
      </c>
      <c r="AM106" s="3" t="str">
        <f t="shared" si="94"/>
        <v/>
      </c>
      <c r="AN106" s="3" t="str">
        <f t="shared" si="94"/>
        <v/>
      </c>
      <c r="AO106" s="3" t="str">
        <f t="shared" si="94"/>
        <v/>
      </c>
      <c r="AP106" s="3" t="str">
        <f t="shared" si="94"/>
        <v/>
      </c>
      <c r="AQ106" s="3" t="str">
        <f t="shared" si="94"/>
        <v/>
      </c>
      <c r="AR106" s="3" t="str">
        <f t="shared" si="94"/>
        <v/>
      </c>
      <c r="AS106" s="3" t="str">
        <f t="shared" si="94"/>
        <v/>
      </c>
      <c r="AT106" s="3" t="str">
        <f t="shared" si="94"/>
        <v/>
      </c>
      <c r="AU106" s="3" t="str">
        <f t="shared" si="94"/>
        <v/>
      </c>
      <c r="AV106" s="3" t="str">
        <f t="shared" si="94"/>
        <v/>
      </c>
      <c r="AW106" s="3" t="str">
        <f t="shared" si="67"/>
        <v>X</v>
      </c>
      <c r="AX106" s="3" t="str">
        <f t="shared" si="68"/>
        <v/>
      </c>
      <c r="AY106" s="3" t="str">
        <f t="shared" si="69"/>
        <v/>
      </c>
      <c r="AZ106" s="3" t="str">
        <f t="shared" si="70"/>
        <v/>
      </c>
      <c r="BA106" s="3">
        <f t="shared" si="71"/>
        <v>4116</v>
      </c>
      <c r="BB106" s="3" t="str">
        <f t="shared" si="72"/>
        <v/>
      </c>
      <c r="BC106" s="3" t="str">
        <f t="shared" si="73"/>
        <v/>
      </c>
      <c r="BD106" s="3" t="str">
        <f t="shared" si="74"/>
        <v/>
      </c>
      <c r="BE106" s="9" t="str">
        <f t="shared" si="75"/>
        <v>00001014</v>
      </c>
      <c r="BF106" s="9" t="str">
        <f t="shared" si="76"/>
        <v/>
      </c>
      <c r="BG106" s="9" t="str">
        <f t="shared" si="77"/>
        <v/>
      </c>
      <c r="BH106" s="9" t="str">
        <f t="shared" si="78"/>
        <v/>
      </c>
      <c r="BI106" s="3" t="str">
        <f t="shared" si="79"/>
        <v/>
      </c>
      <c r="BJ106" s="3" t="str">
        <f t="shared" si="80"/>
        <v/>
      </c>
      <c r="BK106" s="3" t="str">
        <f t="shared" si="81"/>
        <v/>
      </c>
      <c r="BL106" s="3" t="str">
        <f t="shared" si="82"/>
        <v/>
      </c>
      <c r="BM106" s="3">
        <f t="shared" si="83"/>
        <v>7</v>
      </c>
      <c r="BN106" s="3" t="str">
        <f t="shared" si="84"/>
        <v/>
      </c>
      <c r="BO106" s="3" t="str">
        <f t="shared" si="85"/>
        <v/>
      </c>
      <c r="BP106" s="3" t="str">
        <f t="shared" si="86"/>
        <v/>
      </c>
      <c r="BQ106" s="3" t="str">
        <f t="shared" si="87"/>
        <v/>
      </c>
      <c r="BR106" s="3" t="str">
        <f t="shared" si="88"/>
        <v/>
      </c>
      <c r="BS106" s="3" t="str">
        <f t="shared" si="89"/>
        <v/>
      </c>
      <c r="BT106" s="3" t="str">
        <f t="shared" si="90"/>
        <v/>
      </c>
    </row>
    <row r="107" spans="2:72" x14ac:dyDescent="0.25">
      <c r="B107" s="3" t="s">
        <v>349</v>
      </c>
      <c r="C107" s="22" t="s">
        <v>743</v>
      </c>
      <c r="D107" s="3" t="s">
        <v>0</v>
      </c>
      <c r="E107" s="3" t="s">
        <v>114</v>
      </c>
      <c r="F107" s="3" t="s">
        <v>351</v>
      </c>
      <c r="G107" s="3" t="s">
        <v>376</v>
      </c>
      <c r="H107" s="22" t="s">
        <v>747</v>
      </c>
      <c r="I107" s="3" t="s">
        <v>24</v>
      </c>
      <c r="J107" s="3">
        <v>8</v>
      </c>
      <c r="K107" s="3" t="s">
        <v>118</v>
      </c>
      <c r="L107" s="3" t="s">
        <v>23</v>
      </c>
      <c r="M107" s="3">
        <v>1029</v>
      </c>
      <c r="N107" s="3" t="str">
        <f t="shared" si="93"/>
        <v>00000405</v>
      </c>
      <c r="O107" s="3">
        <v>23</v>
      </c>
      <c r="P107" s="3">
        <v>16</v>
      </c>
      <c r="Q107" s="3" t="str">
        <f t="shared" si="64"/>
        <v/>
      </c>
      <c r="R107" s="3" t="str">
        <f t="shared" si="95"/>
        <v/>
      </c>
      <c r="S107" s="3" t="str">
        <f t="shared" si="95"/>
        <v/>
      </c>
      <c r="T107" s="3" t="str">
        <f t="shared" si="95"/>
        <v/>
      </c>
      <c r="U107" s="3" t="str">
        <f t="shared" si="95"/>
        <v/>
      </c>
      <c r="V107" s="3" t="str">
        <f t="shared" si="95"/>
        <v/>
      </c>
      <c r="W107" s="3" t="str">
        <f t="shared" si="95"/>
        <v/>
      </c>
      <c r="X107" s="3" t="str">
        <f t="shared" si="95"/>
        <v/>
      </c>
      <c r="Y107" s="3" t="str">
        <f t="shared" si="95"/>
        <v>X</v>
      </c>
      <c r="Z107" s="3" t="str">
        <f t="shared" si="95"/>
        <v>X</v>
      </c>
      <c r="AA107" s="3" t="str">
        <f t="shared" si="95"/>
        <v>X</v>
      </c>
      <c r="AB107" s="3" t="str">
        <f t="shared" si="95"/>
        <v>X</v>
      </c>
      <c r="AC107" s="3" t="str">
        <f t="shared" si="95"/>
        <v>X</v>
      </c>
      <c r="AD107" s="3" t="str">
        <f t="shared" si="95"/>
        <v>X</v>
      </c>
      <c r="AE107" s="3" t="str">
        <f t="shared" si="95"/>
        <v>X</v>
      </c>
      <c r="AF107" s="3" t="str">
        <f t="shared" si="95"/>
        <v>X</v>
      </c>
      <c r="AG107" s="3" t="str">
        <f t="shared" si="95"/>
        <v/>
      </c>
      <c r="AH107" s="3" t="str">
        <f t="shared" si="94"/>
        <v/>
      </c>
      <c r="AI107" s="3" t="str">
        <f t="shared" si="94"/>
        <v/>
      </c>
      <c r="AJ107" s="3" t="str">
        <f t="shared" si="94"/>
        <v/>
      </c>
      <c r="AK107" s="3" t="str">
        <f t="shared" si="94"/>
        <v/>
      </c>
      <c r="AL107" s="3" t="str">
        <f t="shared" si="94"/>
        <v/>
      </c>
      <c r="AM107" s="3" t="str">
        <f t="shared" si="94"/>
        <v/>
      </c>
      <c r="AN107" s="3" t="str">
        <f t="shared" si="94"/>
        <v/>
      </c>
      <c r="AO107" s="3" t="str">
        <f t="shared" si="94"/>
        <v/>
      </c>
      <c r="AP107" s="3" t="str">
        <f t="shared" si="94"/>
        <v/>
      </c>
      <c r="AQ107" s="3" t="str">
        <f t="shared" si="94"/>
        <v/>
      </c>
      <c r="AR107" s="3" t="str">
        <f t="shared" si="94"/>
        <v/>
      </c>
      <c r="AS107" s="3" t="str">
        <f t="shared" si="94"/>
        <v/>
      </c>
      <c r="AT107" s="3" t="str">
        <f t="shared" si="94"/>
        <v/>
      </c>
      <c r="AU107" s="3" t="str">
        <f t="shared" si="94"/>
        <v/>
      </c>
      <c r="AV107" s="3" t="str">
        <f t="shared" si="94"/>
        <v/>
      </c>
      <c r="AW107" s="3" t="str">
        <f t="shared" si="67"/>
        <v/>
      </c>
      <c r="AX107" s="3" t="str">
        <f t="shared" si="68"/>
        <v>X</v>
      </c>
      <c r="AY107" s="3" t="str">
        <f t="shared" si="69"/>
        <v/>
      </c>
      <c r="AZ107" s="3" t="str">
        <f t="shared" si="70"/>
        <v/>
      </c>
      <c r="BA107" s="3" t="str">
        <f t="shared" ref="BA107:BA109" si="96">IF(AW107="","",$M107*4+BA$3)</f>
        <v/>
      </c>
      <c r="BB107" s="3">
        <f t="shared" ref="BB107:BB109" si="97">IF(AX107="","",$M107*4+BB$3)</f>
        <v>4117</v>
      </c>
      <c r="BC107" s="3" t="str">
        <f t="shared" ref="BC107:BC109" si="98">IF(AY107="","",$M107*4+BC$3)</f>
        <v/>
      </c>
      <c r="BD107" s="3" t="str">
        <f t="shared" ref="BD107:BD109" si="99">IF(AZ107="","",$M107*4+BD$3)</f>
        <v/>
      </c>
      <c r="BE107" s="9" t="str">
        <f t="shared" ref="BE107:BE109" si="100">IF(BA107="","",DEC2HEX(BA107,8))</f>
        <v/>
      </c>
      <c r="BF107" s="9" t="str">
        <f t="shared" ref="BF107:BF109" si="101">IF(BB107="","",DEC2HEX(BB107,8))</f>
        <v>00001015</v>
      </c>
      <c r="BG107" s="9" t="str">
        <f t="shared" ref="BG107:BG109" si="102">IF(BC107="","",DEC2HEX(BC107,8))</f>
        <v/>
      </c>
      <c r="BH107" s="9" t="str">
        <f t="shared" ref="BH107:BH109" si="103">IF(BD107="","",DEC2HEX(BD107,8))</f>
        <v/>
      </c>
      <c r="BI107" s="3" t="str">
        <f t="shared" ref="BI107:BI109" si="104">IF(AW107="","",IF(COUNTIF($Q107:$X107,"X")=8,"",CONCATENATE("(",INDEX($Q$3:$X$3,MATCH("X",$Q107:$X107,0))-24,IF(COUNTIF($Q107:$X107,"X")=1,")",CONCATENATE(" downto ",INDEX($Q$3:$X$3,MATCH("X",$Q107:$X107,0)+COUNTIF($Q107:$X107,"X")-1)-24,")")))))</f>
        <v/>
      </c>
      <c r="BJ107" s="3" t="str">
        <f t="shared" ref="BJ107:BJ109" si="105">IF(AX107="","",IF(COUNTIF($Y107:$AF107,"X")=8,"",CONCATENATE("(",INDEX($Y$3:$AF$3,MATCH("X",$Y107:$AF107,0))-16,IF(COUNTIF($Y107:$AF107,"X")=1,")",CONCATENATE(" downto ",INDEX($Y$3:$AF$3,MATCH("X",$Y107:$AF107,0)+COUNTIF($Y107:$AF107,"X")-1)-16,")")))))</f>
        <v/>
      </c>
      <c r="BK107" s="3" t="str">
        <f t="shared" ref="BK107:BK109" si="106">IF(AY107="","",IF(COUNTIF($AG107:$AN107,"X")=8,"",CONCATENATE("(",INDEX($AG$3:$AN$3,MATCH("X",$AG107:$AN107,0))-8,IF(COUNTIF($AG107:$AN107,"X")=1,")",CONCATENATE(" downto ",INDEX($AG$3:$AN$3,MATCH("X",$AG107:$AN107,0)+COUNTIF($AG107:$AN107,"X")-1)-8,")")))))</f>
        <v/>
      </c>
      <c r="BL107" s="3" t="str">
        <f t="shared" ref="BL107:BL109" si="107">IF(AZ107="","",IF(COUNTIF($AO107:$AV107,"X")=8,"",CONCATENATE("(",INDEX($AO$3:$AV$3,MATCH("X",$AO107:$AV107,0)),IF(COUNTIF($AO107:$AV107,"X")=1,")",CONCATENATE(" downto ",INDEX($AO$3:$AV$3,MATCH("X",$AO107:$AV107,0)+COUNTIF($AO107:$AV107,"X")-1),")")))))</f>
        <v/>
      </c>
      <c r="BM107" s="3" t="str">
        <f t="shared" ref="BM107:BM109" si="108">IF(AW107="","",$J107-1)</f>
        <v/>
      </c>
      <c r="BN107" s="3">
        <f t="shared" ref="BN107:BN109" si="109">IF(AX107="","",IF(BM107="",$J107-1,BM107-COUNTIF($Q107:$X107,"X")))</f>
        <v>7</v>
      </c>
      <c r="BO107" s="3" t="str">
        <f t="shared" ref="BO107:BO109" si="110">IF(AY107="","",IF(BN107="",$J107-1,BN107-COUNTIF($Y107:$AF107,"X")))</f>
        <v/>
      </c>
      <c r="BP107" s="3" t="str">
        <f t="shared" ref="BP107:BP109" si="111">IF(AZ107="","",IF(BO107="",$J107-1,BO107-COUNTIF($AG107:$AN107,"X")))</f>
        <v/>
      </c>
      <c r="BQ107" s="3" t="str">
        <f t="shared" ref="BQ107:BQ109" si="112">IF(AW107="","",IF((4-COUNTIF($BM107:$BP107,""))=1,"",CONCATENATE("(",BM107,IF(COUNTIF($Q107:$X107,"X")=1,"",CONCATENATE(" downto ",BM107-COUNTIF($Q107:$X107,"X")+1)),")")))</f>
        <v/>
      </c>
      <c r="BR107" s="3" t="str">
        <f t="shared" ref="BR107:BR109" si="113">IF(AX107="","",IF((4-COUNTIF($BM107:$BP107,""))=1,"",CONCATENATE("(",BN107,IF(COUNTIF($Y107:$AF107,"X")=1,"",CONCATENATE(" downto ",BN107-COUNTIF($Y107:$AF107,"X")+1)),")")))</f>
        <v/>
      </c>
      <c r="BS107" s="3" t="str">
        <f t="shared" ref="BS107:BS109" si="114">IF(AY107="","",IF((4-COUNTIF($BM107:$BP107,""))=1,"",CONCATENATE("(",BO107,IF(COUNTIF($AG107:$AN107,"X")=1,"",CONCATENATE(" downto ",BO107-COUNTIF($AG107:$AN107,"X")+1)),")")))</f>
        <v/>
      </c>
      <c r="BT107" s="3" t="str">
        <f t="shared" ref="BT107:BT109" si="115">IF(AZ107="","",IF((4-COUNTIF($BM107:$BP107,""))=1,"",CONCATENATE("(",BP107,IF(COUNTIF($AO107:$AV107,"X") = 1,"",CONCATENATE(" downto ",BP107-COUNTIF($AO107:$AV107,"X")+1)),")")))</f>
        <v/>
      </c>
    </row>
    <row r="108" spans="2:72" x14ac:dyDescent="0.25">
      <c r="B108" s="3" t="s">
        <v>349</v>
      </c>
      <c r="C108" s="22" t="s">
        <v>744</v>
      </c>
      <c r="D108" s="3" t="s">
        <v>0</v>
      </c>
      <c r="E108" s="3" t="s">
        <v>114</v>
      </c>
      <c r="F108" s="3" t="s">
        <v>351</v>
      </c>
      <c r="G108" s="3" t="s">
        <v>376</v>
      </c>
      <c r="H108" s="22" t="s">
        <v>748</v>
      </c>
      <c r="I108" s="3" t="s">
        <v>24</v>
      </c>
      <c r="J108" s="3">
        <v>8</v>
      </c>
      <c r="K108" s="3" t="s">
        <v>118</v>
      </c>
      <c r="L108" s="3" t="s">
        <v>23</v>
      </c>
      <c r="M108" s="3">
        <v>1029</v>
      </c>
      <c r="N108" s="3" t="str">
        <f t="shared" si="93"/>
        <v>00000405</v>
      </c>
      <c r="O108" s="3">
        <v>15</v>
      </c>
      <c r="P108" s="3">
        <v>8</v>
      </c>
      <c r="Q108" s="3" t="str">
        <f t="shared" si="64"/>
        <v/>
      </c>
      <c r="R108" s="3" t="str">
        <f t="shared" si="95"/>
        <v/>
      </c>
      <c r="S108" s="3" t="str">
        <f t="shared" si="95"/>
        <v/>
      </c>
      <c r="T108" s="3" t="str">
        <f t="shared" si="95"/>
        <v/>
      </c>
      <c r="U108" s="3" t="str">
        <f t="shared" si="95"/>
        <v/>
      </c>
      <c r="V108" s="3" t="str">
        <f t="shared" si="95"/>
        <v/>
      </c>
      <c r="W108" s="3" t="str">
        <f t="shared" si="95"/>
        <v/>
      </c>
      <c r="X108" s="3" t="str">
        <f t="shared" si="95"/>
        <v/>
      </c>
      <c r="Y108" s="3" t="str">
        <f t="shared" si="95"/>
        <v/>
      </c>
      <c r="Z108" s="3" t="str">
        <f t="shared" si="95"/>
        <v/>
      </c>
      <c r="AA108" s="3" t="str">
        <f t="shared" si="95"/>
        <v/>
      </c>
      <c r="AB108" s="3" t="str">
        <f t="shared" si="95"/>
        <v/>
      </c>
      <c r="AC108" s="3" t="str">
        <f t="shared" si="95"/>
        <v/>
      </c>
      <c r="AD108" s="3" t="str">
        <f t="shared" si="95"/>
        <v/>
      </c>
      <c r="AE108" s="3" t="str">
        <f t="shared" si="95"/>
        <v/>
      </c>
      <c r="AF108" s="3" t="str">
        <f t="shared" si="95"/>
        <v/>
      </c>
      <c r="AG108" s="3" t="str">
        <f t="shared" si="95"/>
        <v>X</v>
      </c>
      <c r="AH108" s="3" t="str">
        <f t="shared" si="94"/>
        <v>X</v>
      </c>
      <c r="AI108" s="3" t="str">
        <f t="shared" si="94"/>
        <v>X</v>
      </c>
      <c r="AJ108" s="3" t="str">
        <f t="shared" si="94"/>
        <v>X</v>
      </c>
      <c r="AK108" s="3" t="str">
        <f t="shared" si="94"/>
        <v>X</v>
      </c>
      <c r="AL108" s="3" t="str">
        <f t="shared" si="94"/>
        <v>X</v>
      </c>
      <c r="AM108" s="3" t="str">
        <f t="shared" si="94"/>
        <v>X</v>
      </c>
      <c r="AN108" s="3" t="str">
        <f t="shared" si="94"/>
        <v>X</v>
      </c>
      <c r="AO108" s="3" t="str">
        <f t="shared" si="94"/>
        <v/>
      </c>
      <c r="AP108" s="3" t="str">
        <f t="shared" si="94"/>
        <v/>
      </c>
      <c r="AQ108" s="3" t="str">
        <f t="shared" si="94"/>
        <v/>
      </c>
      <c r="AR108" s="3" t="str">
        <f t="shared" si="94"/>
        <v/>
      </c>
      <c r="AS108" s="3" t="str">
        <f t="shared" si="94"/>
        <v/>
      </c>
      <c r="AT108" s="3" t="str">
        <f t="shared" si="94"/>
        <v/>
      </c>
      <c r="AU108" s="3" t="str">
        <f t="shared" si="94"/>
        <v/>
      </c>
      <c r="AV108" s="3" t="str">
        <f t="shared" si="94"/>
        <v/>
      </c>
      <c r="AW108" s="3" t="str">
        <f t="shared" si="67"/>
        <v/>
      </c>
      <c r="AX108" s="3" t="str">
        <f t="shared" si="68"/>
        <v/>
      </c>
      <c r="AY108" s="3" t="str">
        <f t="shared" si="69"/>
        <v>X</v>
      </c>
      <c r="AZ108" s="3" t="str">
        <f t="shared" si="70"/>
        <v/>
      </c>
      <c r="BA108" s="3" t="str">
        <f t="shared" si="96"/>
        <v/>
      </c>
      <c r="BB108" s="3" t="str">
        <f t="shared" si="97"/>
        <v/>
      </c>
      <c r="BC108" s="3">
        <f t="shared" si="98"/>
        <v>4118</v>
      </c>
      <c r="BD108" s="3" t="str">
        <f t="shared" si="99"/>
        <v/>
      </c>
      <c r="BE108" s="9" t="str">
        <f t="shared" si="100"/>
        <v/>
      </c>
      <c r="BF108" s="9" t="str">
        <f t="shared" si="101"/>
        <v/>
      </c>
      <c r="BG108" s="9" t="str">
        <f t="shared" si="102"/>
        <v>00001016</v>
      </c>
      <c r="BH108" s="9" t="str">
        <f t="shared" si="103"/>
        <v/>
      </c>
      <c r="BI108" s="3" t="str">
        <f t="shared" si="104"/>
        <v/>
      </c>
      <c r="BJ108" s="3" t="str">
        <f t="shared" si="105"/>
        <v/>
      </c>
      <c r="BK108" s="3" t="str">
        <f t="shared" si="106"/>
        <v/>
      </c>
      <c r="BL108" s="3" t="str">
        <f t="shared" si="107"/>
        <v/>
      </c>
      <c r="BM108" s="3" t="str">
        <f t="shared" si="108"/>
        <v/>
      </c>
      <c r="BN108" s="3" t="str">
        <f t="shared" si="109"/>
        <v/>
      </c>
      <c r="BO108" s="3">
        <f t="shared" si="110"/>
        <v>7</v>
      </c>
      <c r="BP108" s="3" t="str">
        <f t="shared" si="111"/>
        <v/>
      </c>
      <c r="BQ108" s="3" t="str">
        <f t="shared" si="112"/>
        <v/>
      </c>
      <c r="BR108" s="3" t="str">
        <f t="shared" si="113"/>
        <v/>
      </c>
      <c r="BS108" s="3" t="str">
        <f t="shared" si="114"/>
        <v/>
      </c>
      <c r="BT108" s="3" t="str">
        <f t="shared" si="115"/>
        <v/>
      </c>
    </row>
    <row r="109" spans="2:72" x14ac:dyDescent="0.25">
      <c r="B109" s="20" t="s">
        <v>349</v>
      </c>
      <c r="C109" s="22" t="s">
        <v>745</v>
      </c>
      <c r="D109" s="3" t="s">
        <v>0</v>
      </c>
      <c r="E109" s="3" t="s">
        <v>114</v>
      </c>
      <c r="F109" s="3" t="s">
        <v>351</v>
      </c>
      <c r="G109" s="3" t="s">
        <v>376</v>
      </c>
      <c r="H109" s="22" t="s">
        <v>749</v>
      </c>
      <c r="I109" s="3" t="s">
        <v>24</v>
      </c>
      <c r="J109" s="3">
        <v>8</v>
      </c>
      <c r="K109" s="3" t="s">
        <v>118</v>
      </c>
      <c r="L109" s="3" t="s">
        <v>23</v>
      </c>
      <c r="M109" s="3">
        <v>1029</v>
      </c>
      <c r="N109" s="3" t="str">
        <f t="shared" si="93"/>
        <v>00000405</v>
      </c>
      <c r="O109" s="3">
        <v>7</v>
      </c>
      <c r="P109" s="3">
        <v>0</v>
      </c>
      <c r="Q109" s="3" t="str">
        <f t="shared" si="64"/>
        <v/>
      </c>
      <c r="R109" s="3" t="str">
        <f t="shared" si="95"/>
        <v/>
      </c>
      <c r="S109" s="3" t="str">
        <f t="shared" si="95"/>
        <v/>
      </c>
      <c r="T109" s="3" t="str">
        <f t="shared" si="95"/>
        <v/>
      </c>
      <c r="U109" s="3" t="str">
        <f t="shared" si="95"/>
        <v/>
      </c>
      <c r="V109" s="3" t="str">
        <f t="shared" si="95"/>
        <v/>
      </c>
      <c r="W109" s="3" t="str">
        <f t="shared" si="95"/>
        <v/>
      </c>
      <c r="X109" s="3" t="str">
        <f t="shared" si="95"/>
        <v/>
      </c>
      <c r="Y109" s="3" t="str">
        <f t="shared" si="95"/>
        <v/>
      </c>
      <c r="Z109" s="3" t="str">
        <f t="shared" si="95"/>
        <v/>
      </c>
      <c r="AA109" s="3" t="str">
        <f t="shared" si="95"/>
        <v/>
      </c>
      <c r="AB109" s="3" t="str">
        <f t="shared" si="95"/>
        <v/>
      </c>
      <c r="AC109" s="3" t="str">
        <f t="shared" si="95"/>
        <v/>
      </c>
      <c r="AD109" s="3" t="str">
        <f t="shared" si="95"/>
        <v/>
      </c>
      <c r="AE109" s="3" t="str">
        <f t="shared" si="95"/>
        <v/>
      </c>
      <c r="AF109" s="3" t="str">
        <f t="shared" si="95"/>
        <v/>
      </c>
      <c r="AG109" s="3" t="str">
        <f t="shared" si="95"/>
        <v/>
      </c>
      <c r="AH109" s="3" t="str">
        <f t="shared" ref="AH109:AV109" si="116">IF(AND($O109&gt;=AH$3,AH$3&gt;=$P109),"X","")</f>
        <v/>
      </c>
      <c r="AI109" s="3" t="str">
        <f t="shared" si="116"/>
        <v/>
      </c>
      <c r="AJ109" s="3" t="str">
        <f t="shared" si="116"/>
        <v/>
      </c>
      <c r="AK109" s="3" t="str">
        <f t="shared" si="116"/>
        <v/>
      </c>
      <c r="AL109" s="3" t="str">
        <f t="shared" si="116"/>
        <v/>
      </c>
      <c r="AM109" s="3" t="str">
        <f t="shared" si="116"/>
        <v/>
      </c>
      <c r="AN109" s="3" t="str">
        <f t="shared" si="116"/>
        <v/>
      </c>
      <c r="AO109" s="3" t="str">
        <f t="shared" si="116"/>
        <v>X</v>
      </c>
      <c r="AP109" s="3" t="str">
        <f t="shared" si="116"/>
        <v>X</v>
      </c>
      <c r="AQ109" s="3" t="str">
        <f t="shared" si="116"/>
        <v>X</v>
      </c>
      <c r="AR109" s="3" t="str">
        <f t="shared" si="116"/>
        <v>X</v>
      </c>
      <c r="AS109" s="3" t="str">
        <f t="shared" si="116"/>
        <v>X</v>
      </c>
      <c r="AT109" s="3" t="str">
        <f t="shared" si="116"/>
        <v>X</v>
      </c>
      <c r="AU109" s="3" t="str">
        <f t="shared" si="116"/>
        <v>X</v>
      </c>
      <c r="AV109" s="3" t="str">
        <f t="shared" si="116"/>
        <v>X</v>
      </c>
      <c r="AW109" s="3" t="str">
        <f t="shared" si="67"/>
        <v/>
      </c>
      <c r="AX109" s="3" t="str">
        <f t="shared" si="68"/>
        <v/>
      </c>
      <c r="AY109" s="3" t="str">
        <f t="shared" si="69"/>
        <v/>
      </c>
      <c r="AZ109" s="3" t="str">
        <f t="shared" si="70"/>
        <v>X</v>
      </c>
      <c r="BA109" s="3" t="str">
        <f t="shared" si="96"/>
        <v/>
      </c>
      <c r="BB109" s="3" t="str">
        <f t="shared" si="97"/>
        <v/>
      </c>
      <c r="BC109" s="3" t="str">
        <f t="shared" si="98"/>
        <v/>
      </c>
      <c r="BD109" s="3">
        <f t="shared" si="99"/>
        <v>4119</v>
      </c>
      <c r="BE109" s="9" t="str">
        <f t="shared" si="100"/>
        <v/>
      </c>
      <c r="BF109" s="9" t="str">
        <f t="shared" si="101"/>
        <v/>
      </c>
      <c r="BG109" s="9" t="str">
        <f t="shared" si="102"/>
        <v/>
      </c>
      <c r="BH109" s="9" t="str">
        <f t="shared" si="103"/>
        <v>00001017</v>
      </c>
      <c r="BI109" s="3" t="str">
        <f t="shared" si="104"/>
        <v/>
      </c>
      <c r="BJ109" s="3" t="str">
        <f t="shared" si="105"/>
        <v/>
      </c>
      <c r="BK109" s="3" t="str">
        <f t="shared" si="106"/>
        <v/>
      </c>
      <c r="BL109" s="3" t="str">
        <f t="shared" si="107"/>
        <v/>
      </c>
      <c r="BM109" s="3" t="str">
        <f t="shared" si="108"/>
        <v/>
      </c>
      <c r="BN109" s="3" t="str">
        <f t="shared" si="109"/>
        <v/>
      </c>
      <c r="BO109" s="3" t="str">
        <f t="shared" si="110"/>
        <v/>
      </c>
      <c r="BP109" s="3">
        <f t="shared" si="111"/>
        <v>7</v>
      </c>
      <c r="BQ109" s="3" t="str">
        <f t="shared" si="112"/>
        <v/>
      </c>
      <c r="BR109" s="3" t="str">
        <f t="shared" si="113"/>
        <v/>
      </c>
      <c r="BS109" s="3" t="str">
        <f t="shared" si="114"/>
        <v/>
      </c>
      <c r="BT109" s="3" t="str">
        <f t="shared" si="115"/>
        <v/>
      </c>
    </row>
    <row r="110" spans="2:72" x14ac:dyDescent="0.25">
      <c r="AW110" s="3"/>
      <c r="AX110" s="3"/>
      <c r="AY110" s="3"/>
      <c r="AZ110" s="3"/>
      <c r="BE110" s="9"/>
      <c r="BF110" s="9"/>
      <c r="BG110" s="9"/>
      <c r="BH110" s="9"/>
    </row>
    <row r="111" spans="2:72" x14ac:dyDescent="0.25">
      <c r="AW111" s="3"/>
      <c r="AX111" s="3"/>
      <c r="AY111" s="3"/>
      <c r="AZ111" s="3"/>
      <c r="BE111" s="9"/>
      <c r="BF111" s="9"/>
      <c r="BG111" s="9"/>
      <c r="BH111" s="9"/>
    </row>
    <row r="112" spans="2:72" x14ac:dyDescent="0.25">
      <c r="AW112" s="3"/>
      <c r="AX112" s="3"/>
      <c r="AY112" s="3"/>
      <c r="AZ112" s="3"/>
      <c r="BE112" s="9"/>
      <c r="BF112" s="9"/>
      <c r="BG112" s="9"/>
      <c r="BH112" s="9"/>
    </row>
    <row r="113" spans="49:69" x14ac:dyDescent="0.25">
      <c r="AW113" s="3"/>
      <c r="AX113" s="3"/>
      <c r="AY113" s="3"/>
      <c r="AZ113" s="3"/>
      <c r="BE113" s="9"/>
      <c r="BF113" s="9"/>
      <c r="BG113" s="9"/>
      <c r="BH113" s="9"/>
    </row>
    <row r="114" spans="49:69" x14ac:dyDescent="0.25">
      <c r="AW114" s="3"/>
      <c r="AX114" s="3"/>
      <c r="AY114" s="3"/>
      <c r="AZ114" s="3"/>
      <c r="BE114" s="9"/>
      <c r="BF114" s="9"/>
      <c r="BG114" s="9"/>
      <c r="BH114" s="9"/>
    </row>
    <row r="115" spans="49:69" x14ac:dyDescent="0.25">
      <c r="AW115" s="3"/>
      <c r="AX115" s="3"/>
      <c r="AY115" s="3"/>
      <c r="AZ115" s="3"/>
      <c r="BE115" s="9"/>
      <c r="BF115" s="9"/>
      <c r="BG115" s="9"/>
      <c r="BH115" s="9"/>
    </row>
    <row r="116" spans="49:69" x14ac:dyDescent="0.25">
      <c r="AW116" s="3"/>
      <c r="AX116" s="3"/>
      <c r="AY116" s="3"/>
      <c r="AZ116" s="3"/>
      <c r="BE116" s="9"/>
      <c r="BF116" s="9"/>
      <c r="BG116" s="9"/>
      <c r="BH116" s="9"/>
    </row>
    <row r="117" spans="49:69" x14ac:dyDescent="0.25">
      <c r="AW117" s="3"/>
      <c r="AX117" s="3"/>
      <c r="AY117" s="3"/>
      <c r="AZ117" s="3"/>
      <c r="BE117" s="9"/>
      <c r="BF117" s="9"/>
      <c r="BG117" s="9"/>
      <c r="BH117" s="9"/>
    </row>
    <row r="122" spans="49:69" x14ac:dyDescent="0.25">
      <c r="BQ122" s="3" t="str">
        <f>IF(AW122="","",IF((4-COUNTIF($Q122:$X122,""))=1,"",_xlfn.CONCAT("(",BM122,IF(COUNTIF($AO122:$AV122,"X") = 1,"",_xlfn.CONCAT(" downto ",BM122-COUNTIF($Q122:$X122,"X")+1)),")")))</f>
        <v/>
      </c>
    </row>
  </sheetData>
  <autoFilter ref="B3:BT106" xr:uid="{5D1C4CB8-4ED6-4036-A911-49012103FC21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1" t="s">
        <v>30</v>
      </c>
      <c r="C2" s="21"/>
      <c r="D2" s="21"/>
      <c r="F2" s="21" t="s">
        <v>63</v>
      </c>
      <c r="G2" s="21"/>
      <c r="H2" s="15"/>
      <c r="I2" s="21" t="s">
        <v>60</v>
      </c>
      <c r="J2" s="21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64</v>
      </c>
      <c r="H3" s="13"/>
      <c r="I3" s="12" t="s">
        <v>61</v>
      </c>
      <c r="J3" s="12" t="s">
        <v>62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65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65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65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66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66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66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68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68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68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67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67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67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69</v>
      </c>
      <c r="I16" s="3" t="s">
        <v>80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69</v>
      </c>
      <c r="I17" s="3" t="s">
        <v>74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69</v>
      </c>
      <c r="I18" s="3" t="s">
        <v>75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70</v>
      </c>
      <c r="I19" s="3" t="s">
        <v>78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70</v>
      </c>
      <c r="I20" s="3" t="s">
        <v>79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70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71</v>
      </c>
      <c r="I22" s="3" t="s">
        <v>76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72</v>
      </c>
      <c r="I23" s="3" t="s">
        <v>85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72</v>
      </c>
      <c r="I24" s="3" t="s">
        <v>77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72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73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73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73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45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109</v>
      </c>
      <c r="H3" t="s">
        <v>111</v>
      </c>
    </row>
    <row r="4" spans="2:8" x14ac:dyDescent="0.25">
      <c r="H4" t="s">
        <v>110</v>
      </c>
    </row>
    <row r="5" spans="2:8" x14ac:dyDescent="0.25">
      <c r="B5" s="1" t="s">
        <v>8</v>
      </c>
      <c r="H5" t="s">
        <v>89</v>
      </c>
    </row>
    <row r="6" spans="2:8" x14ac:dyDescent="0.25">
      <c r="B6" t="s">
        <v>116</v>
      </c>
    </row>
    <row r="7" spans="2:8" x14ac:dyDescent="0.25">
      <c r="H7" t="s">
        <v>90</v>
      </c>
    </row>
    <row r="8" spans="2:8" x14ac:dyDescent="0.25">
      <c r="B8" s="1" t="s">
        <v>11</v>
      </c>
      <c r="H8" t="s">
        <v>377</v>
      </c>
    </row>
    <row r="9" spans="2:8" x14ac:dyDescent="0.25">
      <c r="B9" t="s">
        <v>113</v>
      </c>
      <c r="H9" t="s">
        <v>753</v>
      </c>
    </row>
    <row r="10" spans="2:8" x14ac:dyDescent="0.25">
      <c r="H10" t="s">
        <v>378</v>
      </c>
    </row>
    <row r="11" spans="2:8" x14ac:dyDescent="0.25">
      <c r="B11" s="1" t="s">
        <v>12</v>
      </c>
      <c r="H11" t="s">
        <v>754</v>
      </c>
    </row>
    <row r="12" spans="2:8" x14ac:dyDescent="0.25">
      <c r="B12" t="s">
        <v>113</v>
      </c>
      <c r="H12" t="s">
        <v>379</v>
      </c>
    </row>
    <row r="13" spans="2:8" x14ac:dyDescent="0.25">
      <c r="H13" t="s">
        <v>755</v>
      </c>
    </row>
    <row r="14" spans="2:8" x14ac:dyDescent="0.25">
      <c r="H14" t="s">
        <v>756</v>
      </c>
    </row>
    <row r="15" spans="2:8" x14ac:dyDescent="0.25">
      <c r="H15" t="s">
        <v>757</v>
      </c>
    </row>
    <row r="17" spans="2:8" x14ac:dyDescent="0.25">
      <c r="H17" t="s">
        <v>93</v>
      </c>
    </row>
    <row r="18" spans="2:8" x14ac:dyDescent="0.25">
      <c r="H18" t="s">
        <v>380</v>
      </c>
    </row>
    <row r="19" spans="2:8" x14ac:dyDescent="0.25">
      <c r="H19" t="s">
        <v>381</v>
      </c>
    </row>
    <row r="20" spans="2:8" x14ac:dyDescent="0.25">
      <c r="B20" s="1"/>
    </row>
    <row r="21" spans="2:8" x14ac:dyDescent="0.25">
      <c r="H21" t="s">
        <v>94</v>
      </c>
    </row>
    <row r="22" spans="2:8" x14ac:dyDescent="0.25">
      <c r="H22" t="s">
        <v>382</v>
      </c>
    </row>
    <row r="23" spans="2:8" x14ac:dyDescent="0.25">
      <c r="H23" t="s">
        <v>383</v>
      </c>
    </row>
    <row r="25" spans="2:8" x14ac:dyDescent="0.25">
      <c r="H25" t="s">
        <v>91</v>
      </c>
    </row>
    <row r="26" spans="2:8" x14ac:dyDescent="0.25">
      <c r="H26" t="s">
        <v>384</v>
      </c>
    </row>
    <row r="27" spans="2:8" x14ac:dyDescent="0.25">
      <c r="H27" t="s">
        <v>385</v>
      </c>
    </row>
    <row r="28" spans="2:8" x14ac:dyDescent="0.25">
      <c r="H28" t="s">
        <v>386</v>
      </c>
    </row>
    <row r="29" spans="2:8" x14ac:dyDescent="0.25">
      <c r="H29" t="s">
        <v>387</v>
      </c>
    </row>
    <row r="31" spans="2:8" x14ac:dyDescent="0.25">
      <c r="H31" t="s">
        <v>92</v>
      </c>
    </row>
    <row r="32" spans="2:8" x14ac:dyDescent="0.25">
      <c r="H32" t="s">
        <v>705</v>
      </c>
    </row>
    <row r="33" spans="8:8" x14ac:dyDescent="0.25">
      <c r="H33" t="s">
        <v>710</v>
      </c>
    </row>
    <row r="35" spans="8:8" x14ac:dyDescent="0.25">
      <c r="H35" t="s">
        <v>98</v>
      </c>
    </row>
    <row r="36" spans="8:8" x14ac:dyDescent="0.25">
      <c r="H36" t="s">
        <v>706</v>
      </c>
    </row>
    <row r="37" spans="8:8" x14ac:dyDescent="0.25">
      <c r="H37" t="s">
        <v>711</v>
      </c>
    </row>
    <row r="39" spans="8:8" x14ac:dyDescent="0.25">
      <c r="H39" t="s">
        <v>97</v>
      </c>
    </row>
    <row r="40" spans="8:8" x14ac:dyDescent="0.25">
      <c r="H40" t="s">
        <v>706</v>
      </c>
    </row>
    <row r="41" spans="8:8" x14ac:dyDescent="0.25">
      <c r="H41" t="s">
        <v>712</v>
      </c>
    </row>
    <row r="43" spans="8:8" x14ac:dyDescent="0.25">
      <c r="H43" t="s">
        <v>95</v>
      </c>
    </row>
    <row r="44" spans="8:8" x14ac:dyDescent="0.25">
      <c r="H44" t="s">
        <v>706</v>
      </c>
    </row>
    <row r="45" spans="8:8" x14ac:dyDescent="0.25">
      <c r="H45" t="s">
        <v>713</v>
      </c>
    </row>
    <row r="47" spans="8:8" x14ac:dyDescent="0.25">
      <c r="H47" t="s">
        <v>96</v>
      </c>
    </row>
    <row r="48" spans="8:8" x14ac:dyDescent="0.25">
      <c r="H48" t="s">
        <v>706</v>
      </c>
    </row>
    <row r="49" spans="8:8" x14ac:dyDescent="0.25">
      <c r="H49" t="s">
        <v>714</v>
      </c>
    </row>
    <row r="51" spans="8:8" x14ac:dyDescent="0.25">
      <c r="H51" t="s">
        <v>101</v>
      </c>
    </row>
    <row r="52" spans="8:8" x14ac:dyDescent="0.25">
      <c r="H52" t="s">
        <v>707</v>
      </c>
    </row>
    <row r="53" spans="8:8" x14ac:dyDescent="0.25">
      <c r="H53" t="s">
        <v>715</v>
      </c>
    </row>
    <row r="55" spans="8:8" x14ac:dyDescent="0.25">
      <c r="H55" t="s">
        <v>102</v>
      </c>
    </row>
    <row r="56" spans="8:8" x14ac:dyDescent="0.25">
      <c r="H56" t="s">
        <v>707</v>
      </c>
    </row>
    <row r="57" spans="8:8" x14ac:dyDescent="0.25">
      <c r="H57" t="s">
        <v>716</v>
      </c>
    </row>
    <row r="59" spans="8:8" x14ac:dyDescent="0.25">
      <c r="H59" t="s">
        <v>99</v>
      </c>
    </row>
    <row r="60" spans="8:8" x14ac:dyDescent="0.25">
      <c r="H60" t="s">
        <v>707</v>
      </c>
    </row>
    <row r="61" spans="8:8" x14ac:dyDescent="0.25">
      <c r="H61" t="s">
        <v>717</v>
      </c>
    </row>
    <row r="63" spans="8:8" x14ac:dyDescent="0.25">
      <c r="H63" t="s">
        <v>100</v>
      </c>
    </row>
    <row r="64" spans="8:8" x14ac:dyDescent="0.25">
      <c r="H64" t="s">
        <v>707</v>
      </c>
    </row>
    <row r="65" spans="8:8" x14ac:dyDescent="0.25">
      <c r="H65" t="s">
        <v>718</v>
      </c>
    </row>
    <row r="67" spans="8:8" x14ac:dyDescent="0.25">
      <c r="H67" t="s">
        <v>105</v>
      </c>
    </row>
    <row r="68" spans="8:8" x14ac:dyDescent="0.25">
      <c r="H68" t="s">
        <v>708</v>
      </c>
    </row>
    <row r="69" spans="8:8" x14ac:dyDescent="0.25">
      <c r="H69" t="s">
        <v>719</v>
      </c>
    </row>
    <row r="71" spans="8:8" x14ac:dyDescent="0.25">
      <c r="H71" t="s">
        <v>106</v>
      </c>
    </row>
    <row r="72" spans="8:8" x14ac:dyDescent="0.25">
      <c r="H72" t="s">
        <v>708</v>
      </c>
    </row>
    <row r="73" spans="8:8" x14ac:dyDescent="0.25">
      <c r="H73" t="s">
        <v>720</v>
      </c>
    </row>
    <row r="75" spans="8:8" x14ac:dyDescent="0.25">
      <c r="H75" t="s">
        <v>103</v>
      </c>
    </row>
    <row r="76" spans="8:8" x14ac:dyDescent="0.25">
      <c r="H76" t="s">
        <v>708</v>
      </c>
    </row>
    <row r="77" spans="8:8" x14ac:dyDescent="0.25">
      <c r="H77" t="s">
        <v>721</v>
      </c>
    </row>
    <row r="79" spans="8:8" x14ac:dyDescent="0.25">
      <c r="H79" t="s">
        <v>104</v>
      </c>
    </row>
    <row r="80" spans="8:8" x14ac:dyDescent="0.25">
      <c r="H80" t="s">
        <v>708</v>
      </c>
    </row>
    <row r="81" spans="8:8" x14ac:dyDescent="0.25">
      <c r="H81" t="s">
        <v>722</v>
      </c>
    </row>
    <row r="83" spans="8:8" x14ac:dyDescent="0.25">
      <c r="H83" t="s">
        <v>107</v>
      </c>
    </row>
    <row r="84" spans="8:8" x14ac:dyDescent="0.25">
      <c r="H84" t="s">
        <v>388</v>
      </c>
    </row>
    <row r="85" spans="8:8" x14ac:dyDescent="0.25">
      <c r="H85" t="s">
        <v>389</v>
      </c>
    </row>
    <row r="87" spans="8:8" x14ac:dyDescent="0.25">
      <c r="H87" t="s">
        <v>108</v>
      </c>
    </row>
    <row r="88" spans="8:8" x14ac:dyDescent="0.25">
      <c r="H88" t="s">
        <v>390</v>
      </c>
    </row>
    <row r="89" spans="8:8" x14ac:dyDescent="0.25">
      <c r="H89" t="s">
        <v>391</v>
      </c>
    </row>
    <row r="91" spans="8:8" x14ac:dyDescent="0.25">
      <c r="H91" t="s">
        <v>392</v>
      </c>
    </row>
    <row r="92" spans="8:8" x14ac:dyDescent="0.25">
      <c r="H92" t="s">
        <v>393</v>
      </c>
    </row>
    <row r="93" spans="8:8" x14ac:dyDescent="0.25">
      <c r="H93" t="s">
        <v>394</v>
      </c>
    </row>
    <row r="95" spans="8:8" x14ac:dyDescent="0.25">
      <c r="H95" t="s">
        <v>395</v>
      </c>
    </row>
    <row r="96" spans="8:8" x14ac:dyDescent="0.25">
      <c r="H96" t="s">
        <v>396</v>
      </c>
    </row>
    <row r="97" spans="8:8" x14ac:dyDescent="0.25">
      <c r="H97" t="s">
        <v>397</v>
      </c>
    </row>
    <row r="99" spans="8:8" x14ac:dyDescent="0.25">
      <c r="H99" t="s">
        <v>398</v>
      </c>
    </row>
    <row r="100" spans="8:8" x14ac:dyDescent="0.25">
      <c r="H100" t="s">
        <v>399</v>
      </c>
    </row>
    <row r="101" spans="8:8" x14ac:dyDescent="0.25">
      <c r="H101" t="s">
        <v>400</v>
      </c>
    </row>
    <row r="103" spans="8:8" x14ac:dyDescent="0.25">
      <c r="H103" t="s">
        <v>401</v>
      </c>
    </row>
    <row r="104" spans="8:8" x14ac:dyDescent="0.25">
      <c r="H104" t="s">
        <v>402</v>
      </c>
    </row>
    <row r="105" spans="8:8" x14ac:dyDescent="0.25">
      <c r="H105" t="s">
        <v>403</v>
      </c>
    </row>
    <row r="107" spans="8:8" x14ac:dyDescent="0.25">
      <c r="H107" t="s">
        <v>404</v>
      </c>
    </row>
    <row r="108" spans="8:8" x14ac:dyDescent="0.25">
      <c r="H108" t="s">
        <v>405</v>
      </c>
    </row>
    <row r="109" spans="8:8" x14ac:dyDescent="0.25">
      <c r="H109" t="s">
        <v>406</v>
      </c>
    </row>
    <row r="111" spans="8:8" x14ac:dyDescent="0.25">
      <c r="H111" t="s">
        <v>407</v>
      </c>
    </row>
    <row r="112" spans="8:8" x14ac:dyDescent="0.25">
      <c r="H112" t="s">
        <v>408</v>
      </c>
    </row>
    <row r="113" spans="8:8" x14ac:dyDescent="0.25">
      <c r="H113" t="s">
        <v>409</v>
      </c>
    </row>
    <row r="115" spans="8:8" x14ac:dyDescent="0.25">
      <c r="H115" t="s">
        <v>410</v>
      </c>
    </row>
    <row r="116" spans="8:8" x14ac:dyDescent="0.25">
      <c r="H116" t="s">
        <v>411</v>
      </c>
    </row>
    <row r="117" spans="8:8" x14ac:dyDescent="0.25">
      <c r="H117" t="s">
        <v>412</v>
      </c>
    </row>
    <row r="119" spans="8:8" x14ac:dyDescent="0.25">
      <c r="H119" t="s">
        <v>413</v>
      </c>
    </row>
    <row r="120" spans="8:8" x14ac:dyDescent="0.25">
      <c r="H120" t="s">
        <v>414</v>
      </c>
    </row>
    <row r="121" spans="8:8" x14ac:dyDescent="0.25">
      <c r="H121" t="s">
        <v>415</v>
      </c>
    </row>
    <row r="123" spans="8:8" x14ac:dyDescent="0.25">
      <c r="H123" t="s">
        <v>416</v>
      </c>
    </row>
    <row r="124" spans="8:8" x14ac:dyDescent="0.25">
      <c r="H124" t="s">
        <v>417</v>
      </c>
    </row>
    <row r="125" spans="8:8" x14ac:dyDescent="0.25">
      <c r="H125" t="s">
        <v>418</v>
      </c>
    </row>
    <row r="127" spans="8:8" x14ac:dyDescent="0.25">
      <c r="H127" t="s">
        <v>419</v>
      </c>
    </row>
    <row r="128" spans="8:8" x14ac:dyDescent="0.25">
      <c r="H128" t="s">
        <v>420</v>
      </c>
    </row>
    <row r="129" spans="8:8" x14ac:dyDescent="0.25">
      <c r="H129" t="s">
        <v>421</v>
      </c>
    </row>
    <row r="131" spans="8:8" x14ac:dyDescent="0.25">
      <c r="H131" t="s">
        <v>422</v>
      </c>
    </row>
    <row r="132" spans="8:8" x14ac:dyDescent="0.25">
      <c r="H132" t="s">
        <v>423</v>
      </c>
    </row>
    <row r="133" spans="8:8" x14ac:dyDescent="0.25">
      <c r="H133" t="s">
        <v>424</v>
      </c>
    </row>
    <row r="135" spans="8:8" x14ac:dyDescent="0.25">
      <c r="H135" t="s">
        <v>425</v>
      </c>
    </row>
    <row r="136" spans="8:8" x14ac:dyDescent="0.25">
      <c r="H136" t="s">
        <v>423</v>
      </c>
    </row>
    <row r="137" spans="8:8" x14ac:dyDescent="0.25">
      <c r="H137" t="s">
        <v>426</v>
      </c>
    </row>
    <row r="139" spans="8:8" x14ac:dyDescent="0.25">
      <c r="H139" t="s">
        <v>427</v>
      </c>
    </row>
    <row r="140" spans="8:8" x14ac:dyDescent="0.25">
      <c r="H140" t="s">
        <v>428</v>
      </c>
    </row>
    <row r="141" spans="8:8" x14ac:dyDescent="0.25">
      <c r="H141" t="s">
        <v>429</v>
      </c>
    </row>
    <row r="143" spans="8:8" x14ac:dyDescent="0.25">
      <c r="H143" t="s">
        <v>430</v>
      </c>
    </row>
    <row r="144" spans="8:8" x14ac:dyDescent="0.25">
      <c r="H144" t="s">
        <v>428</v>
      </c>
    </row>
    <row r="145" spans="8:8" x14ac:dyDescent="0.25">
      <c r="H145" t="s">
        <v>431</v>
      </c>
    </row>
    <row r="147" spans="8:8" x14ac:dyDescent="0.25">
      <c r="H147" t="s">
        <v>432</v>
      </c>
    </row>
    <row r="148" spans="8:8" x14ac:dyDescent="0.25">
      <c r="H148" t="s">
        <v>433</v>
      </c>
    </row>
    <row r="149" spans="8:8" x14ac:dyDescent="0.25">
      <c r="H149" t="s">
        <v>434</v>
      </c>
    </row>
    <row r="151" spans="8:8" x14ac:dyDescent="0.25">
      <c r="H151" t="s">
        <v>435</v>
      </c>
    </row>
    <row r="152" spans="8:8" x14ac:dyDescent="0.25">
      <c r="H152" t="s">
        <v>433</v>
      </c>
    </row>
    <row r="153" spans="8:8" x14ac:dyDescent="0.25">
      <c r="H153" t="s">
        <v>436</v>
      </c>
    </row>
    <row r="155" spans="8:8" x14ac:dyDescent="0.25">
      <c r="H155" t="s">
        <v>437</v>
      </c>
    </row>
    <row r="156" spans="8:8" x14ac:dyDescent="0.25">
      <c r="H156" t="s">
        <v>438</v>
      </c>
    </row>
    <row r="157" spans="8:8" x14ac:dyDescent="0.25">
      <c r="H157" t="s">
        <v>439</v>
      </c>
    </row>
    <row r="159" spans="8:8" x14ac:dyDescent="0.25">
      <c r="H159" t="s">
        <v>440</v>
      </c>
    </row>
    <row r="160" spans="8:8" x14ac:dyDescent="0.25">
      <c r="H160" t="s">
        <v>438</v>
      </c>
    </row>
    <row r="161" spans="8:8" x14ac:dyDescent="0.25">
      <c r="H161" t="s">
        <v>441</v>
      </c>
    </row>
    <row r="163" spans="8:8" x14ac:dyDescent="0.25">
      <c r="H163" t="s">
        <v>442</v>
      </c>
    </row>
    <row r="164" spans="8:8" x14ac:dyDescent="0.25">
      <c r="H164" t="s">
        <v>443</v>
      </c>
    </row>
    <row r="165" spans="8:8" x14ac:dyDescent="0.25">
      <c r="H165" t="s">
        <v>444</v>
      </c>
    </row>
    <row r="167" spans="8:8" x14ac:dyDescent="0.25">
      <c r="H167" t="s">
        <v>445</v>
      </c>
    </row>
    <row r="168" spans="8:8" x14ac:dyDescent="0.25">
      <c r="H168" t="s">
        <v>443</v>
      </c>
    </row>
    <row r="169" spans="8:8" x14ac:dyDescent="0.25">
      <c r="H169" t="s">
        <v>446</v>
      </c>
    </row>
    <row r="171" spans="8:8" x14ac:dyDescent="0.25">
      <c r="H171" t="s">
        <v>447</v>
      </c>
    </row>
    <row r="172" spans="8:8" x14ac:dyDescent="0.25">
      <c r="H172" t="s">
        <v>448</v>
      </c>
    </row>
    <row r="173" spans="8:8" x14ac:dyDescent="0.25">
      <c r="H173" t="s">
        <v>449</v>
      </c>
    </row>
    <row r="175" spans="8:8" x14ac:dyDescent="0.25">
      <c r="H175" t="s">
        <v>450</v>
      </c>
    </row>
    <row r="176" spans="8:8" x14ac:dyDescent="0.25">
      <c r="H176" t="s">
        <v>448</v>
      </c>
    </row>
    <row r="177" spans="8:8" x14ac:dyDescent="0.25">
      <c r="H177" t="s">
        <v>451</v>
      </c>
    </row>
    <row r="179" spans="8:8" x14ac:dyDescent="0.25">
      <c r="H179" t="s">
        <v>452</v>
      </c>
    </row>
    <row r="180" spans="8:8" x14ac:dyDescent="0.25">
      <c r="H180" t="s">
        <v>453</v>
      </c>
    </row>
    <row r="181" spans="8:8" x14ac:dyDescent="0.25">
      <c r="H181" t="s">
        <v>454</v>
      </c>
    </row>
    <row r="183" spans="8:8" x14ac:dyDescent="0.25">
      <c r="H183" t="s">
        <v>455</v>
      </c>
    </row>
    <row r="184" spans="8:8" x14ac:dyDescent="0.25">
      <c r="H184" t="s">
        <v>453</v>
      </c>
    </row>
    <row r="185" spans="8:8" x14ac:dyDescent="0.25">
      <c r="H185" t="s">
        <v>456</v>
      </c>
    </row>
    <row r="187" spans="8:8" x14ac:dyDescent="0.25">
      <c r="H187" t="s">
        <v>457</v>
      </c>
    </row>
    <row r="188" spans="8:8" x14ac:dyDescent="0.25">
      <c r="H188" t="s">
        <v>458</v>
      </c>
    </row>
    <row r="189" spans="8:8" x14ac:dyDescent="0.25">
      <c r="H189" t="s">
        <v>459</v>
      </c>
    </row>
    <row r="191" spans="8:8" x14ac:dyDescent="0.25">
      <c r="H191" t="s">
        <v>460</v>
      </c>
    </row>
    <row r="192" spans="8:8" x14ac:dyDescent="0.25">
      <c r="H192" t="s">
        <v>458</v>
      </c>
    </row>
    <row r="193" spans="8:8" x14ac:dyDescent="0.25">
      <c r="H193" t="s">
        <v>461</v>
      </c>
    </row>
    <row r="195" spans="8:8" x14ac:dyDescent="0.25">
      <c r="H195" t="s">
        <v>462</v>
      </c>
    </row>
    <row r="196" spans="8:8" x14ac:dyDescent="0.25">
      <c r="H196" t="s">
        <v>758</v>
      </c>
    </row>
    <row r="197" spans="8:8" x14ac:dyDescent="0.25">
      <c r="H197" t="s">
        <v>759</v>
      </c>
    </row>
    <row r="199" spans="8:8" x14ac:dyDescent="0.25">
      <c r="H199" t="s">
        <v>463</v>
      </c>
    </row>
    <row r="200" spans="8:8" x14ac:dyDescent="0.25">
      <c r="H200" t="s">
        <v>760</v>
      </c>
    </row>
    <row r="201" spans="8:8" x14ac:dyDescent="0.25">
      <c r="H201" t="s">
        <v>761</v>
      </c>
    </row>
    <row r="203" spans="8:8" x14ac:dyDescent="0.25">
      <c r="H203" t="s">
        <v>464</v>
      </c>
    </row>
    <row r="204" spans="8:8" x14ac:dyDescent="0.25">
      <c r="H204" t="s">
        <v>760</v>
      </c>
    </row>
    <row r="205" spans="8:8" x14ac:dyDescent="0.25">
      <c r="H205" t="s">
        <v>762</v>
      </c>
    </row>
    <row r="207" spans="8:8" x14ac:dyDescent="0.25">
      <c r="H207" t="s">
        <v>465</v>
      </c>
    </row>
    <row r="208" spans="8:8" x14ac:dyDescent="0.25">
      <c r="H208" t="s">
        <v>763</v>
      </c>
    </row>
    <row r="209" spans="8:8" x14ac:dyDescent="0.25">
      <c r="H209" t="s">
        <v>764</v>
      </c>
    </row>
    <row r="211" spans="8:8" x14ac:dyDescent="0.25">
      <c r="H211" t="s">
        <v>466</v>
      </c>
    </row>
    <row r="212" spans="8:8" x14ac:dyDescent="0.25">
      <c r="H212" t="s">
        <v>763</v>
      </c>
    </row>
    <row r="213" spans="8:8" x14ac:dyDescent="0.25">
      <c r="H213" t="s">
        <v>765</v>
      </c>
    </row>
    <row r="215" spans="8:8" x14ac:dyDescent="0.25">
      <c r="H215" t="s">
        <v>467</v>
      </c>
    </row>
    <row r="216" spans="8:8" x14ac:dyDescent="0.25">
      <c r="H216" t="s">
        <v>468</v>
      </c>
    </row>
    <row r="217" spans="8:8" x14ac:dyDescent="0.25">
      <c r="H217" t="s">
        <v>624</v>
      </c>
    </row>
    <row r="219" spans="8:8" x14ac:dyDescent="0.25">
      <c r="H219" t="s">
        <v>469</v>
      </c>
    </row>
    <row r="220" spans="8:8" x14ac:dyDescent="0.25">
      <c r="H220" t="s">
        <v>470</v>
      </c>
    </row>
    <row r="221" spans="8:8" x14ac:dyDescent="0.25">
      <c r="H221" t="s">
        <v>471</v>
      </c>
    </row>
    <row r="223" spans="8:8" x14ac:dyDescent="0.25">
      <c r="H223" t="s">
        <v>472</v>
      </c>
    </row>
    <row r="224" spans="8:8" x14ac:dyDescent="0.25">
      <c r="H224" t="s">
        <v>473</v>
      </c>
    </row>
    <row r="225" spans="8:8" x14ac:dyDescent="0.25">
      <c r="H225" t="s">
        <v>474</v>
      </c>
    </row>
    <row r="227" spans="8:8" x14ac:dyDescent="0.25">
      <c r="H227" t="s">
        <v>475</v>
      </c>
    </row>
    <row r="228" spans="8:8" x14ac:dyDescent="0.25">
      <c r="H228" t="s">
        <v>473</v>
      </c>
    </row>
    <row r="229" spans="8:8" x14ac:dyDescent="0.25">
      <c r="H229" t="s">
        <v>476</v>
      </c>
    </row>
    <row r="231" spans="8:8" x14ac:dyDescent="0.25">
      <c r="H231" t="s">
        <v>477</v>
      </c>
    </row>
    <row r="232" spans="8:8" x14ac:dyDescent="0.25">
      <c r="H232" t="s">
        <v>478</v>
      </c>
    </row>
    <row r="233" spans="8:8" x14ac:dyDescent="0.25">
      <c r="H233" t="s">
        <v>479</v>
      </c>
    </row>
    <row r="235" spans="8:8" x14ac:dyDescent="0.25">
      <c r="H235" t="s">
        <v>480</v>
      </c>
    </row>
    <row r="236" spans="8:8" x14ac:dyDescent="0.25">
      <c r="H236" t="s">
        <v>481</v>
      </c>
    </row>
    <row r="237" spans="8:8" x14ac:dyDescent="0.25">
      <c r="H237" t="s">
        <v>482</v>
      </c>
    </row>
    <row r="239" spans="8:8" x14ac:dyDescent="0.25">
      <c r="H239" t="s">
        <v>483</v>
      </c>
    </row>
    <row r="240" spans="8:8" x14ac:dyDescent="0.25">
      <c r="H240" t="s">
        <v>484</v>
      </c>
    </row>
    <row r="241" spans="8:8" x14ac:dyDescent="0.25">
      <c r="H241" t="s">
        <v>485</v>
      </c>
    </row>
    <row r="243" spans="8:8" x14ac:dyDescent="0.25">
      <c r="H243" t="s">
        <v>486</v>
      </c>
    </row>
    <row r="244" spans="8:8" x14ac:dyDescent="0.25">
      <c r="H244" t="s">
        <v>487</v>
      </c>
    </row>
    <row r="245" spans="8:8" x14ac:dyDescent="0.25">
      <c r="H245" t="s">
        <v>625</v>
      </c>
    </row>
    <row r="247" spans="8:8" x14ac:dyDescent="0.25">
      <c r="H247" t="s">
        <v>488</v>
      </c>
    </row>
    <row r="248" spans="8:8" x14ac:dyDescent="0.25">
      <c r="H248" t="s">
        <v>487</v>
      </c>
    </row>
    <row r="249" spans="8:8" x14ac:dyDescent="0.25">
      <c r="H249" t="s">
        <v>626</v>
      </c>
    </row>
    <row r="251" spans="8:8" x14ac:dyDescent="0.25">
      <c r="H251" t="s">
        <v>489</v>
      </c>
    </row>
    <row r="252" spans="8:8" x14ac:dyDescent="0.25">
      <c r="H252" t="s">
        <v>487</v>
      </c>
    </row>
    <row r="253" spans="8:8" x14ac:dyDescent="0.25">
      <c r="H253" t="s">
        <v>627</v>
      </c>
    </row>
    <row r="255" spans="8:8" x14ac:dyDescent="0.25">
      <c r="H255" t="s">
        <v>490</v>
      </c>
    </row>
    <row r="256" spans="8:8" x14ac:dyDescent="0.25">
      <c r="H256" t="s">
        <v>491</v>
      </c>
    </row>
    <row r="257" spans="8:8" x14ac:dyDescent="0.25">
      <c r="H257" t="s">
        <v>492</v>
      </c>
    </row>
    <row r="259" spans="8:8" x14ac:dyDescent="0.25">
      <c r="H259" t="s">
        <v>493</v>
      </c>
    </row>
    <row r="260" spans="8:8" x14ac:dyDescent="0.25">
      <c r="H260" t="s">
        <v>491</v>
      </c>
    </row>
    <row r="261" spans="8:8" x14ac:dyDescent="0.25">
      <c r="H261" t="s">
        <v>494</v>
      </c>
    </row>
    <row r="263" spans="8:8" x14ac:dyDescent="0.25">
      <c r="H263" t="s">
        <v>495</v>
      </c>
    </row>
    <row r="264" spans="8:8" x14ac:dyDescent="0.25">
      <c r="H264" t="s">
        <v>491</v>
      </c>
    </row>
    <row r="265" spans="8:8" x14ac:dyDescent="0.25">
      <c r="H265" t="s">
        <v>496</v>
      </c>
    </row>
    <row r="267" spans="8:8" x14ac:dyDescent="0.25">
      <c r="H267" t="s">
        <v>497</v>
      </c>
    </row>
    <row r="268" spans="8:8" x14ac:dyDescent="0.25">
      <c r="H268" t="s">
        <v>491</v>
      </c>
    </row>
    <row r="269" spans="8:8" x14ac:dyDescent="0.25">
      <c r="H269" t="s">
        <v>498</v>
      </c>
    </row>
    <row r="271" spans="8:8" x14ac:dyDescent="0.25">
      <c r="H271" t="s">
        <v>499</v>
      </c>
    </row>
    <row r="272" spans="8:8" x14ac:dyDescent="0.25">
      <c r="H272" t="s">
        <v>500</v>
      </c>
    </row>
    <row r="273" spans="8:8" x14ac:dyDescent="0.25">
      <c r="H273" t="s">
        <v>501</v>
      </c>
    </row>
    <row r="275" spans="8:8" x14ac:dyDescent="0.25">
      <c r="H275" t="s">
        <v>502</v>
      </c>
    </row>
    <row r="276" spans="8:8" x14ac:dyDescent="0.25">
      <c r="H276" t="s">
        <v>503</v>
      </c>
    </row>
    <row r="277" spans="8:8" x14ac:dyDescent="0.25">
      <c r="H277" t="s">
        <v>632</v>
      </c>
    </row>
    <row r="279" spans="8:8" x14ac:dyDescent="0.25">
      <c r="H279" t="s">
        <v>504</v>
      </c>
    </row>
    <row r="280" spans="8:8" x14ac:dyDescent="0.25">
      <c r="H280" t="s">
        <v>505</v>
      </c>
    </row>
    <row r="281" spans="8:8" x14ac:dyDescent="0.25">
      <c r="H281" t="s">
        <v>633</v>
      </c>
    </row>
    <row r="282" spans="8:8" x14ac:dyDescent="0.25">
      <c r="H282" t="s">
        <v>506</v>
      </c>
    </row>
    <row r="283" spans="8:8" x14ac:dyDescent="0.25">
      <c r="H283" t="s">
        <v>634</v>
      </c>
    </row>
    <row r="285" spans="8:8" x14ac:dyDescent="0.25">
      <c r="H285" t="s">
        <v>507</v>
      </c>
    </row>
    <row r="286" spans="8:8" x14ac:dyDescent="0.25">
      <c r="H286" t="s">
        <v>766</v>
      </c>
    </row>
    <row r="287" spans="8:8" x14ac:dyDescent="0.25">
      <c r="H287" t="s">
        <v>767</v>
      </c>
    </row>
    <row r="289" spans="8:8" x14ac:dyDescent="0.25">
      <c r="H289" t="s">
        <v>508</v>
      </c>
    </row>
    <row r="290" spans="8:8" x14ac:dyDescent="0.25">
      <c r="H290" t="s">
        <v>509</v>
      </c>
    </row>
    <row r="291" spans="8:8" x14ac:dyDescent="0.25">
      <c r="H291" t="s">
        <v>635</v>
      </c>
    </row>
    <row r="292" spans="8:8" x14ac:dyDescent="0.25">
      <c r="H292" t="s">
        <v>510</v>
      </c>
    </row>
    <row r="293" spans="8:8" x14ac:dyDescent="0.25">
      <c r="H293" t="s">
        <v>676</v>
      </c>
    </row>
    <row r="294" spans="8:8" x14ac:dyDescent="0.25">
      <c r="H294" t="s">
        <v>511</v>
      </c>
    </row>
    <row r="295" spans="8:8" x14ac:dyDescent="0.25">
      <c r="H295" t="s">
        <v>636</v>
      </c>
    </row>
    <row r="296" spans="8:8" x14ac:dyDescent="0.25">
      <c r="H296" t="s">
        <v>512</v>
      </c>
    </row>
    <row r="297" spans="8:8" x14ac:dyDescent="0.25">
      <c r="H297" t="s">
        <v>637</v>
      </c>
    </row>
    <row r="298" spans="8:8" x14ac:dyDescent="0.25">
      <c r="H298" t="s">
        <v>513</v>
      </c>
    </row>
    <row r="299" spans="8:8" x14ac:dyDescent="0.25">
      <c r="H299" t="s">
        <v>638</v>
      </c>
    </row>
    <row r="300" spans="8:8" x14ac:dyDescent="0.25">
      <c r="H300" t="s">
        <v>514</v>
      </c>
    </row>
    <row r="301" spans="8:8" x14ac:dyDescent="0.25">
      <c r="H301" t="s">
        <v>639</v>
      </c>
    </row>
    <row r="303" spans="8:8" x14ac:dyDescent="0.25">
      <c r="H303" t="s">
        <v>515</v>
      </c>
    </row>
    <row r="304" spans="8:8" x14ac:dyDescent="0.25">
      <c r="H304" t="s">
        <v>516</v>
      </c>
    </row>
    <row r="305" spans="8:8" x14ac:dyDescent="0.25">
      <c r="H305" t="s">
        <v>677</v>
      </c>
    </row>
    <row r="306" spans="8:8" x14ac:dyDescent="0.25">
      <c r="H306" t="s">
        <v>517</v>
      </c>
    </row>
    <row r="307" spans="8:8" x14ac:dyDescent="0.25">
      <c r="H307" t="s">
        <v>678</v>
      </c>
    </row>
    <row r="308" spans="8:8" x14ac:dyDescent="0.25">
      <c r="H308" t="s">
        <v>518</v>
      </c>
    </row>
    <row r="309" spans="8:8" x14ac:dyDescent="0.25">
      <c r="H309" t="s">
        <v>679</v>
      </c>
    </row>
    <row r="310" spans="8:8" x14ac:dyDescent="0.25">
      <c r="H310" t="s">
        <v>519</v>
      </c>
    </row>
    <row r="311" spans="8:8" x14ac:dyDescent="0.25">
      <c r="H311" t="s">
        <v>680</v>
      </c>
    </row>
    <row r="312" spans="8:8" x14ac:dyDescent="0.25">
      <c r="H312" t="s">
        <v>520</v>
      </c>
    </row>
    <row r="313" spans="8:8" x14ac:dyDescent="0.25">
      <c r="H313" t="s">
        <v>681</v>
      </c>
    </row>
    <row r="314" spans="8:8" x14ac:dyDescent="0.25">
      <c r="H314" t="s">
        <v>521</v>
      </c>
    </row>
    <row r="315" spans="8:8" x14ac:dyDescent="0.25">
      <c r="H315" t="s">
        <v>682</v>
      </c>
    </row>
    <row r="316" spans="8:8" x14ac:dyDescent="0.25">
      <c r="H316" t="s">
        <v>522</v>
      </c>
    </row>
    <row r="317" spans="8:8" x14ac:dyDescent="0.25">
      <c r="H317" t="s">
        <v>683</v>
      </c>
    </row>
    <row r="318" spans="8:8" x14ac:dyDescent="0.25">
      <c r="H318" t="s">
        <v>523</v>
      </c>
    </row>
    <row r="319" spans="8:8" x14ac:dyDescent="0.25">
      <c r="H319" t="s">
        <v>684</v>
      </c>
    </row>
    <row r="321" spans="8:8" x14ac:dyDescent="0.25">
      <c r="H321" t="s">
        <v>524</v>
      </c>
    </row>
    <row r="322" spans="8:8" x14ac:dyDescent="0.25">
      <c r="H322" t="s">
        <v>525</v>
      </c>
    </row>
    <row r="323" spans="8:8" x14ac:dyDescent="0.25">
      <c r="H323" t="s">
        <v>685</v>
      </c>
    </row>
    <row r="324" spans="8:8" x14ac:dyDescent="0.25">
      <c r="H324" t="s">
        <v>526</v>
      </c>
    </row>
    <row r="325" spans="8:8" x14ac:dyDescent="0.25">
      <c r="H325" t="s">
        <v>686</v>
      </c>
    </row>
    <row r="326" spans="8:8" x14ac:dyDescent="0.25">
      <c r="H326" t="s">
        <v>527</v>
      </c>
    </row>
    <row r="327" spans="8:8" x14ac:dyDescent="0.25">
      <c r="H327" t="s">
        <v>687</v>
      </c>
    </row>
    <row r="328" spans="8:8" x14ac:dyDescent="0.25">
      <c r="H328" t="s">
        <v>528</v>
      </c>
    </row>
    <row r="329" spans="8:8" x14ac:dyDescent="0.25">
      <c r="H329" t="s">
        <v>688</v>
      </c>
    </row>
    <row r="330" spans="8:8" x14ac:dyDescent="0.25">
      <c r="H330" t="s">
        <v>529</v>
      </c>
    </row>
    <row r="331" spans="8:8" x14ac:dyDescent="0.25">
      <c r="H331" t="s">
        <v>689</v>
      </c>
    </row>
    <row r="332" spans="8:8" x14ac:dyDescent="0.25">
      <c r="H332" t="s">
        <v>530</v>
      </c>
    </row>
    <row r="333" spans="8:8" x14ac:dyDescent="0.25">
      <c r="H333" t="s">
        <v>690</v>
      </c>
    </row>
    <row r="334" spans="8:8" x14ac:dyDescent="0.25">
      <c r="H334" t="s">
        <v>531</v>
      </c>
    </row>
    <row r="335" spans="8:8" x14ac:dyDescent="0.25">
      <c r="H335" t="s">
        <v>691</v>
      </c>
    </row>
    <row r="336" spans="8:8" x14ac:dyDescent="0.25">
      <c r="H336" t="s">
        <v>532</v>
      </c>
    </row>
    <row r="337" spans="8:8" x14ac:dyDescent="0.25">
      <c r="H337" t="s">
        <v>692</v>
      </c>
    </row>
    <row r="339" spans="8:8" x14ac:dyDescent="0.25">
      <c r="H339" t="s">
        <v>533</v>
      </c>
    </row>
    <row r="340" spans="8:8" x14ac:dyDescent="0.25">
      <c r="H340" t="s">
        <v>534</v>
      </c>
    </row>
    <row r="341" spans="8:8" x14ac:dyDescent="0.25">
      <c r="H341" t="s">
        <v>693</v>
      </c>
    </row>
    <row r="342" spans="8:8" x14ac:dyDescent="0.25">
      <c r="H342" t="s">
        <v>535</v>
      </c>
    </row>
    <row r="343" spans="8:8" x14ac:dyDescent="0.25">
      <c r="H343" t="s">
        <v>694</v>
      </c>
    </row>
    <row r="344" spans="8:8" x14ac:dyDescent="0.25">
      <c r="H344" t="s">
        <v>536</v>
      </c>
    </row>
    <row r="345" spans="8:8" x14ac:dyDescent="0.25">
      <c r="H345" t="s">
        <v>695</v>
      </c>
    </row>
    <row r="346" spans="8:8" x14ac:dyDescent="0.25">
      <c r="H346" t="s">
        <v>537</v>
      </c>
    </row>
    <row r="347" spans="8:8" x14ac:dyDescent="0.25">
      <c r="H347" t="s">
        <v>696</v>
      </c>
    </row>
    <row r="349" spans="8:8" x14ac:dyDescent="0.25">
      <c r="H349" t="s">
        <v>538</v>
      </c>
    </row>
    <row r="350" spans="8:8" x14ac:dyDescent="0.25">
      <c r="H350" t="s">
        <v>539</v>
      </c>
    </row>
    <row r="351" spans="8:8" x14ac:dyDescent="0.25">
      <c r="H351" t="s">
        <v>640</v>
      </c>
    </row>
    <row r="352" spans="8:8" x14ac:dyDescent="0.25">
      <c r="H352" t="s">
        <v>540</v>
      </c>
    </row>
    <row r="353" spans="8:8" x14ac:dyDescent="0.25">
      <c r="H353" t="s">
        <v>641</v>
      </c>
    </row>
    <row r="354" spans="8:8" x14ac:dyDescent="0.25">
      <c r="H354" t="s">
        <v>541</v>
      </c>
    </row>
    <row r="355" spans="8:8" x14ac:dyDescent="0.25">
      <c r="H355" t="s">
        <v>642</v>
      </c>
    </row>
    <row r="356" spans="8:8" x14ac:dyDescent="0.25">
      <c r="H356" t="s">
        <v>542</v>
      </c>
    </row>
    <row r="357" spans="8:8" x14ac:dyDescent="0.25">
      <c r="H357" t="s">
        <v>643</v>
      </c>
    </row>
    <row r="358" spans="8:8" x14ac:dyDescent="0.25">
      <c r="H358" t="s">
        <v>543</v>
      </c>
    </row>
    <row r="359" spans="8:8" x14ac:dyDescent="0.25">
      <c r="H359" t="s">
        <v>644</v>
      </c>
    </row>
    <row r="360" spans="8:8" x14ac:dyDescent="0.25">
      <c r="H360" t="s">
        <v>544</v>
      </c>
    </row>
    <row r="361" spans="8:8" x14ac:dyDescent="0.25">
      <c r="H361" t="s">
        <v>645</v>
      </c>
    </row>
    <row r="363" spans="8:8" x14ac:dyDescent="0.25">
      <c r="H363" t="s">
        <v>545</v>
      </c>
    </row>
    <row r="364" spans="8:8" x14ac:dyDescent="0.25">
      <c r="H364" t="s">
        <v>546</v>
      </c>
    </row>
    <row r="365" spans="8:8" x14ac:dyDescent="0.25">
      <c r="H365" t="s">
        <v>646</v>
      </c>
    </row>
    <row r="366" spans="8:8" x14ac:dyDescent="0.25">
      <c r="H366" t="s">
        <v>547</v>
      </c>
    </row>
    <row r="367" spans="8:8" x14ac:dyDescent="0.25">
      <c r="H367" t="s">
        <v>647</v>
      </c>
    </row>
    <row r="368" spans="8:8" x14ac:dyDescent="0.25">
      <c r="H368" t="s">
        <v>548</v>
      </c>
    </row>
    <row r="369" spans="8:8" x14ac:dyDescent="0.25">
      <c r="H369" t="s">
        <v>648</v>
      </c>
    </row>
    <row r="370" spans="8:8" x14ac:dyDescent="0.25">
      <c r="H370" t="s">
        <v>549</v>
      </c>
    </row>
    <row r="371" spans="8:8" x14ac:dyDescent="0.25">
      <c r="H371" t="s">
        <v>649</v>
      </c>
    </row>
    <row r="372" spans="8:8" x14ac:dyDescent="0.25">
      <c r="H372" t="s">
        <v>550</v>
      </c>
    </row>
    <row r="373" spans="8:8" x14ac:dyDescent="0.25">
      <c r="H373" t="s">
        <v>650</v>
      </c>
    </row>
    <row r="374" spans="8:8" x14ac:dyDescent="0.25">
      <c r="H374" t="s">
        <v>551</v>
      </c>
    </row>
    <row r="375" spans="8:8" x14ac:dyDescent="0.25">
      <c r="H375" t="s">
        <v>651</v>
      </c>
    </row>
    <row r="377" spans="8:8" x14ac:dyDescent="0.25">
      <c r="H377" t="s">
        <v>552</v>
      </c>
    </row>
    <row r="378" spans="8:8" x14ac:dyDescent="0.25">
      <c r="H378" t="s">
        <v>553</v>
      </c>
    </row>
    <row r="379" spans="8:8" x14ac:dyDescent="0.25">
      <c r="H379" t="s">
        <v>652</v>
      </c>
    </row>
    <row r="380" spans="8:8" x14ac:dyDescent="0.25">
      <c r="H380" t="s">
        <v>554</v>
      </c>
    </row>
    <row r="381" spans="8:8" x14ac:dyDescent="0.25">
      <c r="H381" t="s">
        <v>653</v>
      </c>
    </row>
    <row r="382" spans="8:8" x14ac:dyDescent="0.25">
      <c r="H382" t="s">
        <v>555</v>
      </c>
    </row>
    <row r="383" spans="8:8" x14ac:dyDescent="0.25">
      <c r="H383" t="s">
        <v>654</v>
      </c>
    </row>
    <row r="384" spans="8:8" x14ac:dyDescent="0.25">
      <c r="H384" t="s">
        <v>556</v>
      </c>
    </row>
    <row r="385" spans="8:8" x14ac:dyDescent="0.25">
      <c r="H385" t="s">
        <v>655</v>
      </c>
    </row>
    <row r="386" spans="8:8" x14ac:dyDescent="0.25">
      <c r="H386" t="s">
        <v>557</v>
      </c>
    </row>
    <row r="387" spans="8:8" x14ac:dyDescent="0.25">
      <c r="H387" t="s">
        <v>656</v>
      </c>
    </row>
    <row r="388" spans="8:8" x14ac:dyDescent="0.25">
      <c r="H388" t="s">
        <v>558</v>
      </c>
    </row>
    <row r="389" spans="8:8" x14ac:dyDescent="0.25">
      <c r="H389" t="s">
        <v>657</v>
      </c>
    </row>
    <row r="391" spans="8:8" x14ac:dyDescent="0.25">
      <c r="H391" t="s">
        <v>559</v>
      </c>
    </row>
    <row r="392" spans="8:8" x14ac:dyDescent="0.25">
      <c r="H392" t="s">
        <v>560</v>
      </c>
    </row>
    <row r="393" spans="8:8" x14ac:dyDescent="0.25">
      <c r="H393" t="s">
        <v>658</v>
      </c>
    </row>
    <row r="394" spans="8:8" x14ac:dyDescent="0.25">
      <c r="H394" t="s">
        <v>561</v>
      </c>
    </row>
    <row r="395" spans="8:8" x14ac:dyDescent="0.25">
      <c r="H395" t="s">
        <v>659</v>
      </c>
    </row>
    <row r="396" spans="8:8" x14ac:dyDescent="0.25">
      <c r="H396" t="s">
        <v>562</v>
      </c>
    </row>
    <row r="397" spans="8:8" x14ac:dyDescent="0.25">
      <c r="H397" t="s">
        <v>660</v>
      </c>
    </row>
    <row r="398" spans="8:8" x14ac:dyDescent="0.25">
      <c r="H398" t="s">
        <v>563</v>
      </c>
    </row>
    <row r="399" spans="8:8" x14ac:dyDescent="0.25">
      <c r="H399" t="s">
        <v>661</v>
      </c>
    </row>
    <row r="400" spans="8:8" x14ac:dyDescent="0.25">
      <c r="H400" t="s">
        <v>564</v>
      </c>
    </row>
    <row r="401" spans="8:8" x14ac:dyDescent="0.25">
      <c r="H401" t="s">
        <v>662</v>
      </c>
    </row>
    <row r="402" spans="8:8" x14ac:dyDescent="0.25">
      <c r="H402" t="s">
        <v>565</v>
      </c>
    </row>
    <row r="403" spans="8:8" x14ac:dyDescent="0.25">
      <c r="H403" t="s">
        <v>663</v>
      </c>
    </row>
    <row r="405" spans="8:8" x14ac:dyDescent="0.25">
      <c r="H405" t="s">
        <v>566</v>
      </c>
    </row>
    <row r="406" spans="8:8" x14ac:dyDescent="0.25">
      <c r="H406" t="s">
        <v>768</v>
      </c>
    </row>
    <row r="407" spans="8:8" x14ac:dyDescent="0.25">
      <c r="H407" t="s">
        <v>769</v>
      </c>
    </row>
    <row r="409" spans="8:8" x14ac:dyDescent="0.25">
      <c r="H409" t="s">
        <v>567</v>
      </c>
    </row>
    <row r="410" spans="8:8" x14ac:dyDescent="0.25">
      <c r="H410" t="s">
        <v>768</v>
      </c>
    </row>
    <row r="411" spans="8:8" x14ac:dyDescent="0.25">
      <c r="H411" t="s">
        <v>770</v>
      </c>
    </row>
    <row r="413" spans="8:8" x14ac:dyDescent="0.25">
      <c r="H413" t="s">
        <v>568</v>
      </c>
    </row>
    <row r="414" spans="8:8" x14ac:dyDescent="0.25">
      <c r="H414" t="s">
        <v>569</v>
      </c>
    </row>
    <row r="415" spans="8:8" x14ac:dyDescent="0.25">
      <c r="H415" t="s">
        <v>664</v>
      </c>
    </row>
    <row r="417" spans="8:8" x14ac:dyDescent="0.25">
      <c r="H417" t="s">
        <v>570</v>
      </c>
    </row>
    <row r="418" spans="8:8" x14ac:dyDescent="0.25">
      <c r="H418" t="s">
        <v>569</v>
      </c>
    </row>
    <row r="419" spans="8:8" x14ac:dyDescent="0.25">
      <c r="H419" t="s">
        <v>665</v>
      </c>
    </row>
    <row r="421" spans="8:8" x14ac:dyDescent="0.25">
      <c r="H421" t="s">
        <v>571</v>
      </c>
    </row>
    <row r="422" spans="8:8" x14ac:dyDescent="0.25">
      <c r="H422" t="s">
        <v>575</v>
      </c>
    </row>
    <row r="423" spans="8:8" x14ac:dyDescent="0.25">
      <c r="H423" t="s">
        <v>668</v>
      </c>
    </row>
    <row r="425" spans="8:8" x14ac:dyDescent="0.25">
      <c r="H425" t="s">
        <v>573</v>
      </c>
    </row>
    <row r="426" spans="8:8" x14ac:dyDescent="0.25">
      <c r="H426" t="s">
        <v>575</v>
      </c>
    </row>
    <row r="427" spans="8:8" x14ac:dyDescent="0.25">
      <c r="H427" t="s">
        <v>669</v>
      </c>
    </row>
    <row r="429" spans="8:8" x14ac:dyDescent="0.25">
      <c r="H429" t="s">
        <v>574</v>
      </c>
    </row>
    <row r="430" spans="8:8" x14ac:dyDescent="0.25">
      <c r="H430" t="s">
        <v>572</v>
      </c>
    </row>
    <row r="431" spans="8:8" x14ac:dyDescent="0.25">
      <c r="H431" t="s">
        <v>666</v>
      </c>
    </row>
    <row r="433" spans="8:8" x14ac:dyDescent="0.25">
      <c r="H433" t="s">
        <v>576</v>
      </c>
    </row>
    <row r="434" spans="8:8" x14ac:dyDescent="0.25">
      <c r="H434" t="s">
        <v>572</v>
      </c>
    </row>
    <row r="435" spans="8:8" x14ac:dyDescent="0.25">
      <c r="H435" t="s">
        <v>667</v>
      </c>
    </row>
    <row r="437" spans="8:8" x14ac:dyDescent="0.25">
      <c r="H437" t="s">
        <v>771</v>
      </c>
    </row>
    <row r="438" spans="8:8" x14ac:dyDescent="0.25">
      <c r="H438" t="s">
        <v>772</v>
      </c>
    </row>
    <row r="439" spans="8:8" x14ac:dyDescent="0.25">
      <c r="H439" t="s">
        <v>773</v>
      </c>
    </row>
    <row r="441" spans="8:8" x14ac:dyDescent="0.25">
      <c r="H441" t="s">
        <v>774</v>
      </c>
    </row>
    <row r="442" spans="8:8" x14ac:dyDescent="0.25">
      <c r="H442" t="s">
        <v>775</v>
      </c>
    </row>
    <row r="443" spans="8:8" x14ac:dyDescent="0.25">
      <c r="H443" t="s">
        <v>776</v>
      </c>
    </row>
    <row r="445" spans="8:8" x14ac:dyDescent="0.25">
      <c r="H445" t="s">
        <v>577</v>
      </c>
    </row>
    <row r="446" spans="8:8" x14ac:dyDescent="0.25">
      <c r="H446" t="s">
        <v>777</v>
      </c>
    </row>
    <row r="447" spans="8:8" x14ac:dyDescent="0.25">
      <c r="H447" t="s">
        <v>778</v>
      </c>
    </row>
    <row r="449" spans="8:8" x14ac:dyDescent="0.25">
      <c r="H449" t="s">
        <v>578</v>
      </c>
    </row>
    <row r="450" spans="8:8" x14ac:dyDescent="0.25">
      <c r="H450" t="s">
        <v>779</v>
      </c>
    </row>
    <row r="451" spans="8:8" x14ac:dyDescent="0.25">
      <c r="H451" t="s">
        <v>780</v>
      </c>
    </row>
    <row r="453" spans="8:8" x14ac:dyDescent="0.25">
      <c r="H453" t="s">
        <v>15</v>
      </c>
    </row>
    <row r="454" spans="8:8" x14ac:dyDescent="0.25">
      <c r="H454" t="s">
        <v>117</v>
      </c>
    </row>
    <row r="456" spans="8:8" x14ac:dyDescent="0.25">
      <c r="H456" t="s">
        <v>16</v>
      </c>
    </row>
    <row r="457" spans="8:8" x14ac:dyDescent="0.25">
      <c r="H457" s="11" t="s">
        <v>59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27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86</v>
      </c>
      <c r="H3" t="s">
        <v>88</v>
      </c>
    </row>
    <row r="4" spans="1:8" x14ac:dyDescent="0.25">
      <c r="H4" t="s">
        <v>87</v>
      </c>
    </row>
    <row r="5" spans="1:8" x14ac:dyDescent="0.25">
      <c r="B5" s="1" t="s">
        <v>20</v>
      </c>
      <c r="H5" t="s">
        <v>89</v>
      </c>
    </row>
    <row r="6" spans="1:8" x14ac:dyDescent="0.25">
      <c r="B6" t="s">
        <v>115</v>
      </c>
    </row>
    <row r="7" spans="1:8" x14ac:dyDescent="0.25">
      <c r="H7" t="s">
        <v>90</v>
      </c>
    </row>
    <row r="8" spans="1:8" x14ac:dyDescent="0.25">
      <c r="B8" s="1" t="s">
        <v>11</v>
      </c>
      <c r="H8" t="s">
        <v>377</v>
      </c>
    </row>
    <row r="9" spans="1:8" x14ac:dyDescent="0.25">
      <c r="B9" t="s">
        <v>112</v>
      </c>
      <c r="H9" t="s">
        <v>781</v>
      </c>
    </row>
    <row r="10" spans="1:8" x14ac:dyDescent="0.25">
      <c r="H10" t="s">
        <v>378</v>
      </c>
    </row>
    <row r="11" spans="1:8" x14ac:dyDescent="0.25">
      <c r="B11" s="1"/>
      <c r="H11" t="s">
        <v>782</v>
      </c>
    </row>
    <row r="12" spans="1:8" x14ac:dyDescent="0.25">
      <c r="H12" t="s">
        <v>379</v>
      </c>
    </row>
    <row r="13" spans="1:8" x14ac:dyDescent="0.25">
      <c r="H13" t="s">
        <v>783</v>
      </c>
    </row>
    <row r="14" spans="1:8" x14ac:dyDescent="0.25">
      <c r="H14" t="s">
        <v>756</v>
      </c>
    </row>
    <row r="15" spans="1:8" x14ac:dyDescent="0.25">
      <c r="H15" t="s">
        <v>784</v>
      </c>
    </row>
    <row r="17" spans="2:8" x14ac:dyDescent="0.25">
      <c r="H17" t="s">
        <v>93</v>
      </c>
    </row>
    <row r="18" spans="2:8" x14ac:dyDescent="0.25">
      <c r="H18" t="s">
        <v>380</v>
      </c>
    </row>
    <row r="19" spans="2:8" x14ac:dyDescent="0.25">
      <c r="H19" t="s">
        <v>579</v>
      </c>
    </row>
    <row r="20" spans="2:8" x14ac:dyDescent="0.25">
      <c r="B20" s="1"/>
    </row>
    <row r="21" spans="2:8" x14ac:dyDescent="0.25">
      <c r="H21" t="s">
        <v>94</v>
      </c>
    </row>
    <row r="22" spans="2:8" x14ac:dyDescent="0.25">
      <c r="H22" t="s">
        <v>382</v>
      </c>
    </row>
    <row r="23" spans="2:8" x14ac:dyDescent="0.25">
      <c r="H23" t="s">
        <v>580</v>
      </c>
    </row>
    <row r="25" spans="2:8" x14ac:dyDescent="0.25">
      <c r="H25" t="s">
        <v>91</v>
      </c>
    </row>
    <row r="26" spans="2:8" x14ac:dyDescent="0.25">
      <c r="H26" t="s">
        <v>384</v>
      </c>
    </row>
    <row r="27" spans="2:8" x14ac:dyDescent="0.25">
      <c r="H27" t="s">
        <v>581</v>
      </c>
    </row>
    <row r="28" spans="2:8" x14ac:dyDescent="0.25">
      <c r="H28" t="s">
        <v>386</v>
      </c>
    </row>
    <row r="29" spans="2:8" x14ac:dyDescent="0.25">
      <c r="H29" t="s">
        <v>582</v>
      </c>
    </row>
    <row r="31" spans="2:8" x14ac:dyDescent="0.25">
      <c r="H31" t="s">
        <v>92</v>
      </c>
    </row>
    <row r="32" spans="2:8" x14ac:dyDescent="0.25">
      <c r="H32" t="s">
        <v>705</v>
      </c>
    </row>
    <row r="33" spans="8:8" x14ac:dyDescent="0.25">
      <c r="H33" t="s">
        <v>723</v>
      </c>
    </row>
    <row r="35" spans="8:8" x14ac:dyDescent="0.25">
      <c r="H35" t="s">
        <v>98</v>
      </c>
    </row>
    <row r="36" spans="8:8" x14ac:dyDescent="0.25">
      <c r="H36" t="s">
        <v>706</v>
      </c>
    </row>
    <row r="37" spans="8:8" x14ac:dyDescent="0.25">
      <c r="H37" t="s">
        <v>724</v>
      </c>
    </row>
    <row r="39" spans="8:8" x14ac:dyDescent="0.25">
      <c r="H39" t="s">
        <v>97</v>
      </c>
    </row>
    <row r="40" spans="8:8" x14ac:dyDescent="0.25">
      <c r="H40" t="s">
        <v>706</v>
      </c>
    </row>
    <row r="41" spans="8:8" x14ac:dyDescent="0.25">
      <c r="H41" t="s">
        <v>725</v>
      </c>
    </row>
    <row r="43" spans="8:8" x14ac:dyDescent="0.25">
      <c r="H43" t="s">
        <v>95</v>
      </c>
    </row>
    <row r="44" spans="8:8" x14ac:dyDescent="0.25">
      <c r="H44" t="s">
        <v>706</v>
      </c>
    </row>
    <row r="45" spans="8:8" x14ac:dyDescent="0.25">
      <c r="H45" t="s">
        <v>726</v>
      </c>
    </row>
    <row r="47" spans="8:8" x14ac:dyDescent="0.25">
      <c r="H47" t="s">
        <v>96</v>
      </c>
    </row>
    <row r="48" spans="8:8" x14ac:dyDescent="0.25">
      <c r="H48" t="s">
        <v>706</v>
      </c>
    </row>
    <row r="49" spans="8:8" x14ac:dyDescent="0.25">
      <c r="H49" t="s">
        <v>727</v>
      </c>
    </row>
    <row r="51" spans="8:8" x14ac:dyDescent="0.25">
      <c r="H51" t="s">
        <v>101</v>
      </c>
    </row>
    <row r="52" spans="8:8" x14ac:dyDescent="0.25">
      <c r="H52" t="s">
        <v>707</v>
      </c>
    </row>
    <row r="53" spans="8:8" x14ac:dyDescent="0.25">
      <c r="H53" t="s">
        <v>728</v>
      </c>
    </row>
    <row r="55" spans="8:8" x14ac:dyDescent="0.25">
      <c r="H55" t="s">
        <v>102</v>
      </c>
    </row>
    <row r="56" spans="8:8" x14ac:dyDescent="0.25">
      <c r="H56" t="s">
        <v>707</v>
      </c>
    </row>
    <row r="57" spans="8:8" x14ac:dyDescent="0.25">
      <c r="H57" t="s">
        <v>729</v>
      </c>
    </row>
    <row r="59" spans="8:8" x14ac:dyDescent="0.25">
      <c r="H59" t="s">
        <v>99</v>
      </c>
    </row>
    <row r="60" spans="8:8" x14ac:dyDescent="0.25">
      <c r="H60" t="s">
        <v>707</v>
      </c>
    </row>
    <row r="61" spans="8:8" x14ac:dyDescent="0.25">
      <c r="H61" t="s">
        <v>730</v>
      </c>
    </row>
    <row r="63" spans="8:8" x14ac:dyDescent="0.25">
      <c r="H63" t="s">
        <v>100</v>
      </c>
    </row>
    <row r="64" spans="8:8" x14ac:dyDescent="0.25">
      <c r="H64" t="s">
        <v>707</v>
      </c>
    </row>
    <row r="65" spans="8:8" x14ac:dyDescent="0.25">
      <c r="H65" t="s">
        <v>731</v>
      </c>
    </row>
    <row r="67" spans="8:8" x14ac:dyDescent="0.25">
      <c r="H67" t="s">
        <v>105</v>
      </c>
    </row>
    <row r="68" spans="8:8" x14ac:dyDescent="0.25">
      <c r="H68" t="s">
        <v>708</v>
      </c>
    </row>
    <row r="69" spans="8:8" x14ac:dyDescent="0.25">
      <c r="H69" t="s">
        <v>732</v>
      </c>
    </row>
    <row r="71" spans="8:8" x14ac:dyDescent="0.25">
      <c r="H71" t="s">
        <v>106</v>
      </c>
    </row>
    <row r="72" spans="8:8" x14ac:dyDescent="0.25">
      <c r="H72" t="s">
        <v>708</v>
      </c>
    </row>
    <row r="73" spans="8:8" x14ac:dyDescent="0.25">
      <c r="H73" t="s">
        <v>733</v>
      </c>
    </row>
    <row r="75" spans="8:8" x14ac:dyDescent="0.25">
      <c r="H75" t="s">
        <v>103</v>
      </c>
    </row>
    <row r="76" spans="8:8" x14ac:dyDescent="0.25">
      <c r="H76" t="s">
        <v>708</v>
      </c>
    </row>
    <row r="77" spans="8:8" x14ac:dyDescent="0.25">
      <c r="H77" t="s">
        <v>734</v>
      </c>
    </row>
    <row r="79" spans="8:8" x14ac:dyDescent="0.25">
      <c r="H79" t="s">
        <v>104</v>
      </c>
    </row>
    <row r="80" spans="8:8" x14ac:dyDescent="0.25">
      <c r="H80" t="s">
        <v>708</v>
      </c>
    </row>
    <row r="81" spans="8:8" x14ac:dyDescent="0.25">
      <c r="H81" t="s">
        <v>735</v>
      </c>
    </row>
    <row r="83" spans="8:8" x14ac:dyDescent="0.25">
      <c r="H83" t="s">
        <v>107</v>
      </c>
    </row>
    <row r="84" spans="8:8" x14ac:dyDescent="0.25">
      <c r="H84" t="s">
        <v>388</v>
      </c>
    </row>
    <row r="85" spans="8:8" x14ac:dyDescent="0.25">
      <c r="H85" t="s">
        <v>583</v>
      </c>
    </row>
    <row r="87" spans="8:8" x14ac:dyDescent="0.25">
      <c r="H87" t="s">
        <v>108</v>
      </c>
    </row>
    <row r="88" spans="8:8" x14ac:dyDescent="0.25">
      <c r="H88" t="s">
        <v>390</v>
      </c>
    </row>
    <row r="89" spans="8:8" x14ac:dyDescent="0.25">
      <c r="H89" t="s">
        <v>584</v>
      </c>
    </row>
    <row r="91" spans="8:8" x14ac:dyDescent="0.25">
      <c r="H91" t="s">
        <v>392</v>
      </c>
    </row>
    <row r="92" spans="8:8" x14ac:dyDescent="0.25">
      <c r="H92" t="s">
        <v>393</v>
      </c>
    </row>
    <row r="93" spans="8:8" x14ac:dyDescent="0.25">
      <c r="H93" t="s">
        <v>585</v>
      </c>
    </row>
    <row r="95" spans="8:8" x14ac:dyDescent="0.25">
      <c r="H95" t="s">
        <v>395</v>
      </c>
    </row>
    <row r="96" spans="8:8" x14ac:dyDescent="0.25">
      <c r="H96" t="s">
        <v>396</v>
      </c>
    </row>
    <row r="97" spans="8:8" x14ac:dyDescent="0.25">
      <c r="H97" t="s">
        <v>586</v>
      </c>
    </row>
    <row r="99" spans="8:8" x14ac:dyDescent="0.25">
      <c r="H99" t="s">
        <v>398</v>
      </c>
    </row>
    <row r="100" spans="8:8" x14ac:dyDescent="0.25">
      <c r="H100" t="s">
        <v>399</v>
      </c>
    </row>
    <row r="101" spans="8:8" x14ac:dyDescent="0.25">
      <c r="H101" t="s">
        <v>587</v>
      </c>
    </row>
    <row r="103" spans="8:8" x14ac:dyDescent="0.25">
      <c r="H103" t="s">
        <v>401</v>
      </c>
    </row>
    <row r="104" spans="8:8" x14ac:dyDescent="0.25">
      <c r="H104" t="s">
        <v>402</v>
      </c>
    </row>
    <row r="105" spans="8:8" x14ac:dyDescent="0.25">
      <c r="H105" t="s">
        <v>588</v>
      </c>
    </row>
    <row r="107" spans="8:8" x14ac:dyDescent="0.25">
      <c r="H107" t="s">
        <v>404</v>
      </c>
    </row>
    <row r="108" spans="8:8" x14ac:dyDescent="0.25">
      <c r="H108" t="s">
        <v>405</v>
      </c>
    </row>
    <row r="109" spans="8:8" x14ac:dyDescent="0.25">
      <c r="H109" t="s">
        <v>589</v>
      </c>
    </row>
    <row r="111" spans="8:8" x14ac:dyDescent="0.25">
      <c r="H111" t="s">
        <v>407</v>
      </c>
    </row>
    <row r="112" spans="8:8" x14ac:dyDescent="0.25">
      <c r="H112" t="s">
        <v>408</v>
      </c>
    </row>
    <row r="113" spans="8:8" x14ac:dyDescent="0.25">
      <c r="H113" t="s">
        <v>590</v>
      </c>
    </row>
    <row r="115" spans="8:8" x14ac:dyDescent="0.25">
      <c r="H115" t="s">
        <v>410</v>
      </c>
    </row>
    <row r="116" spans="8:8" x14ac:dyDescent="0.25">
      <c r="H116" t="s">
        <v>411</v>
      </c>
    </row>
    <row r="117" spans="8:8" x14ac:dyDescent="0.25">
      <c r="H117" t="s">
        <v>591</v>
      </c>
    </row>
    <row r="119" spans="8:8" x14ac:dyDescent="0.25">
      <c r="H119" t="s">
        <v>413</v>
      </c>
    </row>
    <row r="120" spans="8:8" x14ac:dyDescent="0.25">
      <c r="H120" t="s">
        <v>414</v>
      </c>
    </row>
    <row r="121" spans="8:8" x14ac:dyDescent="0.25">
      <c r="H121" t="s">
        <v>592</v>
      </c>
    </row>
    <row r="123" spans="8:8" x14ac:dyDescent="0.25">
      <c r="H123" t="s">
        <v>416</v>
      </c>
    </row>
    <row r="124" spans="8:8" x14ac:dyDescent="0.25">
      <c r="H124" t="s">
        <v>417</v>
      </c>
    </row>
    <row r="125" spans="8:8" x14ac:dyDescent="0.25">
      <c r="H125" t="s">
        <v>593</v>
      </c>
    </row>
    <row r="127" spans="8:8" x14ac:dyDescent="0.25">
      <c r="H127" t="s">
        <v>419</v>
      </c>
    </row>
    <row r="128" spans="8:8" x14ac:dyDescent="0.25">
      <c r="H128" t="s">
        <v>420</v>
      </c>
    </row>
    <row r="129" spans="8:8" x14ac:dyDescent="0.25">
      <c r="H129" t="s">
        <v>594</v>
      </c>
    </row>
    <row r="131" spans="8:8" x14ac:dyDescent="0.25">
      <c r="H131" t="s">
        <v>422</v>
      </c>
    </row>
    <row r="132" spans="8:8" x14ac:dyDescent="0.25">
      <c r="H132" t="s">
        <v>423</v>
      </c>
    </row>
    <row r="133" spans="8:8" x14ac:dyDescent="0.25">
      <c r="H133" t="s">
        <v>595</v>
      </c>
    </row>
    <row r="135" spans="8:8" x14ac:dyDescent="0.25">
      <c r="H135" t="s">
        <v>425</v>
      </c>
    </row>
    <row r="136" spans="8:8" x14ac:dyDescent="0.25">
      <c r="H136" t="s">
        <v>423</v>
      </c>
    </row>
    <row r="137" spans="8:8" x14ac:dyDescent="0.25">
      <c r="H137" t="s">
        <v>596</v>
      </c>
    </row>
    <row r="139" spans="8:8" x14ac:dyDescent="0.25">
      <c r="H139" t="s">
        <v>427</v>
      </c>
    </row>
    <row r="140" spans="8:8" x14ac:dyDescent="0.25">
      <c r="H140" t="s">
        <v>428</v>
      </c>
    </row>
    <row r="141" spans="8:8" x14ac:dyDescent="0.25">
      <c r="H141" t="s">
        <v>597</v>
      </c>
    </row>
    <row r="143" spans="8:8" x14ac:dyDescent="0.25">
      <c r="H143" t="s">
        <v>430</v>
      </c>
    </row>
    <row r="144" spans="8:8" x14ac:dyDescent="0.25">
      <c r="H144" t="s">
        <v>428</v>
      </c>
    </row>
    <row r="145" spans="8:8" x14ac:dyDescent="0.25">
      <c r="H145" t="s">
        <v>598</v>
      </c>
    </row>
    <row r="147" spans="8:8" x14ac:dyDescent="0.25">
      <c r="H147" t="s">
        <v>432</v>
      </c>
    </row>
    <row r="148" spans="8:8" x14ac:dyDescent="0.25">
      <c r="H148" t="s">
        <v>433</v>
      </c>
    </row>
    <row r="149" spans="8:8" x14ac:dyDescent="0.25">
      <c r="H149" t="s">
        <v>599</v>
      </c>
    </row>
    <row r="151" spans="8:8" x14ac:dyDescent="0.25">
      <c r="H151" t="s">
        <v>435</v>
      </c>
    </row>
    <row r="152" spans="8:8" x14ac:dyDescent="0.25">
      <c r="H152" t="s">
        <v>433</v>
      </c>
    </row>
    <row r="153" spans="8:8" x14ac:dyDescent="0.25">
      <c r="H153" t="s">
        <v>600</v>
      </c>
    </row>
    <row r="155" spans="8:8" x14ac:dyDescent="0.25">
      <c r="H155" t="s">
        <v>437</v>
      </c>
    </row>
    <row r="156" spans="8:8" x14ac:dyDescent="0.25">
      <c r="H156" t="s">
        <v>438</v>
      </c>
    </row>
    <row r="157" spans="8:8" x14ac:dyDescent="0.25">
      <c r="H157" t="s">
        <v>601</v>
      </c>
    </row>
    <row r="159" spans="8:8" x14ac:dyDescent="0.25">
      <c r="H159" t="s">
        <v>440</v>
      </c>
    </row>
    <row r="160" spans="8:8" x14ac:dyDescent="0.25">
      <c r="H160" t="s">
        <v>438</v>
      </c>
    </row>
    <row r="161" spans="8:8" x14ac:dyDescent="0.25">
      <c r="H161" t="s">
        <v>602</v>
      </c>
    </row>
    <row r="163" spans="8:8" x14ac:dyDescent="0.25">
      <c r="H163" t="s">
        <v>442</v>
      </c>
    </row>
    <row r="164" spans="8:8" x14ac:dyDescent="0.25">
      <c r="H164" t="s">
        <v>443</v>
      </c>
    </row>
    <row r="165" spans="8:8" x14ac:dyDescent="0.25">
      <c r="H165" t="s">
        <v>603</v>
      </c>
    </row>
    <row r="167" spans="8:8" x14ac:dyDescent="0.25">
      <c r="H167" t="s">
        <v>445</v>
      </c>
    </row>
    <row r="168" spans="8:8" x14ac:dyDescent="0.25">
      <c r="H168" t="s">
        <v>443</v>
      </c>
    </row>
    <row r="169" spans="8:8" x14ac:dyDescent="0.25">
      <c r="H169" t="s">
        <v>604</v>
      </c>
    </row>
    <row r="171" spans="8:8" x14ac:dyDescent="0.25">
      <c r="H171" t="s">
        <v>447</v>
      </c>
    </row>
    <row r="172" spans="8:8" x14ac:dyDescent="0.25">
      <c r="H172" t="s">
        <v>448</v>
      </c>
    </row>
    <row r="173" spans="8:8" x14ac:dyDescent="0.25">
      <c r="H173" t="s">
        <v>605</v>
      </c>
    </row>
    <row r="175" spans="8:8" x14ac:dyDescent="0.25">
      <c r="H175" t="s">
        <v>450</v>
      </c>
    </row>
    <row r="176" spans="8:8" x14ac:dyDescent="0.25">
      <c r="H176" t="s">
        <v>448</v>
      </c>
    </row>
    <row r="177" spans="8:8" x14ac:dyDescent="0.25">
      <c r="H177" t="s">
        <v>606</v>
      </c>
    </row>
    <row r="179" spans="8:8" x14ac:dyDescent="0.25">
      <c r="H179" t="s">
        <v>452</v>
      </c>
    </row>
    <row r="180" spans="8:8" x14ac:dyDescent="0.25">
      <c r="H180" t="s">
        <v>453</v>
      </c>
    </row>
    <row r="181" spans="8:8" x14ac:dyDescent="0.25">
      <c r="H181" t="s">
        <v>607</v>
      </c>
    </row>
    <row r="183" spans="8:8" x14ac:dyDescent="0.25">
      <c r="H183" t="s">
        <v>455</v>
      </c>
    </row>
    <row r="184" spans="8:8" x14ac:dyDescent="0.25">
      <c r="H184" t="s">
        <v>453</v>
      </c>
    </row>
    <row r="185" spans="8:8" x14ac:dyDescent="0.25">
      <c r="H185" t="s">
        <v>608</v>
      </c>
    </row>
    <row r="187" spans="8:8" x14ac:dyDescent="0.25">
      <c r="H187" t="s">
        <v>457</v>
      </c>
    </row>
    <row r="188" spans="8:8" x14ac:dyDescent="0.25">
      <c r="H188" t="s">
        <v>458</v>
      </c>
    </row>
    <row r="189" spans="8:8" x14ac:dyDescent="0.25">
      <c r="H189" t="s">
        <v>609</v>
      </c>
    </row>
    <row r="191" spans="8:8" x14ac:dyDescent="0.25">
      <c r="H191" t="s">
        <v>460</v>
      </c>
    </row>
    <row r="192" spans="8:8" x14ac:dyDescent="0.25">
      <c r="H192" t="s">
        <v>458</v>
      </c>
    </row>
    <row r="193" spans="8:8" x14ac:dyDescent="0.25">
      <c r="H193" t="s">
        <v>610</v>
      </c>
    </row>
    <row r="195" spans="8:8" x14ac:dyDescent="0.25">
      <c r="H195" t="s">
        <v>462</v>
      </c>
    </row>
    <row r="196" spans="8:8" x14ac:dyDescent="0.25">
      <c r="H196" t="s">
        <v>758</v>
      </c>
    </row>
    <row r="197" spans="8:8" x14ac:dyDescent="0.25">
      <c r="H197" t="s">
        <v>785</v>
      </c>
    </row>
    <row r="199" spans="8:8" x14ac:dyDescent="0.25">
      <c r="H199" t="s">
        <v>463</v>
      </c>
    </row>
    <row r="200" spans="8:8" x14ac:dyDescent="0.25">
      <c r="H200" t="s">
        <v>760</v>
      </c>
    </row>
    <row r="201" spans="8:8" x14ac:dyDescent="0.25">
      <c r="H201" t="s">
        <v>786</v>
      </c>
    </row>
    <row r="203" spans="8:8" x14ac:dyDescent="0.25">
      <c r="H203" t="s">
        <v>464</v>
      </c>
    </row>
    <row r="204" spans="8:8" x14ac:dyDescent="0.25">
      <c r="H204" t="s">
        <v>760</v>
      </c>
    </row>
    <row r="205" spans="8:8" x14ac:dyDescent="0.25">
      <c r="H205" t="s">
        <v>787</v>
      </c>
    </row>
    <row r="207" spans="8:8" x14ac:dyDescent="0.25">
      <c r="H207" t="s">
        <v>465</v>
      </c>
    </row>
    <row r="208" spans="8:8" x14ac:dyDescent="0.25">
      <c r="H208" t="s">
        <v>763</v>
      </c>
    </row>
    <row r="209" spans="8:8" x14ac:dyDescent="0.25">
      <c r="H209" t="s">
        <v>788</v>
      </c>
    </row>
    <row r="211" spans="8:8" x14ac:dyDescent="0.25">
      <c r="H211" t="s">
        <v>466</v>
      </c>
    </row>
    <row r="212" spans="8:8" x14ac:dyDescent="0.25">
      <c r="H212" t="s">
        <v>763</v>
      </c>
    </row>
    <row r="213" spans="8:8" x14ac:dyDescent="0.25">
      <c r="H213" t="s">
        <v>789</v>
      </c>
    </row>
    <row r="215" spans="8:8" x14ac:dyDescent="0.25">
      <c r="H215" t="s">
        <v>467</v>
      </c>
    </row>
    <row r="216" spans="8:8" x14ac:dyDescent="0.25">
      <c r="H216" t="s">
        <v>468</v>
      </c>
    </row>
    <row r="217" spans="8:8" x14ac:dyDescent="0.25">
      <c r="H217" t="s">
        <v>628</v>
      </c>
    </row>
    <row r="219" spans="8:8" x14ac:dyDescent="0.25">
      <c r="H219" t="s">
        <v>469</v>
      </c>
    </row>
    <row r="220" spans="8:8" x14ac:dyDescent="0.25">
      <c r="H220" t="s">
        <v>470</v>
      </c>
    </row>
    <row r="221" spans="8:8" x14ac:dyDescent="0.25">
      <c r="H221" t="s">
        <v>611</v>
      </c>
    </row>
    <row r="223" spans="8:8" x14ac:dyDescent="0.25">
      <c r="H223" t="s">
        <v>472</v>
      </c>
    </row>
    <row r="224" spans="8:8" x14ac:dyDescent="0.25">
      <c r="H224" t="s">
        <v>473</v>
      </c>
    </row>
    <row r="225" spans="8:8" x14ac:dyDescent="0.25">
      <c r="H225" t="s">
        <v>612</v>
      </c>
    </row>
    <row r="227" spans="8:8" x14ac:dyDescent="0.25">
      <c r="H227" t="s">
        <v>475</v>
      </c>
    </row>
    <row r="228" spans="8:8" x14ac:dyDescent="0.25">
      <c r="H228" t="s">
        <v>473</v>
      </c>
    </row>
    <row r="229" spans="8:8" x14ac:dyDescent="0.25">
      <c r="H229" t="s">
        <v>613</v>
      </c>
    </row>
    <row r="231" spans="8:8" x14ac:dyDescent="0.25">
      <c r="H231" t="s">
        <v>477</v>
      </c>
    </row>
    <row r="232" spans="8:8" x14ac:dyDescent="0.25">
      <c r="H232" t="s">
        <v>478</v>
      </c>
    </row>
    <row r="233" spans="8:8" x14ac:dyDescent="0.25">
      <c r="H233" t="s">
        <v>614</v>
      </c>
    </row>
    <row r="235" spans="8:8" x14ac:dyDescent="0.25">
      <c r="H235" t="s">
        <v>480</v>
      </c>
    </row>
    <row r="236" spans="8:8" x14ac:dyDescent="0.25">
      <c r="H236" t="s">
        <v>481</v>
      </c>
    </row>
    <row r="237" spans="8:8" x14ac:dyDescent="0.25">
      <c r="H237" t="s">
        <v>615</v>
      </c>
    </row>
    <row r="239" spans="8:8" x14ac:dyDescent="0.25">
      <c r="H239" t="s">
        <v>483</v>
      </c>
    </row>
    <row r="240" spans="8:8" x14ac:dyDescent="0.25">
      <c r="H240" t="s">
        <v>484</v>
      </c>
    </row>
    <row r="241" spans="8:8" x14ac:dyDescent="0.25">
      <c r="H241" t="s">
        <v>616</v>
      </c>
    </row>
    <row r="243" spans="8:8" x14ac:dyDescent="0.25">
      <c r="H243" t="s">
        <v>486</v>
      </c>
    </row>
    <row r="244" spans="8:8" x14ac:dyDescent="0.25">
      <c r="H244" t="s">
        <v>487</v>
      </c>
    </row>
    <row r="245" spans="8:8" x14ac:dyDescent="0.25">
      <c r="H245" t="s">
        <v>629</v>
      </c>
    </row>
    <row r="247" spans="8:8" x14ac:dyDescent="0.25">
      <c r="H247" t="s">
        <v>488</v>
      </c>
    </row>
    <row r="248" spans="8:8" x14ac:dyDescent="0.25">
      <c r="H248" t="s">
        <v>487</v>
      </c>
    </row>
    <row r="249" spans="8:8" x14ac:dyDescent="0.25">
      <c r="H249" t="s">
        <v>630</v>
      </c>
    </row>
    <row r="251" spans="8:8" x14ac:dyDescent="0.25">
      <c r="H251" t="s">
        <v>489</v>
      </c>
    </row>
    <row r="252" spans="8:8" x14ac:dyDescent="0.25">
      <c r="H252" t="s">
        <v>487</v>
      </c>
    </row>
    <row r="253" spans="8:8" x14ac:dyDescent="0.25">
      <c r="H253" t="s">
        <v>631</v>
      </c>
    </row>
    <row r="255" spans="8:8" x14ac:dyDescent="0.25">
      <c r="H255" t="s">
        <v>490</v>
      </c>
    </row>
    <row r="256" spans="8:8" x14ac:dyDescent="0.25">
      <c r="H256" t="s">
        <v>491</v>
      </c>
    </row>
    <row r="257" spans="8:8" x14ac:dyDescent="0.25">
      <c r="H257" t="s">
        <v>617</v>
      </c>
    </row>
    <row r="259" spans="8:8" x14ac:dyDescent="0.25">
      <c r="H259" t="s">
        <v>493</v>
      </c>
    </row>
    <row r="260" spans="8:8" x14ac:dyDescent="0.25">
      <c r="H260" t="s">
        <v>491</v>
      </c>
    </row>
    <row r="261" spans="8:8" x14ac:dyDescent="0.25">
      <c r="H261" t="s">
        <v>618</v>
      </c>
    </row>
    <row r="263" spans="8:8" x14ac:dyDescent="0.25">
      <c r="H263" t="s">
        <v>495</v>
      </c>
    </row>
    <row r="264" spans="8:8" x14ac:dyDescent="0.25">
      <c r="H264" t="s">
        <v>491</v>
      </c>
    </row>
    <row r="265" spans="8:8" x14ac:dyDescent="0.25">
      <c r="H265" t="s">
        <v>619</v>
      </c>
    </row>
    <row r="267" spans="8:8" x14ac:dyDescent="0.25">
      <c r="H267" t="s">
        <v>497</v>
      </c>
    </row>
    <row r="268" spans="8:8" x14ac:dyDescent="0.25">
      <c r="H268" t="s">
        <v>491</v>
      </c>
    </row>
    <row r="269" spans="8:8" x14ac:dyDescent="0.25">
      <c r="H269" t="s">
        <v>620</v>
      </c>
    </row>
    <row r="271" spans="8:8" x14ac:dyDescent="0.25">
      <c r="H271" t="s">
        <v>499</v>
      </c>
    </row>
    <row r="272" spans="8:8" x14ac:dyDescent="0.25">
      <c r="H272" t="s">
        <v>500</v>
      </c>
    </row>
    <row r="273" spans="8:8" x14ac:dyDescent="0.25">
      <c r="H273" t="s">
        <v>621</v>
      </c>
    </row>
    <row r="275" spans="8:8" x14ac:dyDescent="0.25">
      <c r="H275" t="s">
        <v>15</v>
      </c>
    </row>
    <row r="276" spans="8:8" x14ac:dyDescent="0.25">
      <c r="H276" t="s">
        <v>21</v>
      </c>
    </row>
    <row r="278" spans="8:8" x14ac:dyDescent="0.25">
      <c r="H278" t="s">
        <v>16</v>
      </c>
    </row>
    <row r="279" spans="8:8" x14ac:dyDescent="0.25">
      <c r="H279" s="11" t="s">
        <v>59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319" sqref="BA319:BA424"/>
    </sheetView>
  </sheetViews>
  <sheetFormatPr defaultRowHeight="15" x14ac:dyDescent="0.25"/>
  <sheetData/>
  <sortState xmlns:xlrd2="http://schemas.microsoft.com/office/spreadsheetml/2017/richdata2" ref="A1:BA424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2021-12-07T04:42:40Z</dcterms:modified>
</cp:coreProperties>
</file>