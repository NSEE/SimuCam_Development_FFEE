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3071EB13-39E5-4F58-A20B-84EC32491633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Main!$B$3:$AH$528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28" i="1" l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Q4" i="1"/>
  <c r="R4" i="1"/>
  <c r="T4" i="1"/>
  <c r="U4" i="1"/>
  <c r="V4" i="1" s="1"/>
  <c r="W4" i="1"/>
  <c r="AA4" i="1" s="1"/>
  <c r="X4" i="1"/>
  <c r="AB4" i="1" s="1"/>
  <c r="Y4" i="1"/>
  <c r="Z4" i="1"/>
  <c r="AH4" i="1" s="1"/>
  <c r="AC4" i="1"/>
  <c r="AD4" i="1"/>
  <c r="AG4" i="1"/>
  <c r="Q5" i="1"/>
  <c r="R5" i="1"/>
  <c r="S5" i="1" l="1"/>
  <c r="S6" i="1" s="1"/>
  <c r="X6" i="1" s="1"/>
  <c r="AF4" i="1"/>
  <c r="AE4" i="1"/>
  <c r="T5" i="1"/>
  <c r="Y5" i="1"/>
  <c r="W5" i="1"/>
  <c r="T6" i="1" l="1"/>
  <c r="U5" i="1"/>
  <c r="V5" i="1" s="1"/>
  <c r="S7" i="1"/>
  <c r="Z7" i="1" s="1"/>
  <c r="AH7" i="1" s="1"/>
  <c r="W6" i="1"/>
  <c r="AE6" i="1" s="1"/>
  <c r="Z5" i="1"/>
  <c r="X5" i="1"/>
  <c r="Z6" i="1"/>
  <c r="AH6" i="1" s="1"/>
  <c r="Y6" i="1"/>
  <c r="AG6" i="1" s="1"/>
  <c r="U6" i="1"/>
  <c r="V6" i="1" s="1"/>
  <c r="AB6" i="1"/>
  <c r="AF6" i="1"/>
  <c r="AC6" i="1"/>
  <c r="S8" i="1"/>
  <c r="T8" i="1" s="1"/>
  <c r="T7" i="1"/>
  <c r="X7" i="1"/>
  <c r="Y7" i="1"/>
  <c r="AG7" i="1" s="1"/>
  <c r="X8" i="1"/>
  <c r="AF7" i="1"/>
  <c r="AB7" i="1"/>
  <c r="AC5" i="1"/>
  <c r="AG5" i="1"/>
  <c r="AH5" i="1"/>
  <c r="AD5" i="1"/>
  <c r="AE5" i="1"/>
  <c r="AA5" i="1"/>
  <c r="AB5" i="1"/>
  <c r="AF5" i="1"/>
  <c r="I27" i="5"/>
  <c r="J27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A6" i="1" l="1"/>
  <c r="AD6" i="1"/>
  <c r="W7" i="1"/>
  <c r="AD7" i="1"/>
  <c r="U7" i="1"/>
  <c r="V7" i="1" s="1"/>
  <c r="AC7" i="1"/>
  <c r="W8" i="1"/>
  <c r="U8" i="1"/>
  <c r="V8" i="1" s="1"/>
  <c r="Z8" i="1"/>
  <c r="AH8" i="1" s="1"/>
  <c r="Y8" i="1"/>
  <c r="AG8" i="1" s="1"/>
  <c r="S9" i="1"/>
  <c r="Z9" i="1" s="1"/>
  <c r="AE8" i="1"/>
  <c r="AA8" i="1"/>
  <c r="AF8" i="1"/>
  <c r="AB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7" i="1" l="1"/>
  <c r="AA7" i="1"/>
  <c r="AC8" i="1"/>
  <c r="U9" i="1"/>
  <c r="V9" i="1" s="1"/>
  <c r="T9" i="1"/>
  <c r="Y9" i="1"/>
  <c r="AC9" i="1" s="1"/>
  <c r="X9" i="1"/>
  <c r="AF9" i="1" s="1"/>
  <c r="S10" i="1"/>
  <c r="W10" i="1" s="1"/>
  <c r="AD8" i="1"/>
  <c r="W9" i="1"/>
  <c r="AE9" i="1" s="1"/>
  <c r="AH9" i="1"/>
  <c r="AD9" i="1"/>
  <c r="S11" i="1" l="1"/>
  <c r="AA9" i="1"/>
  <c r="T10" i="1"/>
  <c r="Z10" i="1"/>
  <c r="AH10" i="1" s="1"/>
  <c r="X10" i="1"/>
  <c r="AB10" i="1" s="1"/>
  <c r="U10" i="1"/>
  <c r="V10" i="1" s="1"/>
  <c r="AG9" i="1"/>
  <c r="AB9" i="1"/>
  <c r="Y10" i="1"/>
  <c r="AC10" i="1"/>
  <c r="AG10" i="1"/>
  <c r="AE10" i="1"/>
  <c r="AA10" i="1"/>
  <c r="Z11" i="1"/>
  <c r="U11" i="1"/>
  <c r="V11" i="1" s="1"/>
  <c r="S12" i="1"/>
  <c r="Y11" i="1"/>
  <c r="X11" i="1"/>
  <c r="T11" i="1"/>
  <c r="W11" i="1"/>
  <c r="AF10" i="1"/>
  <c r="AD10" i="1" l="1"/>
  <c r="AF11" i="1"/>
  <c r="AB11" i="1"/>
  <c r="AH11" i="1"/>
  <c r="AD11" i="1"/>
  <c r="AC11" i="1"/>
  <c r="AG11" i="1"/>
  <c r="AA11" i="1"/>
  <c r="AE11" i="1"/>
  <c r="X12" i="1"/>
  <c r="T12" i="1"/>
  <c r="S13" i="1"/>
  <c r="U12" i="1"/>
  <c r="V12" i="1" s="1"/>
  <c r="W12" i="1"/>
  <c r="Z12" i="1"/>
  <c r="Y12" i="1"/>
  <c r="AC12" i="1" l="1"/>
  <c r="AG12" i="1"/>
  <c r="Z13" i="1"/>
  <c r="S14" i="1"/>
  <c r="Y13" i="1"/>
  <c r="U13" i="1"/>
  <c r="V13" i="1" s="1"/>
  <c r="X13" i="1"/>
  <c r="T13" i="1"/>
  <c r="W13" i="1"/>
  <c r="AH12" i="1"/>
  <c r="AD12" i="1"/>
  <c r="AE12" i="1"/>
  <c r="AA12" i="1"/>
  <c r="AF12" i="1"/>
  <c r="AB12" i="1"/>
  <c r="AF13" i="1" l="1"/>
  <c r="AB13" i="1"/>
  <c r="AH13" i="1"/>
  <c r="AD13" i="1"/>
  <c r="X14" i="1"/>
  <c r="T14" i="1"/>
  <c r="W14" i="1"/>
  <c r="S15" i="1"/>
  <c r="U14" i="1"/>
  <c r="V14" i="1" s="1"/>
  <c r="Y14" i="1"/>
  <c r="Z14" i="1"/>
  <c r="AE13" i="1"/>
  <c r="AA13" i="1"/>
  <c r="AG13" i="1"/>
  <c r="AC13" i="1"/>
  <c r="AH14" i="1" l="1"/>
  <c r="AD14" i="1"/>
  <c r="Z15" i="1"/>
  <c r="Y15" i="1"/>
  <c r="S16" i="1"/>
  <c r="U15" i="1"/>
  <c r="V15" i="1" s="1"/>
  <c r="W15" i="1"/>
  <c r="X15" i="1"/>
  <c r="T15" i="1"/>
  <c r="AE14" i="1"/>
  <c r="AA14" i="1"/>
  <c r="AG14" i="1"/>
  <c r="AC14" i="1"/>
  <c r="AF14" i="1"/>
  <c r="AB14" i="1"/>
  <c r="AE15" i="1" l="1"/>
  <c r="AA15" i="1"/>
  <c r="AH15" i="1"/>
  <c r="AD15" i="1"/>
  <c r="AG15" i="1"/>
  <c r="AC15" i="1"/>
  <c r="AF15" i="1"/>
  <c r="AB15" i="1"/>
  <c r="X16" i="1"/>
  <c r="T16" i="1"/>
  <c r="S17" i="1"/>
  <c r="U16" i="1"/>
  <c r="V16" i="1" s="1"/>
  <c r="W16" i="1"/>
  <c r="Z16" i="1"/>
  <c r="Y16" i="1"/>
  <c r="AC16" i="1" l="1"/>
  <c r="AG16" i="1"/>
  <c r="Z17" i="1"/>
  <c r="W17" i="1"/>
  <c r="S18" i="1"/>
  <c r="Y17" i="1"/>
  <c r="U17" i="1"/>
  <c r="V17" i="1" s="1"/>
  <c r="X17" i="1"/>
  <c r="T17" i="1"/>
  <c r="AH16" i="1"/>
  <c r="AD16" i="1"/>
  <c r="AE16" i="1"/>
  <c r="AA16" i="1"/>
  <c r="AF16" i="1"/>
  <c r="AB16" i="1"/>
  <c r="AF17" i="1" l="1"/>
  <c r="AB17" i="1"/>
  <c r="AH17" i="1"/>
  <c r="AD17" i="1"/>
  <c r="AE17" i="1"/>
  <c r="AA17" i="1"/>
  <c r="AG17" i="1"/>
  <c r="AC17" i="1"/>
  <c r="X18" i="1"/>
  <c r="T18" i="1"/>
  <c r="S19" i="1"/>
  <c r="U18" i="1"/>
  <c r="V18" i="1" s="1"/>
  <c r="W18" i="1"/>
  <c r="Y18" i="1"/>
  <c r="Z18" i="1"/>
  <c r="Z19" i="1" l="1"/>
  <c r="S20" i="1"/>
  <c r="Y19" i="1"/>
  <c r="U19" i="1"/>
  <c r="V19" i="1" s="1"/>
  <c r="W19" i="1"/>
  <c r="X19" i="1"/>
  <c r="T19" i="1"/>
  <c r="AH18" i="1"/>
  <c r="AD18" i="1"/>
  <c r="AC18" i="1"/>
  <c r="AG18" i="1"/>
  <c r="AE18" i="1"/>
  <c r="AA18" i="1"/>
  <c r="AF18" i="1"/>
  <c r="AB18" i="1"/>
  <c r="AG19" i="1" l="1"/>
  <c r="AC19" i="1"/>
  <c r="X20" i="1"/>
  <c r="T20" i="1"/>
  <c r="W20" i="1"/>
  <c r="S21" i="1"/>
  <c r="U20" i="1"/>
  <c r="V20" i="1" s="1"/>
  <c r="Z20" i="1"/>
  <c r="Y20" i="1"/>
  <c r="AF19" i="1"/>
  <c r="AB19" i="1"/>
  <c r="AE19" i="1"/>
  <c r="AA19" i="1"/>
  <c r="AH19" i="1"/>
  <c r="AD19" i="1"/>
  <c r="AH20" i="1" l="1"/>
  <c r="AD20" i="1"/>
  <c r="AF20" i="1"/>
  <c r="AB20" i="1"/>
  <c r="Z21" i="1"/>
  <c r="U21" i="1"/>
  <c r="V21" i="1" s="1"/>
  <c r="S22" i="1"/>
  <c r="Y21" i="1"/>
  <c r="X21" i="1"/>
  <c r="T21" i="1"/>
  <c r="W21" i="1"/>
  <c r="AC20" i="1"/>
  <c r="AG20" i="1"/>
  <c r="AE20" i="1"/>
  <c r="AA20" i="1"/>
  <c r="X22" i="1" l="1"/>
  <c r="T22" i="1"/>
  <c r="S23" i="1"/>
  <c r="Y22" i="1"/>
  <c r="W22" i="1"/>
  <c r="Z22" i="1"/>
  <c r="U22" i="1"/>
  <c r="V22" i="1" s="1"/>
  <c r="AG21" i="1"/>
  <c r="AC21" i="1"/>
  <c r="AA21" i="1"/>
  <c r="AE21" i="1"/>
  <c r="AF21" i="1"/>
  <c r="AB21" i="1"/>
  <c r="AH21" i="1"/>
  <c r="AD21" i="1"/>
  <c r="Z23" i="1" l="1"/>
  <c r="S24" i="1"/>
  <c r="Y23" i="1"/>
  <c r="U23" i="1"/>
  <c r="V23" i="1" s="1"/>
  <c r="X23" i="1"/>
  <c r="T23" i="1"/>
  <c r="W23" i="1"/>
  <c r="AG22" i="1"/>
  <c r="AC22" i="1"/>
  <c r="AH22" i="1"/>
  <c r="AD22" i="1"/>
  <c r="AE22" i="1"/>
  <c r="AA22" i="1"/>
  <c r="AF22" i="1"/>
  <c r="AB22" i="1"/>
  <c r="AE23" i="1" l="1"/>
  <c r="AA23" i="1"/>
  <c r="AG23" i="1"/>
  <c r="AC23" i="1"/>
  <c r="X24" i="1"/>
  <c r="T24" i="1"/>
  <c r="W24" i="1"/>
  <c r="S25" i="1"/>
  <c r="U24" i="1"/>
  <c r="V24" i="1" s="1"/>
  <c r="Y24" i="1"/>
  <c r="Z24" i="1"/>
  <c r="AF23" i="1"/>
  <c r="AB23" i="1"/>
  <c r="AH23" i="1"/>
  <c r="AD23" i="1"/>
  <c r="AE24" i="1" l="1"/>
  <c r="AA24" i="1"/>
  <c r="AG24" i="1"/>
  <c r="AC24" i="1"/>
  <c r="Z25" i="1"/>
  <c r="U25" i="1"/>
  <c r="V25" i="1" s="1"/>
  <c r="S26" i="1"/>
  <c r="Y25" i="1"/>
  <c r="W25" i="1"/>
  <c r="X25" i="1"/>
  <c r="T25" i="1"/>
  <c r="AH24" i="1"/>
  <c r="AD24" i="1"/>
  <c r="AF24" i="1"/>
  <c r="AB24" i="1"/>
  <c r="X26" i="1" l="1"/>
  <c r="T26" i="1"/>
  <c r="S27" i="1"/>
  <c r="U26" i="1"/>
  <c r="V26" i="1" s="1"/>
  <c r="W26" i="1"/>
  <c r="Z26" i="1"/>
  <c r="Y26" i="1"/>
  <c r="AG25" i="1"/>
  <c r="AC25" i="1"/>
  <c r="AF25" i="1"/>
  <c r="AB25" i="1"/>
  <c r="AE25" i="1"/>
  <c r="AA25" i="1"/>
  <c r="AH25" i="1"/>
  <c r="AD25" i="1"/>
  <c r="Z27" i="1" l="1"/>
  <c r="S28" i="1"/>
  <c r="Y27" i="1"/>
  <c r="U27" i="1"/>
  <c r="V27" i="1" s="1"/>
  <c r="X27" i="1"/>
  <c r="T27" i="1"/>
  <c r="W27" i="1"/>
  <c r="AH26" i="1"/>
  <c r="AD26" i="1"/>
  <c r="AC26" i="1"/>
  <c r="AG26" i="1"/>
  <c r="AE26" i="1"/>
  <c r="AA26" i="1"/>
  <c r="AF26" i="1"/>
  <c r="AB26" i="1"/>
  <c r="AE27" i="1" l="1"/>
  <c r="AA27" i="1"/>
  <c r="AG27" i="1"/>
  <c r="AC27" i="1"/>
  <c r="X28" i="1"/>
  <c r="T28" i="1"/>
  <c r="W28" i="1"/>
  <c r="U28" i="1"/>
  <c r="V28" i="1" s="1"/>
  <c r="S29" i="1"/>
  <c r="Y28" i="1"/>
  <c r="Z28" i="1"/>
  <c r="AF27" i="1"/>
  <c r="AB27" i="1"/>
  <c r="AH27" i="1"/>
  <c r="AD27" i="1"/>
  <c r="AE28" i="1" l="1"/>
  <c r="AA28" i="1"/>
  <c r="AG28" i="1"/>
  <c r="AC28" i="1"/>
  <c r="AH28" i="1"/>
  <c r="AD28" i="1"/>
  <c r="Z29" i="1"/>
  <c r="U29" i="1"/>
  <c r="V29" i="1" s="1"/>
  <c r="W29" i="1"/>
  <c r="S30" i="1"/>
  <c r="Y29" i="1"/>
  <c r="X29" i="1"/>
  <c r="T29" i="1"/>
  <c r="AF28" i="1"/>
  <c r="AB28" i="1"/>
  <c r="AF29" i="1" l="1"/>
  <c r="AB29" i="1"/>
  <c r="AG29" i="1"/>
  <c r="AC29" i="1"/>
  <c r="AH29" i="1"/>
  <c r="AD29" i="1"/>
  <c r="X30" i="1"/>
  <c r="T30" i="1"/>
  <c r="S31" i="1"/>
  <c r="U30" i="1"/>
  <c r="V30" i="1" s="1"/>
  <c r="W30" i="1"/>
  <c r="Z30" i="1"/>
  <c r="Y30" i="1"/>
  <c r="AE29" i="1"/>
  <c r="AA29" i="1"/>
  <c r="AE30" i="1" l="1"/>
  <c r="AA30" i="1"/>
  <c r="AF30" i="1"/>
  <c r="AB30" i="1"/>
  <c r="AH30" i="1"/>
  <c r="AD30" i="1"/>
  <c r="AC30" i="1"/>
  <c r="AG30" i="1"/>
  <c r="Z31" i="1"/>
  <c r="S32" i="1"/>
  <c r="Y31" i="1"/>
  <c r="U31" i="1"/>
  <c r="V31" i="1" s="1"/>
  <c r="X31" i="1"/>
  <c r="T31" i="1"/>
  <c r="W31" i="1"/>
  <c r="AG31" i="1" l="1"/>
  <c r="AC31" i="1"/>
  <c r="X32" i="1"/>
  <c r="T32" i="1"/>
  <c r="W32" i="1"/>
  <c r="S33" i="1"/>
  <c r="U32" i="1"/>
  <c r="V32" i="1" s="1"/>
  <c r="Z32" i="1"/>
  <c r="Y32" i="1"/>
  <c r="AA31" i="1"/>
  <c r="AE31" i="1"/>
  <c r="AF31" i="1"/>
  <c r="AB31" i="1"/>
  <c r="AH31" i="1"/>
  <c r="AD31" i="1"/>
  <c r="AH32" i="1" l="1"/>
  <c r="AD32" i="1"/>
  <c r="AF32" i="1"/>
  <c r="AB32" i="1"/>
  <c r="Z33" i="1"/>
  <c r="S34" i="1"/>
  <c r="U33" i="1"/>
  <c r="V33" i="1" s="1"/>
  <c r="Y33" i="1"/>
  <c r="X33" i="1"/>
  <c r="T33" i="1"/>
  <c r="W33" i="1"/>
  <c r="AC32" i="1"/>
  <c r="AG32" i="1"/>
  <c r="AE32" i="1"/>
  <c r="AA32" i="1"/>
  <c r="AC33" i="1" l="1"/>
  <c r="AG33" i="1"/>
  <c r="S35" i="1"/>
  <c r="X34" i="1"/>
  <c r="T34" i="1"/>
  <c r="U34" i="1"/>
  <c r="V34" i="1" s="1"/>
  <c r="W34" i="1"/>
  <c r="Y34" i="1"/>
  <c r="Z34" i="1"/>
  <c r="AE33" i="1"/>
  <c r="AA33" i="1"/>
  <c r="AF33" i="1"/>
  <c r="AB33" i="1"/>
  <c r="AH33" i="1"/>
  <c r="AD33" i="1"/>
  <c r="AB34" i="1" l="1"/>
  <c r="AF34" i="1"/>
  <c r="W35" i="1"/>
  <c r="Z35" i="1"/>
  <c r="U35" i="1"/>
  <c r="V35" i="1" s="1"/>
  <c r="Y35" i="1"/>
  <c r="T35" i="1"/>
  <c r="S36" i="1"/>
  <c r="X35" i="1"/>
  <c r="AG34" i="1"/>
  <c r="AC34" i="1"/>
  <c r="AA34" i="1"/>
  <c r="AE34" i="1"/>
  <c r="AH34" i="1"/>
  <c r="AD34" i="1"/>
  <c r="AD35" i="1" l="1"/>
  <c r="AH35" i="1"/>
  <c r="AE35" i="1"/>
  <c r="AA35" i="1"/>
  <c r="AG35" i="1"/>
  <c r="AC35" i="1"/>
  <c r="S37" i="1"/>
  <c r="Y36" i="1"/>
  <c r="U36" i="1"/>
  <c r="V36" i="1" s="1"/>
  <c r="W36" i="1"/>
  <c r="Z36" i="1"/>
  <c r="T36" i="1"/>
  <c r="X36" i="1"/>
  <c r="AF35" i="1"/>
  <c r="AB35" i="1"/>
  <c r="W37" i="1" l="1"/>
  <c r="Z37" i="1"/>
  <c r="U37" i="1"/>
  <c r="V37" i="1" s="1"/>
  <c r="Y37" i="1"/>
  <c r="S38" i="1"/>
  <c r="T37" i="1"/>
  <c r="X37" i="1"/>
  <c r="AG36" i="1"/>
  <c r="AC36" i="1"/>
  <c r="AH36" i="1"/>
  <c r="AD36" i="1"/>
  <c r="AA36" i="1"/>
  <c r="AE36" i="1"/>
  <c r="AB36" i="1"/>
  <c r="AF36" i="1"/>
  <c r="AF37" i="1" l="1"/>
  <c r="AB37" i="1"/>
  <c r="AD37" i="1"/>
  <c r="AH37" i="1"/>
  <c r="AG37" i="1"/>
  <c r="AC37" i="1"/>
  <c r="S39" i="1"/>
  <c r="Y38" i="1"/>
  <c r="U38" i="1"/>
  <c r="V38" i="1" s="1"/>
  <c r="W38" i="1"/>
  <c r="X38" i="1"/>
  <c r="Z38" i="1"/>
  <c r="T38" i="1"/>
  <c r="AE37" i="1"/>
  <c r="AA37" i="1"/>
  <c r="W39" i="1" l="1"/>
  <c r="Z39" i="1"/>
  <c r="U39" i="1"/>
  <c r="V39" i="1" s="1"/>
  <c r="T39" i="1"/>
  <c r="Y39" i="1"/>
  <c r="X39" i="1"/>
  <c r="S40" i="1"/>
  <c r="AG38" i="1"/>
  <c r="AC38" i="1"/>
  <c r="AB38" i="1"/>
  <c r="AF38" i="1"/>
  <c r="AA38" i="1"/>
  <c r="AE38" i="1"/>
  <c r="AH38" i="1"/>
  <c r="AD38" i="1"/>
  <c r="AF39" i="1" l="1"/>
  <c r="AB39" i="1"/>
  <c r="AD39" i="1"/>
  <c r="AH39" i="1"/>
  <c r="S41" i="1"/>
  <c r="Y40" i="1"/>
  <c r="U40" i="1"/>
  <c r="V40" i="1" s="1"/>
  <c r="W40" i="1"/>
  <c r="X40" i="1"/>
  <c r="Z40" i="1"/>
  <c r="T40" i="1"/>
  <c r="AG39" i="1"/>
  <c r="AC39" i="1"/>
  <c r="AE39" i="1"/>
  <c r="AA39" i="1"/>
  <c r="W41" i="1" l="1"/>
  <c r="Z41" i="1"/>
  <c r="U41" i="1"/>
  <c r="V41" i="1" s="1"/>
  <c r="Y41" i="1"/>
  <c r="T41" i="1"/>
  <c r="X41" i="1"/>
  <c r="S42" i="1"/>
  <c r="AB40" i="1"/>
  <c r="AF40" i="1"/>
  <c r="AA40" i="1"/>
  <c r="AE40" i="1"/>
  <c r="AH40" i="1"/>
  <c r="AD40" i="1"/>
  <c r="AG40" i="1"/>
  <c r="AC40" i="1"/>
  <c r="AC41" i="1" l="1"/>
  <c r="AG41" i="1"/>
  <c r="S43" i="1"/>
  <c r="Y42" i="1"/>
  <c r="U42" i="1"/>
  <c r="V42" i="1" s="1"/>
  <c r="W42" i="1"/>
  <c r="Z42" i="1"/>
  <c r="T42" i="1"/>
  <c r="X42" i="1"/>
  <c r="AF41" i="1"/>
  <c r="AB41" i="1"/>
  <c r="AD41" i="1"/>
  <c r="AH41" i="1"/>
  <c r="AE41" i="1"/>
  <c r="AA41" i="1"/>
  <c r="W43" i="1" l="1"/>
  <c r="Z43" i="1"/>
  <c r="U43" i="1"/>
  <c r="V43" i="1" s="1"/>
  <c r="T43" i="1"/>
  <c r="X43" i="1"/>
  <c r="Y43" i="1"/>
  <c r="S44" i="1"/>
  <c r="AG42" i="1"/>
  <c r="AC42" i="1"/>
  <c r="AH42" i="1"/>
  <c r="AD42" i="1"/>
  <c r="AA42" i="1"/>
  <c r="AE42" i="1"/>
  <c r="AB42" i="1"/>
  <c r="AF42" i="1"/>
  <c r="S45" i="1" l="1"/>
  <c r="Y44" i="1"/>
  <c r="U44" i="1"/>
  <c r="V44" i="1" s="1"/>
  <c r="X44" i="1"/>
  <c r="T44" i="1"/>
  <c r="Z44" i="1"/>
  <c r="W44" i="1"/>
  <c r="AC43" i="1"/>
  <c r="AG43" i="1"/>
  <c r="AH43" i="1"/>
  <c r="AD43" i="1"/>
  <c r="AB43" i="1"/>
  <c r="AF43" i="1"/>
  <c r="AE43" i="1"/>
  <c r="AA43" i="1"/>
  <c r="AF44" i="1" l="1"/>
  <c r="AB44" i="1"/>
  <c r="AE44" i="1"/>
  <c r="AA44" i="1"/>
  <c r="AH44" i="1"/>
  <c r="AD44" i="1"/>
  <c r="AG44" i="1"/>
  <c r="AC44" i="1"/>
  <c r="W45" i="1"/>
  <c r="Z45" i="1"/>
  <c r="U45" i="1"/>
  <c r="V45" i="1" s="1"/>
  <c r="T45" i="1"/>
  <c r="S46" i="1"/>
  <c r="X45" i="1"/>
  <c r="Y45" i="1"/>
  <c r="AB45" i="1" l="1"/>
  <c r="AF45" i="1"/>
  <c r="AC45" i="1"/>
  <c r="AG45" i="1"/>
  <c r="AH45" i="1"/>
  <c r="AD45" i="1"/>
  <c r="S47" i="1"/>
  <c r="Y46" i="1"/>
  <c r="U46" i="1"/>
  <c r="V46" i="1" s="1"/>
  <c r="X46" i="1"/>
  <c r="T46" i="1"/>
  <c r="Z46" i="1"/>
  <c r="W46" i="1"/>
  <c r="AE45" i="1"/>
  <c r="AA45" i="1"/>
  <c r="AH46" i="1" l="1"/>
  <c r="AD46" i="1"/>
  <c r="W47" i="1"/>
  <c r="Z47" i="1"/>
  <c r="U47" i="1"/>
  <c r="V47" i="1" s="1"/>
  <c r="T47" i="1"/>
  <c r="Y47" i="1"/>
  <c r="S48" i="1"/>
  <c r="X47" i="1"/>
  <c r="AG46" i="1"/>
  <c r="AC46" i="1"/>
  <c r="AF46" i="1"/>
  <c r="AB46" i="1"/>
  <c r="AE46" i="1"/>
  <c r="AA46" i="1"/>
  <c r="AE47" i="1" l="1"/>
  <c r="AA47" i="1"/>
  <c r="AH47" i="1"/>
  <c r="AD47" i="1"/>
  <c r="S49" i="1"/>
  <c r="Y48" i="1"/>
  <c r="U48" i="1"/>
  <c r="V48" i="1" s="1"/>
  <c r="X48" i="1"/>
  <c r="T48" i="1"/>
  <c r="Z48" i="1"/>
  <c r="W48" i="1"/>
  <c r="AC47" i="1"/>
  <c r="AG47" i="1"/>
  <c r="AB47" i="1"/>
  <c r="AF47" i="1"/>
  <c r="AF48" i="1" l="1"/>
  <c r="AB48" i="1"/>
  <c r="AE48" i="1"/>
  <c r="AA48" i="1"/>
  <c r="AH48" i="1"/>
  <c r="AD48" i="1"/>
  <c r="AG48" i="1"/>
  <c r="AC48" i="1"/>
  <c r="W49" i="1"/>
  <c r="Z49" i="1"/>
  <c r="U49" i="1"/>
  <c r="V49" i="1" s="1"/>
  <c r="T49" i="1"/>
  <c r="Y49" i="1"/>
  <c r="S50" i="1"/>
  <c r="X49" i="1"/>
  <c r="AF49" i="1" l="1"/>
  <c r="AB49" i="1"/>
  <c r="S51" i="1"/>
  <c r="Y50" i="1"/>
  <c r="U50" i="1"/>
  <c r="V50" i="1" s="1"/>
  <c r="X50" i="1"/>
  <c r="T50" i="1"/>
  <c r="Z50" i="1"/>
  <c r="W50" i="1"/>
  <c r="AH49" i="1"/>
  <c r="AD49" i="1"/>
  <c r="AC49" i="1"/>
  <c r="AG49" i="1"/>
  <c r="AE49" i="1"/>
  <c r="AA49" i="1"/>
  <c r="W51" i="1" l="1"/>
  <c r="Z51" i="1"/>
  <c r="U51" i="1"/>
  <c r="V51" i="1" s="1"/>
  <c r="T51" i="1"/>
  <c r="S52" i="1"/>
  <c r="X51" i="1"/>
  <c r="Y51" i="1"/>
  <c r="AH50" i="1"/>
  <c r="AD50" i="1"/>
  <c r="AF50" i="1"/>
  <c r="AB50" i="1"/>
  <c r="AG50" i="1"/>
  <c r="AC50" i="1"/>
  <c r="AE50" i="1"/>
  <c r="AA50" i="1"/>
  <c r="AC51" i="1" l="1"/>
  <c r="AG51" i="1"/>
  <c r="AB51" i="1"/>
  <c r="AF51" i="1"/>
  <c r="AH51" i="1"/>
  <c r="AD51" i="1"/>
  <c r="S53" i="1"/>
  <c r="Y52" i="1"/>
  <c r="U52" i="1"/>
  <c r="V52" i="1" s="1"/>
  <c r="X52" i="1"/>
  <c r="T52" i="1"/>
  <c r="Z52" i="1"/>
  <c r="W52" i="1"/>
  <c r="AE51" i="1"/>
  <c r="AA51" i="1"/>
  <c r="AH52" i="1" l="1"/>
  <c r="AD52" i="1"/>
  <c r="W53" i="1"/>
  <c r="Z53" i="1"/>
  <c r="U53" i="1"/>
  <c r="V53" i="1" s="1"/>
  <c r="T53" i="1"/>
  <c r="Y53" i="1"/>
  <c r="S54" i="1"/>
  <c r="X53" i="1"/>
  <c r="AF52" i="1"/>
  <c r="AB52" i="1"/>
  <c r="AG52" i="1"/>
  <c r="AC52" i="1"/>
  <c r="AE52" i="1"/>
  <c r="AA52" i="1"/>
  <c r="AH53" i="1" l="1"/>
  <c r="AD53" i="1"/>
  <c r="AE53" i="1"/>
  <c r="AA53" i="1"/>
  <c r="S55" i="1"/>
  <c r="Y54" i="1"/>
  <c r="U54" i="1"/>
  <c r="V54" i="1" s="1"/>
  <c r="X54" i="1"/>
  <c r="T54" i="1"/>
  <c r="Z54" i="1"/>
  <c r="W54" i="1"/>
  <c r="AC53" i="1"/>
  <c r="AG53" i="1"/>
  <c r="AB53" i="1"/>
  <c r="AF53" i="1"/>
  <c r="AF54" i="1" l="1"/>
  <c r="AB54" i="1"/>
  <c r="AH54" i="1"/>
  <c r="AD54" i="1"/>
  <c r="AG54" i="1"/>
  <c r="AC54" i="1"/>
  <c r="AE54" i="1"/>
  <c r="AA54" i="1"/>
  <c r="W55" i="1"/>
  <c r="Z55" i="1"/>
  <c r="U55" i="1"/>
  <c r="V55" i="1" s="1"/>
  <c r="T55" i="1"/>
  <c r="S56" i="1"/>
  <c r="X55" i="1"/>
  <c r="Y55" i="1"/>
  <c r="AC55" i="1" l="1"/>
  <c r="AG55" i="1"/>
  <c r="AF55" i="1"/>
  <c r="AB55" i="1"/>
  <c r="AH55" i="1"/>
  <c r="AD55" i="1"/>
  <c r="S57" i="1"/>
  <c r="Y56" i="1"/>
  <c r="U56" i="1"/>
  <c r="V56" i="1" s="1"/>
  <c r="X56" i="1"/>
  <c r="T56" i="1"/>
  <c r="Z56" i="1"/>
  <c r="W56" i="1"/>
  <c r="AE55" i="1"/>
  <c r="AA55" i="1"/>
  <c r="W57" i="1" l="1"/>
  <c r="Z57" i="1"/>
  <c r="U57" i="1"/>
  <c r="V57" i="1" s="1"/>
  <c r="T57" i="1"/>
  <c r="X57" i="1"/>
  <c r="S58" i="1"/>
  <c r="Y57" i="1"/>
  <c r="AF56" i="1"/>
  <c r="AB56" i="1"/>
  <c r="AH56" i="1"/>
  <c r="AD56" i="1"/>
  <c r="AG56" i="1"/>
  <c r="AC56" i="1"/>
  <c r="AA56" i="1"/>
  <c r="AE56" i="1"/>
  <c r="S59" i="1" l="1"/>
  <c r="Y58" i="1"/>
  <c r="U58" i="1"/>
  <c r="V58" i="1" s="1"/>
  <c r="X58" i="1"/>
  <c r="T58" i="1"/>
  <c r="Z58" i="1"/>
  <c r="W58" i="1"/>
  <c r="AH57" i="1"/>
  <c r="AD57" i="1"/>
  <c r="AC57" i="1"/>
  <c r="AG57" i="1"/>
  <c r="AB57" i="1"/>
  <c r="AF57" i="1"/>
  <c r="AE57" i="1"/>
  <c r="AA57" i="1"/>
  <c r="AF58" i="1" l="1"/>
  <c r="AB58" i="1"/>
  <c r="AE58" i="1"/>
  <c r="AA58" i="1"/>
  <c r="AH58" i="1"/>
  <c r="AD58" i="1"/>
  <c r="AG58" i="1"/>
  <c r="AC58" i="1"/>
  <c r="W59" i="1"/>
  <c r="Z59" i="1"/>
  <c r="U59" i="1"/>
  <c r="V59" i="1" s="1"/>
  <c r="S60" i="1"/>
  <c r="T59" i="1"/>
  <c r="X59" i="1"/>
  <c r="Y59" i="1"/>
  <c r="Z60" i="1" l="1"/>
  <c r="S61" i="1"/>
  <c r="Y60" i="1"/>
  <c r="U60" i="1"/>
  <c r="V60" i="1" s="1"/>
  <c r="X60" i="1"/>
  <c r="T60" i="1"/>
  <c r="W60" i="1"/>
  <c r="AF59" i="1"/>
  <c r="AB59" i="1"/>
  <c r="AH59" i="1"/>
  <c r="AD59" i="1"/>
  <c r="AG59" i="1"/>
  <c r="AC59" i="1"/>
  <c r="AE59" i="1"/>
  <c r="AA59" i="1"/>
  <c r="AA60" i="1" l="1"/>
  <c r="AE60" i="1"/>
  <c r="AG60" i="1"/>
  <c r="AC60" i="1"/>
  <c r="X61" i="1"/>
  <c r="T61" i="1"/>
  <c r="W61" i="1"/>
  <c r="Z61" i="1"/>
  <c r="S62" i="1"/>
  <c r="Y61" i="1"/>
  <c r="U61" i="1"/>
  <c r="V61" i="1" s="1"/>
  <c r="AF60" i="1"/>
  <c r="AB60" i="1"/>
  <c r="AH60" i="1"/>
  <c r="AD60" i="1"/>
  <c r="AE61" i="1" l="1"/>
  <c r="AA61" i="1"/>
  <c r="AH61" i="1"/>
  <c r="AD61" i="1"/>
  <c r="AG61" i="1"/>
  <c r="AC61" i="1"/>
  <c r="Z62" i="1"/>
  <c r="S63" i="1"/>
  <c r="Y62" i="1"/>
  <c r="U62" i="1"/>
  <c r="V62" i="1" s="1"/>
  <c r="X62" i="1"/>
  <c r="T62" i="1"/>
  <c r="W62" i="1"/>
  <c r="AF61" i="1"/>
  <c r="AB61" i="1"/>
  <c r="X63" i="1" l="1"/>
  <c r="T63" i="1"/>
  <c r="W63" i="1"/>
  <c r="Z63" i="1"/>
  <c r="S64" i="1"/>
  <c r="Y63" i="1"/>
  <c r="U63" i="1"/>
  <c r="V63" i="1" s="1"/>
  <c r="AF62" i="1"/>
  <c r="AB62" i="1"/>
  <c r="AH62" i="1"/>
  <c r="AD62" i="1"/>
  <c r="AA62" i="1"/>
  <c r="AE62" i="1"/>
  <c r="AG62" i="1"/>
  <c r="AC62" i="1"/>
  <c r="AE63" i="1" l="1"/>
  <c r="AA63" i="1"/>
  <c r="AH63" i="1"/>
  <c r="AD63" i="1"/>
  <c r="AG63" i="1"/>
  <c r="AC63" i="1"/>
  <c r="Z64" i="1"/>
  <c r="S65" i="1"/>
  <c r="Y64" i="1"/>
  <c r="U64" i="1"/>
  <c r="V64" i="1" s="1"/>
  <c r="X64" i="1"/>
  <c r="T64" i="1"/>
  <c r="W64" i="1"/>
  <c r="AF63" i="1"/>
  <c r="AB63" i="1"/>
  <c r="AF64" i="1" l="1"/>
  <c r="AB64" i="1"/>
  <c r="AH64" i="1"/>
  <c r="AD64" i="1"/>
  <c r="X65" i="1"/>
  <c r="T65" i="1"/>
  <c r="W65" i="1"/>
  <c r="Z65" i="1"/>
  <c r="S66" i="1"/>
  <c r="Y65" i="1"/>
  <c r="U65" i="1"/>
  <c r="V65" i="1" s="1"/>
  <c r="AA64" i="1"/>
  <c r="AE64" i="1"/>
  <c r="AG64" i="1"/>
  <c r="AC64" i="1"/>
  <c r="AE65" i="1" l="1"/>
  <c r="AA65" i="1"/>
  <c r="AH65" i="1"/>
  <c r="AD65" i="1"/>
  <c r="AG65" i="1"/>
  <c r="AC65" i="1"/>
  <c r="Z66" i="1"/>
  <c r="S67" i="1"/>
  <c r="Y66" i="1"/>
  <c r="U66" i="1"/>
  <c r="V66" i="1" s="1"/>
  <c r="X66" i="1"/>
  <c r="T66" i="1"/>
  <c r="W66" i="1"/>
  <c r="AF65" i="1"/>
  <c r="AB65" i="1"/>
  <c r="X67" i="1" l="1"/>
  <c r="T67" i="1"/>
  <c r="W67" i="1"/>
  <c r="Z67" i="1"/>
  <c r="S68" i="1"/>
  <c r="Y67" i="1"/>
  <c r="U67" i="1"/>
  <c r="V67" i="1" s="1"/>
  <c r="AF66" i="1"/>
  <c r="AB66" i="1"/>
  <c r="AH66" i="1"/>
  <c r="AD66" i="1"/>
  <c r="AA66" i="1"/>
  <c r="AE66" i="1"/>
  <c r="AG66" i="1"/>
  <c r="AC66" i="1"/>
  <c r="AE67" i="1" l="1"/>
  <c r="AA67" i="1"/>
  <c r="AH67" i="1"/>
  <c r="AD67" i="1"/>
  <c r="AG67" i="1"/>
  <c r="AC67" i="1"/>
  <c r="Z68" i="1"/>
  <c r="S69" i="1"/>
  <c r="Y68" i="1"/>
  <c r="U68" i="1"/>
  <c r="V68" i="1" s="1"/>
  <c r="X68" i="1"/>
  <c r="T68" i="1"/>
  <c r="W68" i="1"/>
  <c r="AF67" i="1"/>
  <c r="AB67" i="1"/>
  <c r="AF68" i="1" l="1"/>
  <c r="AB68" i="1"/>
  <c r="AH68" i="1"/>
  <c r="AD68" i="1"/>
  <c r="X69" i="1"/>
  <c r="T69" i="1"/>
  <c r="W69" i="1"/>
  <c r="Z69" i="1"/>
  <c r="S70" i="1"/>
  <c r="Y69" i="1"/>
  <c r="U69" i="1"/>
  <c r="V69" i="1" s="1"/>
  <c r="AA68" i="1"/>
  <c r="AE68" i="1"/>
  <c r="AG68" i="1"/>
  <c r="AC68" i="1"/>
  <c r="AE69" i="1" l="1"/>
  <c r="AA69" i="1"/>
  <c r="AG69" i="1"/>
  <c r="AC69" i="1"/>
  <c r="AH69" i="1"/>
  <c r="AD69" i="1"/>
  <c r="Z70" i="1"/>
  <c r="S71" i="1"/>
  <c r="Y70" i="1"/>
  <c r="U70" i="1"/>
  <c r="V70" i="1" s="1"/>
  <c r="X70" i="1"/>
  <c r="T70" i="1"/>
  <c r="W70" i="1"/>
  <c r="AF69" i="1"/>
  <c r="AB69" i="1"/>
  <c r="X71" i="1" l="1"/>
  <c r="T71" i="1"/>
  <c r="W71" i="1"/>
  <c r="Z71" i="1"/>
  <c r="U71" i="1"/>
  <c r="V71" i="1" s="1"/>
  <c r="S72" i="1"/>
  <c r="Y71" i="1"/>
  <c r="AH70" i="1"/>
  <c r="AD70" i="1"/>
  <c r="AF70" i="1"/>
  <c r="AB70" i="1"/>
  <c r="AA70" i="1"/>
  <c r="AE70" i="1"/>
  <c r="AG70" i="1"/>
  <c r="AC70" i="1"/>
  <c r="AG71" i="1" l="1"/>
  <c r="AC71" i="1"/>
  <c r="AE71" i="1"/>
  <c r="AA71" i="1"/>
  <c r="Z72" i="1"/>
  <c r="S73" i="1"/>
  <c r="Y72" i="1"/>
  <c r="U72" i="1"/>
  <c r="V72" i="1" s="1"/>
  <c r="X72" i="1"/>
  <c r="T72" i="1"/>
  <c r="W72" i="1"/>
  <c r="AH71" i="1"/>
  <c r="AD71" i="1"/>
  <c r="AF71" i="1"/>
  <c r="AB71" i="1"/>
  <c r="AA72" i="1" l="1"/>
  <c r="AE72" i="1"/>
  <c r="AG72" i="1"/>
  <c r="AC72" i="1"/>
  <c r="X73" i="1"/>
  <c r="T73" i="1"/>
  <c r="W73" i="1"/>
  <c r="Z73" i="1"/>
  <c r="S74" i="1"/>
  <c r="U73" i="1"/>
  <c r="V73" i="1" s="1"/>
  <c r="Y73" i="1"/>
  <c r="AF72" i="1"/>
  <c r="AB72" i="1"/>
  <c r="AH72" i="1"/>
  <c r="AD72" i="1"/>
  <c r="AH73" i="1" l="1"/>
  <c r="AD73" i="1"/>
  <c r="AG73" i="1"/>
  <c r="AC73" i="1"/>
  <c r="AE73" i="1"/>
  <c r="AA73" i="1"/>
  <c r="Z74" i="1"/>
  <c r="S75" i="1"/>
  <c r="Y74" i="1"/>
  <c r="U74" i="1"/>
  <c r="V74" i="1" s="1"/>
  <c r="X74" i="1"/>
  <c r="T74" i="1"/>
  <c r="W74" i="1"/>
  <c r="AF73" i="1"/>
  <c r="AB73" i="1"/>
  <c r="X75" i="1" l="1"/>
  <c r="T75" i="1"/>
  <c r="W75" i="1"/>
  <c r="Z75" i="1"/>
  <c r="S76" i="1"/>
  <c r="U75" i="1"/>
  <c r="V75" i="1" s="1"/>
  <c r="Y75" i="1"/>
  <c r="AH74" i="1"/>
  <c r="AD74" i="1"/>
  <c r="AF74" i="1"/>
  <c r="AB74" i="1"/>
  <c r="AE74" i="1"/>
  <c r="AA74" i="1"/>
  <c r="AG74" i="1"/>
  <c r="AC74" i="1"/>
  <c r="AG75" i="1" l="1"/>
  <c r="AC75" i="1"/>
  <c r="AE75" i="1"/>
  <c r="AA75" i="1"/>
  <c r="AH75" i="1"/>
  <c r="AD75" i="1"/>
  <c r="Z76" i="1"/>
  <c r="S77" i="1"/>
  <c r="Y76" i="1"/>
  <c r="U76" i="1"/>
  <c r="V76" i="1" s="1"/>
  <c r="X76" i="1"/>
  <c r="T76" i="1"/>
  <c r="W76" i="1"/>
  <c r="AF75" i="1"/>
  <c r="AB75" i="1"/>
  <c r="AH76" i="1" l="1"/>
  <c r="AD76" i="1"/>
  <c r="X77" i="1"/>
  <c r="T77" i="1"/>
  <c r="W77" i="1"/>
  <c r="Z77" i="1"/>
  <c r="S78" i="1"/>
  <c r="U77" i="1"/>
  <c r="V77" i="1" s="1"/>
  <c r="Y77" i="1"/>
  <c r="AF76" i="1"/>
  <c r="AB76" i="1"/>
  <c r="AA76" i="1"/>
  <c r="AE76" i="1"/>
  <c r="AG76" i="1"/>
  <c r="AC76" i="1"/>
  <c r="AF77" i="1" l="1"/>
  <c r="AB77" i="1"/>
  <c r="AH77" i="1"/>
  <c r="AD77" i="1"/>
  <c r="Z78" i="1"/>
  <c r="S79" i="1"/>
  <c r="Y78" i="1"/>
  <c r="U78" i="1"/>
  <c r="V78" i="1" s="1"/>
  <c r="X78" i="1"/>
  <c r="T78" i="1"/>
  <c r="W78" i="1"/>
  <c r="AG77" i="1"/>
  <c r="AC77" i="1"/>
  <c r="AE77" i="1"/>
  <c r="AA77" i="1"/>
  <c r="AA78" i="1" l="1"/>
  <c r="AE78" i="1"/>
  <c r="AG78" i="1"/>
  <c r="AC78" i="1"/>
  <c r="X79" i="1"/>
  <c r="T79" i="1"/>
  <c r="W79" i="1"/>
  <c r="Z79" i="1"/>
  <c r="S80" i="1"/>
  <c r="Y79" i="1"/>
  <c r="U79" i="1"/>
  <c r="V79" i="1" s="1"/>
  <c r="AF78" i="1"/>
  <c r="AB78" i="1"/>
  <c r="AH78" i="1"/>
  <c r="AD78" i="1"/>
  <c r="AE79" i="1" l="1"/>
  <c r="AA79" i="1"/>
  <c r="AH79" i="1"/>
  <c r="AD79" i="1"/>
  <c r="AG79" i="1"/>
  <c r="AC79" i="1"/>
  <c r="Z80" i="1"/>
  <c r="S81" i="1"/>
  <c r="Y80" i="1"/>
  <c r="U80" i="1"/>
  <c r="V80" i="1" s="1"/>
  <c r="X80" i="1"/>
  <c r="T80" i="1"/>
  <c r="W80" i="1"/>
  <c r="AF79" i="1"/>
  <c r="AB79" i="1"/>
  <c r="AH80" i="1" l="1"/>
  <c r="AD80" i="1"/>
  <c r="X81" i="1"/>
  <c r="T81" i="1"/>
  <c r="W81" i="1"/>
  <c r="Z81" i="1"/>
  <c r="S82" i="1"/>
  <c r="Y81" i="1"/>
  <c r="U81" i="1"/>
  <c r="V81" i="1" s="1"/>
  <c r="AF80" i="1"/>
  <c r="AB80" i="1"/>
  <c r="AA80" i="1"/>
  <c r="AE80" i="1"/>
  <c r="AG80" i="1"/>
  <c r="AC80" i="1"/>
  <c r="Z82" i="1" l="1"/>
  <c r="S83" i="1"/>
  <c r="Y82" i="1"/>
  <c r="U82" i="1"/>
  <c r="V82" i="1" s="1"/>
  <c r="X82" i="1"/>
  <c r="T82" i="1"/>
  <c r="W82" i="1"/>
  <c r="AF81" i="1"/>
  <c r="AB81" i="1"/>
  <c r="AH81" i="1"/>
  <c r="AD81" i="1"/>
  <c r="AG81" i="1"/>
  <c r="AC81" i="1"/>
  <c r="AE81" i="1"/>
  <c r="AA81" i="1"/>
  <c r="X83" i="1" l="1"/>
  <c r="T83" i="1"/>
  <c r="W83" i="1"/>
  <c r="Z83" i="1"/>
  <c r="S84" i="1"/>
  <c r="U83" i="1"/>
  <c r="V83" i="1" s="1"/>
  <c r="Y83" i="1"/>
  <c r="AA82" i="1"/>
  <c r="AE82" i="1"/>
  <c r="AG82" i="1"/>
  <c r="AC82" i="1"/>
  <c r="AF82" i="1"/>
  <c r="AB82" i="1"/>
  <c r="AH82" i="1"/>
  <c r="AD82" i="1"/>
  <c r="AG83" i="1" l="1"/>
  <c r="AC83" i="1"/>
  <c r="AE83" i="1"/>
  <c r="AA83" i="1"/>
  <c r="AH83" i="1"/>
  <c r="AD83" i="1"/>
  <c r="Z84" i="1"/>
  <c r="S85" i="1"/>
  <c r="Y84" i="1"/>
  <c r="U84" i="1"/>
  <c r="V84" i="1" s="1"/>
  <c r="X84" i="1"/>
  <c r="T84" i="1"/>
  <c r="W84" i="1"/>
  <c r="AF83" i="1"/>
  <c r="AB83" i="1"/>
  <c r="AH84" i="1" l="1"/>
  <c r="AD84" i="1"/>
  <c r="X85" i="1"/>
  <c r="T85" i="1"/>
  <c r="W85" i="1"/>
  <c r="Z85" i="1"/>
  <c r="S86" i="1"/>
  <c r="U85" i="1"/>
  <c r="V85" i="1" s="1"/>
  <c r="Y85" i="1"/>
  <c r="AF84" i="1"/>
  <c r="AB84" i="1"/>
  <c r="AA84" i="1"/>
  <c r="AE84" i="1"/>
  <c r="AG84" i="1"/>
  <c r="AC84" i="1"/>
  <c r="AF85" i="1" l="1"/>
  <c r="AB85" i="1"/>
  <c r="Z86" i="1"/>
  <c r="S87" i="1"/>
  <c r="Y86" i="1"/>
  <c r="U86" i="1"/>
  <c r="V86" i="1" s="1"/>
  <c r="X86" i="1"/>
  <c r="T86" i="1"/>
  <c r="W86" i="1"/>
  <c r="AH85" i="1"/>
  <c r="AD85" i="1"/>
  <c r="AG85" i="1"/>
  <c r="AC85" i="1"/>
  <c r="AE85" i="1"/>
  <c r="AA85" i="1"/>
  <c r="AF86" i="1" l="1"/>
  <c r="AB86" i="1"/>
  <c r="AH86" i="1"/>
  <c r="AD86" i="1"/>
  <c r="X87" i="1"/>
  <c r="T87" i="1"/>
  <c r="W87" i="1"/>
  <c r="Z87" i="1"/>
  <c r="S88" i="1"/>
  <c r="U87" i="1"/>
  <c r="V87" i="1" s="1"/>
  <c r="Y87" i="1"/>
  <c r="AE86" i="1"/>
  <c r="AA86" i="1"/>
  <c r="AG86" i="1"/>
  <c r="AC86" i="1"/>
  <c r="AH87" i="1" l="1"/>
  <c r="AD87" i="1"/>
  <c r="AG87" i="1"/>
  <c r="AC87" i="1"/>
  <c r="AE87" i="1"/>
  <c r="AA87" i="1"/>
  <c r="Z88" i="1"/>
  <c r="S89" i="1"/>
  <c r="Y88" i="1"/>
  <c r="U88" i="1"/>
  <c r="V88" i="1" s="1"/>
  <c r="X88" i="1"/>
  <c r="T88" i="1"/>
  <c r="W88" i="1"/>
  <c r="AF87" i="1"/>
  <c r="AB87" i="1"/>
  <c r="X89" i="1" l="1"/>
  <c r="T89" i="1"/>
  <c r="W89" i="1"/>
  <c r="Z89" i="1"/>
  <c r="U89" i="1"/>
  <c r="V89" i="1" s="1"/>
  <c r="S90" i="1"/>
  <c r="Y89" i="1"/>
  <c r="AH88" i="1"/>
  <c r="AD88" i="1"/>
  <c r="AF88" i="1"/>
  <c r="AB88" i="1"/>
  <c r="AA88" i="1"/>
  <c r="AE88" i="1"/>
  <c r="AG88" i="1"/>
  <c r="AC88" i="1"/>
  <c r="AG89" i="1" l="1"/>
  <c r="AC89" i="1"/>
  <c r="AE89" i="1"/>
  <c r="AA89" i="1"/>
  <c r="AH89" i="1"/>
  <c r="AD89" i="1"/>
  <c r="Z90" i="1"/>
  <c r="S91" i="1"/>
  <c r="Y90" i="1"/>
  <c r="U90" i="1"/>
  <c r="V90" i="1" s="1"/>
  <c r="X90" i="1"/>
  <c r="T90" i="1"/>
  <c r="W90" i="1"/>
  <c r="AF89" i="1"/>
  <c r="AB89" i="1"/>
  <c r="AF90" i="1" l="1"/>
  <c r="AB90" i="1"/>
  <c r="X91" i="1"/>
  <c r="T91" i="1"/>
  <c r="W91" i="1"/>
  <c r="Z91" i="1"/>
  <c r="U91" i="1"/>
  <c r="V91" i="1" s="1"/>
  <c r="S92" i="1"/>
  <c r="Y91" i="1"/>
  <c r="AH90" i="1"/>
  <c r="AD90" i="1"/>
  <c r="AE90" i="1"/>
  <c r="AA90" i="1"/>
  <c r="AG90" i="1"/>
  <c r="AC90" i="1"/>
  <c r="AF91" i="1" l="1"/>
  <c r="AB91" i="1"/>
  <c r="Z92" i="1"/>
  <c r="S93" i="1"/>
  <c r="Y92" i="1"/>
  <c r="U92" i="1"/>
  <c r="V92" i="1" s="1"/>
  <c r="X92" i="1"/>
  <c r="T92" i="1"/>
  <c r="W92" i="1"/>
  <c r="AH91" i="1"/>
  <c r="AD91" i="1"/>
  <c r="AG91" i="1"/>
  <c r="AC91" i="1"/>
  <c r="AE91" i="1"/>
  <c r="AA91" i="1"/>
  <c r="AF92" i="1" l="1"/>
  <c r="AB92" i="1"/>
  <c r="AH92" i="1"/>
  <c r="AD92" i="1"/>
  <c r="X93" i="1"/>
  <c r="T93" i="1"/>
  <c r="W93" i="1"/>
  <c r="Z93" i="1"/>
  <c r="U93" i="1"/>
  <c r="V93" i="1" s="1"/>
  <c r="S94" i="1"/>
  <c r="Y93" i="1"/>
  <c r="AA92" i="1"/>
  <c r="AE92" i="1"/>
  <c r="AG92" i="1"/>
  <c r="AC92" i="1"/>
  <c r="AE93" i="1" l="1"/>
  <c r="AA93" i="1"/>
  <c r="Z94" i="1"/>
  <c r="S95" i="1"/>
  <c r="Y94" i="1"/>
  <c r="U94" i="1"/>
  <c r="V94" i="1" s="1"/>
  <c r="X94" i="1"/>
  <c r="T94" i="1"/>
  <c r="W94" i="1"/>
  <c r="AH93" i="1"/>
  <c r="AD93" i="1"/>
  <c r="AG93" i="1"/>
  <c r="AC93" i="1"/>
  <c r="AF93" i="1"/>
  <c r="AB93" i="1"/>
  <c r="AF94" i="1" l="1"/>
  <c r="AB94" i="1"/>
  <c r="AH94" i="1"/>
  <c r="AD94" i="1"/>
  <c r="X95" i="1"/>
  <c r="T95" i="1"/>
  <c r="W95" i="1"/>
  <c r="Z95" i="1"/>
  <c r="S96" i="1"/>
  <c r="U95" i="1"/>
  <c r="V95" i="1" s="1"/>
  <c r="Y95" i="1"/>
  <c r="AA94" i="1"/>
  <c r="AE94" i="1"/>
  <c r="AG94" i="1"/>
  <c r="AC94" i="1"/>
  <c r="AG95" i="1" l="1"/>
  <c r="AC95" i="1"/>
  <c r="AE95" i="1"/>
  <c r="AA95" i="1"/>
  <c r="AH95" i="1"/>
  <c r="AD95" i="1"/>
  <c r="Z96" i="1"/>
  <c r="S97" i="1"/>
  <c r="Y96" i="1"/>
  <c r="U96" i="1"/>
  <c r="V96" i="1" s="1"/>
  <c r="X96" i="1"/>
  <c r="T96" i="1"/>
  <c r="W96" i="1"/>
  <c r="AF95" i="1"/>
  <c r="AB95" i="1"/>
  <c r="X97" i="1" l="1"/>
  <c r="T97" i="1"/>
  <c r="W97" i="1"/>
  <c r="Z97" i="1"/>
  <c r="S98" i="1"/>
  <c r="Y97" i="1"/>
  <c r="U97" i="1"/>
  <c r="V97" i="1" s="1"/>
  <c r="AH96" i="1"/>
  <c r="AD96" i="1"/>
  <c r="AF96" i="1"/>
  <c r="AB96" i="1"/>
  <c r="AA96" i="1"/>
  <c r="AE96" i="1"/>
  <c r="AG96" i="1"/>
  <c r="AC96" i="1"/>
  <c r="AE97" i="1" l="1"/>
  <c r="AA97" i="1"/>
  <c r="AH97" i="1"/>
  <c r="AD97" i="1"/>
  <c r="AG97" i="1"/>
  <c r="AC97" i="1"/>
  <c r="Z98" i="1"/>
  <c r="S99" i="1"/>
  <c r="Y98" i="1"/>
  <c r="U98" i="1"/>
  <c r="V98" i="1" s="1"/>
  <c r="X98" i="1"/>
  <c r="T98" i="1"/>
  <c r="W98" i="1"/>
  <c r="AF97" i="1"/>
  <c r="AB97" i="1"/>
  <c r="X99" i="1" l="1"/>
  <c r="T99" i="1"/>
  <c r="W99" i="1"/>
  <c r="Z99" i="1"/>
  <c r="S100" i="1"/>
  <c r="U99" i="1"/>
  <c r="V99" i="1" s="1"/>
  <c r="Y99" i="1"/>
  <c r="AH98" i="1"/>
  <c r="AD98" i="1"/>
  <c r="AF98" i="1"/>
  <c r="AB98" i="1"/>
  <c r="AA98" i="1"/>
  <c r="AE98" i="1"/>
  <c r="AG98" i="1"/>
  <c r="AC98" i="1"/>
  <c r="AG99" i="1" l="1"/>
  <c r="AC99" i="1"/>
  <c r="AE99" i="1"/>
  <c r="AA99" i="1"/>
  <c r="AH99" i="1"/>
  <c r="AD99" i="1"/>
  <c r="Z100" i="1"/>
  <c r="S101" i="1"/>
  <c r="Y100" i="1"/>
  <c r="U100" i="1"/>
  <c r="V100" i="1" s="1"/>
  <c r="X100" i="1"/>
  <c r="T100" i="1"/>
  <c r="W100" i="1"/>
  <c r="AF99" i="1"/>
  <c r="AB99" i="1"/>
  <c r="X101" i="1" l="1"/>
  <c r="T101" i="1"/>
  <c r="W101" i="1"/>
  <c r="Z101" i="1"/>
  <c r="S102" i="1"/>
  <c r="U101" i="1"/>
  <c r="V101" i="1" s="1"/>
  <c r="Y101" i="1"/>
  <c r="AH100" i="1"/>
  <c r="AD100" i="1"/>
  <c r="AF100" i="1"/>
  <c r="AB100" i="1"/>
  <c r="AE100" i="1"/>
  <c r="AA100" i="1"/>
  <c r="AG100" i="1"/>
  <c r="AC100" i="1"/>
  <c r="AG101" i="1" l="1"/>
  <c r="AC101" i="1"/>
  <c r="AE101" i="1"/>
  <c r="AA101" i="1"/>
  <c r="AH101" i="1"/>
  <c r="AD101" i="1"/>
  <c r="Z102" i="1"/>
  <c r="S103" i="1"/>
  <c r="Y102" i="1"/>
  <c r="U102" i="1"/>
  <c r="V102" i="1" s="1"/>
  <c r="X102" i="1"/>
  <c r="T102" i="1"/>
  <c r="W102" i="1"/>
  <c r="AF101" i="1"/>
  <c r="AB101" i="1"/>
  <c r="AF102" i="1" l="1"/>
  <c r="AB102" i="1"/>
  <c r="X103" i="1"/>
  <c r="T103" i="1"/>
  <c r="W103" i="1"/>
  <c r="Z103" i="1"/>
  <c r="S104" i="1"/>
  <c r="Y103" i="1"/>
  <c r="U103" i="1"/>
  <c r="V103" i="1" s="1"/>
  <c r="AH102" i="1"/>
  <c r="AD102" i="1"/>
  <c r="AA102" i="1"/>
  <c r="AE102" i="1"/>
  <c r="AG102" i="1"/>
  <c r="AC102" i="1"/>
  <c r="AG103" i="1" l="1"/>
  <c r="AC103" i="1"/>
  <c r="AF103" i="1"/>
  <c r="AB103" i="1"/>
  <c r="Z104" i="1"/>
  <c r="S105" i="1"/>
  <c r="Y104" i="1"/>
  <c r="U104" i="1"/>
  <c r="V104" i="1" s="1"/>
  <c r="X104" i="1"/>
  <c r="T104" i="1"/>
  <c r="W104" i="1"/>
  <c r="AH103" i="1"/>
  <c r="AD103" i="1"/>
  <c r="AE103" i="1"/>
  <c r="AA103" i="1"/>
  <c r="AA104" i="1" l="1"/>
  <c r="AE104" i="1"/>
  <c r="AG104" i="1"/>
  <c r="AC104" i="1"/>
  <c r="X105" i="1"/>
  <c r="T105" i="1"/>
  <c r="W105" i="1"/>
  <c r="Z105" i="1"/>
  <c r="S106" i="1"/>
  <c r="Y105" i="1"/>
  <c r="U105" i="1"/>
  <c r="V105" i="1" s="1"/>
  <c r="AF104" i="1"/>
  <c r="AB104" i="1"/>
  <c r="AH104" i="1"/>
  <c r="AD104" i="1"/>
  <c r="AE105" i="1" l="1"/>
  <c r="AA105" i="1"/>
  <c r="AH105" i="1"/>
  <c r="AD105" i="1"/>
  <c r="AG105" i="1"/>
  <c r="AC105" i="1"/>
  <c r="Z106" i="1"/>
  <c r="S107" i="1"/>
  <c r="Y106" i="1"/>
  <c r="U106" i="1"/>
  <c r="V106" i="1" s="1"/>
  <c r="X106" i="1"/>
  <c r="T106" i="1"/>
  <c r="W106" i="1"/>
  <c r="AF105" i="1"/>
  <c r="AB105" i="1"/>
  <c r="AH106" i="1" l="1"/>
  <c r="AD106" i="1"/>
  <c r="X107" i="1"/>
  <c r="T107" i="1"/>
  <c r="W107" i="1"/>
  <c r="Z107" i="1"/>
  <c r="S108" i="1"/>
  <c r="Y107" i="1"/>
  <c r="U107" i="1"/>
  <c r="V107" i="1" s="1"/>
  <c r="AF106" i="1"/>
  <c r="AB106" i="1"/>
  <c r="AA106" i="1"/>
  <c r="AE106" i="1"/>
  <c r="AG106" i="1"/>
  <c r="AC106" i="1"/>
  <c r="AG107" i="1" l="1"/>
  <c r="AC107" i="1"/>
  <c r="AF107" i="1"/>
  <c r="AB107" i="1"/>
  <c r="Z108" i="1"/>
  <c r="S109" i="1"/>
  <c r="Y108" i="1"/>
  <c r="U108" i="1"/>
  <c r="V108" i="1" s="1"/>
  <c r="X108" i="1"/>
  <c r="T108" i="1"/>
  <c r="W108" i="1"/>
  <c r="AH107" i="1"/>
  <c r="AD107" i="1"/>
  <c r="AE107" i="1"/>
  <c r="AA107" i="1"/>
  <c r="AE108" i="1" l="1"/>
  <c r="AA108" i="1"/>
  <c r="AG108" i="1"/>
  <c r="AC108" i="1"/>
  <c r="X109" i="1"/>
  <c r="T109" i="1"/>
  <c r="W109" i="1"/>
  <c r="Z109" i="1"/>
  <c r="S110" i="1"/>
  <c r="U109" i="1"/>
  <c r="V109" i="1" s="1"/>
  <c r="Y109" i="1"/>
  <c r="AF108" i="1"/>
  <c r="AB108" i="1"/>
  <c r="AH108" i="1"/>
  <c r="AD108" i="1"/>
  <c r="AH109" i="1" l="1"/>
  <c r="AD109" i="1"/>
  <c r="AG109" i="1"/>
  <c r="AC109" i="1"/>
  <c r="AE109" i="1"/>
  <c r="AA109" i="1"/>
  <c r="Z110" i="1"/>
  <c r="S111" i="1"/>
  <c r="Y110" i="1"/>
  <c r="U110" i="1"/>
  <c r="V110" i="1" s="1"/>
  <c r="X110" i="1"/>
  <c r="T110" i="1"/>
  <c r="W110" i="1"/>
  <c r="AF109" i="1"/>
  <c r="AB109" i="1"/>
  <c r="X111" i="1" l="1"/>
  <c r="T111" i="1"/>
  <c r="W111" i="1"/>
  <c r="Z111" i="1"/>
  <c r="S112" i="1"/>
  <c r="U111" i="1"/>
  <c r="V111" i="1" s="1"/>
  <c r="Y111" i="1"/>
  <c r="AH110" i="1"/>
  <c r="AD110" i="1"/>
  <c r="AF110" i="1"/>
  <c r="AB110" i="1"/>
  <c r="AA110" i="1"/>
  <c r="AE110" i="1"/>
  <c r="AG110" i="1"/>
  <c r="AC110" i="1"/>
  <c r="AG111" i="1" l="1"/>
  <c r="AC111" i="1"/>
  <c r="AE111" i="1"/>
  <c r="AA111" i="1"/>
  <c r="AH111" i="1"/>
  <c r="AD111" i="1"/>
  <c r="Z112" i="1"/>
  <c r="S113" i="1"/>
  <c r="Y112" i="1"/>
  <c r="U112" i="1"/>
  <c r="V112" i="1" s="1"/>
  <c r="X112" i="1"/>
  <c r="T112" i="1"/>
  <c r="W112" i="1"/>
  <c r="AF111" i="1"/>
  <c r="AB111" i="1"/>
  <c r="X113" i="1" l="1"/>
  <c r="T113" i="1"/>
  <c r="W113" i="1"/>
  <c r="Z113" i="1"/>
  <c r="S114" i="1"/>
  <c r="U113" i="1"/>
  <c r="V113" i="1" s="1"/>
  <c r="Y113" i="1"/>
  <c r="AH112" i="1"/>
  <c r="AD112" i="1"/>
  <c r="AF112" i="1"/>
  <c r="AB112" i="1"/>
  <c r="AA112" i="1"/>
  <c r="AE112" i="1"/>
  <c r="AG112" i="1"/>
  <c r="AC112" i="1"/>
  <c r="AH113" i="1" l="1"/>
  <c r="AD113" i="1"/>
  <c r="AG113" i="1"/>
  <c r="AC113" i="1"/>
  <c r="AE113" i="1"/>
  <c r="AA113" i="1"/>
  <c r="Z114" i="1"/>
  <c r="S115" i="1"/>
  <c r="Y114" i="1"/>
  <c r="U114" i="1"/>
  <c r="V114" i="1" s="1"/>
  <c r="X114" i="1"/>
  <c r="T114" i="1"/>
  <c r="W114" i="1"/>
  <c r="AF113" i="1"/>
  <c r="AB113" i="1"/>
  <c r="AH114" i="1" l="1"/>
  <c r="AD114" i="1"/>
  <c r="X115" i="1"/>
  <c r="T115" i="1"/>
  <c r="W115" i="1"/>
  <c r="Z115" i="1"/>
  <c r="S116" i="1"/>
  <c r="U115" i="1"/>
  <c r="V115" i="1" s="1"/>
  <c r="Y115" i="1"/>
  <c r="AF114" i="1"/>
  <c r="AB114" i="1"/>
  <c r="AE114" i="1"/>
  <c r="AA114" i="1"/>
  <c r="AG114" i="1"/>
  <c r="AC114" i="1"/>
  <c r="AF115" i="1" l="1"/>
  <c r="AB115" i="1"/>
  <c r="AG115" i="1"/>
  <c r="AC115" i="1"/>
  <c r="AE115" i="1"/>
  <c r="AA115" i="1"/>
  <c r="Z116" i="1"/>
  <c r="S117" i="1"/>
  <c r="Y116" i="1"/>
  <c r="U116" i="1"/>
  <c r="V116" i="1" s="1"/>
  <c r="X116" i="1"/>
  <c r="T116" i="1"/>
  <c r="W116" i="1"/>
  <c r="AH115" i="1"/>
  <c r="AD115" i="1"/>
  <c r="X117" i="1" l="1"/>
  <c r="T117" i="1"/>
  <c r="W117" i="1"/>
  <c r="Z117" i="1"/>
  <c r="S118" i="1"/>
  <c r="U117" i="1"/>
  <c r="V117" i="1" s="1"/>
  <c r="Y117" i="1"/>
  <c r="AF116" i="1"/>
  <c r="AB116" i="1"/>
  <c r="AH116" i="1"/>
  <c r="AD116" i="1"/>
  <c r="AA116" i="1"/>
  <c r="AE116" i="1"/>
  <c r="AG116" i="1"/>
  <c r="AC116" i="1"/>
  <c r="AH117" i="1" l="1"/>
  <c r="AD117" i="1"/>
  <c r="AE117" i="1"/>
  <c r="AA117" i="1"/>
  <c r="AG117" i="1"/>
  <c r="AC117" i="1"/>
  <c r="Z118" i="1"/>
  <c r="S119" i="1"/>
  <c r="Y118" i="1"/>
  <c r="U118" i="1"/>
  <c r="V118" i="1" s="1"/>
  <c r="X118" i="1"/>
  <c r="T118" i="1"/>
  <c r="W118" i="1"/>
  <c r="AF117" i="1"/>
  <c r="AB117" i="1"/>
  <c r="AE118" i="1" l="1"/>
  <c r="AA118" i="1"/>
  <c r="AG118" i="1"/>
  <c r="AC118" i="1"/>
  <c r="X119" i="1"/>
  <c r="T119" i="1"/>
  <c r="W119" i="1"/>
  <c r="Z119" i="1"/>
  <c r="S120" i="1"/>
  <c r="U119" i="1"/>
  <c r="V119" i="1" s="1"/>
  <c r="Y119" i="1"/>
  <c r="AF118" i="1"/>
  <c r="AB118" i="1"/>
  <c r="AH118" i="1"/>
  <c r="AD118" i="1"/>
  <c r="AG119" i="1" l="1"/>
  <c r="AC119" i="1"/>
  <c r="AE119" i="1"/>
  <c r="AA119" i="1"/>
  <c r="Z120" i="1"/>
  <c r="S121" i="1"/>
  <c r="Y120" i="1"/>
  <c r="U120" i="1"/>
  <c r="V120" i="1" s="1"/>
  <c r="X120" i="1"/>
  <c r="T120" i="1"/>
  <c r="W120" i="1"/>
  <c r="AF119" i="1"/>
  <c r="AB119" i="1"/>
  <c r="AH119" i="1"/>
  <c r="AD119" i="1"/>
  <c r="AE120" i="1" l="1"/>
  <c r="AA120" i="1"/>
  <c r="X121" i="1"/>
  <c r="T121" i="1"/>
  <c r="W121" i="1"/>
  <c r="Z121" i="1"/>
  <c r="S122" i="1"/>
  <c r="U121" i="1"/>
  <c r="V121" i="1" s="1"/>
  <c r="Y121" i="1"/>
  <c r="AG120" i="1"/>
  <c r="AC120" i="1"/>
  <c r="AF120" i="1"/>
  <c r="AB120" i="1"/>
  <c r="AH120" i="1"/>
  <c r="AD120" i="1"/>
  <c r="Z122" i="1" l="1"/>
  <c r="S123" i="1"/>
  <c r="Y122" i="1"/>
  <c r="U122" i="1"/>
  <c r="V122" i="1" s="1"/>
  <c r="X122" i="1"/>
  <c r="T122" i="1"/>
  <c r="W122" i="1"/>
  <c r="AF121" i="1"/>
  <c r="AB121" i="1"/>
  <c r="AH121" i="1"/>
  <c r="AD121" i="1"/>
  <c r="AG121" i="1"/>
  <c r="AC121" i="1"/>
  <c r="AE121" i="1"/>
  <c r="AA121" i="1"/>
  <c r="AE122" i="1" l="1"/>
  <c r="AA122" i="1"/>
  <c r="AG122" i="1"/>
  <c r="AC122" i="1"/>
  <c r="X123" i="1"/>
  <c r="T123" i="1"/>
  <c r="W123" i="1"/>
  <c r="Z123" i="1"/>
  <c r="S124" i="1"/>
  <c r="U123" i="1"/>
  <c r="V123" i="1" s="1"/>
  <c r="Y123" i="1"/>
  <c r="AF122" i="1"/>
  <c r="AB122" i="1"/>
  <c r="AH122" i="1"/>
  <c r="AD122" i="1"/>
  <c r="AE123" i="1" l="1"/>
  <c r="AA123" i="1"/>
  <c r="AH123" i="1"/>
  <c r="AD123" i="1"/>
  <c r="AG123" i="1"/>
  <c r="AC123" i="1"/>
  <c r="Z124" i="1"/>
  <c r="S125" i="1"/>
  <c r="Y124" i="1"/>
  <c r="U124" i="1"/>
  <c r="V124" i="1" s="1"/>
  <c r="X124" i="1"/>
  <c r="T124" i="1"/>
  <c r="W124" i="1"/>
  <c r="AF123" i="1"/>
  <c r="AB123" i="1"/>
  <c r="AF124" i="1" l="1"/>
  <c r="AB124" i="1"/>
  <c r="X125" i="1"/>
  <c r="T125" i="1"/>
  <c r="W125" i="1"/>
  <c r="Z125" i="1"/>
  <c r="U125" i="1"/>
  <c r="V125" i="1" s="1"/>
  <c r="S126" i="1"/>
  <c r="Y125" i="1"/>
  <c r="AH124" i="1"/>
  <c r="AD124" i="1"/>
  <c r="AA124" i="1"/>
  <c r="AE124" i="1"/>
  <c r="AG124" i="1"/>
  <c r="AC124" i="1"/>
  <c r="Z126" i="1" l="1"/>
  <c r="S127" i="1"/>
  <c r="Y126" i="1"/>
  <c r="U126" i="1"/>
  <c r="V126" i="1" s="1"/>
  <c r="X126" i="1"/>
  <c r="T126" i="1"/>
  <c r="W126" i="1"/>
  <c r="AF125" i="1"/>
  <c r="AB125" i="1"/>
  <c r="AH125" i="1"/>
  <c r="AD125" i="1"/>
  <c r="AG125" i="1"/>
  <c r="AC125" i="1"/>
  <c r="AE125" i="1"/>
  <c r="AA125" i="1"/>
  <c r="AE126" i="1" l="1"/>
  <c r="AA126" i="1"/>
  <c r="AG126" i="1"/>
  <c r="AC126" i="1"/>
  <c r="X127" i="1"/>
  <c r="T127" i="1"/>
  <c r="W127" i="1"/>
  <c r="Z127" i="1"/>
  <c r="S128" i="1"/>
  <c r="Y127" i="1"/>
  <c r="U127" i="1"/>
  <c r="V127" i="1" s="1"/>
  <c r="AF126" i="1"/>
  <c r="AB126" i="1"/>
  <c r="AH126" i="1"/>
  <c r="AD126" i="1"/>
  <c r="AE127" i="1" l="1"/>
  <c r="AA127" i="1"/>
  <c r="AG127" i="1"/>
  <c r="AC127" i="1"/>
  <c r="AH127" i="1"/>
  <c r="AD127" i="1"/>
  <c r="Z128" i="1"/>
  <c r="S129" i="1"/>
  <c r="Y128" i="1"/>
  <c r="U128" i="1"/>
  <c r="V128" i="1" s="1"/>
  <c r="X128" i="1"/>
  <c r="T128" i="1"/>
  <c r="W128" i="1"/>
  <c r="AF127" i="1"/>
  <c r="AB127" i="1"/>
  <c r="AF128" i="1" l="1"/>
  <c r="AB128" i="1"/>
  <c r="AH128" i="1"/>
  <c r="AD128" i="1"/>
  <c r="X129" i="1"/>
  <c r="T129" i="1"/>
  <c r="W129" i="1"/>
  <c r="Z129" i="1"/>
  <c r="S130" i="1"/>
  <c r="Y129" i="1"/>
  <c r="U129" i="1"/>
  <c r="V129" i="1" s="1"/>
  <c r="AA128" i="1"/>
  <c r="AE128" i="1"/>
  <c r="AG128" i="1"/>
  <c r="AC128" i="1"/>
  <c r="AE129" i="1" l="1"/>
  <c r="AA129" i="1"/>
  <c r="AH129" i="1"/>
  <c r="AD129" i="1"/>
  <c r="AG129" i="1"/>
  <c r="AC129" i="1"/>
  <c r="Z130" i="1"/>
  <c r="S131" i="1"/>
  <c r="Y130" i="1"/>
  <c r="U130" i="1"/>
  <c r="V130" i="1" s="1"/>
  <c r="X130" i="1"/>
  <c r="T130" i="1"/>
  <c r="W130" i="1"/>
  <c r="AF129" i="1"/>
  <c r="AB129" i="1"/>
  <c r="X131" i="1" l="1"/>
  <c r="T131" i="1"/>
  <c r="W131" i="1"/>
  <c r="Z131" i="1"/>
  <c r="S132" i="1"/>
  <c r="Y131" i="1"/>
  <c r="U131" i="1"/>
  <c r="V131" i="1" s="1"/>
  <c r="AH130" i="1"/>
  <c r="AD130" i="1"/>
  <c r="AF130" i="1"/>
  <c r="AB130" i="1"/>
  <c r="AE130" i="1"/>
  <c r="AA130" i="1"/>
  <c r="AG130" i="1"/>
  <c r="AC130" i="1"/>
  <c r="AE131" i="1" l="1"/>
  <c r="AA131" i="1"/>
  <c r="AG131" i="1"/>
  <c r="AC131" i="1"/>
  <c r="AH131" i="1"/>
  <c r="AD131" i="1"/>
  <c r="Z132" i="1"/>
  <c r="S133" i="1"/>
  <c r="Y132" i="1"/>
  <c r="U132" i="1"/>
  <c r="V132" i="1" s="1"/>
  <c r="X132" i="1"/>
  <c r="T132" i="1"/>
  <c r="W132" i="1"/>
  <c r="AF131" i="1"/>
  <c r="AB131" i="1"/>
  <c r="AF132" i="1" l="1"/>
  <c r="AB132" i="1"/>
  <c r="AH132" i="1"/>
  <c r="AD132" i="1"/>
  <c r="X133" i="1"/>
  <c r="T133" i="1"/>
  <c r="W133" i="1"/>
  <c r="Z133" i="1"/>
  <c r="S134" i="1"/>
  <c r="Y133" i="1"/>
  <c r="U133" i="1"/>
  <c r="V133" i="1" s="1"/>
  <c r="AE132" i="1"/>
  <c r="AA132" i="1"/>
  <c r="AG132" i="1"/>
  <c r="AC132" i="1"/>
  <c r="AE133" i="1" l="1"/>
  <c r="AA133" i="1"/>
  <c r="AG133" i="1"/>
  <c r="AC133" i="1"/>
  <c r="AH133" i="1"/>
  <c r="AD133" i="1"/>
  <c r="Z134" i="1"/>
  <c r="S135" i="1"/>
  <c r="Y134" i="1"/>
  <c r="U134" i="1"/>
  <c r="V134" i="1" s="1"/>
  <c r="X134" i="1"/>
  <c r="T134" i="1"/>
  <c r="W134" i="1"/>
  <c r="AF133" i="1"/>
  <c r="AB133" i="1"/>
  <c r="AF134" i="1" l="1"/>
  <c r="AB134" i="1"/>
  <c r="AH134" i="1"/>
  <c r="AD134" i="1"/>
  <c r="X135" i="1"/>
  <c r="T135" i="1"/>
  <c r="W135" i="1"/>
  <c r="Z135" i="1"/>
  <c r="S136" i="1"/>
  <c r="Y135" i="1"/>
  <c r="U135" i="1"/>
  <c r="V135" i="1" s="1"/>
  <c r="AE134" i="1"/>
  <c r="AA134" i="1"/>
  <c r="AG134" i="1"/>
  <c r="AC134" i="1"/>
  <c r="AE135" i="1" l="1"/>
  <c r="AA135" i="1"/>
  <c r="AH135" i="1"/>
  <c r="AD135" i="1"/>
  <c r="AG135" i="1"/>
  <c r="AC135" i="1"/>
  <c r="Z136" i="1"/>
  <c r="S137" i="1"/>
  <c r="Y136" i="1"/>
  <c r="U136" i="1"/>
  <c r="V136" i="1" s="1"/>
  <c r="X136" i="1"/>
  <c r="T136" i="1"/>
  <c r="W136" i="1"/>
  <c r="AF135" i="1"/>
  <c r="AB135" i="1"/>
  <c r="X137" i="1" l="1"/>
  <c r="T137" i="1"/>
  <c r="W137" i="1"/>
  <c r="Z137" i="1"/>
  <c r="S138" i="1"/>
  <c r="Y137" i="1"/>
  <c r="U137" i="1"/>
  <c r="V137" i="1" s="1"/>
  <c r="AH136" i="1"/>
  <c r="AD136" i="1"/>
  <c r="AF136" i="1"/>
  <c r="AB136" i="1"/>
  <c r="AE136" i="1"/>
  <c r="AA136" i="1"/>
  <c r="AG136" i="1"/>
  <c r="AC136" i="1"/>
  <c r="AE137" i="1" l="1"/>
  <c r="AA137" i="1"/>
  <c r="AG137" i="1"/>
  <c r="AC137" i="1"/>
  <c r="AH137" i="1"/>
  <c r="AD137" i="1"/>
  <c r="Z138" i="1"/>
  <c r="S139" i="1"/>
  <c r="Y138" i="1"/>
  <c r="U138" i="1"/>
  <c r="V138" i="1" s="1"/>
  <c r="X138" i="1"/>
  <c r="T138" i="1"/>
  <c r="W138" i="1"/>
  <c r="AF137" i="1"/>
  <c r="AB137" i="1"/>
  <c r="X139" i="1" l="1"/>
  <c r="T139" i="1"/>
  <c r="W139" i="1"/>
  <c r="Z139" i="1"/>
  <c r="S140" i="1"/>
  <c r="Y139" i="1"/>
  <c r="U139" i="1"/>
  <c r="V139" i="1" s="1"/>
  <c r="AF138" i="1"/>
  <c r="AB138" i="1"/>
  <c r="AH138" i="1"/>
  <c r="AD138" i="1"/>
  <c r="AE138" i="1"/>
  <c r="AA138" i="1"/>
  <c r="AG138" i="1"/>
  <c r="AC138" i="1"/>
  <c r="AE139" i="1" l="1"/>
  <c r="AA139" i="1"/>
  <c r="AH139" i="1"/>
  <c r="AD139" i="1"/>
  <c r="AG139" i="1"/>
  <c r="AC139" i="1"/>
  <c r="Z140" i="1"/>
  <c r="S141" i="1"/>
  <c r="Y140" i="1"/>
  <c r="U140" i="1"/>
  <c r="V140" i="1" s="1"/>
  <c r="X140" i="1"/>
  <c r="T140" i="1"/>
  <c r="W140" i="1"/>
  <c r="AF139" i="1"/>
  <c r="AB139" i="1"/>
  <c r="X141" i="1" l="1"/>
  <c r="T141" i="1"/>
  <c r="W141" i="1"/>
  <c r="Z141" i="1"/>
  <c r="S142" i="1"/>
  <c r="Y141" i="1"/>
  <c r="U141" i="1"/>
  <c r="V141" i="1" s="1"/>
  <c r="AF140" i="1"/>
  <c r="AB140" i="1"/>
  <c r="AH140" i="1"/>
  <c r="AD140" i="1"/>
  <c r="AE140" i="1"/>
  <c r="AA140" i="1"/>
  <c r="AG140" i="1"/>
  <c r="AC140" i="1"/>
  <c r="AE141" i="1" l="1"/>
  <c r="AA141" i="1"/>
  <c r="AH141" i="1"/>
  <c r="AD141" i="1"/>
  <c r="AG141" i="1"/>
  <c r="AC141" i="1"/>
  <c r="Z142" i="1"/>
  <c r="S143" i="1"/>
  <c r="Y142" i="1"/>
  <c r="U142" i="1"/>
  <c r="V142" i="1" s="1"/>
  <c r="X142" i="1"/>
  <c r="T142" i="1"/>
  <c r="W142" i="1"/>
  <c r="AF141" i="1"/>
  <c r="AB141" i="1"/>
  <c r="X143" i="1" l="1"/>
  <c r="T143" i="1"/>
  <c r="W143" i="1"/>
  <c r="Z143" i="1"/>
  <c r="S144" i="1"/>
  <c r="Y143" i="1"/>
  <c r="U143" i="1"/>
  <c r="V143" i="1" s="1"/>
  <c r="AH142" i="1"/>
  <c r="AD142" i="1"/>
  <c r="AF142" i="1"/>
  <c r="AB142" i="1"/>
  <c r="AA142" i="1"/>
  <c r="AE142" i="1"/>
  <c r="AG142" i="1"/>
  <c r="AC142" i="1"/>
  <c r="AE143" i="1" l="1"/>
  <c r="AA143" i="1"/>
  <c r="AH143" i="1"/>
  <c r="AD143" i="1"/>
  <c r="AG143" i="1"/>
  <c r="AC143" i="1"/>
  <c r="Z144" i="1"/>
  <c r="S145" i="1"/>
  <c r="Y144" i="1"/>
  <c r="U144" i="1"/>
  <c r="V144" i="1" s="1"/>
  <c r="X144" i="1"/>
  <c r="T144" i="1"/>
  <c r="W144" i="1"/>
  <c r="AF143" i="1"/>
  <c r="AB143" i="1"/>
  <c r="X145" i="1" l="1"/>
  <c r="T145" i="1"/>
  <c r="W145" i="1"/>
  <c r="Z145" i="1"/>
  <c r="S146" i="1"/>
  <c r="Y145" i="1"/>
  <c r="U145" i="1"/>
  <c r="V145" i="1" s="1"/>
  <c r="AF144" i="1"/>
  <c r="AB144" i="1"/>
  <c r="AH144" i="1"/>
  <c r="AD144" i="1"/>
  <c r="AE144" i="1"/>
  <c r="AA144" i="1"/>
  <c r="AG144" i="1"/>
  <c r="AC144" i="1"/>
  <c r="AH145" i="1" l="1"/>
  <c r="AD145" i="1"/>
  <c r="AE145" i="1"/>
  <c r="AA145" i="1"/>
  <c r="AG145" i="1"/>
  <c r="AC145" i="1"/>
  <c r="Z146" i="1"/>
  <c r="S147" i="1"/>
  <c r="Y146" i="1"/>
  <c r="U146" i="1"/>
  <c r="V146" i="1" s="1"/>
  <c r="X146" i="1"/>
  <c r="T146" i="1"/>
  <c r="W146" i="1"/>
  <c r="AF145" i="1"/>
  <c r="AB145" i="1"/>
  <c r="AH146" i="1" l="1"/>
  <c r="AD146" i="1"/>
  <c r="X147" i="1"/>
  <c r="T147" i="1"/>
  <c r="W147" i="1"/>
  <c r="Z147" i="1"/>
  <c r="S148" i="1"/>
  <c r="Y147" i="1"/>
  <c r="U147" i="1"/>
  <c r="V147" i="1" s="1"/>
  <c r="AF146" i="1"/>
  <c r="AB146" i="1"/>
  <c r="AE146" i="1"/>
  <c r="AA146" i="1"/>
  <c r="AG146" i="1"/>
  <c r="AC146" i="1"/>
  <c r="Z148" i="1" l="1"/>
  <c r="S149" i="1"/>
  <c r="Y148" i="1"/>
  <c r="U148" i="1"/>
  <c r="V148" i="1" s="1"/>
  <c r="X148" i="1"/>
  <c r="T148" i="1"/>
  <c r="W148" i="1"/>
  <c r="AF147" i="1"/>
  <c r="AB147" i="1"/>
  <c r="AH147" i="1"/>
  <c r="AD147" i="1"/>
  <c r="AG147" i="1"/>
  <c r="AC147" i="1"/>
  <c r="AE147" i="1"/>
  <c r="AA147" i="1"/>
  <c r="AE148" i="1" l="1"/>
  <c r="AA148" i="1"/>
  <c r="AG148" i="1"/>
  <c r="AC148" i="1"/>
  <c r="X149" i="1"/>
  <c r="T149" i="1"/>
  <c r="W149" i="1"/>
  <c r="Z149" i="1"/>
  <c r="S150" i="1"/>
  <c r="Y149" i="1"/>
  <c r="U149" i="1"/>
  <c r="V149" i="1" s="1"/>
  <c r="AF148" i="1"/>
  <c r="AB148" i="1"/>
  <c r="AH148" i="1"/>
  <c r="AD148" i="1"/>
  <c r="AE149" i="1" l="1"/>
  <c r="AA149" i="1"/>
  <c r="AG149" i="1"/>
  <c r="AC149" i="1"/>
  <c r="AH149" i="1"/>
  <c r="AD149" i="1"/>
  <c r="Z150" i="1"/>
  <c r="S151" i="1"/>
  <c r="Y150" i="1"/>
  <c r="U150" i="1"/>
  <c r="V150" i="1" s="1"/>
  <c r="X150" i="1"/>
  <c r="T150" i="1"/>
  <c r="W150" i="1"/>
  <c r="AF149" i="1"/>
  <c r="AB149" i="1"/>
  <c r="X151" i="1" l="1"/>
  <c r="T151" i="1"/>
  <c r="W151" i="1"/>
  <c r="Z151" i="1"/>
  <c r="S152" i="1"/>
  <c r="Y151" i="1"/>
  <c r="U151" i="1"/>
  <c r="V151" i="1" s="1"/>
  <c r="AH150" i="1"/>
  <c r="AD150" i="1"/>
  <c r="AF150" i="1"/>
  <c r="AB150" i="1"/>
  <c r="AE150" i="1"/>
  <c r="AA150" i="1"/>
  <c r="AG150" i="1"/>
  <c r="AC150" i="1"/>
  <c r="AH151" i="1" l="1"/>
  <c r="AD151" i="1"/>
  <c r="AE151" i="1"/>
  <c r="AA151" i="1"/>
  <c r="AG151" i="1"/>
  <c r="AC151" i="1"/>
  <c r="Z152" i="1"/>
  <c r="S153" i="1"/>
  <c r="Y152" i="1"/>
  <c r="U152" i="1"/>
  <c r="V152" i="1" s="1"/>
  <c r="X152" i="1"/>
  <c r="T152" i="1"/>
  <c r="W152" i="1"/>
  <c r="AF151" i="1"/>
  <c r="AB151" i="1"/>
  <c r="AF152" i="1" l="1"/>
  <c r="AB152" i="1"/>
  <c r="AH152" i="1"/>
  <c r="AD152" i="1"/>
  <c r="X153" i="1"/>
  <c r="T153" i="1"/>
  <c r="W153" i="1"/>
  <c r="Z153" i="1"/>
  <c r="S154" i="1"/>
  <c r="Y153" i="1"/>
  <c r="U153" i="1"/>
  <c r="V153" i="1" s="1"/>
  <c r="AE152" i="1"/>
  <c r="AA152" i="1"/>
  <c r="AG152" i="1"/>
  <c r="AC152" i="1"/>
  <c r="AE153" i="1" l="1"/>
  <c r="AA153" i="1"/>
  <c r="AH153" i="1"/>
  <c r="AD153" i="1"/>
  <c r="AG153" i="1"/>
  <c r="AC153" i="1"/>
  <c r="Z154" i="1"/>
  <c r="S155" i="1"/>
  <c r="Y154" i="1"/>
  <c r="U154" i="1"/>
  <c r="V154" i="1" s="1"/>
  <c r="X154" i="1"/>
  <c r="T154" i="1"/>
  <c r="W154" i="1"/>
  <c r="AF153" i="1"/>
  <c r="AB153" i="1"/>
  <c r="AH154" i="1" l="1"/>
  <c r="AD154" i="1"/>
  <c r="X155" i="1"/>
  <c r="T155" i="1"/>
  <c r="W155" i="1"/>
  <c r="Z155" i="1"/>
  <c r="S156" i="1"/>
  <c r="Y155" i="1"/>
  <c r="U155" i="1"/>
  <c r="V155" i="1" s="1"/>
  <c r="AF154" i="1"/>
  <c r="AB154" i="1"/>
  <c r="AE154" i="1"/>
  <c r="AA154" i="1"/>
  <c r="AG154" i="1"/>
  <c r="AC154" i="1"/>
  <c r="Z156" i="1" l="1"/>
  <c r="S157" i="1"/>
  <c r="Y156" i="1"/>
  <c r="U156" i="1"/>
  <c r="V156" i="1" s="1"/>
  <c r="X156" i="1"/>
  <c r="T156" i="1"/>
  <c r="W156" i="1"/>
  <c r="AF155" i="1"/>
  <c r="AB155" i="1"/>
  <c r="AH155" i="1"/>
  <c r="AD155" i="1"/>
  <c r="AG155" i="1"/>
  <c r="AC155" i="1"/>
  <c r="AE155" i="1"/>
  <c r="AA155" i="1"/>
  <c r="AE156" i="1" l="1"/>
  <c r="AA156" i="1"/>
  <c r="AG156" i="1"/>
  <c r="AC156" i="1"/>
  <c r="X157" i="1"/>
  <c r="T157" i="1"/>
  <c r="W157" i="1"/>
  <c r="Z157" i="1"/>
  <c r="S158" i="1"/>
  <c r="Y157" i="1"/>
  <c r="U157" i="1"/>
  <c r="V157" i="1" s="1"/>
  <c r="AF156" i="1"/>
  <c r="AB156" i="1"/>
  <c r="AH156" i="1"/>
  <c r="AD156" i="1"/>
  <c r="AE157" i="1" l="1"/>
  <c r="AA157" i="1"/>
  <c r="AG157" i="1"/>
  <c r="AC157" i="1"/>
  <c r="AH157" i="1"/>
  <c r="AD157" i="1"/>
  <c r="Z158" i="1"/>
  <c r="S159" i="1"/>
  <c r="Y158" i="1"/>
  <c r="U158" i="1"/>
  <c r="V158" i="1" s="1"/>
  <c r="X158" i="1"/>
  <c r="T158" i="1"/>
  <c r="W158" i="1"/>
  <c r="AF157" i="1"/>
  <c r="AB157" i="1"/>
  <c r="X159" i="1" l="1"/>
  <c r="T159" i="1"/>
  <c r="W159" i="1"/>
  <c r="Z159" i="1"/>
  <c r="S160" i="1"/>
  <c r="Y159" i="1"/>
  <c r="U159" i="1"/>
  <c r="V159" i="1" s="1"/>
  <c r="AH158" i="1"/>
  <c r="AD158" i="1"/>
  <c r="AF158" i="1"/>
  <c r="AB158" i="1"/>
  <c r="AE158" i="1"/>
  <c r="AA158" i="1"/>
  <c r="AG158" i="1"/>
  <c r="AC158" i="1"/>
  <c r="AE159" i="1" l="1"/>
  <c r="AA159" i="1"/>
  <c r="AH159" i="1"/>
  <c r="AD159" i="1"/>
  <c r="AG159" i="1"/>
  <c r="AC159" i="1"/>
  <c r="Z160" i="1"/>
  <c r="S161" i="1"/>
  <c r="Y160" i="1"/>
  <c r="U160" i="1"/>
  <c r="V160" i="1" s="1"/>
  <c r="X160" i="1"/>
  <c r="T160" i="1"/>
  <c r="W160" i="1"/>
  <c r="AF159" i="1"/>
  <c r="AB159" i="1"/>
  <c r="X161" i="1" l="1"/>
  <c r="T161" i="1"/>
  <c r="W161" i="1"/>
  <c r="Z161" i="1"/>
  <c r="S162" i="1"/>
  <c r="Y161" i="1"/>
  <c r="U161" i="1"/>
  <c r="V161" i="1" s="1"/>
  <c r="AH160" i="1"/>
  <c r="AD160" i="1"/>
  <c r="AF160" i="1"/>
  <c r="AB160" i="1"/>
  <c r="AE160" i="1"/>
  <c r="AA160" i="1"/>
  <c r="AG160" i="1"/>
  <c r="AC160" i="1"/>
  <c r="AE161" i="1" l="1"/>
  <c r="AA161" i="1"/>
  <c r="AG161" i="1"/>
  <c r="AC161" i="1"/>
  <c r="AH161" i="1"/>
  <c r="AD161" i="1"/>
  <c r="Z162" i="1"/>
  <c r="S163" i="1"/>
  <c r="Y162" i="1"/>
  <c r="U162" i="1"/>
  <c r="V162" i="1" s="1"/>
  <c r="X162" i="1"/>
  <c r="T162" i="1"/>
  <c r="W162" i="1"/>
  <c r="AF161" i="1"/>
  <c r="AB161" i="1"/>
  <c r="AF162" i="1" l="1"/>
  <c r="AB162" i="1"/>
  <c r="AH162" i="1"/>
  <c r="AD162" i="1"/>
  <c r="X163" i="1"/>
  <c r="T163" i="1"/>
  <c r="W163" i="1"/>
  <c r="Z163" i="1"/>
  <c r="S164" i="1"/>
  <c r="Y163" i="1"/>
  <c r="U163" i="1"/>
  <c r="V163" i="1" s="1"/>
  <c r="AE162" i="1"/>
  <c r="AA162" i="1"/>
  <c r="AG162" i="1"/>
  <c r="AC162" i="1"/>
  <c r="AE163" i="1" l="1"/>
  <c r="AA163" i="1"/>
  <c r="AH163" i="1"/>
  <c r="AD163" i="1"/>
  <c r="AG163" i="1"/>
  <c r="AC163" i="1"/>
  <c r="Z164" i="1"/>
  <c r="S165" i="1"/>
  <c r="Y164" i="1"/>
  <c r="U164" i="1"/>
  <c r="V164" i="1" s="1"/>
  <c r="X164" i="1"/>
  <c r="T164" i="1"/>
  <c r="W164" i="1"/>
  <c r="AF163" i="1"/>
  <c r="AB163" i="1"/>
  <c r="X165" i="1" l="1"/>
  <c r="T165" i="1"/>
  <c r="W165" i="1"/>
  <c r="Z165" i="1"/>
  <c r="S166" i="1"/>
  <c r="Y165" i="1"/>
  <c r="U165" i="1"/>
  <c r="V165" i="1" s="1"/>
  <c r="AH164" i="1"/>
  <c r="AD164" i="1"/>
  <c r="AF164" i="1"/>
  <c r="AB164" i="1"/>
  <c r="AE164" i="1"/>
  <c r="AA164" i="1"/>
  <c r="AG164" i="1"/>
  <c r="AC164" i="1"/>
  <c r="AE165" i="1" l="1"/>
  <c r="AA165" i="1"/>
  <c r="AH165" i="1"/>
  <c r="AD165" i="1"/>
  <c r="AG165" i="1"/>
  <c r="AC165" i="1"/>
  <c r="Z166" i="1"/>
  <c r="S167" i="1"/>
  <c r="Y166" i="1"/>
  <c r="U166" i="1"/>
  <c r="V166" i="1" s="1"/>
  <c r="X166" i="1"/>
  <c r="T166" i="1"/>
  <c r="W166" i="1"/>
  <c r="AF165" i="1"/>
  <c r="AB165" i="1"/>
  <c r="X167" i="1" l="1"/>
  <c r="T167" i="1"/>
  <c r="W167" i="1"/>
  <c r="Z167" i="1"/>
  <c r="S168" i="1"/>
  <c r="Y167" i="1"/>
  <c r="U167" i="1"/>
  <c r="V167" i="1" s="1"/>
  <c r="AF166" i="1"/>
  <c r="AB166" i="1"/>
  <c r="AH166" i="1"/>
  <c r="AD166" i="1"/>
  <c r="AE166" i="1"/>
  <c r="AA166" i="1"/>
  <c r="AG166" i="1"/>
  <c r="AC166" i="1"/>
  <c r="AE167" i="1" l="1"/>
  <c r="AA167" i="1"/>
  <c r="AG167" i="1"/>
  <c r="AC167" i="1"/>
  <c r="AH167" i="1"/>
  <c r="AD167" i="1"/>
  <c r="Z168" i="1"/>
  <c r="S169" i="1"/>
  <c r="Y168" i="1"/>
  <c r="U168" i="1"/>
  <c r="V168" i="1" s="1"/>
  <c r="X168" i="1"/>
  <c r="T168" i="1"/>
  <c r="W168" i="1"/>
  <c r="AF167" i="1"/>
  <c r="AB167" i="1"/>
  <c r="AF168" i="1" l="1"/>
  <c r="AB168" i="1"/>
  <c r="AH168" i="1"/>
  <c r="AD168" i="1"/>
  <c r="X169" i="1"/>
  <c r="T169" i="1"/>
  <c r="W169" i="1"/>
  <c r="Z169" i="1"/>
  <c r="S170" i="1"/>
  <c r="Y169" i="1"/>
  <c r="U169" i="1"/>
  <c r="V169" i="1" s="1"/>
  <c r="AE168" i="1"/>
  <c r="AA168" i="1"/>
  <c r="AG168" i="1"/>
  <c r="AC168" i="1"/>
  <c r="AE169" i="1" l="1"/>
  <c r="AA169" i="1"/>
  <c r="AG169" i="1"/>
  <c r="AC169" i="1"/>
  <c r="AH169" i="1"/>
  <c r="AD169" i="1"/>
  <c r="Z170" i="1"/>
  <c r="S171" i="1"/>
  <c r="Y170" i="1"/>
  <c r="U170" i="1"/>
  <c r="V170" i="1" s="1"/>
  <c r="X170" i="1"/>
  <c r="T170" i="1"/>
  <c r="W170" i="1"/>
  <c r="AF169" i="1"/>
  <c r="AB169" i="1"/>
  <c r="X171" i="1" l="1"/>
  <c r="T171" i="1"/>
  <c r="W171" i="1"/>
  <c r="Z171" i="1"/>
  <c r="S172" i="1"/>
  <c r="Y171" i="1"/>
  <c r="U171" i="1"/>
  <c r="V171" i="1" s="1"/>
  <c r="AH170" i="1"/>
  <c r="AD170" i="1"/>
  <c r="AF170" i="1"/>
  <c r="AB170" i="1"/>
  <c r="AE170" i="1"/>
  <c r="AA170" i="1"/>
  <c r="AG170" i="1"/>
  <c r="AC170" i="1"/>
  <c r="AE171" i="1" l="1"/>
  <c r="AA171" i="1"/>
  <c r="AG171" i="1"/>
  <c r="AC171" i="1"/>
  <c r="AH171" i="1"/>
  <c r="AD171" i="1"/>
  <c r="Z172" i="1"/>
  <c r="S173" i="1"/>
  <c r="Y172" i="1"/>
  <c r="U172" i="1"/>
  <c r="V172" i="1" s="1"/>
  <c r="X172" i="1"/>
  <c r="T172" i="1"/>
  <c r="W172" i="1"/>
  <c r="AF171" i="1"/>
  <c r="AB171" i="1"/>
  <c r="AF172" i="1" l="1"/>
  <c r="AB172" i="1"/>
  <c r="X173" i="1"/>
  <c r="T173" i="1"/>
  <c r="W173" i="1"/>
  <c r="Z173" i="1"/>
  <c r="S174" i="1"/>
  <c r="Y173" i="1"/>
  <c r="U173" i="1"/>
  <c r="V173" i="1" s="1"/>
  <c r="AH172" i="1"/>
  <c r="AD172" i="1"/>
  <c r="AE172" i="1"/>
  <c r="AA172" i="1"/>
  <c r="AG172" i="1"/>
  <c r="AC172" i="1"/>
  <c r="AG173" i="1" l="1"/>
  <c r="AC173" i="1"/>
  <c r="AF173" i="1"/>
  <c r="AB173" i="1"/>
  <c r="Z174" i="1"/>
  <c r="S175" i="1"/>
  <c r="Y174" i="1"/>
  <c r="U174" i="1"/>
  <c r="V174" i="1" s="1"/>
  <c r="X174" i="1"/>
  <c r="T174" i="1"/>
  <c r="W174" i="1"/>
  <c r="AH173" i="1"/>
  <c r="AD173" i="1"/>
  <c r="AE173" i="1"/>
  <c r="AA173" i="1"/>
  <c r="AE174" i="1" l="1"/>
  <c r="AA174" i="1"/>
  <c r="AG174" i="1"/>
  <c r="AC174" i="1"/>
  <c r="Z175" i="1"/>
  <c r="Y175" i="1"/>
  <c r="T175" i="1"/>
  <c r="X175" i="1"/>
  <c r="W175" i="1"/>
  <c r="S176" i="1"/>
  <c r="U175" i="1"/>
  <c r="V175" i="1" s="1"/>
  <c r="AF174" i="1"/>
  <c r="AB174" i="1"/>
  <c r="AH174" i="1"/>
  <c r="AD174" i="1"/>
  <c r="AB175" i="1" l="1"/>
  <c r="AF175" i="1"/>
  <c r="AC175" i="1"/>
  <c r="AG175" i="1"/>
  <c r="X176" i="1"/>
  <c r="T176" i="1"/>
  <c r="Z176" i="1"/>
  <c r="Y176" i="1"/>
  <c r="S177" i="1"/>
  <c r="W176" i="1"/>
  <c r="U176" i="1"/>
  <c r="V176" i="1" s="1"/>
  <c r="AE175" i="1"/>
  <c r="AA175" i="1"/>
  <c r="AH175" i="1"/>
  <c r="AD175" i="1"/>
  <c r="AH176" i="1" l="1"/>
  <c r="AD176" i="1"/>
  <c r="AG176" i="1"/>
  <c r="AC176" i="1"/>
  <c r="AE176" i="1"/>
  <c r="AA176" i="1"/>
  <c r="Z177" i="1"/>
  <c r="X177" i="1"/>
  <c r="T177" i="1"/>
  <c r="U177" i="1"/>
  <c r="V177" i="1" s="1"/>
  <c r="Y177" i="1"/>
  <c r="S178" i="1"/>
  <c r="W177" i="1"/>
  <c r="AF176" i="1"/>
  <c r="AB176" i="1"/>
  <c r="AC177" i="1" l="1"/>
  <c r="AG177" i="1"/>
  <c r="AH177" i="1"/>
  <c r="AD177" i="1"/>
  <c r="X178" i="1"/>
  <c r="T178" i="1"/>
  <c r="Z178" i="1"/>
  <c r="Y178" i="1"/>
  <c r="S179" i="1"/>
  <c r="W178" i="1"/>
  <c r="U178" i="1"/>
  <c r="V178" i="1" s="1"/>
  <c r="AF177" i="1"/>
  <c r="AB177" i="1"/>
  <c r="AA177" i="1"/>
  <c r="AE177" i="1"/>
  <c r="AH178" i="1" l="1"/>
  <c r="AD178" i="1"/>
  <c r="AG178" i="1"/>
  <c r="AC178" i="1"/>
  <c r="AE178" i="1"/>
  <c r="AA178" i="1"/>
  <c r="Z179" i="1"/>
  <c r="X179" i="1"/>
  <c r="T179" i="1"/>
  <c r="U179" i="1"/>
  <c r="V179" i="1" s="1"/>
  <c r="Y179" i="1"/>
  <c r="S180" i="1"/>
  <c r="W179" i="1"/>
  <c r="AF178" i="1"/>
  <c r="AB178" i="1"/>
  <c r="AC179" i="1" l="1"/>
  <c r="AG179" i="1"/>
  <c r="AH179" i="1"/>
  <c r="AD179" i="1"/>
  <c r="AF179" i="1"/>
  <c r="AB179" i="1"/>
  <c r="X180" i="1"/>
  <c r="T180" i="1"/>
  <c r="Z180" i="1"/>
  <c r="Y180" i="1"/>
  <c r="S181" i="1"/>
  <c r="W180" i="1"/>
  <c r="U180" i="1"/>
  <c r="V180" i="1" s="1"/>
  <c r="AA179" i="1"/>
  <c r="AE179" i="1"/>
  <c r="AF180" i="1" l="1"/>
  <c r="AB180" i="1"/>
  <c r="Z181" i="1"/>
  <c r="X181" i="1"/>
  <c r="T181" i="1"/>
  <c r="U181" i="1"/>
  <c r="V181" i="1" s="1"/>
  <c r="Y181" i="1"/>
  <c r="S182" i="1"/>
  <c r="W181" i="1"/>
  <c r="AG180" i="1"/>
  <c r="AC180" i="1"/>
  <c r="AE180" i="1"/>
  <c r="AA180" i="1"/>
  <c r="AH180" i="1"/>
  <c r="AD180" i="1"/>
  <c r="X182" i="1" l="1"/>
  <c r="T182" i="1"/>
  <c r="Z182" i="1"/>
  <c r="Y182" i="1"/>
  <c r="S183" i="1"/>
  <c r="W182" i="1"/>
  <c r="U182" i="1"/>
  <c r="V182" i="1" s="1"/>
  <c r="AC181" i="1"/>
  <c r="AG181" i="1"/>
  <c r="AH181" i="1"/>
  <c r="AD181" i="1"/>
  <c r="AF181" i="1"/>
  <c r="AB181" i="1"/>
  <c r="AA181" i="1"/>
  <c r="AE181" i="1"/>
  <c r="AH182" i="1" l="1"/>
  <c r="AD182" i="1"/>
  <c r="AG182" i="1"/>
  <c r="AC182" i="1"/>
  <c r="AE182" i="1"/>
  <c r="AA182" i="1"/>
  <c r="Z183" i="1"/>
  <c r="X183" i="1"/>
  <c r="T183" i="1"/>
  <c r="U183" i="1"/>
  <c r="V183" i="1" s="1"/>
  <c r="Y183" i="1"/>
  <c r="S184" i="1"/>
  <c r="W183" i="1"/>
  <c r="AF182" i="1"/>
  <c r="AB182" i="1"/>
  <c r="X184" i="1" l="1"/>
  <c r="T184" i="1"/>
  <c r="Z184" i="1"/>
  <c r="Y184" i="1"/>
  <c r="S185" i="1"/>
  <c r="W184" i="1"/>
  <c r="U184" i="1"/>
  <c r="V184" i="1" s="1"/>
  <c r="AC183" i="1"/>
  <c r="AG183" i="1"/>
  <c r="AH183" i="1"/>
  <c r="AD183" i="1"/>
  <c r="AF183" i="1"/>
  <c r="AB183" i="1"/>
  <c r="AA183" i="1"/>
  <c r="AE183" i="1"/>
  <c r="AH184" i="1" l="1"/>
  <c r="AD184" i="1"/>
  <c r="AG184" i="1"/>
  <c r="AC184" i="1"/>
  <c r="AE184" i="1"/>
  <c r="AA184" i="1"/>
  <c r="Z185" i="1"/>
  <c r="X185" i="1"/>
  <c r="T185" i="1"/>
  <c r="U185" i="1"/>
  <c r="V185" i="1" s="1"/>
  <c r="Y185" i="1"/>
  <c r="S186" i="1"/>
  <c r="W185" i="1"/>
  <c r="AF184" i="1"/>
  <c r="AB184" i="1"/>
  <c r="AF185" i="1" l="1"/>
  <c r="AB185" i="1"/>
  <c r="AC185" i="1"/>
  <c r="AG185" i="1"/>
  <c r="AH185" i="1"/>
  <c r="AD185" i="1"/>
  <c r="X186" i="1"/>
  <c r="T186" i="1"/>
  <c r="Z186" i="1"/>
  <c r="Y186" i="1"/>
  <c r="S187" i="1"/>
  <c r="W186" i="1"/>
  <c r="U186" i="1"/>
  <c r="V186" i="1" s="1"/>
  <c r="AA185" i="1"/>
  <c r="AE185" i="1"/>
  <c r="AE186" i="1" l="1"/>
  <c r="AA186" i="1"/>
  <c r="AF186" i="1"/>
  <c r="AB186" i="1"/>
  <c r="Z187" i="1"/>
  <c r="X187" i="1"/>
  <c r="T187" i="1"/>
  <c r="U187" i="1"/>
  <c r="V187" i="1" s="1"/>
  <c r="Y187" i="1"/>
  <c r="S188" i="1"/>
  <c r="W187" i="1"/>
  <c r="AG186" i="1"/>
  <c r="AC186" i="1"/>
  <c r="AH186" i="1"/>
  <c r="AD186" i="1"/>
  <c r="AA187" i="1" l="1"/>
  <c r="AE187" i="1"/>
  <c r="AF187" i="1"/>
  <c r="AB187" i="1"/>
  <c r="X188" i="1"/>
  <c r="T188" i="1"/>
  <c r="Z188" i="1"/>
  <c r="Y188" i="1"/>
  <c r="S189" i="1"/>
  <c r="W188" i="1"/>
  <c r="U188" i="1"/>
  <c r="V188" i="1" s="1"/>
  <c r="AC187" i="1"/>
  <c r="AG187" i="1"/>
  <c r="AH187" i="1"/>
  <c r="AD187" i="1"/>
  <c r="AH188" i="1" l="1"/>
  <c r="AD188" i="1"/>
  <c r="AG188" i="1"/>
  <c r="AC188" i="1"/>
  <c r="AE188" i="1"/>
  <c r="AA188" i="1"/>
  <c r="Z189" i="1"/>
  <c r="S190" i="1"/>
  <c r="Y189" i="1"/>
  <c r="X189" i="1"/>
  <c r="T189" i="1"/>
  <c r="U189" i="1"/>
  <c r="V189" i="1" s="1"/>
  <c r="W189" i="1"/>
  <c r="AF188" i="1"/>
  <c r="AB188" i="1"/>
  <c r="X190" i="1" l="1"/>
  <c r="T190" i="1"/>
  <c r="W190" i="1"/>
  <c r="Z190" i="1"/>
  <c r="S191" i="1"/>
  <c r="Y190" i="1"/>
  <c r="U190" i="1"/>
  <c r="V190" i="1" s="1"/>
  <c r="AH189" i="1"/>
  <c r="AD189" i="1"/>
  <c r="AF189" i="1"/>
  <c r="AB189" i="1"/>
  <c r="AE189" i="1"/>
  <c r="AA189" i="1"/>
  <c r="AG189" i="1"/>
  <c r="AC189" i="1"/>
  <c r="AE190" i="1" l="1"/>
  <c r="AA190" i="1"/>
  <c r="AC190" i="1"/>
  <c r="AG190" i="1"/>
  <c r="Z191" i="1"/>
  <c r="S192" i="1"/>
  <c r="Y191" i="1"/>
  <c r="U191" i="1"/>
  <c r="V191" i="1" s="1"/>
  <c r="X191" i="1"/>
  <c r="T191" i="1"/>
  <c r="W191" i="1"/>
  <c r="AF190" i="1"/>
  <c r="AB190" i="1"/>
  <c r="AH190" i="1"/>
  <c r="AD190" i="1"/>
  <c r="AE191" i="1" l="1"/>
  <c r="AA191" i="1"/>
  <c r="AG191" i="1"/>
  <c r="AC191" i="1"/>
  <c r="X192" i="1"/>
  <c r="T192" i="1"/>
  <c r="W192" i="1"/>
  <c r="Z192" i="1"/>
  <c r="S193" i="1"/>
  <c r="Y192" i="1"/>
  <c r="U192" i="1"/>
  <c r="V192" i="1" s="1"/>
  <c r="AF191" i="1"/>
  <c r="AB191" i="1"/>
  <c r="AH191" i="1"/>
  <c r="AD191" i="1"/>
  <c r="AC192" i="1" l="1"/>
  <c r="AG192" i="1"/>
  <c r="AH192" i="1"/>
  <c r="AD192" i="1"/>
  <c r="AE192" i="1"/>
  <c r="AA192" i="1"/>
  <c r="Z193" i="1"/>
  <c r="S194" i="1"/>
  <c r="Y193" i="1"/>
  <c r="U193" i="1"/>
  <c r="V193" i="1" s="1"/>
  <c r="X193" i="1"/>
  <c r="T193" i="1"/>
  <c r="W193" i="1"/>
  <c r="AF192" i="1"/>
  <c r="AB192" i="1"/>
  <c r="X194" i="1" l="1"/>
  <c r="T194" i="1"/>
  <c r="W194" i="1"/>
  <c r="Z194" i="1"/>
  <c r="S195" i="1"/>
  <c r="Y194" i="1"/>
  <c r="U194" i="1"/>
  <c r="V194" i="1" s="1"/>
  <c r="AF193" i="1"/>
  <c r="AB193" i="1"/>
  <c r="AH193" i="1"/>
  <c r="AD193" i="1"/>
  <c r="AE193" i="1"/>
  <c r="AA193" i="1"/>
  <c r="AG193" i="1"/>
  <c r="AC193" i="1"/>
  <c r="AH194" i="1" l="1"/>
  <c r="AD194" i="1"/>
  <c r="AC194" i="1"/>
  <c r="AG194" i="1"/>
  <c r="AE194" i="1"/>
  <c r="AA194" i="1"/>
  <c r="Z195" i="1"/>
  <c r="S196" i="1"/>
  <c r="Y195" i="1"/>
  <c r="U195" i="1"/>
  <c r="V195" i="1" s="1"/>
  <c r="X195" i="1"/>
  <c r="T195" i="1"/>
  <c r="W195" i="1"/>
  <c r="AF194" i="1"/>
  <c r="AB194" i="1"/>
  <c r="AH195" i="1" l="1"/>
  <c r="AD195" i="1"/>
  <c r="X196" i="1"/>
  <c r="T196" i="1"/>
  <c r="W196" i="1"/>
  <c r="Z196" i="1"/>
  <c r="S197" i="1"/>
  <c r="Y196" i="1"/>
  <c r="U196" i="1"/>
  <c r="V196" i="1" s="1"/>
  <c r="AF195" i="1"/>
  <c r="AB195" i="1"/>
  <c r="AE195" i="1"/>
  <c r="AA195" i="1"/>
  <c r="AG195" i="1"/>
  <c r="AC195" i="1"/>
  <c r="AC196" i="1" l="1"/>
  <c r="AG196" i="1"/>
  <c r="Z197" i="1"/>
  <c r="S198" i="1"/>
  <c r="Y197" i="1"/>
  <c r="U197" i="1"/>
  <c r="V197" i="1" s="1"/>
  <c r="X197" i="1"/>
  <c r="T197" i="1"/>
  <c r="W197" i="1"/>
  <c r="AF196" i="1"/>
  <c r="AB196" i="1"/>
  <c r="AH196" i="1"/>
  <c r="AD196" i="1"/>
  <c r="AE196" i="1"/>
  <c r="AA196" i="1"/>
  <c r="AF197" i="1" l="1"/>
  <c r="AB197" i="1"/>
  <c r="AH197" i="1"/>
  <c r="AD197" i="1"/>
  <c r="X198" i="1"/>
  <c r="T198" i="1"/>
  <c r="W198" i="1"/>
  <c r="Z198" i="1"/>
  <c r="S199" i="1"/>
  <c r="Y198" i="1"/>
  <c r="U198" i="1"/>
  <c r="V198" i="1" s="1"/>
  <c r="AE197" i="1"/>
  <c r="AA197" i="1"/>
  <c r="AG197" i="1"/>
  <c r="AC197" i="1"/>
  <c r="AE198" i="1" l="1"/>
  <c r="AA198" i="1"/>
  <c r="AC198" i="1"/>
  <c r="AG198" i="1"/>
  <c r="AH198" i="1"/>
  <c r="AD198" i="1"/>
  <c r="Z199" i="1"/>
  <c r="S200" i="1"/>
  <c r="Y199" i="1"/>
  <c r="U199" i="1"/>
  <c r="V199" i="1" s="1"/>
  <c r="X199" i="1"/>
  <c r="T199" i="1"/>
  <c r="W199" i="1"/>
  <c r="AF198" i="1"/>
  <c r="AB198" i="1"/>
  <c r="AF199" i="1" l="1"/>
  <c r="AB199" i="1"/>
  <c r="X200" i="1"/>
  <c r="T200" i="1"/>
  <c r="W200" i="1"/>
  <c r="Z200" i="1"/>
  <c r="S201" i="1"/>
  <c r="Y200" i="1"/>
  <c r="U200" i="1"/>
  <c r="V200" i="1" s="1"/>
  <c r="AH199" i="1"/>
  <c r="AD199" i="1"/>
  <c r="AE199" i="1"/>
  <c r="AA199" i="1"/>
  <c r="AG199" i="1"/>
  <c r="AC199" i="1"/>
  <c r="Z201" i="1" l="1"/>
  <c r="S202" i="1"/>
  <c r="Y201" i="1"/>
  <c r="U201" i="1"/>
  <c r="V201" i="1" s="1"/>
  <c r="X201" i="1"/>
  <c r="T201" i="1"/>
  <c r="W201" i="1"/>
  <c r="AF200" i="1"/>
  <c r="AB200" i="1"/>
  <c r="AH200" i="1"/>
  <c r="AD200" i="1"/>
  <c r="AC200" i="1"/>
  <c r="AG200" i="1"/>
  <c r="AE200" i="1"/>
  <c r="AA200" i="1"/>
  <c r="AE201" i="1" l="1"/>
  <c r="AA201" i="1"/>
  <c r="AG201" i="1"/>
  <c r="AC201" i="1"/>
  <c r="X202" i="1"/>
  <c r="T202" i="1"/>
  <c r="W202" i="1"/>
  <c r="Z202" i="1"/>
  <c r="S203" i="1"/>
  <c r="Y202" i="1"/>
  <c r="U202" i="1"/>
  <c r="V202" i="1" s="1"/>
  <c r="AF201" i="1"/>
  <c r="AB201" i="1"/>
  <c r="AH201" i="1"/>
  <c r="AD201" i="1"/>
  <c r="AH202" i="1" l="1"/>
  <c r="AD202" i="1"/>
  <c r="AE202" i="1"/>
  <c r="AA202" i="1"/>
  <c r="AC202" i="1"/>
  <c r="AG202" i="1"/>
  <c r="Z203" i="1"/>
  <c r="S204" i="1"/>
  <c r="Y203" i="1"/>
  <c r="U203" i="1"/>
  <c r="V203" i="1" s="1"/>
  <c r="X203" i="1"/>
  <c r="T203" i="1"/>
  <c r="W203" i="1"/>
  <c r="AF202" i="1"/>
  <c r="AB202" i="1"/>
  <c r="AH203" i="1" l="1"/>
  <c r="AD203" i="1"/>
  <c r="X204" i="1"/>
  <c r="T204" i="1"/>
  <c r="W204" i="1"/>
  <c r="Z204" i="1"/>
  <c r="S205" i="1"/>
  <c r="Y204" i="1"/>
  <c r="U204" i="1"/>
  <c r="V204" i="1" s="1"/>
  <c r="AF203" i="1"/>
  <c r="AB203" i="1"/>
  <c r="AE203" i="1"/>
  <c r="AA203" i="1"/>
  <c r="AG203" i="1"/>
  <c r="AC203" i="1"/>
  <c r="AC204" i="1" l="1"/>
  <c r="AG204" i="1"/>
  <c r="Z205" i="1"/>
  <c r="S206" i="1"/>
  <c r="Y205" i="1"/>
  <c r="U205" i="1"/>
  <c r="V205" i="1" s="1"/>
  <c r="X205" i="1"/>
  <c r="T205" i="1"/>
  <c r="W205" i="1"/>
  <c r="AF204" i="1"/>
  <c r="AB204" i="1"/>
  <c r="AH204" i="1"/>
  <c r="AD204" i="1"/>
  <c r="AE204" i="1"/>
  <c r="AA204" i="1"/>
  <c r="X206" i="1" l="1"/>
  <c r="T206" i="1"/>
  <c r="W206" i="1"/>
  <c r="Z206" i="1"/>
  <c r="S207" i="1"/>
  <c r="Y206" i="1"/>
  <c r="U206" i="1"/>
  <c r="V206" i="1" s="1"/>
  <c r="AH205" i="1"/>
  <c r="AD205" i="1"/>
  <c r="AF205" i="1"/>
  <c r="AB205" i="1"/>
  <c r="AE205" i="1"/>
  <c r="AA205" i="1"/>
  <c r="AG205" i="1"/>
  <c r="AC205" i="1"/>
  <c r="AH206" i="1" l="1"/>
  <c r="AD206" i="1"/>
  <c r="AC206" i="1"/>
  <c r="AG206" i="1"/>
  <c r="AE206" i="1"/>
  <c r="AA206" i="1"/>
  <c r="Z207" i="1"/>
  <c r="S208" i="1"/>
  <c r="Y207" i="1"/>
  <c r="U207" i="1"/>
  <c r="V207" i="1" s="1"/>
  <c r="X207" i="1"/>
  <c r="T207" i="1"/>
  <c r="W207" i="1"/>
  <c r="AF206" i="1"/>
  <c r="AB206" i="1"/>
  <c r="X208" i="1" l="1"/>
  <c r="T208" i="1"/>
  <c r="W208" i="1"/>
  <c r="Z208" i="1"/>
  <c r="S209" i="1"/>
  <c r="Y208" i="1"/>
  <c r="U208" i="1"/>
  <c r="V208" i="1" s="1"/>
  <c r="AH207" i="1"/>
  <c r="AD207" i="1"/>
  <c r="AF207" i="1"/>
  <c r="AB207" i="1"/>
  <c r="AE207" i="1"/>
  <c r="AA207" i="1"/>
  <c r="AG207" i="1"/>
  <c r="AC207" i="1"/>
  <c r="AH208" i="1" l="1"/>
  <c r="AD208" i="1"/>
  <c r="AE208" i="1"/>
  <c r="AA208" i="1"/>
  <c r="AC208" i="1"/>
  <c r="AG208" i="1"/>
  <c r="Z209" i="1"/>
  <c r="S210" i="1"/>
  <c r="Y209" i="1"/>
  <c r="U209" i="1"/>
  <c r="V209" i="1" s="1"/>
  <c r="X209" i="1"/>
  <c r="T209" i="1"/>
  <c r="W209" i="1"/>
  <c r="AF208" i="1"/>
  <c r="AB208" i="1"/>
  <c r="X210" i="1" l="1"/>
  <c r="T210" i="1"/>
  <c r="W210" i="1"/>
  <c r="Z210" i="1"/>
  <c r="S211" i="1"/>
  <c r="Y210" i="1"/>
  <c r="U210" i="1"/>
  <c r="V210" i="1" s="1"/>
  <c r="AH209" i="1"/>
  <c r="AD209" i="1"/>
  <c r="AF209" i="1"/>
  <c r="AB209" i="1"/>
  <c r="AE209" i="1"/>
  <c r="AA209" i="1"/>
  <c r="AG209" i="1"/>
  <c r="AC209" i="1"/>
  <c r="AH210" i="1" l="1"/>
  <c r="AD210" i="1"/>
  <c r="AC210" i="1"/>
  <c r="AG210" i="1"/>
  <c r="AE210" i="1"/>
  <c r="AA210" i="1"/>
  <c r="Z211" i="1"/>
  <c r="S212" i="1"/>
  <c r="Y211" i="1"/>
  <c r="U211" i="1"/>
  <c r="V211" i="1" s="1"/>
  <c r="X211" i="1"/>
  <c r="T211" i="1"/>
  <c r="W211" i="1"/>
  <c r="AF210" i="1"/>
  <c r="AB210" i="1"/>
  <c r="X212" i="1" l="1"/>
  <c r="T212" i="1"/>
  <c r="W212" i="1"/>
  <c r="Z212" i="1"/>
  <c r="S213" i="1"/>
  <c r="Y212" i="1"/>
  <c r="U212" i="1"/>
  <c r="V212" i="1" s="1"/>
  <c r="AF211" i="1"/>
  <c r="AB211" i="1"/>
  <c r="AH211" i="1"/>
  <c r="AD211" i="1"/>
  <c r="AE211" i="1"/>
  <c r="AA211" i="1"/>
  <c r="AG211" i="1"/>
  <c r="AC211" i="1"/>
  <c r="AH212" i="1" l="1"/>
  <c r="AD212" i="1"/>
  <c r="AC212" i="1"/>
  <c r="AG212" i="1"/>
  <c r="AE212" i="1"/>
  <c r="AA212" i="1"/>
  <c r="Z213" i="1"/>
  <c r="S214" i="1"/>
  <c r="Y213" i="1"/>
  <c r="U213" i="1"/>
  <c r="V213" i="1" s="1"/>
  <c r="X213" i="1"/>
  <c r="T213" i="1"/>
  <c r="W213" i="1"/>
  <c r="AF212" i="1"/>
  <c r="AB212" i="1"/>
  <c r="X214" i="1" l="1"/>
  <c r="T214" i="1"/>
  <c r="W214" i="1"/>
  <c r="Z214" i="1"/>
  <c r="S215" i="1"/>
  <c r="Y214" i="1"/>
  <c r="U214" i="1"/>
  <c r="V214" i="1" s="1"/>
  <c r="AF213" i="1"/>
  <c r="AB213" i="1"/>
  <c r="AH213" i="1"/>
  <c r="AD213" i="1"/>
  <c r="AE213" i="1"/>
  <c r="AA213" i="1"/>
  <c r="AG213" i="1"/>
  <c r="AC213" i="1"/>
  <c r="AE214" i="1" l="1"/>
  <c r="AA214" i="1"/>
  <c r="AH214" i="1"/>
  <c r="AD214" i="1"/>
  <c r="AC214" i="1"/>
  <c r="AG214" i="1"/>
  <c r="Z215" i="1"/>
  <c r="S216" i="1"/>
  <c r="Y215" i="1"/>
  <c r="U215" i="1"/>
  <c r="V215" i="1" s="1"/>
  <c r="X215" i="1"/>
  <c r="T215" i="1"/>
  <c r="W215" i="1"/>
  <c r="AF214" i="1"/>
  <c r="AB214" i="1"/>
  <c r="X216" i="1" l="1"/>
  <c r="T216" i="1"/>
  <c r="W216" i="1"/>
  <c r="Z216" i="1"/>
  <c r="S217" i="1"/>
  <c r="Y216" i="1"/>
  <c r="U216" i="1"/>
  <c r="V216" i="1" s="1"/>
  <c r="AF215" i="1"/>
  <c r="AB215" i="1"/>
  <c r="AH215" i="1"/>
  <c r="AD215" i="1"/>
  <c r="AE215" i="1"/>
  <c r="AA215" i="1"/>
  <c r="AG215" i="1"/>
  <c r="AC215" i="1"/>
  <c r="AE216" i="1" l="1"/>
  <c r="AA216" i="1"/>
  <c r="AC216" i="1"/>
  <c r="AG216" i="1"/>
  <c r="AH216" i="1"/>
  <c r="AD216" i="1"/>
  <c r="Z217" i="1"/>
  <c r="S218" i="1"/>
  <c r="Y217" i="1"/>
  <c r="U217" i="1"/>
  <c r="V217" i="1" s="1"/>
  <c r="X217" i="1"/>
  <c r="T217" i="1"/>
  <c r="W217" i="1"/>
  <c r="AF216" i="1"/>
  <c r="AB216" i="1"/>
  <c r="AH217" i="1" l="1"/>
  <c r="AD217" i="1"/>
  <c r="X218" i="1"/>
  <c r="T218" i="1"/>
  <c r="W218" i="1"/>
  <c r="Z218" i="1"/>
  <c r="S219" i="1"/>
  <c r="Y218" i="1"/>
  <c r="U218" i="1"/>
  <c r="V218" i="1" s="1"/>
  <c r="AF217" i="1"/>
  <c r="AB217" i="1"/>
  <c r="AE217" i="1"/>
  <c r="AA217" i="1"/>
  <c r="AG217" i="1"/>
  <c r="AC217" i="1"/>
  <c r="AC218" i="1" l="1"/>
  <c r="AG218" i="1"/>
  <c r="Z219" i="1"/>
  <c r="S220" i="1"/>
  <c r="Y219" i="1"/>
  <c r="U219" i="1"/>
  <c r="V219" i="1" s="1"/>
  <c r="X219" i="1"/>
  <c r="T219" i="1"/>
  <c r="W219" i="1"/>
  <c r="AF218" i="1"/>
  <c r="AB218" i="1"/>
  <c r="AH218" i="1"/>
  <c r="AD218" i="1"/>
  <c r="AE218" i="1"/>
  <c r="AA218" i="1"/>
  <c r="X220" i="1" l="1"/>
  <c r="T220" i="1"/>
  <c r="W220" i="1"/>
  <c r="Z220" i="1"/>
  <c r="S221" i="1"/>
  <c r="Y220" i="1"/>
  <c r="U220" i="1"/>
  <c r="V220" i="1" s="1"/>
  <c r="AF219" i="1"/>
  <c r="AB219" i="1"/>
  <c r="AH219" i="1"/>
  <c r="AD219" i="1"/>
  <c r="AE219" i="1"/>
  <c r="AA219" i="1"/>
  <c r="AG219" i="1"/>
  <c r="AC219" i="1"/>
  <c r="AE220" i="1" l="1"/>
  <c r="AA220" i="1"/>
  <c r="AC220" i="1"/>
  <c r="AG220" i="1"/>
  <c r="AH220" i="1"/>
  <c r="AD220" i="1"/>
  <c r="Z221" i="1"/>
  <c r="S222" i="1"/>
  <c r="Y221" i="1"/>
  <c r="U221" i="1"/>
  <c r="V221" i="1" s="1"/>
  <c r="X221" i="1"/>
  <c r="T221" i="1"/>
  <c r="W221" i="1"/>
  <c r="AF220" i="1"/>
  <c r="AB220" i="1"/>
  <c r="X222" i="1" l="1"/>
  <c r="T222" i="1"/>
  <c r="W222" i="1"/>
  <c r="Z222" i="1"/>
  <c r="S223" i="1"/>
  <c r="Y222" i="1"/>
  <c r="U222" i="1"/>
  <c r="V222" i="1" s="1"/>
  <c r="AF221" i="1"/>
  <c r="AB221" i="1"/>
  <c r="AH221" i="1"/>
  <c r="AD221" i="1"/>
  <c r="AE221" i="1"/>
  <c r="AA221" i="1"/>
  <c r="AG221" i="1"/>
  <c r="AC221" i="1"/>
  <c r="AH222" i="1" l="1"/>
  <c r="AD222" i="1"/>
  <c r="AE222" i="1"/>
  <c r="AA222" i="1"/>
  <c r="AC222" i="1"/>
  <c r="AG222" i="1"/>
  <c r="Z223" i="1"/>
  <c r="S224" i="1"/>
  <c r="Y223" i="1"/>
  <c r="U223" i="1"/>
  <c r="V223" i="1" s="1"/>
  <c r="X223" i="1"/>
  <c r="T223" i="1"/>
  <c r="W223" i="1"/>
  <c r="AF222" i="1"/>
  <c r="AB222" i="1"/>
  <c r="AF223" i="1" l="1"/>
  <c r="AB223" i="1"/>
  <c r="X224" i="1"/>
  <c r="T224" i="1"/>
  <c r="W224" i="1"/>
  <c r="Z224" i="1"/>
  <c r="S225" i="1"/>
  <c r="Y224" i="1"/>
  <c r="U224" i="1"/>
  <c r="V224" i="1" s="1"/>
  <c r="AH223" i="1"/>
  <c r="AD223" i="1"/>
  <c r="AE223" i="1"/>
  <c r="AA223" i="1"/>
  <c r="AG223" i="1"/>
  <c r="AC223" i="1"/>
  <c r="Z225" i="1" l="1"/>
  <c r="S226" i="1"/>
  <c r="Y225" i="1"/>
  <c r="U225" i="1"/>
  <c r="V225" i="1" s="1"/>
  <c r="X225" i="1"/>
  <c r="T225" i="1"/>
  <c r="W225" i="1"/>
  <c r="AF224" i="1"/>
  <c r="AB224" i="1"/>
  <c r="AH224" i="1"/>
  <c r="AD224" i="1"/>
  <c r="AC224" i="1"/>
  <c r="AG224" i="1"/>
  <c r="AE224" i="1"/>
  <c r="AA224" i="1"/>
  <c r="AE225" i="1" l="1"/>
  <c r="AA225" i="1"/>
  <c r="AG225" i="1"/>
  <c r="AC225" i="1"/>
  <c r="X226" i="1"/>
  <c r="T226" i="1"/>
  <c r="W226" i="1"/>
  <c r="Z226" i="1"/>
  <c r="S227" i="1"/>
  <c r="Y226" i="1"/>
  <c r="U226" i="1"/>
  <c r="V226" i="1" s="1"/>
  <c r="AF225" i="1"/>
  <c r="AB225" i="1"/>
  <c r="AH225" i="1"/>
  <c r="AD225" i="1"/>
  <c r="AC226" i="1" l="1"/>
  <c r="AG226" i="1"/>
  <c r="AH226" i="1"/>
  <c r="AD226" i="1"/>
  <c r="AE226" i="1"/>
  <c r="AA226" i="1"/>
  <c r="Z227" i="1"/>
  <c r="S228" i="1"/>
  <c r="Y227" i="1"/>
  <c r="U227" i="1"/>
  <c r="V227" i="1" s="1"/>
  <c r="X227" i="1"/>
  <c r="T227" i="1"/>
  <c r="W227" i="1"/>
  <c r="AF226" i="1"/>
  <c r="AB226" i="1"/>
  <c r="X228" i="1" l="1"/>
  <c r="T228" i="1"/>
  <c r="W228" i="1"/>
  <c r="Z228" i="1"/>
  <c r="S229" i="1"/>
  <c r="Y228" i="1"/>
  <c r="U228" i="1"/>
  <c r="V228" i="1" s="1"/>
  <c r="AF227" i="1"/>
  <c r="AB227" i="1"/>
  <c r="AH227" i="1"/>
  <c r="AD227" i="1"/>
  <c r="AE227" i="1"/>
  <c r="AA227" i="1"/>
  <c r="AG227" i="1"/>
  <c r="AC227" i="1"/>
  <c r="AE228" i="1" l="1"/>
  <c r="AA228" i="1"/>
  <c r="AH228" i="1"/>
  <c r="AD228" i="1"/>
  <c r="AC228" i="1"/>
  <c r="AG228" i="1"/>
  <c r="Z229" i="1"/>
  <c r="S230" i="1"/>
  <c r="Y229" i="1"/>
  <c r="U229" i="1"/>
  <c r="V229" i="1" s="1"/>
  <c r="X229" i="1"/>
  <c r="T229" i="1"/>
  <c r="W229" i="1"/>
  <c r="AF228" i="1"/>
  <c r="AB228" i="1"/>
  <c r="AH229" i="1" l="1"/>
  <c r="AD229" i="1"/>
  <c r="X230" i="1"/>
  <c r="T230" i="1"/>
  <c r="W230" i="1"/>
  <c r="Z230" i="1"/>
  <c r="S231" i="1"/>
  <c r="Y230" i="1"/>
  <c r="U230" i="1"/>
  <c r="V230" i="1" s="1"/>
  <c r="AF229" i="1"/>
  <c r="AB229" i="1"/>
  <c r="AE229" i="1"/>
  <c r="AA229" i="1"/>
  <c r="AG229" i="1"/>
  <c r="AC229" i="1"/>
  <c r="AC230" i="1" l="1"/>
  <c r="AG230" i="1"/>
  <c r="Z231" i="1"/>
  <c r="S232" i="1"/>
  <c r="Y231" i="1"/>
  <c r="U231" i="1"/>
  <c r="V231" i="1" s="1"/>
  <c r="X231" i="1"/>
  <c r="T231" i="1"/>
  <c r="W231" i="1"/>
  <c r="AF230" i="1"/>
  <c r="AB230" i="1"/>
  <c r="AH230" i="1"/>
  <c r="AD230" i="1"/>
  <c r="AE230" i="1"/>
  <c r="AA230" i="1"/>
  <c r="AF231" i="1" l="1"/>
  <c r="AB231" i="1"/>
  <c r="AH231" i="1"/>
  <c r="AD231" i="1"/>
  <c r="X232" i="1"/>
  <c r="T232" i="1"/>
  <c r="W232" i="1"/>
  <c r="Z232" i="1"/>
  <c r="S233" i="1"/>
  <c r="Y232" i="1"/>
  <c r="U232" i="1"/>
  <c r="V232" i="1" s="1"/>
  <c r="AE231" i="1"/>
  <c r="AA231" i="1"/>
  <c r="AG231" i="1"/>
  <c r="AC231" i="1"/>
  <c r="AE232" i="1" l="1"/>
  <c r="AA232" i="1"/>
  <c r="AH232" i="1"/>
  <c r="AD232" i="1"/>
  <c r="AC232" i="1"/>
  <c r="AG232" i="1"/>
  <c r="Z233" i="1"/>
  <c r="S234" i="1"/>
  <c r="Y233" i="1"/>
  <c r="U233" i="1"/>
  <c r="V233" i="1" s="1"/>
  <c r="X233" i="1"/>
  <c r="T233" i="1"/>
  <c r="W233" i="1"/>
  <c r="AF232" i="1"/>
  <c r="AB232" i="1"/>
  <c r="X234" i="1" l="1"/>
  <c r="T234" i="1"/>
  <c r="W234" i="1"/>
  <c r="Z234" i="1"/>
  <c r="S235" i="1"/>
  <c r="Y234" i="1"/>
  <c r="U234" i="1"/>
  <c r="V234" i="1" s="1"/>
  <c r="AF233" i="1"/>
  <c r="AB233" i="1"/>
  <c r="AH233" i="1"/>
  <c r="AD233" i="1"/>
  <c r="AE233" i="1"/>
  <c r="AA233" i="1"/>
  <c r="AG233" i="1"/>
  <c r="AC233" i="1"/>
  <c r="AH234" i="1" l="1"/>
  <c r="AD234" i="1"/>
  <c r="AE234" i="1"/>
  <c r="AA234" i="1"/>
  <c r="AC234" i="1"/>
  <c r="AG234" i="1"/>
  <c r="Z235" i="1"/>
  <c r="S236" i="1"/>
  <c r="Y235" i="1"/>
  <c r="U235" i="1"/>
  <c r="V235" i="1" s="1"/>
  <c r="X235" i="1"/>
  <c r="T235" i="1"/>
  <c r="W235" i="1"/>
  <c r="AF234" i="1"/>
  <c r="AB234" i="1"/>
  <c r="X236" i="1" l="1"/>
  <c r="T236" i="1"/>
  <c r="W236" i="1"/>
  <c r="Z236" i="1"/>
  <c r="S237" i="1"/>
  <c r="Y236" i="1"/>
  <c r="U236" i="1"/>
  <c r="V236" i="1" s="1"/>
  <c r="AF235" i="1"/>
  <c r="AB235" i="1"/>
  <c r="AH235" i="1"/>
  <c r="AD235" i="1"/>
  <c r="AE235" i="1"/>
  <c r="AA235" i="1"/>
  <c r="AG235" i="1"/>
  <c r="AC235" i="1"/>
  <c r="AH236" i="1" l="1"/>
  <c r="AD236" i="1"/>
  <c r="AE236" i="1"/>
  <c r="AA236" i="1"/>
  <c r="AC236" i="1"/>
  <c r="AG236" i="1"/>
  <c r="Z237" i="1"/>
  <c r="S238" i="1"/>
  <c r="Y237" i="1"/>
  <c r="U237" i="1"/>
  <c r="V237" i="1" s="1"/>
  <c r="X237" i="1"/>
  <c r="T237" i="1"/>
  <c r="W237" i="1"/>
  <c r="AF236" i="1"/>
  <c r="AB236" i="1"/>
  <c r="X238" i="1" l="1"/>
  <c r="T238" i="1"/>
  <c r="W238" i="1"/>
  <c r="Z238" i="1"/>
  <c r="S239" i="1"/>
  <c r="Y238" i="1"/>
  <c r="U238" i="1"/>
  <c r="V238" i="1" s="1"/>
  <c r="AH237" i="1"/>
  <c r="AD237" i="1"/>
  <c r="AF237" i="1"/>
  <c r="AB237" i="1"/>
  <c r="AE237" i="1"/>
  <c r="AA237" i="1"/>
  <c r="AG237" i="1"/>
  <c r="AC237" i="1"/>
  <c r="AH238" i="1" l="1"/>
  <c r="AD238" i="1"/>
  <c r="AE238" i="1"/>
  <c r="AA238" i="1"/>
  <c r="AC238" i="1"/>
  <c r="AG238" i="1"/>
  <c r="Z239" i="1"/>
  <c r="S240" i="1"/>
  <c r="Y239" i="1"/>
  <c r="U239" i="1"/>
  <c r="V239" i="1" s="1"/>
  <c r="X239" i="1"/>
  <c r="T239" i="1"/>
  <c r="W239" i="1"/>
  <c r="AF238" i="1"/>
  <c r="AB238" i="1"/>
  <c r="AH239" i="1" l="1"/>
  <c r="AD239" i="1"/>
  <c r="X240" i="1"/>
  <c r="T240" i="1"/>
  <c r="W240" i="1"/>
  <c r="Z240" i="1"/>
  <c r="S241" i="1"/>
  <c r="Y240" i="1"/>
  <c r="U240" i="1"/>
  <c r="V240" i="1" s="1"/>
  <c r="AF239" i="1"/>
  <c r="AB239" i="1"/>
  <c r="AE239" i="1"/>
  <c r="AA239" i="1"/>
  <c r="AG239" i="1"/>
  <c r="AC239" i="1"/>
  <c r="Z241" i="1" l="1"/>
  <c r="S242" i="1"/>
  <c r="Y241" i="1"/>
  <c r="U241" i="1"/>
  <c r="V241" i="1" s="1"/>
  <c r="X241" i="1"/>
  <c r="T241" i="1"/>
  <c r="W241" i="1"/>
  <c r="AF240" i="1"/>
  <c r="AB240" i="1"/>
  <c r="AH240" i="1"/>
  <c r="AD240" i="1"/>
  <c r="AC240" i="1"/>
  <c r="AG240" i="1"/>
  <c r="AE240" i="1"/>
  <c r="AA240" i="1"/>
  <c r="X242" i="1" l="1"/>
  <c r="T242" i="1"/>
  <c r="W242" i="1"/>
  <c r="Z242" i="1"/>
  <c r="S243" i="1"/>
  <c r="Y242" i="1"/>
  <c r="U242" i="1"/>
  <c r="V242" i="1" s="1"/>
  <c r="AE241" i="1"/>
  <c r="AA241" i="1"/>
  <c r="AG241" i="1"/>
  <c r="AC241" i="1"/>
  <c r="AF241" i="1"/>
  <c r="AB241" i="1"/>
  <c r="AH241" i="1"/>
  <c r="AD241" i="1"/>
  <c r="AH242" i="1" l="1"/>
  <c r="AD242" i="1"/>
  <c r="AE242" i="1"/>
  <c r="AA242" i="1"/>
  <c r="AC242" i="1"/>
  <c r="AG242" i="1"/>
  <c r="Z243" i="1"/>
  <c r="S244" i="1"/>
  <c r="Y243" i="1"/>
  <c r="U243" i="1"/>
  <c r="V243" i="1" s="1"/>
  <c r="X243" i="1"/>
  <c r="T243" i="1"/>
  <c r="W243" i="1"/>
  <c r="AF242" i="1"/>
  <c r="AB242" i="1"/>
  <c r="X244" i="1" l="1"/>
  <c r="T244" i="1"/>
  <c r="W244" i="1"/>
  <c r="Z244" i="1"/>
  <c r="S245" i="1"/>
  <c r="Y244" i="1"/>
  <c r="U244" i="1"/>
  <c r="V244" i="1" s="1"/>
  <c r="AH243" i="1"/>
  <c r="AD243" i="1"/>
  <c r="AF243" i="1"/>
  <c r="AB243" i="1"/>
  <c r="AE243" i="1"/>
  <c r="AA243" i="1"/>
  <c r="AG243" i="1"/>
  <c r="AC243" i="1"/>
  <c r="AH244" i="1" l="1"/>
  <c r="AD244" i="1"/>
  <c r="AE244" i="1"/>
  <c r="AA244" i="1"/>
  <c r="AC244" i="1"/>
  <c r="AG244" i="1"/>
  <c r="Z245" i="1"/>
  <c r="S246" i="1"/>
  <c r="Y245" i="1"/>
  <c r="U245" i="1"/>
  <c r="V245" i="1" s="1"/>
  <c r="X245" i="1"/>
  <c r="T245" i="1"/>
  <c r="W245" i="1"/>
  <c r="AF244" i="1"/>
  <c r="AB244" i="1"/>
  <c r="X246" i="1" l="1"/>
  <c r="T246" i="1"/>
  <c r="W246" i="1"/>
  <c r="Z246" i="1"/>
  <c r="S247" i="1"/>
  <c r="Y246" i="1"/>
  <c r="U246" i="1"/>
  <c r="V246" i="1" s="1"/>
  <c r="AF245" i="1"/>
  <c r="AB245" i="1"/>
  <c r="AH245" i="1"/>
  <c r="AD245" i="1"/>
  <c r="AE245" i="1"/>
  <c r="AA245" i="1"/>
  <c r="AG245" i="1"/>
  <c r="AC245" i="1"/>
  <c r="AE246" i="1" l="1"/>
  <c r="AA246" i="1"/>
  <c r="AH246" i="1"/>
  <c r="AD246" i="1"/>
  <c r="AC246" i="1"/>
  <c r="AG246" i="1"/>
  <c r="Z247" i="1"/>
  <c r="S248" i="1"/>
  <c r="Y247" i="1"/>
  <c r="U247" i="1"/>
  <c r="V247" i="1" s="1"/>
  <c r="X247" i="1"/>
  <c r="T247" i="1"/>
  <c r="W247" i="1"/>
  <c r="AF246" i="1"/>
  <c r="AB246" i="1"/>
  <c r="AH247" i="1" l="1"/>
  <c r="AD247" i="1"/>
  <c r="X248" i="1"/>
  <c r="T248" i="1"/>
  <c r="S249" i="1"/>
  <c r="W248" i="1"/>
  <c r="Z248" i="1"/>
  <c r="Y248" i="1"/>
  <c r="U248" i="1"/>
  <c r="V248" i="1" s="1"/>
  <c r="AF247" i="1"/>
  <c r="AB247" i="1"/>
  <c r="AE247" i="1"/>
  <c r="AA247" i="1"/>
  <c r="AG247" i="1"/>
  <c r="AC247" i="1"/>
  <c r="AH248" i="1" l="1"/>
  <c r="AD248" i="1"/>
  <c r="AF248" i="1"/>
  <c r="AB248" i="1"/>
  <c r="AA248" i="1"/>
  <c r="AE248" i="1"/>
  <c r="AC248" i="1"/>
  <c r="AG248" i="1"/>
  <c r="Z249" i="1"/>
  <c r="Y249" i="1"/>
  <c r="T249" i="1"/>
  <c r="X249" i="1"/>
  <c r="W249" i="1"/>
  <c r="S250" i="1"/>
  <c r="U249" i="1"/>
  <c r="V249" i="1" s="1"/>
  <c r="X250" i="1" l="1"/>
  <c r="T250" i="1"/>
  <c r="W250" i="1"/>
  <c r="S251" i="1"/>
  <c r="Z250" i="1"/>
  <c r="U250" i="1"/>
  <c r="V250" i="1" s="1"/>
  <c r="Y250" i="1"/>
  <c r="AC249" i="1"/>
  <c r="AG249" i="1"/>
  <c r="AB249" i="1"/>
  <c r="AF249" i="1"/>
  <c r="AE249" i="1"/>
  <c r="AA249" i="1"/>
  <c r="AH249" i="1"/>
  <c r="AD249" i="1"/>
  <c r="Z251" i="1" l="1"/>
  <c r="Y251" i="1"/>
  <c r="T251" i="1"/>
  <c r="X251" i="1"/>
  <c r="W251" i="1"/>
  <c r="S252" i="1"/>
  <c r="U251" i="1"/>
  <c r="V251" i="1" s="1"/>
  <c r="AC250" i="1"/>
  <c r="AG250" i="1"/>
  <c r="AA250" i="1"/>
  <c r="AE250" i="1"/>
  <c r="AH250" i="1"/>
  <c r="AD250" i="1"/>
  <c r="AF250" i="1"/>
  <c r="AB250" i="1"/>
  <c r="X252" i="1" l="1"/>
  <c r="T252" i="1"/>
  <c r="Z252" i="1"/>
  <c r="Y252" i="1"/>
  <c r="S253" i="1"/>
  <c r="W252" i="1"/>
  <c r="U252" i="1"/>
  <c r="V252" i="1" s="1"/>
  <c r="AC251" i="1"/>
  <c r="AG251" i="1"/>
  <c r="AB251" i="1"/>
  <c r="AF251" i="1"/>
  <c r="AE251" i="1"/>
  <c r="AA251" i="1"/>
  <c r="AH251" i="1"/>
  <c r="AD251" i="1"/>
  <c r="AG252" i="1" l="1"/>
  <c r="AC252" i="1"/>
  <c r="AH252" i="1"/>
  <c r="AD252" i="1"/>
  <c r="AE252" i="1"/>
  <c r="AA252" i="1"/>
  <c r="Z253" i="1"/>
  <c r="X253" i="1"/>
  <c r="T253" i="1"/>
  <c r="U253" i="1"/>
  <c r="V253" i="1" s="1"/>
  <c r="Y253" i="1"/>
  <c r="S254" i="1"/>
  <c r="W253" i="1"/>
  <c r="AF252" i="1"/>
  <c r="AB252" i="1"/>
  <c r="X254" i="1" l="1"/>
  <c r="T254" i="1"/>
  <c r="Z254" i="1"/>
  <c r="Y254" i="1"/>
  <c r="S255" i="1"/>
  <c r="W254" i="1"/>
  <c r="U254" i="1"/>
  <c r="V254" i="1" s="1"/>
  <c r="AC253" i="1"/>
  <c r="AG253" i="1"/>
  <c r="AH253" i="1"/>
  <c r="AD253" i="1"/>
  <c r="AF253" i="1"/>
  <c r="AB253" i="1"/>
  <c r="AA253" i="1"/>
  <c r="AE253" i="1"/>
  <c r="AG254" i="1" l="1"/>
  <c r="AC254" i="1"/>
  <c r="AH254" i="1"/>
  <c r="AD254" i="1"/>
  <c r="AE254" i="1"/>
  <c r="AA254" i="1"/>
  <c r="Z255" i="1"/>
  <c r="X255" i="1"/>
  <c r="T255" i="1"/>
  <c r="U255" i="1"/>
  <c r="V255" i="1" s="1"/>
  <c r="Y255" i="1"/>
  <c r="S256" i="1"/>
  <c r="W255" i="1"/>
  <c r="AF254" i="1"/>
  <c r="AB254" i="1"/>
  <c r="AF255" i="1" l="1"/>
  <c r="AB255" i="1"/>
  <c r="X256" i="1"/>
  <c r="T256" i="1"/>
  <c r="Z256" i="1"/>
  <c r="Y256" i="1"/>
  <c r="S257" i="1"/>
  <c r="W256" i="1"/>
  <c r="U256" i="1"/>
  <c r="V256" i="1" s="1"/>
  <c r="AC255" i="1"/>
  <c r="AG255" i="1"/>
  <c r="AH255" i="1"/>
  <c r="AD255" i="1"/>
  <c r="AA255" i="1"/>
  <c r="AE255" i="1"/>
  <c r="AE256" i="1" l="1"/>
  <c r="AA256" i="1"/>
  <c r="Z257" i="1"/>
  <c r="X257" i="1"/>
  <c r="T257" i="1"/>
  <c r="U257" i="1"/>
  <c r="V257" i="1" s="1"/>
  <c r="Y257" i="1"/>
  <c r="S258" i="1"/>
  <c r="W257" i="1"/>
  <c r="AF256" i="1"/>
  <c r="AB256" i="1"/>
  <c r="AG256" i="1"/>
  <c r="AC256" i="1"/>
  <c r="AH256" i="1"/>
  <c r="AD256" i="1"/>
  <c r="X258" i="1" l="1"/>
  <c r="T258" i="1"/>
  <c r="Z258" i="1"/>
  <c r="Y258" i="1"/>
  <c r="S259" i="1"/>
  <c r="W258" i="1"/>
  <c r="U258" i="1"/>
  <c r="V258" i="1" s="1"/>
  <c r="AF257" i="1"/>
  <c r="AB257" i="1"/>
  <c r="AC257" i="1"/>
  <c r="AG257" i="1"/>
  <c r="AH257" i="1"/>
  <c r="AD257" i="1"/>
  <c r="AA257" i="1"/>
  <c r="AE257" i="1"/>
  <c r="AG258" i="1" l="1"/>
  <c r="AC258" i="1"/>
  <c r="AH258" i="1"/>
  <c r="AD258" i="1"/>
  <c r="AE258" i="1"/>
  <c r="AA258" i="1"/>
  <c r="Z259" i="1"/>
  <c r="X259" i="1"/>
  <c r="T259" i="1"/>
  <c r="U259" i="1"/>
  <c r="V259" i="1" s="1"/>
  <c r="Y259" i="1"/>
  <c r="S260" i="1"/>
  <c r="W259" i="1"/>
  <c r="AF258" i="1"/>
  <c r="AB258" i="1"/>
  <c r="X260" i="1" l="1"/>
  <c r="T260" i="1"/>
  <c r="Z260" i="1"/>
  <c r="Y260" i="1"/>
  <c r="S261" i="1"/>
  <c r="W260" i="1"/>
  <c r="U260" i="1"/>
  <c r="V260" i="1" s="1"/>
  <c r="AF259" i="1"/>
  <c r="AB259" i="1"/>
  <c r="AC259" i="1"/>
  <c r="AG259" i="1"/>
  <c r="AH259" i="1"/>
  <c r="AD259" i="1"/>
  <c r="AA259" i="1"/>
  <c r="AE259" i="1"/>
  <c r="AG260" i="1" l="1"/>
  <c r="AC260" i="1"/>
  <c r="AH260" i="1"/>
  <c r="AD260" i="1"/>
  <c r="AE260" i="1"/>
  <c r="AA260" i="1"/>
  <c r="Z261" i="1"/>
  <c r="X261" i="1"/>
  <c r="T261" i="1"/>
  <c r="U261" i="1"/>
  <c r="V261" i="1" s="1"/>
  <c r="Y261" i="1"/>
  <c r="S262" i="1"/>
  <c r="W261" i="1"/>
  <c r="AF260" i="1"/>
  <c r="AB260" i="1"/>
  <c r="AC261" i="1" l="1"/>
  <c r="AG261" i="1"/>
  <c r="AH261" i="1"/>
  <c r="AD261" i="1"/>
  <c r="AA261" i="1"/>
  <c r="AE261" i="1"/>
  <c r="X262" i="1"/>
  <c r="T262" i="1"/>
  <c r="Z262" i="1"/>
  <c r="Y262" i="1"/>
  <c r="S263" i="1"/>
  <c r="W262" i="1"/>
  <c r="U262" i="1"/>
  <c r="V262" i="1" s="1"/>
  <c r="AF261" i="1"/>
  <c r="AB261" i="1"/>
  <c r="AF262" i="1" l="1"/>
  <c r="AB262" i="1"/>
  <c r="AG262" i="1"/>
  <c r="AC262" i="1"/>
  <c r="AE262" i="1"/>
  <c r="AA262" i="1"/>
  <c r="Z263" i="1"/>
  <c r="X263" i="1"/>
  <c r="T263" i="1"/>
  <c r="U263" i="1"/>
  <c r="V263" i="1" s="1"/>
  <c r="Y263" i="1"/>
  <c r="S264" i="1"/>
  <c r="W263" i="1"/>
  <c r="AH262" i="1"/>
  <c r="AD262" i="1"/>
  <c r="AF263" i="1" l="1"/>
  <c r="AB263" i="1"/>
  <c r="X264" i="1"/>
  <c r="T264" i="1"/>
  <c r="Z264" i="1"/>
  <c r="Y264" i="1"/>
  <c r="S265" i="1"/>
  <c r="W264" i="1"/>
  <c r="U264" i="1"/>
  <c r="V264" i="1" s="1"/>
  <c r="AC263" i="1"/>
  <c r="AG263" i="1"/>
  <c r="AH263" i="1"/>
  <c r="AD263" i="1"/>
  <c r="AA263" i="1"/>
  <c r="AE263" i="1"/>
  <c r="AE264" i="1" l="1"/>
  <c r="AA264" i="1"/>
  <c r="Z265" i="1"/>
  <c r="S266" i="1"/>
  <c r="Y265" i="1"/>
  <c r="U265" i="1"/>
  <c r="V265" i="1" s="1"/>
  <c r="X265" i="1"/>
  <c r="T265" i="1"/>
  <c r="W265" i="1"/>
  <c r="AF264" i="1"/>
  <c r="AB264" i="1"/>
  <c r="AG264" i="1"/>
  <c r="AC264" i="1"/>
  <c r="AH264" i="1"/>
  <c r="AD264" i="1"/>
  <c r="X266" i="1" l="1"/>
  <c r="T266" i="1"/>
  <c r="W266" i="1"/>
  <c r="Z266" i="1"/>
  <c r="S267" i="1"/>
  <c r="Y266" i="1"/>
  <c r="U266" i="1"/>
  <c r="V266" i="1" s="1"/>
  <c r="AF265" i="1"/>
  <c r="AB265" i="1"/>
  <c r="AH265" i="1"/>
  <c r="AD265" i="1"/>
  <c r="AE265" i="1"/>
  <c r="AA265" i="1"/>
  <c r="AG265" i="1"/>
  <c r="AC265" i="1"/>
  <c r="AH266" i="1" l="1"/>
  <c r="AD266" i="1"/>
  <c r="AE266" i="1"/>
  <c r="AA266" i="1"/>
  <c r="AG266" i="1"/>
  <c r="AC266" i="1"/>
  <c r="Z267" i="1"/>
  <c r="S268" i="1"/>
  <c r="Y267" i="1"/>
  <c r="U267" i="1"/>
  <c r="V267" i="1" s="1"/>
  <c r="X267" i="1"/>
  <c r="T267" i="1"/>
  <c r="W267" i="1"/>
  <c r="AF266" i="1"/>
  <c r="AB266" i="1"/>
  <c r="AH267" i="1" l="1"/>
  <c r="AD267" i="1"/>
  <c r="X268" i="1"/>
  <c r="T268" i="1"/>
  <c r="W268" i="1"/>
  <c r="Z268" i="1"/>
  <c r="S269" i="1"/>
  <c r="Y268" i="1"/>
  <c r="U268" i="1"/>
  <c r="V268" i="1" s="1"/>
  <c r="AF267" i="1"/>
  <c r="AB267" i="1"/>
  <c r="AE267" i="1"/>
  <c r="AA267" i="1"/>
  <c r="AG267" i="1"/>
  <c r="AC267" i="1"/>
  <c r="Z269" i="1" l="1"/>
  <c r="S270" i="1"/>
  <c r="Y269" i="1"/>
  <c r="U269" i="1"/>
  <c r="V269" i="1" s="1"/>
  <c r="X269" i="1"/>
  <c r="T269" i="1"/>
  <c r="W269" i="1"/>
  <c r="AF268" i="1"/>
  <c r="AB268" i="1"/>
  <c r="AH268" i="1"/>
  <c r="AD268" i="1"/>
  <c r="AG268" i="1"/>
  <c r="AC268" i="1"/>
  <c r="AE268" i="1"/>
  <c r="AA268" i="1"/>
  <c r="AE269" i="1" l="1"/>
  <c r="AA269" i="1"/>
  <c r="AG269" i="1"/>
  <c r="AC269" i="1"/>
  <c r="X270" i="1"/>
  <c r="T270" i="1"/>
  <c r="W270" i="1"/>
  <c r="Z270" i="1"/>
  <c r="S271" i="1"/>
  <c r="Y270" i="1"/>
  <c r="U270" i="1"/>
  <c r="V270" i="1" s="1"/>
  <c r="AF269" i="1"/>
  <c r="AB269" i="1"/>
  <c r="AH269" i="1"/>
  <c r="AD269" i="1"/>
  <c r="AH270" i="1" l="1"/>
  <c r="AD270" i="1"/>
  <c r="AE270" i="1"/>
  <c r="AA270" i="1"/>
  <c r="AG270" i="1"/>
  <c r="AC270" i="1"/>
  <c r="Z271" i="1"/>
  <c r="S272" i="1"/>
  <c r="Y271" i="1"/>
  <c r="U271" i="1"/>
  <c r="V271" i="1" s="1"/>
  <c r="X271" i="1"/>
  <c r="T271" i="1"/>
  <c r="W271" i="1"/>
  <c r="AF270" i="1"/>
  <c r="AB270" i="1"/>
  <c r="AF271" i="1" l="1"/>
  <c r="AB271" i="1"/>
  <c r="X272" i="1"/>
  <c r="T272" i="1"/>
  <c r="W272" i="1"/>
  <c r="Z272" i="1"/>
  <c r="S273" i="1"/>
  <c r="Y272" i="1"/>
  <c r="U272" i="1"/>
  <c r="V272" i="1" s="1"/>
  <c r="AH271" i="1"/>
  <c r="AD271" i="1"/>
  <c r="AE271" i="1"/>
  <c r="AA271" i="1"/>
  <c r="AG271" i="1"/>
  <c r="AC271" i="1"/>
  <c r="Z273" i="1" l="1"/>
  <c r="S274" i="1"/>
  <c r="Y273" i="1"/>
  <c r="U273" i="1"/>
  <c r="V273" i="1" s="1"/>
  <c r="X273" i="1"/>
  <c r="T273" i="1"/>
  <c r="W273" i="1"/>
  <c r="AF272" i="1"/>
  <c r="AB272" i="1"/>
  <c r="AH272" i="1"/>
  <c r="AD272" i="1"/>
  <c r="AG272" i="1"/>
  <c r="AC272" i="1"/>
  <c r="AE272" i="1"/>
  <c r="AA272" i="1"/>
  <c r="X274" i="1" l="1"/>
  <c r="T274" i="1"/>
  <c r="W274" i="1"/>
  <c r="Z274" i="1"/>
  <c r="S275" i="1"/>
  <c r="Y274" i="1"/>
  <c r="U274" i="1"/>
  <c r="V274" i="1" s="1"/>
  <c r="AE273" i="1"/>
  <c r="AA273" i="1"/>
  <c r="AG273" i="1"/>
  <c r="AC273" i="1"/>
  <c r="AF273" i="1"/>
  <c r="AB273" i="1"/>
  <c r="AH273" i="1"/>
  <c r="AD273" i="1"/>
  <c r="AG274" i="1" l="1"/>
  <c r="AC274" i="1"/>
  <c r="AH274" i="1"/>
  <c r="AD274" i="1"/>
  <c r="AE274" i="1"/>
  <c r="AA274" i="1"/>
  <c r="Z275" i="1"/>
  <c r="S276" i="1"/>
  <c r="Y275" i="1"/>
  <c r="U275" i="1"/>
  <c r="V275" i="1" s="1"/>
  <c r="X275" i="1"/>
  <c r="T275" i="1"/>
  <c r="W275" i="1"/>
  <c r="AF274" i="1"/>
  <c r="AB274" i="1"/>
  <c r="X276" i="1" l="1"/>
  <c r="T276" i="1"/>
  <c r="W276" i="1"/>
  <c r="Z276" i="1"/>
  <c r="S277" i="1"/>
  <c r="Y276" i="1"/>
  <c r="U276" i="1"/>
  <c r="V276" i="1" s="1"/>
  <c r="AF275" i="1"/>
  <c r="AB275" i="1"/>
  <c r="AH275" i="1"/>
  <c r="AD275" i="1"/>
  <c r="AE275" i="1"/>
  <c r="AA275" i="1"/>
  <c r="AG275" i="1"/>
  <c r="AC275" i="1"/>
  <c r="AE276" i="1" l="1"/>
  <c r="AA276" i="1"/>
  <c r="AG276" i="1"/>
  <c r="AC276" i="1"/>
  <c r="AH276" i="1"/>
  <c r="AD276" i="1"/>
  <c r="Z277" i="1"/>
  <c r="S278" i="1"/>
  <c r="Y277" i="1"/>
  <c r="U277" i="1"/>
  <c r="V277" i="1" s="1"/>
  <c r="X277" i="1"/>
  <c r="T277" i="1"/>
  <c r="W277" i="1"/>
  <c r="AF276" i="1"/>
  <c r="AB276" i="1"/>
  <c r="AF277" i="1" l="1"/>
  <c r="AB277" i="1"/>
  <c r="X278" i="1"/>
  <c r="T278" i="1"/>
  <c r="W278" i="1"/>
  <c r="Z278" i="1"/>
  <c r="S279" i="1"/>
  <c r="Y278" i="1"/>
  <c r="U278" i="1"/>
  <c r="V278" i="1" s="1"/>
  <c r="AH277" i="1"/>
  <c r="AD277" i="1"/>
  <c r="AE277" i="1"/>
  <c r="AA277" i="1"/>
  <c r="AG277" i="1"/>
  <c r="AC277" i="1"/>
  <c r="AG278" i="1" l="1"/>
  <c r="AC278" i="1"/>
  <c r="Z279" i="1"/>
  <c r="S280" i="1"/>
  <c r="Y279" i="1"/>
  <c r="U279" i="1"/>
  <c r="V279" i="1" s="1"/>
  <c r="X279" i="1"/>
  <c r="T279" i="1"/>
  <c r="W279" i="1"/>
  <c r="AF278" i="1"/>
  <c r="AB278" i="1"/>
  <c r="AH278" i="1"/>
  <c r="AD278" i="1"/>
  <c r="AE278" i="1"/>
  <c r="AA278" i="1"/>
  <c r="X280" i="1" l="1"/>
  <c r="T280" i="1"/>
  <c r="W280" i="1"/>
  <c r="Z280" i="1"/>
  <c r="S281" i="1"/>
  <c r="Y280" i="1"/>
  <c r="U280" i="1"/>
  <c r="V280" i="1" s="1"/>
  <c r="AF279" i="1"/>
  <c r="AB279" i="1"/>
  <c r="AH279" i="1"/>
  <c r="AD279" i="1"/>
  <c r="AE279" i="1"/>
  <c r="AA279" i="1"/>
  <c r="AG279" i="1"/>
  <c r="AC279" i="1"/>
  <c r="AE280" i="1" l="1"/>
  <c r="AA280" i="1"/>
  <c r="AG280" i="1"/>
  <c r="AC280" i="1"/>
  <c r="AH280" i="1"/>
  <c r="AD280" i="1"/>
  <c r="Z281" i="1"/>
  <c r="S282" i="1"/>
  <c r="Y281" i="1"/>
  <c r="U281" i="1"/>
  <c r="V281" i="1" s="1"/>
  <c r="X281" i="1"/>
  <c r="T281" i="1"/>
  <c r="W281" i="1"/>
  <c r="AF280" i="1"/>
  <c r="AB280" i="1"/>
  <c r="X282" i="1" l="1"/>
  <c r="T282" i="1"/>
  <c r="W282" i="1"/>
  <c r="Z282" i="1"/>
  <c r="S283" i="1"/>
  <c r="Y282" i="1"/>
  <c r="U282" i="1"/>
  <c r="V282" i="1" s="1"/>
  <c r="AF281" i="1"/>
  <c r="AB281" i="1"/>
  <c r="AH281" i="1"/>
  <c r="AD281" i="1"/>
  <c r="AE281" i="1"/>
  <c r="AA281" i="1"/>
  <c r="AG281" i="1"/>
  <c r="AC281" i="1"/>
  <c r="AH282" i="1" l="1"/>
  <c r="AD282" i="1"/>
  <c r="AE282" i="1"/>
  <c r="AA282" i="1"/>
  <c r="AG282" i="1"/>
  <c r="AC282" i="1"/>
  <c r="Z283" i="1"/>
  <c r="S284" i="1"/>
  <c r="Y283" i="1"/>
  <c r="U283" i="1"/>
  <c r="V283" i="1" s="1"/>
  <c r="X283" i="1"/>
  <c r="T283" i="1"/>
  <c r="W283" i="1"/>
  <c r="AF282" i="1"/>
  <c r="AB282" i="1"/>
  <c r="X284" i="1" l="1"/>
  <c r="T284" i="1"/>
  <c r="W284" i="1"/>
  <c r="Z284" i="1"/>
  <c r="S285" i="1"/>
  <c r="Y284" i="1"/>
  <c r="U284" i="1"/>
  <c r="V284" i="1" s="1"/>
  <c r="AH283" i="1"/>
  <c r="AD283" i="1"/>
  <c r="AF283" i="1"/>
  <c r="AB283" i="1"/>
  <c r="AE283" i="1"/>
  <c r="AA283" i="1"/>
  <c r="AG283" i="1"/>
  <c r="AC283" i="1"/>
  <c r="AH284" i="1" l="1"/>
  <c r="AD284" i="1"/>
  <c r="AE284" i="1"/>
  <c r="AA284" i="1"/>
  <c r="AG284" i="1"/>
  <c r="AC284" i="1"/>
  <c r="Z285" i="1"/>
  <c r="S286" i="1"/>
  <c r="Y285" i="1"/>
  <c r="U285" i="1"/>
  <c r="V285" i="1" s="1"/>
  <c r="X285" i="1"/>
  <c r="T285" i="1"/>
  <c r="W285" i="1"/>
  <c r="AF284" i="1"/>
  <c r="AB284" i="1"/>
  <c r="X286" i="1" l="1"/>
  <c r="T286" i="1"/>
  <c r="W286" i="1"/>
  <c r="Z286" i="1"/>
  <c r="S287" i="1"/>
  <c r="Y286" i="1"/>
  <c r="U286" i="1"/>
  <c r="V286" i="1" s="1"/>
  <c r="AF285" i="1"/>
  <c r="AB285" i="1"/>
  <c r="AH285" i="1"/>
  <c r="AD285" i="1"/>
  <c r="AE285" i="1"/>
  <c r="AA285" i="1"/>
  <c r="AG285" i="1"/>
  <c r="AC285" i="1"/>
  <c r="AH286" i="1" l="1"/>
  <c r="AD286" i="1"/>
  <c r="AE286" i="1"/>
  <c r="AA286" i="1"/>
  <c r="AG286" i="1"/>
  <c r="AC286" i="1"/>
  <c r="Z287" i="1"/>
  <c r="S288" i="1"/>
  <c r="Y287" i="1"/>
  <c r="U287" i="1"/>
  <c r="V287" i="1" s="1"/>
  <c r="X287" i="1"/>
  <c r="T287" i="1"/>
  <c r="W287" i="1"/>
  <c r="AF286" i="1"/>
  <c r="AB286" i="1"/>
  <c r="X288" i="1" l="1"/>
  <c r="T288" i="1"/>
  <c r="W288" i="1"/>
  <c r="Z288" i="1"/>
  <c r="S289" i="1"/>
  <c r="Y288" i="1"/>
  <c r="U288" i="1"/>
  <c r="V288" i="1" s="1"/>
  <c r="AF287" i="1"/>
  <c r="AB287" i="1"/>
  <c r="AH287" i="1"/>
  <c r="AD287" i="1"/>
  <c r="AE287" i="1"/>
  <c r="AA287" i="1"/>
  <c r="AG287" i="1"/>
  <c r="AC287" i="1"/>
  <c r="AE288" i="1" l="1"/>
  <c r="AA288" i="1"/>
  <c r="AH288" i="1"/>
  <c r="AD288" i="1"/>
  <c r="AG288" i="1"/>
  <c r="AC288" i="1"/>
  <c r="Z289" i="1"/>
  <c r="S290" i="1"/>
  <c r="Y289" i="1"/>
  <c r="U289" i="1"/>
  <c r="V289" i="1" s="1"/>
  <c r="X289" i="1"/>
  <c r="T289" i="1"/>
  <c r="W289" i="1"/>
  <c r="AF288" i="1"/>
  <c r="AB288" i="1"/>
  <c r="X290" i="1" l="1"/>
  <c r="T290" i="1"/>
  <c r="W290" i="1"/>
  <c r="Z290" i="1"/>
  <c r="S291" i="1"/>
  <c r="Y290" i="1"/>
  <c r="U290" i="1"/>
  <c r="V290" i="1" s="1"/>
  <c r="AF289" i="1"/>
  <c r="AB289" i="1"/>
  <c r="AH289" i="1"/>
  <c r="AD289" i="1"/>
  <c r="AE289" i="1"/>
  <c r="AA289" i="1"/>
  <c r="AG289" i="1"/>
  <c r="AC289" i="1"/>
  <c r="AH290" i="1" l="1"/>
  <c r="AD290" i="1"/>
  <c r="AE290" i="1"/>
  <c r="AA290" i="1"/>
  <c r="AG290" i="1"/>
  <c r="AC290" i="1"/>
  <c r="Z291" i="1"/>
  <c r="S292" i="1"/>
  <c r="Y291" i="1"/>
  <c r="U291" i="1"/>
  <c r="V291" i="1" s="1"/>
  <c r="X291" i="1"/>
  <c r="T291" i="1"/>
  <c r="W291" i="1"/>
  <c r="AF290" i="1"/>
  <c r="AB290" i="1"/>
  <c r="AF291" i="1" l="1"/>
  <c r="AB291" i="1"/>
  <c r="X292" i="1"/>
  <c r="T292" i="1"/>
  <c r="W292" i="1"/>
  <c r="Z292" i="1"/>
  <c r="S293" i="1"/>
  <c r="Y292" i="1"/>
  <c r="U292" i="1"/>
  <c r="V292" i="1" s="1"/>
  <c r="AH291" i="1"/>
  <c r="AD291" i="1"/>
  <c r="AE291" i="1"/>
  <c r="AA291" i="1"/>
  <c r="AG291" i="1"/>
  <c r="AC291" i="1"/>
  <c r="Z293" i="1" l="1"/>
  <c r="S294" i="1"/>
  <c r="Y293" i="1"/>
  <c r="U293" i="1"/>
  <c r="V293" i="1" s="1"/>
  <c r="X293" i="1"/>
  <c r="T293" i="1"/>
  <c r="W293" i="1"/>
  <c r="AF292" i="1"/>
  <c r="AB292" i="1"/>
  <c r="AH292" i="1"/>
  <c r="AD292" i="1"/>
  <c r="AG292" i="1"/>
  <c r="AC292" i="1"/>
  <c r="AE292" i="1"/>
  <c r="AA292" i="1"/>
  <c r="AG293" i="1" l="1"/>
  <c r="AC293" i="1"/>
  <c r="AE293" i="1"/>
  <c r="AA293" i="1"/>
  <c r="X294" i="1"/>
  <c r="T294" i="1"/>
  <c r="W294" i="1"/>
  <c r="Z294" i="1"/>
  <c r="S295" i="1"/>
  <c r="Y294" i="1"/>
  <c r="U294" i="1"/>
  <c r="V294" i="1" s="1"/>
  <c r="AF293" i="1"/>
  <c r="AB293" i="1"/>
  <c r="AH293" i="1"/>
  <c r="AD293" i="1"/>
  <c r="AE294" i="1" l="1"/>
  <c r="AA294" i="1"/>
  <c r="AG294" i="1"/>
  <c r="AC294" i="1"/>
  <c r="AH294" i="1"/>
  <c r="AD294" i="1"/>
  <c r="Z295" i="1"/>
  <c r="S296" i="1"/>
  <c r="Y295" i="1"/>
  <c r="U295" i="1"/>
  <c r="V295" i="1" s="1"/>
  <c r="X295" i="1"/>
  <c r="T295" i="1"/>
  <c r="W295" i="1"/>
  <c r="AF294" i="1"/>
  <c r="AB294" i="1"/>
  <c r="X296" i="1" l="1"/>
  <c r="T296" i="1"/>
  <c r="W296" i="1"/>
  <c r="Z296" i="1"/>
  <c r="S297" i="1"/>
  <c r="Y296" i="1"/>
  <c r="U296" i="1"/>
  <c r="V296" i="1" s="1"/>
  <c r="AF295" i="1"/>
  <c r="AB295" i="1"/>
  <c r="AH295" i="1"/>
  <c r="AD295" i="1"/>
  <c r="AE295" i="1"/>
  <c r="AA295" i="1"/>
  <c r="AG295" i="1"/>
  <c r="AC295" i="1"/>
  <c r="AE296" i="1" l="1"/>
  <c r="AA296" i="1"/>
  <c r="AG296" i="1"/>
  <c r="AC296" i="1"/>
  <c r="AH296" i="1"/>
  <c r="AD296" i="1"/>
  <c r="Z297" i="1"/>
  <c r="S298" i="1"/>
  <c r="Y297" i="1"/>
  <c r="U297" i="1"/>
  <c r="V297" i="1" s="1"/>
  <c r="X297" i="1"/>
  <c r="T297" i="1"/>
  <c r="W297" i="1"/>
  <c r="AF296" i="1"/>
  <c r="AB296" i="1"/>
  <c r="X298" i="1" l="1"/>
  <c r="T298" i="1"/>
  <c r="W298" i="1"/>
  <c r="Z298" i="1"/>
  <c r="S299" i="1"/>
  <c r="Y298" i="1"/>
  <c r="U298" i="1"/>
  <c r="V298" i="1" s="1"/>
  <c r="AF297" i="1"/>
  <c r="AB297" i="1"/>
  <c r="AH297" i="1"/>
  <c r="AD297" i="1"/>
  <c r="AE297" i="1"/>
  <c r="AA297" i="1"/>
  <c r="AG297" i="1"/>
  <c r="AC297" i="1"/>
  <c r="AE298" i="1" l="1"/>
  <c r="AA298" i="1"/>
  <c r="AG298" i="1"/>
  <c r="AC298" i="1"/>
  <c r="AH298" i="1"/>
  <c r="AD298" i="1"/>
  <c r="Z299" i="1"/>
  <c r="S300" i="1"/>
  <c r="Y299" i="1"/>
  <c r="U299" i="1"/>
  <c r="V299" i="1" s="1"/>
  <c r="X299" i="1"/>
  <c r="T299" i="1"/>
  <c r="W299" i="1"/>
  <c r="AF298" i="1"/>
  <c r="AB298" i="1"/>
  <c r="AH299" i="1" l="1"/>
  <c r="AD299" i="1"/>
  <c r="X300" i="1"/>
  <c r="T300" i="1"/>
  <c r="W300" i="1"/>
  <c r="Z300" i="1"/>
  <c r="S301" i="1"/>
  <c r="Y300" i="1"/>
  <c r="U300" i="1"/>
  <c r="V300" i="1" s="1"/>
  <c r="AF299" i="1"/>
  <c r="AB299" i="1"/>
  <c r="AE299" i="1"/>
  <c r="AA299" i="1"/>
  <c r="AG299" i="1"/>
  <c r="AC299" i="1"/>
  <c r="AG300" i="1" l="1"/>
  <c r="AC300" i="1"/>
  <c r="AF300" i="1"/>
  <c r="AB300" i="1"/>
  <c r="AH300" i="1"/>
  <c r="AD300" i="1"/>
  <c r="Z301" i="1"/>
  <c r="S302" i="1"/>
  <c r="Y301" i="1"/>
  <c r="U301" i="1"/>
  <c r="V301" i="1" s="1"/>
  <c r="X301" i="1"/>
  <c r="T301" i="1"/>
  <c r="W301" i="1"/>
  <c r="AE300" i="1"/>
  <c r="AA300" i="1"/>
  <c r="AH301" i="1" l="1"/>
  <c r="AD301" i="1"/>
  <c r="X302" i="1"/>
  <c r="T302" i="1"/>
  <c r="W302" i="1"/>
  <c r="Z302" i="1"/>
  <c r="S303" i="1"/>
  <c r="Y302" i="1"/>
  <c r="U302" i="1"/>
  <c r="V302" i="1" s="1"/>
  <c r="AF301" i="1"/>
  <c r="AB301" i="1"/>
  <c r="AE301" i="1"/>
  <c r="AA301" i="1"/>
  <c r="AG301" i="1"/>
  <c r="AC301" i="1"/>
  <c r="AF302" i="1" l="1"/>
  <c r="AB302" i="1"/>
  <c r="AG302" i="1"/>
  <c r="AC302" i="1"/>
  <c r="Z303" i="1"/>
  <c r="S304" i="1"/>
  <c r="Y303" i="1"/>
  <c r="U303" i="1"/>
  <c r="V303" i="1" s="1"/>
  <c r="X303" i="1"/>
  <c r="T303" i="1"/>
  <c r="W303" i="1"/>
  <c r="AH302" i="1"/>
  <c r="AD302" i="1"/>
  <c r="AE302" i="1"/>
  <c r="AA302" i="1"/>
  <c r="AE303" i="1" l="1"/>
  <c r="AA303" i="1"/>
  <c r="AG303" i="1"/>
  <c r="AC303" i="1"/>
  <c r="X304" i="1"/>
  <c r="T304" i="1"/>
  <c r="W304" i="1"/>
  <c r="Z304" i="1"/>
  <c r="S305" i="1"/>
  <c r="Y304" i="1"/>
  <c r="U304" i="1"/>
  <c r="V304" i="1" s="1"/>
  <c r="AF303" i="1"/>
  <c r="AB303" i="1"/>
  <c r="AH303" i="1"/>
  <c r="AD303" i="1"/>
  <c r="AE304" i="1" l="1"/>
  <c r="AA304" i="1"/>
  <c r="AG304" i="1"/>
  <c r="AC304" i="1"/>
  <c r="AH304" i="1"/>
  <c r="AD304" i="1"/>
  <c r="Z305" i="1"/>
  <c r="S306" i="1"/>
  <c r="Y305" i="1"/>
  <c r="U305" i="1"/>
  <c r="V305" i="1" s="1"/>
  <c r="X305" i="1"/>
  <c r="T305" i="1"/>
  <c r="W305" i="1"/>
  <c r="AF304" i="1"/>
  <c r="AB304" i="1"/>
  <c r="X306" i="1" l="1"/>
  <c r="T306" i="1"/>
  <c r="S307" i="1"/>
  <c r="W306" i="1"/>
  <c r="Z306" i="1"/>
  <c r="Y306" i="1"/>
  <c r="U306" i="1"/>
  <c r="V306" i="1" s="1"/>
  <c r="AH305" i="1"/>
  <c r="AD305" i="1"/>
  <c r="AF305" i="1"/>
  <c r="AB305" i="1"/>
  <c r="AE305" i="1"/>
  <c r="AA305" i="1"/>
  <c r="AG305" i="1"/>
  <c r="AC305" i="1"/>
  <c r="S308" i="1" l="1"/>
  <c r="Y307" i="1"/>
  <c r="U307" i="1"/>
  <c r="V307" i="1" s="1"/>
  <c r="Z307" i="1"/>
  <c r="T307" i="1"/>
  <c r="X307" i="1"/>
  <c r="W307" i="1"/>
  <c r="AE306" i="1"/>
  <c r="AA306" i="1"/>
  <c r="AC306" i="1"/>
  <c r="AG306" i="1"/>
  <c r="AH306" i="1"/>
  <c r="AD306" i="1"/>
  <c r="AB306" i="1"/>
  <c r="AF306" i="1"/>
  <c r="AE307" i="1" l="1"/>
  <c r="AA307" i="1"/>
  <c r="AB307" i="1"/>
  <c r="AF307" i="1"/>
  <c r="AG307" i="1"/>
  <c r="AC307" i="1"/>
  <c r="AD307" i="1"/>
  <c r="AH307" i="1"/>
  <c r="W308" i="1"/>
  <c r="X308" i="1"/>
  <c r="S309" i="1"/>
  <c r="Z308" i="1"/>
  <c r="U308" i="1"/>
  <c r="V308" i="1" s="1"/>
  <c r="Y308" i="1"/>
  <c r="T308" i="1"/>
  <c r="AH308" i="1" l="1"/>
  <c r="AD308" i="1"/>
  <c r="S310" i="1"/>
  <c r="Y309" i="1"/>
  <c r="U309" i="1"/>
  <c r="V309" i="1" s="1"/>
  <c r="Z309" i="1"/>
  <c r="T309" i="1"/>
  <c r="X309" i="1"/>
  <c r="W309" i="1"/>
  <c r="AC308" i="1"/>
  <c r="AG308" i="1"/>
  <c r="AB308" i="1"/>
  <c r="AF308" i="1"/>
  <c r="AE308" i="1"/>
  <c r="AA308" i="1"/>
  <c r="AB309" i="1" l="1"/>
  <c r="AF309" i="1"/>
  <c r="W310" i="1"/>
  <c r="X310" i="1"/>
  <c r="S311" i="1"/>
  <c r="Z310" i="1"/>
  <c r="U310" i="1"/>
  <c r="V310" i="1" s="1"/>
  <c r="Y310" i="1"/>
  <c r="T310" i="1"/>
  <c r="AD309" i="1"/>
  <c r="AH309" i="1"/>
  <c r="AG309" i="1"/>
  <c r="AC309" i="1"/>
  <c r="AE309" i="1"/>
  <c r="AA309" i="1"/>
  <c r="AC310" i="1" l="1"/>
  <c r="AG310" i="1"/>
  <c r="AH310" i="1"/>
  <c r="AD310" i="1"/>
  <c r="AB310" i="1"/>
  <c r="AF310" i="1"/>
  <c r="AE310" i="1"/>
  <c r="AA310" i="1"/>
  <c r="S312" i="1"/>
  <c r="Y311" i="1"/>
  <c r="U311" i="1"/>
  <c r="V311" i="1" s="1"/>
  <c r="Z311" i="1"/>
  <c r="T311" i="1"/>
  <c r="X311" i="1"/>
  <c r="W311" i="1"/>
  <c r="AD311" i="1" l="1"/>
  <c r="AH311" i="1"/>
  <c r="AE311" i="1"/>
  <c r="AA311" i="1"/>
  <c r="AB311" i="1"/>
  <c r="AF311" i="1"/>
  <c r="AG311" i="1"/>
  <c r="AC311" i="1"/>
  <c r="W312" i="1"/>
  <c r="X312" i="1"/>
  <c r="S313" i="1"/>
  <c r="Z312" i="1"/>
  <c r="U312" i="1"/>
  <c r="V312" i="1" s="1"/>
  <c r="Y312" i="1"/>
  <c r="T312" i="1"/>
  <c r="AH312" i="1" l="1"/>
  <c r="AD312" i="1"/>
  <c r="S314" i="1"/>
  <c r="Y313" i="1"/>
  <c r="U313" i="1"/>
  <c r="V313" i="1" s="1"/>
  <c r="Z313" i="1"/>
  <c r="T313" i="1"/>
  <c r="X313" i="1"/>
  <c r="W313" i="1"/>
  <c r="AC312" i="1"/>
  <c r="AG312" i="1"/>
  <c r="AB312" i="1"/>
  <c r="AF312" i="1"/>
  <c r="AE312" i="1"/>
  <c r="AA312" i="1"/>
  <c r="S315" i="1" l="1"/>
  <c r="Y314" i="1"/>
  <c r="U314" i="1"/>
  <c r="V314" i="1" s="1"/>
  <c r="W314" i="1"/>
  <c r="Z314" i="1"/>
  <c r="X314" i="1"/>
  <c r="T314" i="1"/>
  <c r="AD313" i="1"/>
  <c r="AH313" i="1"/>
  <c r="AB313" i="1"/>
  <c r="AF313" i="1"/>
  <c r="AG313" i="1"/>
  <c r="AC313" i="1"/>
  <c r="AE313" i="1"/>
  <c r="AA313" i="1"/>
  <c r="AE314" i="1" l="1"/>
  <c r="AA314" i="1"/>
  <c r="AF314" i="1"/>
  <c r="AB314" i="1"/>
  <c r="AG314" i="1"/>
  <c r="AC314" i="1"/>
  <c r="AH314" i="1"/>
  <c r="AD314" i="1"/>
  <c r="W315" i="1"/>
  <c r="S316" i="1"/>
  <c r="Y315" i="1"/>
  <c r="U315" i="1"/>
  <c r="V315" i="1" s="1"/>
  <c r="T315" i="1"/>
  <c r="Z315" i="1"/>
  <c r="X315" i="1"/>
  <c r="S317" i="1" l="1"/>
  <c r="Y316" i="1"/>
  <c r="U316" i="1"/>
  <c r="V316" i="1" s="1"/>
  <c r="W316" i="1"/>
  <c r="Z316" i="1"/>
  <c r="X316" i="1"/>
  <c r="T316" i="1"/>
  <c r="AB315" i="1"/>
  <c r="AF315" i="1"/>
  <c r="AG315" i="1"/>
  <c r="AC315" i="1"/>
  <c r="AD315" i="1"/>
  <c r="AH315" i="1"/>
  <c r="AE315" i="1"/>
  <c r="AA315" i="1"/>
  <c r="AF316" i="1" l="1"/>
  <c r="AB316" i="1"/>
  <c r="AG316" i="1"/>
  <c r="AC316" i="1"/>
  <c r="AE316" i="1"/>
  <c r="AA316" i="1"/>
  <c r="AH316" i="1"/>
  <c r="AD316" i="1"/>
  <c r="W317" i="1"/>
  <c r="S318" i="1"/>
  <c r="Y317" i="1"/>
  <c r="U317" i="1"/>
  <c r="V317" i="1" s="1"/>
  <c r="T317" i="1"/>
  <c r="Z317" i="1"/>
  <c r="X317" i="1"/>
  <c r="AB317" i="1" l="1"/>
  <c r="AF317" i="1"/>
  <c r="S319" i="1"/>
  <c r="Y318" i="1"/>
  <c r="U318" i="1"/>
  <c r="V318" i="1" s="1"/>
  <c r="X318" i="1"/>
  <c r="T318" i="1"/>
  <c r="W318" i="1"/>
  <c r="Z318" i="1"/>
  <c r="AG317" i="1"/>
  <c r="AC317" i="1"/>
  <c r="AH317" i="1"/>
  <c r="AD317" i="1"/>
  <c r="AE317" i="1"/>
  <c r="AA317" i="1"/>
  <c r="W319" i="1" l="1"/>
  <c r="Z319" i="1"/>
  <c r="S320" i="1"/>
  <c r="Y319" i="1"/>
  <c r="U319" i="1"/>
  <c r="V319" i="1" s="1"/>
  <c r="X319" i="1"/>
  <c r="T319" i="1"/>
  <c r="AG318" i="1"/>
  <c r="AC318" i="1"/>
  <c r="AE318" i="1"/>
  <c r="AA318" i="1"/>
  <c r="AF318" i="1"/>
  <c r="AB318" i="1"/>
  <c r="AH318" i="1"/>
  <c r="AD318" i="1"/>
  <c r="AG319" i="1" l="1"/>
  <c r="AC319" i="1"/>
  <c r="S321" i="1"/>
  <c r="Y320" i="1"/>
  <c r="U320" i="1"/>
  <c r="V320" i="1" s="1"/>
  <c r="X320" i="1"/>
  <c r="T320" i="1"/>
  <c r="W320" i="1"/>
  <c r="Z320" i="1"/>
  <c r="AB319" i="1"/>
  <c r="AF319" i="1"/>
  <c r="AH319" i="1"/>
  <c r="AD319" i="1"/>
  <c r="AE319" i="1"/>
  <c r="AA319" i="1"/>
  <c r="AG320" i="1" l="1"/>
  <c r="AC320" i="1"/>
  <c r="AE320" i="1"/>
  <c r="AA320" i="1"/>
  <c r="W321" i="1"/>
  <c r="Z321" i="1"/>
  <c r="S322" i="1"/>
  <c r="Y321" i="1"/>
  <c r="U321" i="1"/>
  <c r="V321" i="1" s="1"/>
  <c r="X321" i="1"/>
  <c r="T321" i="1"/>
  <c r="AF320" i="1"/>
  <c r="AB320" i="1"/>
  <c r="AH320" i="1"/>
  <c r="AD320" i="1"/>
  <c r="S323" i="1" l="1"/>
  <c r="Y322" i="1"/>
  <c r="U322" i="1"/>
  <c r="V322" i="1" s="1"/>
  <c r="X322" i="1"/>
  <c r="T322" i="1"/>
  <c r="W322" i="1"/>
  <c r="Z322" i="1"/>
  <c r="AB321" i="1"/>
  <c r="AF321" i="1"/>
  <c r="AH321" i="1"/>
  <c r="AD321" i="1"/>
  <c r="AG321" i="1"/>
  <c r="AC321" i="1"/>
  <c r="AE321" i="1"/>
  <c r="AA321" i="1"/>
  <c r="AF322" i="1" l="1"/>
  <c r="AB322" i="1"/>
  <c r="AE322" i="1"/>
  <c r="AA322" i="1"/>
  <c r="AG322" i="1"/>
  <c r="AC322" i="1"/>
  <c r="AH322" i="1"/>
  <c r="AD322" i="1"/>
  <c r="W323" i="1"/>
  <c r="Z323" i="1"/>
  <c r="S324" i="1"/>
  <c r="Y323" i="1"/>
  <c r="U323" i="1"/>
  <c r="V323" i="1" s="1"/>
  <c r="X323" i="1"/>
  <c r="T323" i="1"/>
  <c r="AG323" i="1" l="1"/>
  <c r="AC323" i="1"/>
  <c r="S325" i="1"/>
  <c r="Y324" i="1"/>
  <c r="U324" i="1"/>
  <c r="V324" i="1" s="1"/>
  <c r="X324" i="1"/>
  <c r="T324" i="1"/>
  <c r="W324" i="1"/>
  <c r="Z324" i="1"/>
  <c r="AB323" i="1"/>
  <c r="AF323" i="1"/>
  <c r="AH323" i="1"/>
  <c r="AD323" i="1"/>
  <c r="AE323" i="1"/>
  <c r="AA323" i="1"/>
  <c r="AG324" i="1" l="1"/>
  <c r="AC324" i="1"/>
  <c r="W325" i="1"/>
  <c r="Z325" i="1"/>
  <c r="S326" i="1"/>
  <c r="Y325" i="1"/>
  <c r="U325" i="1"/>
  <c r="V325" i="1" s="1"/>
  <c r="X325" i="1"/>
  <c r="T325" i="1"/>
  <c r="AF324" i="1"/>
  <c r="AB324" i="1"/>
  <c r="AE324" i="1"/>
  <c r="AA324" i="1"/>
  <c r="AH324" i="1"/>
  <c r="AD324" i="1"/>
  <c r="AH325" i="1" l="1"/>
  <c r="AD325" i="1"/>
  <c r="AE325" i="1"/>
  <c r="AA325" i="1"/>
  <c r="AG325" i="1"/>
  <c r="AC325" i="1"/>
  <c r="AB325" i="1"/>
  <c r="AF325" i="1"/>
  <c r="S327" i="1"/>
  <c r="Y326" i="1"/>
  <c r="U326" i="1"/>
  <c r="V326" i="1" s="1"/>
  <c r="X326" i="1"/>
  <c r="T326" i="1"/>
  <c r="W326" i="1"/>
  <c r="Z326" i="1"/>
  <c r="AE326" i="1" l="1"/>
  <c r="AA326" i="1"/>
  <c r="AG326" i="1"/>
  <c r="AC326" i="1"/>
  <c r="AF326" i="1"/>
  <c r="AB326" i="1"/>
  <c r="AH326" i="1"/>
  <c r="AD326" i="1"/>
  <c r="W327" i="1"/>
  <c r="Z327" i="1"/>
  <c r="S328" i="1"/>
  <c r="Y327" i="1"/>
  <c r="U327" i="1"/>
  <c r="V327" i="1" s="1"/>
  <c r="X327" i="1"/>
  <c r="T327" i="1"/>
  <c r="AG327" i="1" l="1"/>
  <c r="AC327" i="1"/>
  <c r="S329" i="1"/>
  <c r="Y328" i="1"/>
  <c r="U328" i="1"/>
  <c r="V328" i="1" s="1"/>
  <c r="X328" i="1"/>
  <c r="T328" i="1"/>
  <c r="W328" i="1"/>
  <c r="Z328" i="1"/>
  <c r="AB327" i="1"/>
  <c r="AF327" i="1"/>
  <c r="AH327" i="1"/>
  <c r="AD327" i="1"/>
  <c r="AE327" i="1"/>
  <c r="AA327" i="1"/>
  <c r="AE328" i="1" l="1"/>
  <c r="AA328" i="1"/>
  <c r="W329" i="1"/>
  <c r="Z329" i="1"/>
  <c r="S330" i="1"/>
  <c r="Y329" i="1"/>
  <c r="U329" i="1"/>
  <c r="V329" i="1" s="1"/>
  <c r="X329" i="1"/>
  <c r="T329" i="1"/>
  <c r="AF328" i="1"/>
  <c r="AB328" i="1"/>
  <c r="AG328" i="1"/>
  <c r="AC328" i="1"/>
  <c r="AH328" i="1"/>
  <c r="AD328" i="1"/>
  <c r="AH329" i="1" l="1"/>
  <c r="AD329" i="1"/>
  <c r="AB329" i="1"/>
  <c r="AF329" i="1"/>
  <c r="AE329" i="1"/>
  <c r="AA329" i="1"/>
  <c r="AG329" i="1"/>
  <c r="AC329" i="1"/>
  <c r="S331" i="1"/>
  <c r="Y330" i="1"/>
  <c r="U330" i="1"/>
  <c r="V330" i="1" s="1"/>
  <c r="X330" i="1"/>
  <c r="T330" i="1"/>
  <c r="W330" i="1"/>
  <c r="Z330" i="1"/>
  <c r="AF330" i="1" l="1"/>
  <c r="AB330" i="1"/>
  <c r="AH330" i="1"/>
  <c r="AD330" i="1"/>
  <c r="AE330" i="1"/>
  <c r="AA330" i="1"/>
  <c r="AG330" i="1"/>
  <c r="AC330" i="1"/>
  <c r="W331" i="1"/>
  <c r="Z331" i="1"/>
  <c r="S332" i="1"/>
  <c r="Y331" i="1"/>
  <c r="U331" i="1"/>
  <c r="V331" i="1" s="1"/>
  <c r="X331" i="1"/>
  <c r="T331" i="1"/>
  <c r="AG331" i="1" l="1"/>
  <c r="AC331" i="1"/>
  <c r="S333" i="1"/>
  <c r="Y332" i="1"/>
  <c r="U332" i="1"/>
  <c r="V332" i="1" s="1"/>
  <c r="X332" i="1"/>
  <c r="T332" i="1"/>
  <c r="W332" i="1"/>
  <c r="Z332" i="1"/>
  <c r="AB331" i="1"/>
  <c r="AF331" i="1"/>
  <c r="AH331" i="1"/>
  <c r="AD331" i="1"/>
  <c r="AE331" i="1"/>
  <c r="AA331" i="1"/>
  <c r="AH332" i="1" l="1"/>
  <c r="AD332" i="1"/>
  <c r="AE332" i="1"/>
  <c r="AA332" i="1"/>
  <c r="AG332" i="1"/>
  <c r="AC332" i="1"/>
  <c r="W333" i="1"/>
  <c r="Z333" i="1"/>
  <c r="S334" i="1"/>
  <c r="Y333" i="1"/>
  <c r="U333" i="1"/>
  <c r="V333" i="1" s="1"/>
  <c r="X333" i="1"/>
  <c r="T333" i="1"/>
  <c r="AF332" i="1"/>
  <c r="AB332" i="1"/>
  <c r="AE333" i="1" l="1"/>
  <c r="AA333" i="1"/>
  <c r="AG333" i="1"/>
  <c r="AC333" i="1"/>
  <c r="AB333" i="1"/>
  <c r="AF333" i="1"/>
  <c r="AH333" i="1"/>
  <c r="AD333" i="1"/>
  <c r="S335" i="1"/>
  <c r="Y334" i="1"/>
  <c r="U334" i="1"/>
  <c r="V334" i="1" s="1"/>
  <c r="X334" i="1"/>
  <c r="T334" i="1"/>
  <c r="W334" i="1"/>
  <c r="Z334" i="1"/>
  <c r="AF334" i="1" l="1"/>
  <c r="AB334" i="1"/>
  <c r="AH334" i="1"/>
  <c r="AD334" i="1"/>
  <c r="AE334" i="1"/>
  <c r="AA334" i="1"/>
  <c r="AG334" i="1"/>
  <c r="AC334" i="1"/>
  <c r="W335" i="1"/>
  <c r="Z335" i="1"/>
  <c r="S336" i="1"/>
  <c r="Y335" i="1"/>
  <c r="U335" i="1"/>
  <c r="V335" i="1" s="1"/>
  <c r="X335" i="1"/>
  <c r="T335" i="1"/>
  <c r="S337" i="1" l="1"/>
  <c r="Y336" i="1"/>
  <c r="U336" i="1"/>
  <c r="V336" i="1" s="1"/>
  <c r="X336" i="1"/>
  <c r="T336" i="1"/>
  <c r="W336" i="1"/>
  <c r="Z336" i="1"/>
  <c r="AB335" i="1"/>
  <c r="AF335" i="1"/>
  <c r="AH335" i="1"/>
  <c r="AD335" i="1"/>
  <c r="AG335" i="1"/>
  <c r="AC335" i="1"/>
  <c r="AE335" i="1"/>
  <c r="AA335" i="1"/>
  <c r="AH336" i="1" l="1"/>
  <c r="AD336" i="1"/>
  <c r="AE336" i="1"/>
  <c r="AA336" i="1"/>
  <c r="AG336" i="1"/>
  <c r="AC336" i="1"/>
  <c r="AF336" i="1"/>
  <c r="AB336" i="1"/>
  <c r="W337" i="1"/>
  <c r="Z337" i="1"/>
  <c r="S338" i="1"/>
  <c r="Y337" i="1"/>
  <c r="U337" i="1"/>
  <c r="V337" i="1" s="1"/>
  <c r="X337" i="1"/>
  <c r="T337" i="1"/>
  <c r="S339" i="1" l="1"/>
  <c r="Y338" i="1"/>
  <c r="U338" i="1"/>
  <c r="V338" i="1" s="1"/>
  <c r="X338" i="1"/>
  <c r="T338" i="1"/>
  <c r="W338" i="1"/>
  <c r="Z338" i="1"/>
  <c r="AB337" i="1"/>
  <c r="AF337" i="1"/>
  <c r="AH337" i="1"/>
  <c r="AD337" i="1"/>
  <c r="AG337" i="1"/>
  <c r="AC337" i="1"/>
  <c r="AE337" i="1"/>
  <c r="AA337" i="1"/>
  <c r="AF338" i="1" l="1"/>
  <c r="AB338" i="1"/>
  <c r="AH338" i="1"/>
  <c r="AD338" i="1"/>
  <c r="AE338" i="1"/>
  <c r="AA338" i="1"/>
  <c r="AG338" i="1"/>
  <c r="AC338" i="1"/>
  <c r="W339" i="1"/>
  <c r="Z339" i="1"/>
  <c r="S340" i="1"/>
  <c r="Y339" i="1"/>
  <c r="U339" i="1"/>
  <c r="V339" i="1" s="1"/>
  <c r="X339" i="1"/>
  <c r="T339" i="1"/>
  <c r="AB339" i="1" l="1"/>
  <c r="AF339" i="1"/>
  <c r="AH339" i="1"/>
  <c r="AD339" i="1"/>
  <c r="AG339" i="1"/>
  <c r="AC339" i="1"/>
  <c r="S341" i="1"/>
  <c r="Y340" i="1"/>
  <c r="U340" i="1"/>
  <c r="V340" i="1" s="1"/>
  <c r="X340" i="1"/>
  <c r="T340" i="1"/>
  <c r="W340" i="1"/>
  <c r="Z340" i="1"/>
  <c r="AE339" i="1"/>
  <c r="AA339" i="1"/>
  <c r="AG340" i="1" l="1"/>
  <c r="AC340" i="1"/>
  <c r="W341" i="1"/>
  <c r="Z341" i="1"/>
  <c r="S342" i="1"/>
  <c r="Y341" i="1"/>
  <c r="U341" i="1"/>
  <c r="V341" i="1" s="1"/>
  <c r="X341" i="1"/>
  <c r="T341" i="1"/>
  <c r="AF340" i="1"/>
  <c r="AB340" i="1"/>
  <c r="AE340" i="1"/>
  <c r="AA340" i="1"/>
  <c r="AH340" i="1"/>
  <c r="AD340" i="1"/>
  <c r="AE341" i="1" l="1"/>
  <c r="AA341" i="1"/>
  <c r="AG341" i="1"/>
  <c r="AC341" i="1"/>
  <c r="AB341" i="1"/>
  <c r="AF341" i="1"/>
  <c r="AH341" i="1"/>
  <c r="AD341" i="1"/>
  <c r="S343" i="1"/>
  <c r="Y342" i="1"/>
  <c r="U342" i="1"/>
  <c r="V342" i="1" s="1"/>
  <c r="X342" i="1"/>
  <c r="T342" i="1"/>
  <c r="W342" i="1"/>
  <c r="Z342" i="1"/>
  <c r="AE342" i="1" l="1"/>
  <c r="AA342" i="1"/>
  <c r="AG342" i="1"/>
  <c r="AC342" i="1"/>
  <c r="AF342" i="1"/>
  <c r="AB342" i="1"/>
  <c r="AH342" i="1"/>
  <c r="AD342" i="1"/>
  <c r="W343" i="1"/>
  <c r="Z343" i="1"/>
  <c r="S344" i="1"/>
  <c r="Y343" i="1"/>
  <c r="U343" i="1"/>
  <c r="V343" i="1" s="1"/>
  <c r="X343" i="1"/>
  <c r="T343" i="1"/>
  <c r="AG343" i="1" l="1"/>
  <c r="AC343" i="1"/>
  <c r="S345" i="1"/>
  <c r="Y344" i="1"/>
  <c r="U344" i="1"/>
  <c r="V344" i="1" s="1"/>
  <c r="X344" i="1"/>
  <c r="T344" i="1"/>
  <c r="W344" i="1"/>
  <c r="Z344" i="1"/>
  <c r="AB343" i="1"/>
  <c r="AF343" i="1"/>
  <c r="AH343" i="1"/>
  <c r="AD343" i="1"/>
  <c r="AE343" i="1"/>
  <c r="AA343" i="1"/>
  <c r="AE344" i="1" l="1"/>
  <c r="AA344" i="1"/>
  <c r="AG344" i="1"/>
  <c r="AC344" i="1"/>
  <c r="AF344" i="1"/>
  <c r="AB344" i="1"/>
  <c r="W345" i="1"/>
  <c r="Z345" i="1"/>
  <c r="S346" i="1"/>
  <c r="Y345" i="1"/>
  <c r="U345" i="1"/>
  <c r="V345" i="1" s="1"/>
  <c r="X345" i="1"/>
  <c r="T345" i="1"/>
  <c r="AH344" i="1"/>
  <c r="AD344" i="1"/>
  <c r="AH345" i="1" l="1"/>
  <c r="AD345" i="1"/>
  <c r="AE345" i="1"/>
  <c r="AA345" i="1"/>
  <c r="AG345" i="1"/>
  <c r="AC345" i="1"/>
  <c r="AB345" i="1"/>
  <c r="AF345" i="1"/>
  <c r="S347" i="1"/>
  <c r="Y346" i="1"/>
  <c r="U346" i="1"/>
  <c r="V346" i="1" s="1"/>
  <c r="X346" i="1"/>
  <c r="T346" i="1"/>
  <c r="W346" i="1"/>
  <c r="Z346" i="1"/>
  <c r="AF346" i="1" l="1"/>
  <c r="AB346" i="1"/>
  <c r="AE346" i="1"/>
  <c r="AA346" i="1"/>
  <c r="AG346" i="1"/>
  <c r="AC346" i="1"/>
  <c r="AH346" i="1"/>
  <c r="AD346" i="1"/>
  <c r="W347" i="1"/>
  <c r="Z347" i="1"/>
  <c r="S348" i="1"/>
  <c r="Y347" i="1"/>
  <c r="U347" i="1"/>
  <c r="V347" i="1" s="1"/>
  <c r="X347" i="1"/>
  <c r="T347" i="1"/>
  <c r="S349" i="1" l="1"/>
  <c r="Y348" i="1"/>
  <c r="U348" i="1"/>
  <c r="V348" i="1" s="1"/>
  <c r="X348" i="1"/>
  <c r="T348" i="1"/>
  <c r="W348" i="1"/>
  <c r="Z348" i="1"/>
  <c r="AB347" i="1"/>
  <c r="AF347" i="1"/>
  <c r="AH347" i="1"/>
  <c r="AD347" i="1"/>
  <c r="AG347" i="1"/>
  <c r="AC347" i="1"/>
  <c r="AE347" i="1"/>
  <c r="AA347" i="1"/>
  <c r="AF348" i="1" l="1"/>
  <c r="AB348" i="1"/>
  <c r="AH348" i="1"/>
  <c r="AD348" i="1"/>
  <c r="AE348" i="1"/>
  <c r="AA348" i="1"/>
  <c r="AG348" i="1"/>
  <c r="AC348" i="1"/>
  <c r="W349" i="1"/>
  <c r="Z349" i="1"/>
  <c r="S350" i="1"/>
  <c r="Y349" i="1"/>
  <c r="U349" i="1"/>
  <c r="V349" i="1" s="1"/>
  <c r="X349" i="1"/>
  <c r="T349" i="1"/>
  <c r="AG349" i="1" l="1"/>
  <c r="AC349" i="1"/>
  <c r="S351" i="1"/>
  <c r="Y350" i="1"/>
  <c r="U350" i="1"/>
  <c r="V350" i="1" s="1"/>
  <c r="X350" i="1"/>
  <c r="T350" i="1"/>
  <c r="W350" i="1"/>
  <c r="Z350" i="1"/>
  <c r="AB349" i="1"/>
  <c r="AF349" i="1"/>
  <c r="AH349" i="1"/>
  <c r="AD349" i="1"/>
  <c r="AE349" i="1"/>
  <c r="AA349" i="1"/>
  <c r="AE350" i="1" l="1"/>
  <c r="AA350" i="1"/>
  <c r="AG350" i="1"/>
  <c r="AC350" i="1"/>
  <c r="AF350" i="1"/>
  <c r="AB350" i="1"/>
  <c r="W351" i="1"/>
  <c r="Z351" i="1"/>
  <c r="S352" i="1"/>
  <c r="Y351" i="1"/>
  <c r="U351" i="1"/>
  <c r="V351" i="1" s="1"/>
  <c r="X351" i="1"/>
  <c r="T351" i="1"/>
  <c r="AH350" i="1"/>
  <c r="AD350" i="1"/>
  <c r="AH351" i="1" l="1"/>
  <c r="AD351" i="1"/>
  <c r="AG351" i="1"/>
  <c r="AC351" i="1"/>
  <c r="AB351" i="1"/>
  <c r="AF351" i="1"/>
  <c r="AE351" i="1"/>
  <c r="AA351" i="1"/>
  <c r="S353" i="1"/>
  <c r="Y352" i="1"/>
  <c r="U352" i="1"/>
  <c r="V352" i="1" s="1"/>
  <c r="X352" i="1"/>
  <c r="T352" i="1"/>
  <c r="W352" i="1"/>
  <c r="Z352" i="1"/>
  <c r="AH352" i="1" l="1"/>
  <c r="AD352" i="1"/>
  <c r="AE352" i="1"/>
  <c r="AA352" i="1"/>
  <c r="AG352" i="1"/>
  <c r="AC352" i="1"/>
  <c r="AF352" i="1"/>
  <c r="AB352" i="1"/>
  <c r="W353" i="1"/>
  <c r="Z353" i="1"/>
  <c r="S354" i="1"/>
  <c r="Y353" i="1"/>
  <c r="U353" i="1"/>
  <c r="V353" i="1" s="1"/>
  <c r="X353" i="1"/>
  <c r="T353" i="1"/>
  <c r="S355" i="1" l="1"/>
  <c r="Y354" i="1"/>
  <c r="U354" i="1"/>
  <c r="V354" i="1" s="1"/>
  <c r="X354" i="1"/>
  <c r="T354" i="1"/>
  <c r="W354" i="1"/>
  <c r="Z354" i="1"/>
  <c r="AG353" i="1"/>
  <c r="AC353" i="1"/>
  <c r="AB353" i="1"/>
  <c r="AF353" i="1"/>
  <c r="AH353" i="1"/>
  <c r="AD353" i="1"/>
  <c r="AE353" i="1"/>
  <c r="AA353" i="1"/>
  <c r="AE354" i="1" l="1"/>
  <c r="AA354" i="1"/>
  <c r="AG354" i="1"/>
  <c r="AC354" i="1"/>
  <c r="AF354" i="1"/>
  <c r="AB354" i="1"/>
  <c r="AH354" i="1"/>
  <c r="AD354" i="1"/>
  <c r="W355" i="1"/>
  <c r="Z355" i="1"/>
  <c r="S356" i="1"/>
  <c r="Y355" i="1"/>
  <c r="U355" i="1"/>
  <c r="V355" i="1" s="1"/>
  <c r="X355" i="1"/>
  <c r="T355" i="1"/>
  <c r="S357" i="1" l="1"/>
  <c r="Y356" i="1"/>
  <c r="U356" i="1"/>
  <c r="V356" i="1" s="1"/>
  <c r="X356" i="1"/>
  <c r="T356" i="1"/>
  <c r="W356" i="1"/>
  <c r="Z356" i="1"/>
  <c r="AB355" i="1"/>
  <c r="AF355" i="1"/>
  <c r="AH355" i="1"/>
  <c r="AD355" i="1"/>
  <c r="AG355" i="1"/>
  <c r="AC355" i="1"/>
  <c r="AE355" i="1"/>
  <c r="AA355" i="1"/>
  <c r="AF356" i="1" l="1"/>
  <c r="AB356" i="1"/>
  <c r="AH356" i="1"/>
  <c r="AD356" i="1"/>
  <c r="AE356" i="1"/>
  <c r="AA356" i="1"/>
  <c r="AG356" i="1"/>
  <c r="AC356" i="1"/>
  <c r="W357" i="1"/>
  <c r="Z357" i="1"/>
  <c r="S358" i="1"/>
  <c r="Y357" i="1"/>
  <c r="U357" i="1"/>
  <c r="V357" i="1" s="1"/>
  <c r="X357" i="1"/>
  <c r="T357" i="1"/>
  <c r="AB357" i="1" l="1"/>
  <c r="AF357" i="1"/>
  <c r="AH357" i="1"/>
  <c r="AD357" i="1"/>
  <c r="AG357" i="1"/>
  <c r="AC357" i="1"/>
  <c r="S359" i="1"/>
  <c r="Y358" i="1"/>
  <c r="U358" i="1"/>
  <c r="V358" i="1" s="1"/>
  <c r="X358" i="1"/>
  <c r="T358" i="1"/>
  <c r="W358" i="1"/>
  <c r="Z358" i="1"/>
  <c r="AE357" i="1"/>
  <c r="AA357" i="1"/>
  <c r="AE358" i="1" l="1"/>
  <c r="AA358" i="1"/>
  <c r="W359" i="1"/>
  <c r="Z359" i="1"/>
  <c r="S360" i="1"/>
  <c r="Y359" i="1"/>
  <c r="U359" i="1"/>
  <c r="V359" i="1" s="1"/>
  <c r="X359" i="1"/>
  <c r="T359" i="1"/>
  <c r="AF358" i="1"/>
  <c r="AB358" i="1"/>
  <c r="AG358" i="1"/>
  <c r="AC358" i="1"/>
  <c r="AH358" i="1"/>
  <c r="AD358" i="1"/>
  <c r="AE359" i="1" l="1"/>
  <c r="AA359" i="1"/>
  <c r="AG359" i="1"/>
  <c r="AC359" i="1"/>
  <c r="AB359" i="1"/>
  <c r="AF359" i="1"/>
  <c r="AH359" i="1"/>
  <c r="AD359" i="1"/>
  <c r="S361" i="1"/>
  <c r="Y360" i="1"/>
  <c r="U360" i="1"/>
  <c r="V360" i="1" s="1"/>
  <c r="X360" i="1"/>
  <c r="T360" i="1"/>
  <c r="W360" i="1"/>
  <c r="Z360" i="1"/>
  <c r="AF360" i="1" l="1"/>
  <c r="AB360" i="1"/>
  <c r="AE360" i="1"/>
  <c r="AA360" i="1"/>
  <c r="AG360" i="1"/>
  <c r="AC360" i="1"/>
  <c r="AH360" i="1"/>
  <c r="AD360" i="1"/>
  <c r="W361" i="1"/>
  <c r="Z361" i="1"/>
  <c r="S362" i="1"/>
  <c r="Y361" i="1"/>
  <c r="U361" i="1"/>
  <c r="V361" i="1" s="1"/>
  <c r="X361" i="1"/>
  <c r="T361" i="1"/>
  <c r="S363" i="1" l="1"/>
  <c r="Y362" i="1"/>
  <c r="U362" i="1"/>
  <c r="V362" i="1" s="1"/>
  <c r="X362" i="1"/>
  <c r="T362" i="1"/>
  <c r="W362" i="1"/>
  <c r="Z362" i="1"/>
  <c r="AB361" i="1"/>
  <c r="AF361" i="1"/>
  <c r="AH361" i="1"/>
  <c r="AD361" i="1"/>
  <c r="AG361" i="1"/>
  <c r="AC361" i="1"/>
  <c r="AE361" i="1"/>
  <c r="AA361" i="1"/>
  <c r="AF362" i="1" l="1"/>
  <c r="AB362" i="1"/>
  <c r="AE362" i="1"/>
  <c r="AA362" i="1"/>
  <c r="AG362" i="1"/>
  <c r="AC362" i="1"/>
  <c r="AH362" i="1"/>
  <c r="AD362" i="1"/>
  <c r="W363" i="1"/>
  <c r="Z363" i="1"/>
  <c r="S364" i="1"/>
  <c r="Y363" i="1"/>
  <c r="U363" i="1"/>
  <c r="V363" i="1" s="1"/>
  <c r="X363" i="1"/>
  <c r="T363" i="1"/>
  <c r="S365" i="1" l="1"/>
  <c r="Y364" i="1"/>
  <c r="U364" i="1"/>
  <c r="V364" i="1" s="1"/>
  <c r="X364" i="1"/>
  <c r="T364" i="1"/>
  <c r="W364" i="1"/>
  <c r="Z364" i="1"/>
  <c r="AB363" i="1"/>
  <c r="AF363" i="1"/>
  <c r="AH363" i="1"/>
  <c r="AD363" i="1"/>
  <c r="AG363" i="1"/>
  <c r="AC363" i="1"/>
  <c r="AE363" i="1"/>
  <c r="AA363" i="1"/>
  <c r="AF364" i="1" l="1"/>
  <c r="AB364" i="1"/>
  <c r="AH364" i="1"/>
  <c r="AD364" i="1"/>
  <c r="AE364" i="1"/>
  <c r="AA364" i="1"/>
  <c r="AG364" i="1"/>
  <c r="AC364" i="1"/>
  <c r="W365" i="1"/>
  <c r="Z365" i="1"/>
  <c r="S366" i="1"/>
  <c r="Y365" i="1"/>
  <c r="U365" i="1"/>
  <c r="V365" i="1" s="1"/>
  <c r="X365" i="1"/>
  <c r="T365" i="1"/>
  <c r="AG365" i="1" l="1"/>
  <c r="AC365" i="1"/>
  <c r="S367" i="1"/>
  <c r="Y366" i="1"/>
  <c r="U366" i="1"/>
  <c r="V366" i="1" s="1"/>
  <c r="X366" i="1"/>
  <c r="T366" i="1"/>
  <c r="W366" i="1"/>
  <c r="Z366" i="1"/>
  <c r="AB365" i="1"/>
  <c r="AF365" i="1"/>
  <c r="AH365" i="1"/>
  <c r="AD365" i="1"/>
  <c r="AE365" i="1"/>
  <c r="AA365" i="1"/>
  <c r="AE366" i="1" l="1"/>
  <c r="AA366" i="1"/>
  <c r="W367" i="1"/>
  <c r="Z367" i="1"/>
  <c r="S368" i="1"/>
  <c r="Y367" i="1"/>
  <c r="U367" i="1"/>
  <c r="V367" i="1" s="1"/>
  <c r="X367" i="1"/>
  <c r="T367" i="1"/>
  <c r="AF366" i="1"/>
  <c r="AB366" i="1"/>
  <c r="AG366" i="1"/>
  <c r="AC366" i="1"/>
  <c r="AH366" i="1"/>
  <c r="AD366" i="1"/>
  <c r="AB367" i="1" l="1"/>
  <c r="AF367" i="1"/>
  <c r="AH367" i="1"/>
  <c r="AD367" i="1"/>
  <c r="AE367" i="1"/>
  <c r="AA367" i="1"/>
  <c r="AG367" i="1"/>
  <c r="AC367" i="1"/>
  <c r="S369" i="1"/>
  <c r="Y368" i="1"/>
  <c r="U368" i="1"/>
  <c r="V368" i="1" s="1"/>
  <c r="X368" i="1"/>
  <c r="T368" i="1"/>
  <c r="W368" i="1"/>
  <c r="Z368" i="1"/>
  <c r="AH368" i="1" l="1"/>
  <c r="AD368" i="1"/>
  <c r="AE368" i="1"/>
  <c r="AA368" i="1"/>
  <c r="AG368" i="1"/>
  <c r="AC368" i="1"/>
  <c r="AF368" i="1"/>
  <c r="AB368" i="1"/>
  <c r="W369" i="1"/>
  <c r="Z369" i="1"/>
  <c r="S370" i="1"/>
  <c r="Y369" i="1"/>
  <c r="U369" i="1"/>
  <c r="V369" i="1" s="1"/>
  <c r="X369" i="1"/>
  <c r="T369" i="1"/>
  <c r="S371" i="1" l="1"/>
  <c r="Y370" i="1"/>
  <c r="U370" i="1"/>
  <c r="V370" i="1" s="1"/>
  <c r="X370" i="1"/>
  <c r="T370" i="1"/>
  <c r="W370" i="1"/>
  <c r="Z370" i="1"/>
  <c r="AB369" i="1"/>
  <c r="AF369" i="1"/>
  <c r="AH369" i="1"/>
  <c r="AD369" i="1"/>
  <c r="AG369" i="1"/>
  <c r="AC369" i="1"/>
  <c r="AE369" i="1"/>
  <c r="AA369" i="1"/>
  <c r="AF370" i="1" l="1"/>
  <c r="AB370" i="1"/>
  <c r="AH370" i="1"/>
  <c r="AD370" i="1"/>
  <c r="AE370" i="1"/>
  <c r="AA370" i="1"/>
  <c r="AG370" i="1"/>
  <c r="AC370" i="1"/>
  <c r="W371" i="1"/>
  <c r="Z371" i="1"/>
  <c r="S372" i="1"/>
  <c r="Y371" i="1"/>
  <c r="U371" i="1"/>
  <c r="V371" i="1" s="1"/>
  <c r="X371" i="1"/>
  <c r="T371" i="1"/>
  <c r="AG371" i="1" l="1"/>
  <c r="AC371" i="1"/>
  <c r="S373" i="1"/>
  <c r="Y372" i="1"/>
  <c r="U372" i="1"/>
  <c r="V372" i="1" s="1"/>
  <c r="X372" i="1"/>
  <c r="T372" i="1"/>
  <c r="W372" i="1"/>
  <c r="Z372" i="1"/>
  <c r="AB371" i="1"/>
  <c r="AF371" i="1"/>
  <c r="AH371" i="1"/>
  <c r="AD371" i="1"/>
  <c r="AE371" i="1"/>
  <c r="AA371" i="1"/>
  <c r="AG372" i="1" l="1"/>
  <c r="AC372" i="1"/>
  <c r="W373" i="1"/>
  <c r="Z373" i="1"/>
  <c r="S374" i="1"/>
  <c r="Y373" i="1"/>
  <c r="U373" i="1"/>
  <c r="V373" i="1" s="1"/>
  <c r="X373" i="1"/>
  <c r="T373" i="1"/>
  <c r="AF372" i="1"/>
  <c r="AB372" i="1"/>
  <c r="AE372" i="1"/>
  <c r="AA372" i="1"/>
  <c r="AH372" i="1"/>
  <c r="AD372" i="1"/>
  <c r="AB373" i="1" l="1"/>
  <c r="AF373" i="1"/>
  <c r="AH373" i="1"/>
  <c r="AD373" i="1"/>
  <c r="AG373" i="1"/>
  <c r="AC373" i="1"/>
  <c r="AE373" i="1"/>
  <c r="AA373" i="1"/>
  <c r="S375" i="1"/>
  <c r="Y374" i="1"/>
  <c r="U374" i="1"/>
  <c r="V374" i="1" s="1"/>
  <c r="X374" i="1"/>
  <c r="T374" i="1"/>
  <c r="W374" i="1"/>
  <c r="Z374" i="1"/>
  <c r="AF374" i="1" l="1"/>
  <c r="AB374" i="1"/>
  <c r="AH374" i="1"/>
  <c r="AD374" i="1"/>
  <c r="AE374" i="1"/>
  <c r="AA374" i="1"/>
  <c r="AG374" i="1"/>
  <c r="AC374" i="1"/>
  <c r="W375" i="1"/>
  <c r="Z375" i="1"/>
  <c r="S376" i="1"/>
  <c r="Y375" i="1"/>
  <c r="U375" i="1"/>
  <c r="V375" i="1" s="1"/>
  <c r="X375" i="1"/>
  <c r="T375" i="1"/>
  <c r="AG375" i="1" l="1"/>
  <c r="AC375" i="1"/>
  <c r="AB375" i="1"/>
  <c r="AF375" i="1"/>
  <c r="AH375" i="1"/>
  <c r="AD375" i="1"/>
  <c r="S377" i="1"/>
  <c r="Y376" i="1"/>
  <c r="U376" i="1"/>
  <c r="V376" i="1" s="1"/>
  <c r="X376" i="1"/>
  <c r="T376" i="1"/>
  <c r="W376" i="1"/>
  <c r="Z376" i="1"/>
  <c r="AE375" i="1"/>
  <c r="AA375" i="1"/>
  <c r="AE376" i="1" l="1"/>
  <c r="AA376" i="1"/>
  <c r="W377" i="1"/>
  <c r="Z377" i="1"/>
  <c r="S378" i="1"/>
  <c r="Y377" i="1"/>
  <c r="U377" i="1"/>
  <c r="V377" i="1" s="1"/>
  <c r="X377" i="1"/>
  <c r="T377" i="1"/>
  <c r="AF376" i="1"/>
  <c r="AB376" i="1"/>
  <c r="AG376" i="1"/>
  <c r="AC376" i="1"/>
  <c r="AH376" i="1"/>
  <c r="AD376" i="1"/>
  <c r="AB377" i="1" l="1"/>
  <c r="AF377" i="1"/>
  <c r="AH377" i="1"/>
  <c r="AD377" i="1"/>
  <c r="AE377" i="1"/>
  <c r="AA377" i="1"/>
  <c r="AG377" i="1"/>
  <c r="AC377" i="1"/>
  <c r="Z378" i="1"/>
  <c r="S379" i="1"/>
  <c r="U378" i="1"/>
  <c r="V378" i="1" s="1"/>
  <c r="Y378" i="1"/>
  <c r="T378" i="1"/>
  <c r="X378" i="1"/>
  <c r="W378" i="1"/>
  <c r="AC378" i="1" l="1"/>
  <c r="AG378" i="1"/>
  <c r="AF378" i="1"/>
  <c r="AB378" i="1"/>
  <c r="AA378" i="1"/>
  <c r="AE378" i="1"/>
  <c r="X379" i="1"/>
  <c r="T379" i="1"/>
  <c r="Y379" i="1"/>
  <c r="W379" i="1"/>
  <c r="S380" i="1"/>
  <c r="Z379" i="1"/>
  <c r="U379" i="1"/>
  <c r="V379" i="1" s="1"/>
  <c r="AH378" i="1"/>
  <c r="AD378" i="1"/>
  <c r="AD379" i="1" l="1"/>
  <c r="AH379" i="1"/>
  <c r="AF379" i="1"/>
  <c r="AB379" i="1"/>
  <c r="Z380" i="1"/>
  <c r="S381" i="1"/>
  <c r="U380" i="1"/>
  <c r="V380" i="1" s="1"/>
  <c r="Y380" i="1"/>
  <c r="T380" i="1"/>
  <c r="X380" i="1"/>
  <c r="W380" i="1"/>
  <c r="AA379" i="1"/>
  <c r="AE379" i="1"/>
  <c r="AC379" i="1"/>
  <c r="AG379" i="1"/>
  <c r="AA380" i="1" l="1"/>
  <c r="AE380" i="1"/>
  <c r="X381" i="1"/>
  <c r="T381" i="1"/>
  <c r="Y381" i="1"/>
  <c r="W381" i="1"/>
  <c r="S382" i="1"/>
  <c r="Z381" i="1"/>
  <c r="U381" i="1"/>
  <c r="V381" i="1" s="1"/>
  <c r="AC380" i="1"/>
  <c r="AG380" i="1"/>
  <c r="AF380" i="1"/>
  <c r="AB380" i="1"/>
  <c r="AH380" i="1"/>
  <c r="AD380" i="1"/>
  <c r="AD381" i="1" l="1"/>
  <c r="AH381" i="1"/>
  <c r="AF381" i="1"/>
  <c r="AB381" i="1"/>
  <c r="AA381" i="1"/>
  <c r="AE381" i="1"/>
  <c r="Z382" i="1"/>
  <c r="U382" i="1"/>
  <c r="V382" i="1" s="1"/>
  <c r="S383" i="1"/>
  <c r="Y382" i="1"/>
  <c r="T382" i="1"/>
  <c r="X382" i="1"/>
  <c r="W382" i="1"/>
  <c r="AC381" i="1"/>
  <c r="AG381" i="1"/>
  <c r="AF382" i="1" l="1"/>
  <c r="AB382" i="1"/>
  <c r="AH382" i="1"/>
  <c r="AD382" i="1"/>
  <c r="AG382" i="1"/>
  <c r="AC382" i="1"/>
  <c r="AA382" i="1"/>
  <c r="AE382" i="1"/>
  <c r="X383" i="1"/>
  <c r="T383" i="1"/>
  <c r="Z383" i="1"/>
  <c r="U383" i="1"/>
  <c r="V383" i="1" s="1"/>
  <c r="Y383" i="1"/>
  <c r="S384" i="1"/>
  <c r="W383" i="1"/>
  <c r="AA383" i="1" l="1"/>
  <c r="AE383" i="1"/>
  <c r="Z384" i="1"/>
  <c r="S385" i="1"/>
  <c r="X384" i="1"/>
  <c r="T384" i="1"/>
  <c r="Y384" i="1"/>
  <c r="W384" i="1"/>
  <c r="U384" i="1"/>
  <c r="V384" i="1" s="1"/>
  <c r="AH383" i="1"/>
  <c r="AD383" i="1"/>
  <c r="AC383" i="1"/>
  <c r="AG383" i="1"/>
  <c r="AF383" i="1"/>
  <c r="AB383" i="1"/>
  <c r="X385" i="1" l="1"/>
  <c r="T385" i="1"/>
  <c r="W385" i="1"/>
  <c r="Z385" i="1"/>
  <c r="S386" i="1"/>
  <c r="Y385" i="1"/>
  <c r="U385" i="1"/>
  <c r="V385" i="1" s="1"/>
  <c r="AG384" i="1"/>
  <c r="AC384" i="1"/>
  <c r="AH384" i="1"/>
  <c r="AD384" i="1"/>
  <c r="AE384" i="1"/>
  <c r="AA384" i="1"/>
  <c r="AF384" i="1"/>
  <c r="AB384" i="1"/>
  <c r="AH385" i="1" l="1"/>
  <c r="AD385" i="1"/>
  <c r="AE385" i="1"/>
  <c r="AA385" i="1"/>
  <c r="AC385" i="1"/>
  <c r="AG385" i="1"/>
  <c r="Z386" i="1"/>
  <c r="S387" i="1"/>
  <c r="Y386" i="1"/>
  <c r="U386" i="1"/>
  <c r="V386" i="1" s="1"/>
  <c r="X386" i="1"/>
  <c r="T386" i="1"/>
  <c r="W386" i="1"/>
  <c r="AF385" i="1"/>
  <c r="AB385" i="1"/>
  <c r="X387" i="1" l="1"/>
  <c r="T387" i="1"/>
  <c r="W387" i="1"/>
  <c r="Z387" i="1"/>
  <c r="S388" i="1"/>
  <c r="Y387" i="1"/>
  <c r="U387" i="1"/>
  <c r="V387" i="1" s="1"/>
  <c r="AF386" i="1"/>
  <c r="AB386" i="1"/>
  <c r="AH386" i="1"/>
  <c r="AD386" i="1"/>
  <c r="AE386" i="1"/>
  <c r="AA386" i="1"/>
  <c r="AG386" i="1"/>
  <c r="AC386" i="1"/>
  <c r="AE387" i="1" l="1"/>
  <c r="AA387" i="1"/>
  <c r="AC387" i="1"/>
  <c r="AG387" i="1"/>
  <c r="AH387" i="1"/>
  <c r="AD387" i="1"/>
  <c r="Z388" i="1"/>
  <c r="S389" i="1"/>
  <c r="Y388" i="1"/>
  <c r="U388" i="1"/>
  <c r="V388" i="1" s="1"/>
  <c r="X388" i="1"/>
  <c r="T388" i="1"/>
  <c r="W388" i="1"/>
  <c r="AF387" i="1"/>
  <c r="AB387" i="1"/>
  <c r="X389" i="1" l="1"/>
  <c r="T389" i="1"/>
  <c r="W389" i="1"/>
  <c r="Z389" i="1"/>
  <c r="S390" i="1"/>
  <c r="Y389" i="1"/>
  <c r="U389" i="1"/>
  <c r="V389" i="1" s="1"/>
  <c r="AF388" i="1"/>
  <c r="AB388" i="1"/>
  <c r="AH388" i="1"/>
  <c r="AD388" i="1"/>
  <c r="AE388" i="1"/>
  <c r="AA388" i="1"/>
  <c r="AG388" i="1"/>
  <c r="AC388" i="1"/>
  <c r="AE389" i="1" l="1"/>
  <c r="AA389" i="1"/>
  <c r="AH389" i="1"/>
  <c r="AD389" i="1"/>
  <c r="AC389" i="1"/>
  <c r="AG389" i="1"/>
  <c r="Z390" i="1"/>
  <c r="S391" i="1"/>
  <c r="Y390" i="1"/>
  <c r="U390" i="1"/>
  <c r="V390" i="1" s="1"/>
  <c r="X390" i="1"/>
  <c r="T390" i="1"/>
  <c r="W390" i="1"/>
  <c r="AF389" i="1"/>
  <c r="AB389" i="1"/>
  <c r="X391" i="1" l="1"/>
  <c r="T391" i="1"/>
  <c r="W391" i="1"/>
  <c r="Z391" i="1"/>
  <c r="S392" i="1"/>
  <c r="Y391" i="1"/>
  <c r="U391" i="1"/>
  <c r="V391" i="1" s="1"/>
  <c r="AF390" i="1"/>
  <c r="AB390" i="1"/>
  <c r="AH390" i="1"/>
  <c r="AD390" i="1"/>
  <c r="AE390" i="1"/>
  <c r="AA390" i="1"/>
  <c r="AG390" i="1"/>
  <c r="AC390" i="1"/>
  <c r="AE391" i="1" l="1"/>
  <c r="AA391" i="1"/>
  <c r="AH391" i="1"/>
  <c r="AD391" i="1"/>
  <c r="AC391" i="1"/>
  <c r="AG391" i="1"/>
  <c r="Z392" i="1"/>
  <c r="S393" i="1"/>
  <c r="Y392" i="1"/>
  <c r="U392" i="1"/>
  <c r="V392" i="1" s="1"/>
  <c r="X392" i="1"/>
  <c r="T392" i="1"/>
  <c r="W392" i="1"/>
  <c r="AF391" i="1"/>
  <c r="AB391" i="1"/>
  <c r="X393" i="1" l="1"/>
  <c r="T393" i="1"/>
  <c r="W393" i="1"/>
  <c r="Z393" i="1"/>
  <c r="S394" i="1"/>
  <c r="Y393" i="1"/>
  <c r="U393" i="1"/>
  <c r="V393" i="1" s="1"/>
  <c r="AF392" i="1"/>
  <c r="AB392" i="1"/>
  <c r="AH392" i="1"/>
  <c r="AD392" i="1"/>
  <c r="AE392" i="1"/>
  <c r="AA392" i="1"/>
  <c r="AG392" i="1"/>
  <c r="AC392" i="1"/>
  <c r="AH393" i="1" l="1"/>
  <c r="AD393" i="1"/>
  <c r="AE393" i="1"/>
  <c r="AA393" i="1"/>
  <c r="AC393" i="1"/>
  <c r="AG393" i="1"/>
  <c r="Z394" i="1"/>
  <c r="S395" i="1"/>
  <c r="Y394" i="1"/>
  <c r="U394" i="1"/>
  <c r="V394" i="1" s="1"/>
  <c r="X394" i="1"/>
  <c r="T394" i="1"/>
  <c r="W394" i="1"/>
  <c r="AF393" i="1"/>
  <c r="AB393" i="1"/>
  <c r="X395" i="1" l="1"/>
  <c r="T395" i="1"/>
  <c r="W395" i="1"/>
  <c r="Z395" i="1"/>
  <c r="S396" i="1"/>
  <c r="Y395" i="1"/>
  <c r="U395" i="1"/>
  <c r="V395" i="1" s="1"/>
  <c r="AF394" i="1"/>
  <c r="AB394" i="1"/>
  <c r="AH394" i="1"/>
  <c r="AD394" i="1"/>
  <c r="AE394" i="1"/>
  <c r="AA394" i="1"/>
  <c r="AG394" i="1"/>
  <c r="AC394" i="1"/>
  <c r="AH395" i="1" l="1"/>
  <c r="AD395" i="1"/>
  <c r="AE395" i="1"/>
  <c r="AA395" i="1"/>
  <c r="AC395" i="1"/>
  <c r="AG395" i="1"/>
  <c r="Z396" i="1"/>
  <c r="S397" i="1"/>
  <c r="Y396" i="1"/>
  <c r="U396" i="1"/>
  <c r="V396" i="1" s="1"/>
  <c r="X396" i="1"/>
  <c r="T396" i="1"/>
  <c r="W396" i="1"/>
  <c r="AF395" i="1"/>
  <c r="AB395" i="1"/>
  <c r="AH396" i="1" l="1"/>
  <c r="AD396" i="1"/>
  <c r="X397" i="1"/>
  <c r="T397" i="1"/>
  <c r="W397" i="1"/>
  <c r="Z397" i="1"/>
  <c r="S398" i="1"/>
  <c r="Y397" i="1"/>
  <c r="U397" i="1"/>
  <c r="V397" i="1" s="1"/>
  <c r="AF396" i="1"/>
  <c r="AB396" i="1"/>
  <c r="AE396" i="1"/>
  <c r="AA396" i="1"/>
  <c r="AG396" i="1"/>
  <c r="AC396" i="1"/>
  <c r="AF397" i="1" l="1"/>
  <c r="AB397" i="1"/>
  <c r="AC397" i="1"/>
  <c r="AG397" i="1"/>
  <c r="Z398" i="1"/>
  <c r="S399" i="1"/>
  <c r="Y398" i="1"/>
  <c r="U398" i="1"/>
  <c r="V398" i="1" s="1"/>
  <c r="X398" i="1"/>
  <c r="T398" i="1"/>
  <c r="W398" i="1"/>
  <c r="AH397" i="1"/>
  <c r="AD397" i="1"/>
  <c r="AE397" i="1"/>
  <c r="AA397" i="1"/>
  <c r="AE398" i="1" l="1"/>
  <c r="AA398" i="1"/>
  <c r="AG398" i="1"/>
  <c r="AC398" i="1"/>
  <c r="X399" i="1"/>
  <c r="T399" i="1"/>
  <c r="W399" i="1"/>
  <c r="Z399" i="1"/>
  <c r="S400" i="1"/>
  <c r="Y399" i="1"/>
  <c r="U399" i="1"/>
  <c r="V399" i="1" s="1"/>
  <c r="AF398" i="1"/>
  <c r="AB398" i="1"/>
  <c r="AH398" i="1"/>
  <c r="AD398" i="1"/>
  <c r="AH399" i="1" l="1"/>
  <c r="AD399" i="1"/>
  <c r="AE399" i="1"/>
  <c r="AA399" i="1"/>
  <c r="AC399" i="1"/>
  <c r="AG399" i="1"/>
  <c r="Z400" i="1"/>
  <c r="S401" i="1"/>
  <c r="Y400" i="1"/>
  <c r="U400" i="1"/>
  <c r="V400" i="1" s="1"/>
  <c r="X400" i="1"/>
  <c r="T400" i="1"/>
  <c r="W400" i="1"/>
  <c r="AF399" i="1"/>
  <c r="AB399" i="1"/>
  <c r="X401" i="1" l="1"/>
  <c r="T401" i="1"/>
  <c r="W401" i="1"/>
  <c r="Z401" i="1"/>
  <c r="S402" i="1"/>
  <c r="Y401" i="1"/>
  <c r="U401" i="1"/>
  <c r="V401" i="1" s="1"/>
  <c r="AF400" i="1"/>
  <c r="AB400" i="1"/>
  <c r="AH400" i="1"/>
  <c r="AD400" i="1"/>
  <c r="AE400" i="1"/>
  <c r="AA400" i="1"/>
  <c r="AG400" i="1"/>
  <c r="AC400" i="1"/>
  <c r="AC401" i="1" l="1"/>
  <c r="AG401" i="1"/>
  <c r="AH401" i="1"/>
  <c r="AD401" i="1"/>
  <c r="AE401" i="1"/>
  <c r="AA401" i="1"/>
  <c r="Z402" i="1"/>
  <c r="S403" i="1"/>
  <c r="Y402" i="1"/>
  <c r="U402" i="1"/>
  <c r="V402" i="1" s="1"/>
  <c r="X402" i="1"/>
  <c r="T402" i="1"/>
  <c r="W402" i="1"/>
  <c r="AF401" i="1"/>
  <c r="AB401" i="1"/>
  <c r="AF402" i="1" l="1"/>
  <c r="AB402" i="1"/>
  <c r="AH402" i="1"/>
  <c r="AD402" i="1"/>
  <c r="X403" i="1"/>
  <c r="T403" i="1"/>
  <c r="W403" i="1"/>
  <c r="Z403" i="1"/>
  <c r="S404" i="1"/>
  <c r="Y403" i="1"/>
  <c r="U403" i="1"/>
  <c r="V403" i="1" s="1"/>
  <c r="AE402" i="1"/>
  <c r="AA402" i="1"/>
  <c r="AG402" i="1"/>
  <c r="AC402" i="1"/>
  <c r="AE403" i="1" l="1"/>
  <c r="AA403" i="1"/>
  <c r="AH403" i="1"/>
  <c r="AD403" i="1"/>
  <c r="AC403" i="1"/>
  <c r="AG403" i="1"/>
  <c r="Z404" i="1"/>
  <c r="S405" i="1"/>
  <c r="Y404" i="1"/>
  <c r="U404" i="1"/>
  <c r="V404" i="1" s="1"/>
  <c r="X404" i="1"/>
  <c r="T404" i="1"/>
  <c r="W404" i="1"/>
  <c r="AF403" i="1"/>
  <c r="AB403" i="1"/>
  <c r="X405" i="1" l="1"/>
  <c r="T405" i="1"/>
  <c r="W405" i="1"/>
  <c r="Z405" i="1"/>
  <c r="S406" i="1"/>
  <c r="Y405" i="1"/>
  <c r="U405" i="1"/>
  <c r="V405" i="1" s="1"/>
  <c r="AH404" i="1"/>
  <c r="AD404" i="1"/>
  <c r="AF404" i="1"/>
  <c r="AB404" i="1"/>
  <c r="AE404" i="1"/>
  <c r="AA404" i="1"/>
  <c r="AG404" i="1"/>
  <c r="AC404" i="1"/>
  <c r="AE405" i="1" l="1"/>
  <c r="AA405" i="1"/>
  <c r="AH405" i="1"/>
  <c r="AD405" i="1"/>
  <c r="AC405" i="1"/>
  <c r="AG405" i="1"/>
  <c r="Z406" i="1"/>
  <c r="S407" i="1"/>
  <c r="Y406" i="1"/>
  <c r="U406" i="1"/>
  <c r="V406" i="1" s="1"/>
  <c r="X406" i="1"/>
  <c r="T406" i="1"/>
  <c r="W406" i="1"/>
  <c r="AF405" i="1"/>
  <c r="AB405" i="1"/>
  <c r="AH406" i="1" l="1"/>
  <c r="AD406" i="1"/>
  <c r="AF406" i="1"/>
  <c r="AB406" i="1"/>
  <c r="X407" i="1"/>
  <c r="T407" i="1"/>
  <c r="W407" i="1"/>
  <c r="Z407" i="1"/>
  <c r="S408" i="1"/>
  <c r="Y407" i="1"/>
  <c r="U407" i="1"/>
  <c r="V407" i="1" s="1"/>
  <c r="AE406" i="1"/>
  <c r="AA406" i="1"/>
  <c r="AG406" i="1"/>
  <c r="AC406" i="1"/>
  <c r="AH407" i="1" l="1"/>
  <c r="AD407" i="1"/>
  <c r="AE407" i="1"/>
  <c r="AA407" i="1"/>
  <c r="AC407" i="1"/>
  <c r="AG407" i="1"/>
  <c r="Z408" i="1"/>
  <c r="S409" i="1"/>
  <c r="Y408" i="1"/>
  <c r="U408" i="1"/>
  <c r="V408" i="1" s="1"/>
  <c r="X408" i="1"/>
  <c r="T408" i="1"/>
  <c r="W408" i="1"/>
  <c r="AF407" i="1"/>
  <c r="AB407" i="1"/>
  <c r="AF408" i="1" l="1"/>
  <c r="AB408" i="1"/>
  <c r="AH408" i="1"/>
  <c r="AD408" i="1"/>
  <c r="X409" i="1"/>
  <c r="T409" i="1"/>
  <c r="W409" i="1"/>
  <c r="Z409" i="1"/>
  <c r="S410" i="1"/>
  <c r="Y409" i="1"/>
  <c r="U409" i="1"/>
  <c r="V409" i="1" s="1"/>
  <c r="AE408" i="1"/>
  <c r="AA408" i="1"/>
  <c r="AG408" i="1"/>
  <c r="AC408" i="1"/>
  <c r="AE409" i="1" l="1"/>
  <c r="AA409" i="1"/>
  <c r="AC409" i="1"/>
  <c r="AG409" i="1"/>
  <c r="AH409" i="1"/>
  <c r="AD409" i="1"/>
  <c r="Z410" i="1"/>
  <c r="S411" i="1"/>
  <c r="Y410" i="1"/>
  <c r="U410" i="1"/>
  <c r="V410" i="1" s="1"/>
  <c r="X410" i="1"/>
  <c r="T410" i="1"/>
  <c r="W410" i="1"/>
  <c r="AF409" i="1"/>
  <c r="AB409" i="1"/>
  <c r="S412" i="1" l="1"/>
  <c r="Y411" i="1"/>
  <c r="U411" i="1"/>
  <c r="V411" i="1" s="1"/>
  <c r="Z411" i="1"/>
  <c r="T411" i="1"/>
  <c r="X411" i="1"/>
  <c r="W411" i="1"/>
  <c r="AF410" i="1"/>
  <c r="AB410" i="1"/>
  <c r="AH410" i="1"/>
  <c r="AD410" i="1"/>
  <c r="AE410" i="1"/>
  <c r="AA410" i="1"/>
  <c r="AG410" i="1"/>
  <c r="AC410" i="1"/>
  <c r="AD411" i="1" l="1"/>
  <c r="AH411" i="1"/>
  <c r="AE411" i="1"/>
  <c r="AA411" i="1"/>
  <c r="AB411" i="1"/>
  <c r="AF411" i="1"/>
  <c r="AG411" i="1"/>
  <c r="AC411" i="1"/>
  <c r="W412" i="1"/>
  <c r="Z412" i="1"/>
  <c r="S413" i="1"/>
  <c r="X412" i="1"/>
  <c r="U412" i="1"/>
  <c r="V412" i="1" s="1"/>
  <c r="Y412" i="1"/>
  <c r="T412" i="1"/>
  <c r="AF412" i="1" l="1"/>
  <c r="AB412" i="1"/>
  <c r="S414" i="1"/>
  <c r="Y413" i="1"/>
  <c r="U413" i="1"/>
  <c r="V413" i="1" s="1"/>
  <c r="X413" i="1"/>
  <c r="T413" i="1"/>
  <c r="Z413" i="1"/>
  <c r="W413" i="1"/>
  <c r="AC412" i="1"/>
  <c r="AG412" i="1"/>
  <c r="AH412" i="1"/>
  <c r="AD412" i="1"/>
  <c r="AE412" i="1"/>
  <c r="AA412" i="1"/>
  <c r="W414" i="1" l="1"/>
  <c r="Z414" i="1"/>
  <c r="S415" i="1"/>
  <c r="X414" i="1"/>
  <c r="U414" i="1"/>
  <c r="V414" i="1" s="1"/>
  <c r="T414" i="1"/>
  <c r="Y414" i="1"/>
  <c r="AH413" i="1"/>
  <c r="AD413" i="1"/>
  <c r="AF413" i="1"/>
  <c r="AB413" i="1"/>
  <c r="AG413" i="1"/>
  <c r="AC413" i="1"/>
  <c r="AA413" i="1"/>
  <c r="AE413" i="1"/>
  <c r="S416" i="1" l="1"/>
  <c r="Y415" i="1"/>
  <c r="U415" i="1"/>
  <c r="V415" i="1" s="1"/>
  <c r="X415" i="1"/>
  <c r="T415" i="1"/>
  <c r="Z415" i="1"/>
  <c r="W415" i="1"/>
  <c r="AF414" i="1"/>
  <c r="AB414" i="1"/>
  <c r="AC414" i="1"/>
  <c r="AG414" i="1"/>
  <c r="AH414" i="1"/>
  <c r="AD414" i="1"/>
  <c r="AE414" i="1"/>
  <c r="AA414" i="1"/>
  <c r="AF415" i="1" l="1"/>
  <c r="AB415" i="1"/>
  <c r="AA415" i="1"/>
  <c r="AE415" i="1"/>
  <c r="AH415" i="1"/>
  <c r="AD415" i="1"/>
  <c r="AG415" i="1"/>
  <c r="AC415" i="1"/>
  <c r="W416" i="1"/>
  <c r="Z416" i="1"/>
  <c r="S417" i="1"/>
  <c r="X416" i="1"/>
  <c r="U416" i="1"/>
  <c r="V416" i="1" s="1"/>
  <c r="T416" i="1"/>
  <c r="Y416" i="1"/>
  <c r="S418" i="1" l="1"/>
  <c r="Y417" i="1"/>
  <c r="U417" i="1"/>
  <c r="V417" i="1" s="1"/>
  <c r="X417" i="1"/>
  <c r="T417" i="1"/>
  <c r="Z417" i="1"/>
  <c r="W417" i="1"/>
  <c r="AH416" i="1"/>
  <c r="AD416" i="1"/>
  <c r="AF416" i="1"/>
  <c r="AB416" i="1"/>
  <c r="AC416" i="1"/>
  <c r="AG416" i="1"/>
  <c r="AE416" i="1"/>
  <c r="AA416" i="1"/>
  <c r="AF417" i="1" l="1"/>
  <c r="AB417" i="1"/>
  <c r="AA417" i="1"/>
  <c r="AE417" i="1"/>
  <c r="AH417" i="1"/>
  <c r="AD417" i="1"/>
  <c r="AG417" i="1"/>
  <c r="AC417" i="1"/>
  <c r="W418" i="1"/>
  <c r="Z418" i="1"/>
  <c r="S419" i="1"/>
  <c r="X418" i="1"/>
  <c r="U418" i="1"/>
  <c r="V418" i="1" s="1"/>
  <c r="T418" i="1"/>
  <c r="Y418" i="1"/>
  <c r="AC418" i="1" l="1"/>
  <c r="AG418" i="1"/>
  <c r="AF418" i="1"/>
  <c r="AB418" i="1"/>
  <c r="AH418" i="1"/>
  <c r="AD418" i="1"/>
  <c r="S420" i="1"/>
  <c r="Y419" i="1"/>
  <c r="U419" i="1"/>
  <c r="V419" i="1" s="1"/>
  <c r="X419" i="1"/>
  <c r="T419" i="1"/>
  <c r="Z419" i="1"/>
  <c r="W419" i="1"/>
  <c r="AE418" i="1"/>
  <c r="AA418" i="1"/>
  <c r="AH419" i="1" l="1"/>
  <c r="AD419" i="1"/>
  <c r="AG419" i="1"/>
  <c r="AC419" i="1"/>
  <c r="W420" i="1"/>
  <c r="Z420" i="1"/>
  <c r="S421" i="1"/>
  <c r="X420" i="1"/>
  <c r="U420" i="1"/>
  <c r="V420" i="1" s="1"/>
  <c r="T420" i="1"/>
  <c r="Y420" i="1"/>
  <c r="AF419" i="1"/>
  <c r="AB419" i="1"/>
  <c r="AA419" i="1"/>
  <c r="AE419" i="1"/>
  <c r="AF420" i="1" l="1"/>
  <c r="AB420" i="1"/>
  <c r="AC420" i="1"/>
  <c r="AG420" i="1"/>
  <c r="S422" i="1"/>
  <c r="Y421" i="1"/>
  <c r="U421" i="1"/>
  <c r="V421" i="1" s="1"/>
  <c r="X421" i="1"/>
  <c r="T421" i="1"/>
  <c r="W421" i="1"/>
  <c r="Z421" i="1"/>
  <c r="AH420" i="1"/>
  <c r="AD420" i="1"/>
  <c r="AE420" i="1"/>
  <c r="AA420" i="1"/>
  <c r="AF421" i="1" l="1"/>
  <c r="AB421" i="1"/>
  <c r="AH421" i="1"/>
  <c r="AD421" i="1"/>
  <c r="AE421" i="1"/>
  <c r="AA421" i="1"/>
  <c r="AG421" i="1"/>
  <c r="AC421" i="1"/>
  <c r="W422" i="1"/>
  <c r="Z422" i="1"/>
  <c r="S423" i="1"/>
  <c r="Y422" i="1"/>
  <c r="U422" i="1"/>
  <c r="V422" i="1" s="1"/>
  <c r="X422" i="1"/>
  <c r="T422" i="1"/>
  <c r="S424" i="1" l="1"/>
  <c r="Y423" i="1"/>
  <c r="U423" i="1"/>
  <c r="V423" i="1" s="1"/>
  <c r="X423" i="1"/>
  <c r="T423" i="1"/>
  <c r="W423" i="1"/>
  <c r="Z423" i="1"/>
  <c r="AG422" i="1"/>
  <c r="AC422" i="1"/>
  <c r="AB422" i="1"/>
  <c r="AF422" i="1"/>
  <c r="AH422" i="1"/>
  <c r="AD422" i="1"/>
  <c r="AE422" i="1"/>
  <c r="AA422" i="1"/>
  <c r="AF423" i="1" l="1"/>
  <c r="AB423" i="1"/>
  <c r="AH423" i="1"/>
  <c r="AD423" i="1"/>
  <c r="AE423" i="1"/>
  <c r="AA423" i="1"/>
  <c r="AG423" i="1"/>
  <c r="AC423" i="1"/>
  <c r="W424" i="1"/>
  <c r="Z424" i="1"/>
  <c r="S425" i="1"/>
  <c r="Y424" i="1"/>
  <c r="U424" i="1"/>
  <c r="V424" i="1" s="1"/>
  <c r="X424" i="1"/>
  <c r="T424" i="1"/>
  <c r="S426" i="1" l="1"/>
  <c r="Y425" i="1"/>
  <c r="U425" i="1"/>
  <c r="V425" i="1" s="1"/>
  <c r="X425" i="1"/>
  <c r="T425" i="1"/>
  <c r="W425" i="1"/>
  <c r="Z425" i="1"/>
  <c r="AB424" i="1"/>
  <c r="AF424" i="1"/>
  <c r="AH424" i="1"/>
  <c r="AD424" i="1"/>
  <c r="AG424" i="1"/>
  <c r="AC424" i="1"/>
  <c r="AE424" i="1"/>
  <c r="AA424" i="1"/>
  <c r="AH425" i="1" l="1"/>
  <c r="AD425" i="1"/>
  <c r="AE425" i="1"/>
  <c r="AA425" i="1"/>
  <c r="AG425" i="1"/>
  <c r="AC425" i="1"/>
  <c r="AF425" i="1"/>
  <c r="AB425" i="1"/>
  <c r="W426" i="1"/>
  <c r="Z426" i="1"/>
  <c r="S427" i="1"/>
  <c r="Y426" i="1"/>
  <c r="U426" i="1"/>
  <c r="V426" i="1" s="1"/>
  <c r="X426" i="1"/>
  <c r="T426" i="1"/>
  <c r="S428" i="1" l="1"/>
  <c r="Y427" i="1"/>
  <c r="U427" i="1"/>
  <c r="V427" i="1" s="1"/>
  <c r="X427" i="1"/>
  <c r="T427" i="1"/>
  <c r="W427" i="1"/>
  <c r="Z427" i="1"/>
  <c r="AB426" i="1"/>
  <c r="AF426" i="1"/>
  <c r="AH426" i="1"/>
  <c r="AD426" i="1"/>
  <c r="AG426" i="1"/>
  <c r="AC426" i="1"/>
  <c r="AE426" i="1"/>
  <c r="AA426" i="1"/>
  <c r="AF427" i="1" l="1"/>
  <c r="AB427" i="1"/>
  <c r="AH427" i="1"/>
  <c r="AD427" i="1"/>
  <c r="AE427" i="1"/>
  <c r="AA427" i="1"/>
  <c r="AG427" i="1"/>
  <c r="AC427" i="1"/>
  <c r="W428" i="1"/>
  <c r="Z428" i="1"/>
  <c r="S429" i="1"/>
  <c r="Y428" i="1"/>
  <c r="U428" i="1"/>
  <c r="V428" i="1" s="1"/>
  <c r="X428" i="1"/>
  <c r="T428" i="1"/>
  <c r="S430" i="1" l="1"/>
  <c r="Y429" i="1"/>
  <c r="U429" i="1"/>
  <c r="V429" i="1" s="1"/>
  <c r="X429" i="1"/>
  <c r="T429" i="1"/>
  <c r="W429" i="1"/>
  <c r="Z429" i="1"/>
  <c r="AB428" i="1"/>
  <c r="AF428" i="1"/>
  <c r="AH428" i="1"/>
  <c r="AD428" i="1"/>
  <c r="AG428" i="1"/>
  <c r="AC428" i="1"/>
  <c r="AE428" i="1"/>
  <c r="AA428" i="1"/>
  <c r="AF429" i="1" l="1"/>
  <c r="AB429" i="1"/>
  <c r="AH429" i="1"/>
  <c r="AD429" i="1"/>
  <c r="AE429" i="1"/>
  <c r="AA429" i="1"/>
  <c r="AG429" i="1"/>
  <c r="AC429" i="1"/>
  <c r="W430" i="1"/>
  <c r="Z430" i="1"/>
  <c r="S431" i="1"/>
  <c r="Y430" i="1"/>
  <c r="U430" i="1"/>
  <c r="V430" i="1" s="1"/>
  <c r="X430" i="1"/>
  <c r="T430" i="1"/>
  <c r="S432" i="1" l="1"/>
  <c r="Y431" i="1"/>
  <c r="U431" i="1"/>
  <c r="V431" i="1" s="1"/>
  <c r="X431" i="1"/>
  <c r="T431" i="1"/>
  <c r="W431" i="1"/>
  <c r="Z431" i="1"/>
  <c r="AG430" i="1"/>
  <c r="AC430" i="1"/>
  <c r="AB430" i="1"/>
  <c r="AF430" i="1"/>
  <c r="AH430" i="1"/>
  <c r="AD430" i="1"/>
  <c r="AE430" i="1"/>
  <c r="AA430" i="1"/>
  <c r="AF431" i="1" l="1"/>
  <c r="AB431" i="1"/>
  <c r="AH431" i="1"/>
  <c r="AD431" i="1"/>
  <c r="AE431" i="1"/>
  <c r="AA431" i="1"/>
  <c r="AG431" i="1"/>
  <c r="AC431" i="1"/>
  <c r="W432" i="1"/>
  <c r="Z432" i="1"/>
  <c r="S433" i="1"/>
  <c r="Y432" i="1"/>
  <c r="U432" i="1"/>
  <c r="V432" i="1" s="1"/>
  <c r="X432" i="1"/>
  <c r="T432" i="1"/>
  <c r="S434" i="1" l="1"/>
  <c r="Y433" i="1"/>
  <c r="U433" i="1"/>
  <c r="V433" i="1" s="1"/>
  <c r="X433" i="1"/>
  <c r="T433" i="1"/>
  <c r="W433" i="1"/>
  <c r="Z433" i="1"/>
  <c r="AG432" i="1"/>
  <c r="AC432" i="1"/>
  <c r="AB432" i="1"/>
  <c r="AF432" i="1"/>
  <c r="AH432" i="1"/>
  <c r="AD432" i="1"/>
  <c r="AE432" i="1"/>
  <c r="AA432" i="1"/>
  <c r="AF433" i="1" l="1"/>
  <c r="AB433" i="1"/>
  <c r="AH433" i="1"/>
  <c r="AD433" i="1"/>
  <c r="AE433" i="1"/>
  <c r="AA433" i="1"/>
  <c r="AG433" i="1"/>
  <c r="AC433" i="1"/>
  <c r="W434" i="1"/>
  <c r="Z434" i="1"/>
  <c r="S435" i="1"/>
  <c r="Y434" i="1"/>
  <c r="U434" i="1"/>
  <c r="V434" i="1" s="1"/>
  <c r="X434" i="1"/>
  <c r="T434" i="1"/>
  <c r="AG434" i="1" l="1"/>
  <c r="AC434" i="1"/>
  <c r="S436" i="1"/>
  <c r="Y435" i="1"/>
  <c r="U435" i="1"/>
  <c r="V435" i="1" s="1"/>
  <c r="X435" i="1"/>
  <c r="T435" i="1"/>
  <c r="W435" i="1"/>
  <c r="Z435" i="1"/>
  <c r="AB434" i="1"/>
  <c r="AF434" i="1"/>
  <c r="AH434" i="1"/>
  <c r="AD434" i="1"/>
  <c r="AE434" i="1"/>
  <c r="AA434" i="1"/>
  <c r="W436" i="1" l="1"/>
  <c r="Z436" i="1"/>
  <c r="S437" i="1"/>
  <c r="Y436" i="1"/>
  <c r="U436" i="1"/>
  <c r="V436" i="1" s="1"/>
  <c r="X436" i="1"/>
  <c r="T436" i="1"/>
  <c r="AE435" i="1"/>
  <c r="AA435" i="1"/>
  <c r="AG435" i="1"/>
  <c r="AC435" i="1"/>
  <c r="AF435" i="1"/>
  <c r="AB435" i="1"/>
  <c r="AH435" i="1"/>
  <c r="AD435" i="1"/>
  <c r="S438" i="1" l="1"/>
  <c r="Y437" i="1"/>
  <c r="U437" i="1"/>
  <c r="V437" i="1" s="1"/>
  <c r="X437" i="1"/>
  <c r="T437" i="1"/>
  <c r="W437" i="1"/>
  <c r="Z437" i="1"/>
  <c r="AG436" i="1"/>
  <c r="AC436" i="1"/>
  <c r="AB436" i="1"/>
  <c r="AF436" i="1"/>
  <c r="AH436" i="1"/>
  <c r="AD436" i="1"/>
  <c r="AE436" i="1"/>
  <c r="AA436" i="1"/>
  <c r="AF437" i="1" l="1"/>
  <c r="AB437" i="1"/>
  <c r="AH437" i="1"/>
  <c r="AD437" i="1"/>
  <c r="AE437" i="1"/>
  <c r="AA437" i="1"/>
  <c r="AG437" i="1"/>
  <c r="AC437" i="1"/>
  <c r="W438" i="1"/>
  <c r="Z438" i="1"/>
  <c r="S439" i="1"/>
  <c r="Y438" i="1"/>
  <c r="U438" i="1"/>
  <c r="V438" i="1" s="1"/>
  <c r="X438" i="1"/>
  <c r="T438" i="1"/>
  <c r="S440" i="1" l="1"/>
  <c r="Y439" i="1"/>
  <c r="U439" i="1"/>
  <c r="V439" i="1" s="1"/>
  <c r="X439" i="1"/>
  <c r="T439" i="1"/>
  <c r="W439" i="1"/>
  <c r="Z439" i="1"/>
  <c r="AG438" i="1"/>
  <c r="AC438" i="1"/>
  <c r="AB438" i="1"/>
  <c r="AF438" i="1"/>
  <c r="AH438" i="1"/>
  <c r="AD438" i="1"/>
  <c r="AE438" i="1"/>
  <c r="AA438" i="1"/>
  <c r="AH439" i="1" l="1"/>
  <c r="AD439" i="1"/>
  <c r="AF439" i="1"/>
  <c r="AB439" i="1"/>
  <c r="AE439" i="1"/>
  <c r="AA439" i="1"/>
  <c r="AG439" i="1"/>
  <c r="AC439" i="1"/>
  <c r="W440" i="1"/>
  <c r="Z440" i="1"/>
  <c r="S441" i="1"/>
  <c r="Y440" i="1"/>
  <c r="U440" i="1"/>
  <c r="V440" i="1" s="1"/>
  <c r="X440" i="1"/>
  <c r="T440" i="1"/>
  <c r="Y441" i="1" l="1"/>
  <c r="U441" i="1"/>
  <c r="V441" i="1" s="1"/>
  <c r="X441" i="1"/>
  <c r="T441" i="1"/>
  <c r="S442" i="1"/>
  <c r="W441" i="1"/>
  <c r="Z441" i="1"/>
  <c r="AB440" i="1"/>
  <c r="AF440" i="1"/>
  <c r="AH440" i="1"/>
  <c r="AD440" i="1"/>
  <c r="AG440" i="1"/>
  <c r="AC440" i="1"/>
  <c r="AE440" i="1"/>
  <c r="AA440" i="1"/>
  <c r="AD441" i="1" l="1"/>
  <c r="AH441" i="1"/>
  <c r="AF441" i="1"/>
  <c r="AB441" i="1"/>
  <c r="AA441" i="1"/>
  <c r="AE441" i="1"/>
  <c r="Z442" i="1"/>
  <c r="S443" i="1"/>
  <c r="Y442" i="1"/>
  <c r="U442" i="1"/>
  <c r="V442" i="1" s="1"/>
  <c r="T442" i="1"/>
  <c r="X442" i="1"/>
  <c r="W442" i="1"/>
  <c r="AC441" i="1"/>
  <c r="AG441" i="1"/>
  <c r="AH442" i="1" l="1"/>
  <c r="AD442" i="1"/>
  <c r="AB442" i="1"/>
  <c r="AF442" i="1"/>
  <c r="X443" i="1"/>
  <c r="T443" i="1"/>
  <c r="W443" i="1"/>
  <c r="Z443" i="1"/>
  <c r="S444" i="1"/>
  <c r="Y443" i="1"/>
  <c r="U443" i="1"/>
  <c r="V443" i="1" s="1"/>
  <c r="AA442" i="1"/>
  <c r="AE442" i="1"/>
  <c r="AG442" i="1"/>
  <c r="AC442" i="1"/>
  <c r="AE443" i="1" l="1"/>
  <c r="AA443" i="1"/>
  <c r="AH443" i="1"/>
  <c r="AD443" i="1"/>
  <c r="AG443" i="1"/>
  <c r="AC443" i="1"/>
  <c r="Z444" i="1"/>
  <c r="S445" i="1"/>
  <c r="Y444" i="1"/>
  <c r="U444" i="1"/>
  <c r="V444" i="1" s="1"/>
  <c r="T444" i="1"/>
  <c r="X444" i="1"/>
  <c r="W444" i="1"/>
  <c r="AF443" i="1"/>
  <c r="AB443" i="1"/>
  <c r="X445" i="1" l="1"/>
  <c r="T445" i="1"/>
  <c r="W445" i="1"/>
  <c r="Z445" i="1"/>
  <c r="S446" i="1"/>
  <c r="Y445" i="1"/>
  <c r="U445" i="1"/>
  <c r="V445" i="1" s="1"/>
  <c r="AB444" i="1"/>
  <c r="AF444" i="1"/>
  <c r="AH444" i="1"/>
  <c r="AD444" i="1"/>
  <c r="AA444" i="1"/>
  <c r="AE444" i="1"/>
  <c r="AG444" i="1"/>
  <c r="AC444" i="1"/>
  <c r="AE445" i="1" l="1"/>
  <c r="AA445" i="1"/>
  <c r="AG445" i="1"/>
  <c r="AC445" i="1"/>
  <c r="AH445" i="1"/>
  <c r="AD445" i="1"/>
  <c r="Z446" i="1"/>
  <c r="S447" i="1"/>
  <c r="Y446" i="1"/>
  <c r="U446" i="1"/>
  <c r="V446" i="1" s="1"/>
  <c r="T446" i="1"/>
  <c r="X446" i="1"/>
  <c r="W446" i="1"/>
  <c r="AF445" i="1"/>
  <c r="AB445" i="1"/>
  <c r="X447" i="1" l="1"/>
  <c r="T447" i="1"/>
  <c r="W447" i="1"/>
  <c r="Z447" i="1"/>
  <c r="Y447" i="1"/>
  <c r="S448" i="1"/>
  <c r="U447" i="1"/>
  <c r="V447" i="1" s="1"/>
  <c r="AH446" i="1"/>
  <c r="AD446" i="1"/>
  <c r="AB446" i="1"/>
  <c r="AF446" i="1"/>
  <c r="AA446" i="1"/>
  <c r="AE446" i="1"/>
  <c r="AG446" i="1"/>
  <c r="AC446" i="1"/>
  <c r="AE447" i="1" l="1"/>
  <c r="AA447" i="1"/>
  <c r="Z448" i="1"/>
  <c r="S449" i="1"/>
  <c r="Y448" i="1"/>
  <c r="U448" i="1"/>
  <c r="V448" i="1" s="1"/>
  <c r="X448" i="1"/>
  <c r="T448" i="1"/>
  <c r="W448" i="1"/>
  <c r="AH447" i="1"/>
  <c r="AD447" i="1"/>
  <c r="AG447" i="1"/>
  <c r="AC447" i="1"/>
  <c r="AF447" i="1"/>
  <c r="AB447" i="1"/>
  <c r="AF448" i="1" l="1"/>
  <c r="AB448" i="1"/>
  <c r="AH448" i="1"/>
  <c r="AD448" i="1"/>
  <c r="X449" i="1"/>
  <c r="T449" i="1"/>
  <c r="W449" i="1"/>
  <c r="Z449" i="1"/>
  <c r="U449" i="1"/>
  <c r="V449" i="1" s="1"/>
  <c r="S450" i="1"/>
  <c r="Y449" i="1"/>
  <c r="AA448" i="1"/>
  <c r="AE448" i="1"/>
  <c r="AG448" i="1"/>
  <c r="AC448" i="1"/>
  <c r="AG449" i="1" l="1"/>
  <c r="AC449" i="1"/>
  <c r="AE449" i="1"/>
  <c r="AA449" i="1"/>
  <c r="Z450" i="1"/>
  <c r="S451" i="1"/>
  <c r="Y450" i="1"/>
  <c r="U450" i="1"/>
  <c r="V450" i="1" s="1"/>
  <c r="X450" i="1"/>
  <c r="T450" i="1"/>
  <c r="W450" i="1"/>
  <c r="AH449" i="1"/>
  <c r="AD449" i="1"/>
  <c r="AF449" i="1"/>
  <c r="AB449" i="1"/>
  <c r="AA450" i="1" l="1"/>
  <c r="AE450" i="1"/>
  <c r="AG450" i="1"/>
  <c r="AC450" i="1"/>
  <c r="X451" i="1"/>
  <c r="T451" i="1"/>
  <c r="W451" i="1"/>
  <c r="Z451" i="1"/>
  <c r="U451" i="1"/>
  <c r="V451" i="1" s="1"/>
  <c r="S452" i="1"/>
  <c r="Y451" i="1"/>
  <c r="AF450" i="1"/>
  <c r="AB450" i="1"/>
  <c r="AH450" i="1"/>
  <c r="AD450" i="1"/>
  <c r="AH451" i="1" l="1"/>
  <c r="AD451" i="1"/>
  <c r="AG451" i="1"/>
  <c r="AC451" i="1"/>
  <c r="AE451" i="1"/>
  <c r="AA451" i="1"/>
  <c r="Z452" i="1"/>
  <c r="S453" i="1"/>
  <c r="Y452" i="1"/>
  <c r="U452" i="1"/>
  <c r="V452" i="1" s="1"/>
  <c r="X452" i="1"/>
  <c r="T452" i="1"/>
  <c r="W452" i="1"/>
  <c r="AF451" i="1"/>
  <c r="AB451" i="1"/>
  <c r="X453" i="1" l="1"/>
  <c r="T453" i="1"/>
  <c r="W453" i="1"/>
  <c r="Z453" i="1"/>
  <c r="U453" i="1"/>
  <c r="V453" i="1" s="1"/>
  <c r="S454" i="1"/>
  <c r="Y453" i="1"/>
  <c r="AF452" i="1"/>
  <c r="AB452" i="1"/>
  <c r="AH452" i="1"/>
  <c r="AD452" i="1"/>
  <c r="AA452" i="1"/>
  <c r="AE452" i="1"/>
  <c r="AG452" i="1"/>
  <c r="AC452" i="1"/>
  <c r="AH453" i="1" l="1"/>
  <c r="AD453" i="1"/>
  <c r="AG453" i="1"/>
  <c r="AC453" i="1"/>
  <c r="AE453" i="1"/>
  <c r="AA453" i="1"/>
  <c r="Z454" i="1"/>
  <c r="S455" i="1"/>
  <c r="Y454" i="1"/>
  <c r="U454" i="1"/>
  <c r="V454" i="1" s="1"/>
  <c r="X454" i="1"/>
  <c r="T454" i="1"/>
  <c r="W454" i="1"/>
  <c r="AF453" i="1"/>
  <c r="AB453" i="1"/>
  <c r="AH454" i="1" l="1"/>
  <c r="AD454" i="1"/>
  <c r="X455" i="1"/>
  <c r="T455" i="1"/>
  <c r="W455" i="1"/>
  <c r="Z455" i="1"/>
  <c r="U455" i="1"/>
  <c r="V455" i="1" s="1"/>
  <c r="S456" i="1"/>
  <c r="Y455" i="1"/>
  <c r="AF454" i="1"/>
  <c r="AB454" i="1"/>
  <c r="AA454" i="1"/>
  <c r="AE454" i="1"/>
  <c r="AG454" i="1"/>
  <c r="AC454" i="1"/>
  <c r="Z456" i="1" l="1"/>
  <c r="S457" i="1"/>
  <c r="Y456" i="1"/>
  <c r="U456" i="1"/>
  <c r="V456" i="1" s="1"/>
  <c r="X456" i="1"/>
  <c r="T456" i="1"/>
  <c r="W456" i="1"/>
  <c r="AF455" i="1"/>
  <c r="AB455" i="1"/>
  <c r="AH455" i="1"/>
  <c r="AD455" i="1"/>
  <c r="AG455" i="1"/>
  <c r="AC455" i="1"/>
  <c r="AE455" i="1"/>
  <c r="AA455" i="1"/>
  <c r="AA456" i="1" l="1"/>
  <c r="AE456" i="1"/>
  <c r="AG456" i="1"/>
  <c r="AC456" i="1"/>
  <c r="X457" i="1"/>
  <c r="T457" i="1"/>
  <c r="W457" i="1"/>
  <c r="Z457" i="1"/>
  <c r="U457" i="1"/>
  <c r="V457" i="1" s="1"/>
  <c r="S458" i="1"/>
  <c r="Y457" i="1"/>
  <c r="AF456" i="1"/>
  <c r="AB456" i="1"/>
  <c r="AH456" i="1"/>
  <c r="AD456" i="1"/>
  <c r="AE457" i="1" l="1"/>
  <c r="AA457" i="1"/>
  <c r="Z458" i="1"/>
  <c r="S459" i="1"/>
  <c r="Y458" i="1"/>
  <c r="U458" i="1"/>
  <c r="V458" i="1" s="1"/>
  <c r="X458" i="1"/>
  <c r="T458" i="1"/>
  <c r="W458" i="1"/>
  <c r="AH457" i="1"/>
  <c r="AD457" i="1"/>
  <c r="AG457" i="1"/>
  <c r="AC457" i="1"/>
  <c r="AF457" i="1"/>
  <c r="AB457" i="1"/>
  <c r="AF458" i="1" l="1"/>
  <c r="AB458" i="1"/>
  <c r="AH458" i="1"/>
  <c r="AD458" i="1"/>
  <c r="X459" i="1"/>
  <c r="T459" i="1"/>
  <c r="W459" i="1"/>
  <c r="Z459" i="1"/>
  <c r="U459" i="1"/>
  <c r="V459" i="1" s="1"/>
  <c r="S460" i="1"/>
  <c r="Y459" i="1"/>
  <c r="AA458" i="1"/>
  <c r="AE458" i="1"/>
  <c r="AG458" i="1"/>
  <c r="AC458" i="1"/>
  <c r="AE459" i="1" l="1"/>
  <c r="AA459" i="1"/>
  <c r="Z460" i="1"/>
  <c r="S461" i="1"/>
  <c r="Y460" i="1"/>
  <c r="U460" i="1"/>
  <c r="V460" i="1" s="1"/>
  <c r="X460" i="1"/>
  <c r="T460" i="1"/>
  <c r="W460" i="1"/>
  <c r="AH459" i="1"/>
  <c r="AD459" i="1"/>
  <c r="AG459" i="1"/>
  <c r="AC459" i="1"/>
  <c r="AF459" i="1"/>
  <c r="AB459" i="1"/>
  <c r="AF460" i="1" l="1"/>
  <c r="AB460" i="1"/>
  <c r="AH460" i="1"/>
  <c r="AD460" i="1"/>
  <c r="X461" i="1"/>
  <c r="T461" i="1"/>
  <c r="W461" i="1"/>
  <c r="Z461" i="1"/>
  <c r="U461" i="1"/>
  <c r="V461" i="1" s="1"/>
  <c r="S462" i="1"/>
  <c r="Y461" i="1"/>
  <c r="AA460" i="1"/>
  <c r="AE460" i="1"/>
  <c r="AG460" i="1"/>
  <c r="AC460" i="1"/>
  <c r="AE461" i="1" l="1"/>
  <c r="AA461" i="1"/>
  <c r="AH461" i="1"/>
  <c r="AD461" i="1"/>
  <c r="AG461" i="1"/>
  <c r="AC461" i="1"/>
  <c r="Z462" i="1"/>
  <c r="S463" i="1"/>
  <c r="Y462" i="1"/>
  <c r="U462" i="1"/>
  <c r="V462" i="1" s="1"/>
  <c r="X462" i="1"/>
  <c r="T462" i="1"/>
  <c r="W462" i="1"/>
  <c r="AF461" i="1"/>
  <c r="AB461" i="1"/>
  <c r="X463" i="1" l="1"/>
  <c r="T463" i="1"/>
  <c r="W463" i="1"/>
  <c r="Z463" i="1"/>
  <c r="U463" i="1"/>
  <c r="V463" i="1" s="1"/>
  <c r="S464" i="1"/>
  <c r="Y463" i="1"/>
  <c r="AF462" i="1"/>
  <c r="AB462" i="1"/>
  <c r="AH462" i="1"/>
  <c r="AD462" i="1"/>
  <c r="AA462" i="1"/>
  <c r="AE462" i="1"/>
  <c r="AG462" i="1"/>
  <c r="AC462" i="1"/>
  <c r="Z464" i="1" l="1"/>
  <c r="S465" i="1"/>
  <c r="Y464" i="1"/>
  <c r="U464" i="1"/>
  <c r="V464" i="1" s="1"/>
  <c r="X464" i="1"/>
  <c r="T464" i="1"/>
  <c r="W464" i="1"/>
  <c r="AH463" i="1"/>
  <c r="AD463" i="1"/>
  <c r="AG463" i="1"/>
  <c r="AC463" i="1"/>
  <c r="AE463" i="1"/>
  <c r="AA463" i="1"/>
  <c r="AF463" i="1"/>
  <c r="AB463" i="1"/>
  <c r="X465" i="1" l="1"/>
  <c r="T465" i="1"/>
  <c r="W465" i="1"/>
  <c r="Z465" i="1"/>
  <c r="U465" i="1"/>
  <c r="V465" i="1" s="1"/>
  <c r="S466" i="1"/>
  <c r="Y465" i="1"/>
  <c r="AA464" i="1"/>
  <c r="AE464" i="1"/>
  <c r="AG464" i="1"/>
  <c r="AC464" i="1"/>
  <c r="AF464" i="1"/>
  <c r="AB464" i="1"/>
  <c r="AH464" i="1"/>
  <c r="AD464" i="1"/>
  <c r="Z466" i="1" l="1"/>
  <c r="S467" i="1"/>
  <c r="Y466" i="1"/>
  <c r="U466" i="1"/>
  <c r="V466" i="1" s="1"/>
  <c r="X466" i="1"/>
  <c r="T466" i="1"/>
  <c r="W466" i="1"/>
  <c r="AH465" i="1"/>
  <c r="AD465" i="1"/>
  <c r="AG465" i="1"/>
  <c r="AC465" i="1"/>
  <c r="AE465" i="1"/>
  <c r="AA465" i="1"/>
  <c r="AF465" i="1"/>
  <c r="AB465" i="1"/>
  <c r="X467" i="1" l="1"/>
  <c r="T467" i="1"/>
  <c r="W467" i="1"/>
  <c r="Z467" i="1"/>
  <c r="U467" i="1"/>
  <c r="V467" i="1" s="1"/>
  <c r="S468" i="1"/>
  <c r="Y467" i="1"/>
  <c r="AA466" i="1"/>
  <c r="AE466" i="1"/>
  <c r="AG466" i="1"/>
  <c r="AC466" i="1"/>
  <c r="AF466" i="1"/>
  <c r="AB466" i="1"/>
  <c r="AH466" i="1"/>
  <c r="AD466" i="1"/>
  <c r="AH467" i="1" l="1"/>
  <c r="AD467" i="1"/>
  <c r="Z468" i="1"/>
  <c r="S469" i="1"/>
  <c r="Y468" i="1"/>
  <c r="U468" i="1"/>
  <c r="V468" i="1" s="1"/>
  <c r="X468" i="1"/>
  <c r="T468" i="1"/>
  <c r="W468" i="1"/>
  <c r="AG467" i="1"/>
  <c r="AC467" i="1"/>
  <c r="AE467" i="1"/>
  <c r="AA467" i="1"/>
  <c r="AF467" i="1"/>
  <c r="AB467" i="1"/>
  <c r="X469" i="1" l="1"/>
  <c r="T469" i="1"/>
  <c r="W469" i="1"/>
  <c r="Z469" i="1"/>
  <c r="U469" i="1"/>
  <c r="V469" i="1" s="1"/>
  <c r="S470" i="1"/>
  <c r="Y469" i="1"/>
  <c r="AF468" i="1"/>
  <c r="AB468" i="1"/>
  <c r="AH468" i="1"/>
  <c r="AD468" i="1"/>
  <c r="AA468" i="1"/>
  <c r="AE468" i="1"/>
  <c r="AG468" i="1"/>
  <c r="AC468" i="1"/>
  <c r="AH469" i="1" l="1"/>
  <c r="AD469" i="1"/>
  <c r="AG469" i="1"/>
  <c r="AC469" i="1"/>
  <c r="AE469" i="1"/>
  <c r="AA469" i="1"/>
  <c r="Z470" i="1"/>
  <c r="S471" i="1"/>
  <c r="Y470" i="1"/>
  <c r="U470" i="1"/>
  <c r="V470" i="1" s="1"/>
  <c r="X470" i="1"/>
  <c r="T470" i="1"/>
  <c r="W470" i="1"/>
  <c r="AF469" i="1"/>
  <c r="AB469" i="1"/>
  <c r="AF470" i="1" l="1"/>
  <c r="AB470" i="1"/>
  <c r="AH470" i="1"/>
  <c r="AD470" i="1"/>
  <c r="AA470" i="1"/>
  <c r="AE470" i="1"/>
  <c r="AG470" i="1"/>
  <c r="AC470" i="1"/>
  <c r="X471" i="1"/>
  <c r="T471" i="1"/>
  <c r="W471" i="1"/>
  <c r="Z471" i="1"/>
  <c r="U471" i="1"/>
  <c r="V471" i="1" s="1"/>
  <c r="S472" i="1"/>
  <c r="Y471" i="1"/>
  <c r="AH471" i="1" l="1"/>
  <c r="AD471" i="1"/>
  <c r="AG471" i="1"/>
  <c r="AC471" i="1"/>
  <c r="AE471" i="1"/>
  <c r="AA471" i="1"/>
  <c r="Z472" i="1"/>
  <c r="S473" i="1"/>
  <c r="Y472" i="1"/>
  <c r="U472" i="1"/>
  <c r="V472" i="1" s="1"/>
  <c r="X472" i="1"/>
  <c r="T472" i="1"/>
  <c r="W472" i="1"/>
  <c r="AF471" i="1"/>
  <c r="AB471" i="1"/>
  <c r="AF472" i="1" l="1"/>
  <c r="AB472" i="1"/>
  <c r="AH472" i="1"/>
  <c r="AD472" i="1"/>
  <c r="AA472" i="1"/>
  <c r="AE472" i="1"/>
  <c r="AG472" i="1"/>
  <c r="AC472" i="1"/>
  <c r="X473" i="1"/>
  <c r="T473" i="1"/>
  <c r="W473" i="1"/>
  <c r="Z473" i="1"/>
  <c r="U473" i="1"/>
  <c r="V473" i="1" s="1"/>
  <c r="S474" i="1"/>
  <c r="Y473" i="1"/>
  <c r="Z474" i="1" l="1"/>
  <c r="S475" i="1"/>
  <c r="Y474" i="1"/>
  <c r="U474" i="1"/>
  <c r="V474" i="1" s="1"/>
  <c r="X474" i="1"/>
  <c r="T474" i="1"/>
  <c r="W474" i="1"/>
  <c r="AF473" i="1"/>
  <c r="AB473" i="1"/>
  <c r="AH473" i="1"/>
  <c r="AD473" i="1"/>
  <c r="AG473" i="1"/>
  <c r="AC473" i="1"/>
  <c r="AE473" i="1"/>
  <c r="AA473" i="1"/>
  <c r="AA474" i="1" l="1"/>
  <c r="AE474" i="1"/>
  <c r="AG474" i="1"/>
  <c r="AC474" i="1"/>
  <c r="X475" i="1"/>
  <c r="T475" i="1"/>
  <c r="W475" i="1"/>
  <c r="Z475" i="1"/>
  <c r="U475" i="1"/>
  <c r="V475" i="1" s="1"/>
  <c r="S476" i="1"/>
  <c r="Y475" i="1"/>
  <c r="AF474" i="1"/>
  <c r="AB474" i="1"/>
  <c r="AH474" i="1"/>
  <c r="AD474" i="1"/>
  <c r="AG475" i="1" l="1"/>
  <c r="AC475" i="1"/>
  <c r="AE475" i="1"/>
  <c r="AA475" i="1"/>
  <c r="S477" i="1"/>
  <c r="Y476" i="1"/>
  <c r="U476" i="1"/>
  <c r="V476" i="1" s="1"/>
  <c r="W476" i="1"/>
  <c r="Z476" i="1"/>
  <c r="T476" i="1"/>
  <c r="X476" i="1"/>
  <c r="AH475" i="1"/>
  <c r="AD475" i="1"/>
  <c r="AF475" i="1"/>
  <c r="AB475" i="1"/>
  <c r="AA476" i="1" l="1"/>
  <c r="AE476" i="1"/>
  <c r="AB476" i="1"/>
  <c r="AF476" i="1"/>
  <c r="AG476" i="1"/>
  <c r="AC476" i="1"/>
  <c r="AH476" i="1"/>
  <c r="AD476" i="1"/>
  <c r="X477" i="1"/>
  <c r="W477" i="1"/>
  <c r="U477" i="1"/>
  <c r="V477" i="1" s="1"/>
  <c r="Z477" i="1"/>
  <c r="T477" i="1"/>
  <c r="S478" i="1"/>
  <c r="Y477" i="1"/>
  <c r="AC477" i="1" l="1"/>
  <c r="AG477" i="1"/>
  <c r="Z478" i="1"/>
  <c r="S479" i="1"/>
  <c r="Y478" i="1"/>
  <c r="U478" i="1"/>
  <c r="V478" i="1" s="1"/>
  <c r="W478" i="1"/>
  <c r="T478" i="1"/>
  <c r="X478" i="1"/>
  <c r="AE477" i="1"/>
  <c r="AA477" i="1"/>
  <c r="AH477" i="1"/>
  <c r="AD477" i="1"/>
  <c r="AF477" i="1"/>
  <c r="AB477" i="1"/>
  <c r="X479" i="1" l="1"/>
  <c r="T479" i="1"/>
  <c r="W479" i="1"/>
  <c r="U479" i="1"/>
  <c r="V479" i="1" s="1"/>
  <c r="Z479" i="1"/>
  <c r="S480" i="1"/>
  <c r="Y479" i="1"/>
  <c r="AE478" i="1"/>
  <c r="AA478" i="1"/>
  <c r="AH478" i="1"/>
  <c r="AD478" i="1"/>
  <c r="AB478" i="1"/>
  <c r="AF478" i="1"/>
  <c r="AG478" i="1"/>
  <c r="AC478" i="1"/>
  <c r="AC479" i="1" l="1"/>
  <c r="AG479" i="1"/>
  <c r="AE479" i="1"/>
  <c r="AA479" i="1"/>
  <c r="Z480" i="1"/>
  <c r="S481" i="1"/>
  <c r="Y480" i="1"/>
  <c r="U480" i="1"/>
  <c r="V480" i="1" s="1"/>
  <c r="W480" i="1"/>
  <c r="T480" i="1"/>
  <c r="X480" i="1"/>
  <c r="AH479" i="1"/>
  <c r="AD479" i="1"/>
  <c r="AF479" i="1"/>
  <c r="AB479" i="1"/>
  <c r="AG480" i="1" l="1"/>
  <c r="AC480" i="1"/>
  <c r="X481" i="1"/>
  <c r="T481" i="1"/>
  <c r="W481" i="1"/>
  <c r="Z481" i="1"/>
  <c r="Y481" i="1"/>
  <c r="U481" i="1"/>
  <c r="V481" i="1" s="1"/>
  <c r="S482" i="1"/>
  <c r="AF480" i="1"/>
  <c r="AB480" i="1"/>
  <c r="AE480" i="1"/>
  <c r="AA480" i="1"/>
  <c r="AH480" i="1"/>
  <c r="AD480" i="1"/>
  <c r="AG481" i="1" l="1"/>
  <c r="AC481" i="1"/>
  <c r="AF481" i="1"/>
  <c r="AB481" i="1"/>
  <c r="AH481" i="1"/>
  <c r="AD481" i="1"/>
  <c r="Z482" i="1"/>
  <c r="S483" i="1"/>
  <c r="Y482" i="1"/>
  <c r="U482" i="1"/>
  <c r="V482" i="1" s="1"/>
  <c r="X482" i="1"/>
  <c r="T482" i="1"/>
  <c r="W482" i="1"/>
  <c r="AE481" i="1"/>
  <c r="AA481" i="1"/>
  <c r="X483" i="1" l="1"/>
  <c r="T483" i="1"/>
  <c r="W483" i="1"/>
  <c r="Z483" i="1"/>
  <c r="Y483" i="1"/>
  <c r="U483" i="1"/>
  <c r="V483" i="1" s="1"/>
  <c r="S484" i="1"/>
  <c r="AF482" i="1"/>
  <c r="AB482" i="1"/>
  <c r="AH482" i="1"/>
  <c r="AD482" i="1"/>
  <c r="AE482" i="1"/>
  <c r="AA482" i="1"/>
  <c r="AG482" i="1"/>
  <c r="AC482" i="1"/>
  <c r="Z484" i="1" l="1"/>
  <c r="S485" i="1"/>
  <c r="Y484" i="1"/>
  <c r="U484" i="1"/>
  <c r="V484" i="1" s="1"/>
  <c r="X484" i="1"/>
  <c r="T484" i="1"/>
  <c r="W484" i="1"/>
  <c r="AH483" i="1"/>
  <c r="AD483" i="1"/>
  <c r="AE483" i="1"/>
  <c r="AA483" i="1"/>
  <c r="AG483" i="1"/>
  <c r="AC483" i="1"/>
  <c r="AF483" i="1"/>
  <c r="AB483" i="1"/>
  <c r="AE484" i="1" l="1"/>
  <c r="AA484" i="1"/>
  <c r="X485" i="1"/>
  <c r="T485" i="1"/>
  <c r="W485" i="1"/>
  <c r="Z485" i="1"/>
  <c r="Y485" i="1"/>
  <c r="U485" i="1"/>
  <c r="V485" i="1" s="1"/>
  <c r="S486" i="1"/>
  <c r="AG484" i="1"/>
  <c r="AC484" i="1"/>
  <c r="AF484" i="1"/>
  <c r="AB484" i="1"/>
  <c r="AH484" i="1"/>
  <c r="AD484" i="1"/>
  <c r="AG485" i="1" l="1"/>
  <c r="AC485" i="1"/>
  <c r="AF485" i="1"/>
  <c r="AB485" i="1"/>
  <c r="AH485" i="1"/>
  <c r="AD485" i="1"/>
  <c r="Z486" i="1"/>
  <c r="S487" i="1"/>
  <c r="Y486" i="1"/>
  <c r="U486" i="1"/>
  <c r="V486" i="1" s="1"/>
  <c r="X486" i="1"/>
  <c r="T486" i="1"/>
  <c r="W486" i="1"/>
  <c r="AE485" i="1"/>
  <c r="AA485" i="1"/>
  <c r="AF486" i="1" l="1"/>
  <c r="AB486" i="1"/>
  <c r="X487" i="1"/>
  <c r="T487" i="1"/>
  <c r="W487" i="1"/>
  <c r="Z487" i="1"/>
  <c r="Y487" i="1"/>
  <c r="U487" i="1"/>
  <c r="V487" i="1" s="1"/>
  <c r="S488" i="1"/>
  <c r="AH486" i="1"/>
  <c r="AD486" i="1"/>
  <c r="AE486" i="1"/>
  <c r="AA486" i="1"/>
  <c r="AG486" i="1"/>
  <c r="AC486" i="1"/>
  <c r="AG487" i="1" l="1"/>
  <c r="AC487" i="1"/>
  <c r="AF487" i="1"/>
  <c r="AB487" i="1"/>
  <c r="AH487" i="1"/>
  <c r="AD487" i="1"/>
  <c r="S489" i="1"/>
  <c r="Z488" i="1"/>
  <c r="Y488" i="1"/>
  <c r="U488" i="1"/>
  <c r="V488" i="1" s="1"/>
  <c r="X488" i="1"/>
  <c r="T488" i="1"/>
  <c r="W488" i="1"/>
  <c r="AE487" i="1"/>
  <c r="AA487" i="1"/>
  <c r="W489" i="1" l="1"/>
  <c r="Z489" i="1"/>
  <c r="U489" i="1"/>
  <c r="V489" i="1" s="1"/>
  <c r="Y489" i="1"/>
  <c r="T489" i="1"/>
  <c r="X489" i="1"/>
  <c r="S490" i="1"/>
  <c r="AH488" i="1"/>
  <c r="AD488" i="1"/>
  <c r="AF488" i="1"/>
  <c r="AB488" i="1"/>
  <c r="AE488" i="1"/>
  <c r="AA488" i="1"/>
  <c r="AG488" i="1"/>
  <c r="AC488" i="1"/>
  <c r="AF489" i="1" l="1"/>
  <c r="AB489" i="1"/>
  <c r="AD489" i="1"/>
  <c r="AH489" i="1"/>
  <c r="AC489" i="1"/>
  <c r="AG489" i="1"/>
  <c r="S491" i="1"/>
  <c r="Y490" i="1"/>
  <c r="U490" i="1"/>
  <c r="V490" i="1" s="1"/>
  <c r="W490" i="1"/>
  <c r="Z490" i="1"/>
  <c r="T490" i="1"/>
  <c r="X490" i="1"/>
  <c r="AE489" i="1"/>
  <c r="AA489" i="1"/>
  <c r="AG490" i="1" l="1"/>
  <c r="AC490" i="1"/>
  <c r="AH490" i="1"/>
  <c r="AD490" i="1"/>
  <c r="AA490" i="1"/>
  <c r="AE490" i="1"/>
  <c r="W491" i="1"/>
  <c r="Z491" i="1"/>
  <c r="U491" i="1"/>
  <c r="V491" i="1" s="1"/>
  <c r="Y491" i="1"/>
  <c r="T491" i="1"/>
  <c r="X491" i="1"/>
  <c r="S492" i="1"/>
  <c r="AB490" i="1"/>
  <c r="AF490" i="1"/>
  <c r="AF491" i="1" l="1"/>
  <c r="AB491" i="1"/>
  <c r="AD491" i="1"/>
  <c r="AH491" i="1"/>
  <c r="AE491" i="1"/>
  <c r="AA491" i="1"/>
  <c r="AC491" i="1"/>
  <c r="AG491" i="1"/>
  <c r="S493" i="1"/>
  <c r="Y492" i="1"/>
  <c r="U492" i="1"/>
  <c r="V492" i="1" s="1"/>
  <c r="W492" i="1"/>
  <c r="Z492" i="1"/>
  <c r="T492" i="1"/>
  <c r="X492" i="1"/>
  <c r="AG492" i="1" l="1"/>
  <c r="AC492" i="1"/>
  <c r="AA492" i="1"/>
  <c r="AE492" i="1"/>
  <c r="AB492" i="1"/>
  <c r="AF492" i="1"/>
  <c r="AH492" i="1"/>
  <c r="AD492" i="1"/>
  <c r="W493" i="1"/>
  <c r="Z493" i="1"/>
  <c r="U493" i="1"/>
  <c r="V493" i="1" s="1"/>
  <c r="Y493" i="1"/>
  <c r="T493" i="1"/>
  <c r="X493" i="1"/>
  <c r="S494" i="1"/>
  <c r="S495" i="1" l="1"/>
  <c r="Y494" i="1"/>
  <c r="U494" i="1"/>
  <c r="V494" i="1" s="1"/>
  <c r="W494" i="1"/>
  <c r="Z494" i="1"/>
  <c r="T494" i="1"/>
  <c r="X494" i="1"/>
  <c r="AF493" i="1"/>
  <c r="AB493" i="1"/>
  <c r="AD493" i="1"/>
  <c r="AH493" i="1"/>
  <c r="AC493" i="1"/>
  <c r="AG493" i="1"/>
  <c r="AE493" i="1"/>
  <c r="AA493" i="1"/>
  <c r="AB494" i="1" l="1"/>
  <c r="AF494" i="1"/>
  <c r="AG494" i="1"/>
  <c r="AC494" i="1"/>
  <c r="AA494" i="1"/>
  <c r="AE494" i="1"/>
  <c r="AH494" i="1"/>
  <c r="AD494" i="1"/>
  <c r="W495" i="1"/>
  <c r="Z495" i="1"/>
  <c r="U495" i="1"/>
  <c r="V495" i="1" s="1"/>
  <c r="Y495" i="1"/>
  <c r="T495" i="1"/>
  <c r="X495" i="1"/>
  <c r="S496" i="1"/>
  <c r="S497" i="1" l="1"/>
  <c r="Y496" i="1"/>
  <c r="U496" i="1"/>
  <c r="V496" i="1" s="1"/>
  <c r="W496" i="1"/>
  <c r="Z496" i="1"/>
  <c r="T496" i="1"/>
  <c r="X496" i="1"/>
  <c r="AF495" i="1"/>
  <c r="AB495" i="1"/>
  <c r="AD495" i="1"/>
  <c r="AH495" i="1"/>
  <c r="AC495" i="1"/>
  <c r="AG495" i="1"/>
  <c r="AE495" i="1"/>
  <c r="AA495" i="1"/>
  <c r="AB496" i="1" l="1"/>
  <c r="AF496" i="1"/>
  <c r="AG496" i="1"/>
  <c r="AC496" i="1"/>
  <c r="AA496" i="1"/>
  <c r="AE496" i="1"/>
  <c r="AH496" i="1"/>
  <c r="AD496" i="1"/>
  <c r="W497" i="1"/>
  <c r="Z497" i="1"/>
  <c r="U497" i="1"/>
  <c r="V497" i="1" s="1"/>
  <c r="Y497" i="1"/>
  <c r="T497" i="1"/>
  <c r="X497" i="1"/>
  <c r="S498" i="1"/>
  <c r="S499" i="1" l="1"/>
  <c r="Y498" i="1"/>
  <c r="U498" i="1"/>
  <c r="V498" i="1" s="1"/>
  <c r="W498" i="1"/>
  <c r="Z498" i="1"/>
  <c r="T498" i="1"/>
  <c r="X498" i="1"/>
  <c r="AD497" i="1"/>
  <c r="AH497" i="1"/>
  <c r="AC497" i="1"/>
  <c r="AG497" i="1"/>
  <c r="AF497" i="1"/>
  <c r="AB497" i="1"/>
  <c r="AE497" i="1"/>
  <c r="AA497" i="1"/>
  <c r="AB498" i="1" l="1"/>
  <c r="AF498" i="1"/>
  <c r="AG498" i="1"/>
  <c r="AC498" i="1"/>
  <c r="AA498" i="1"/>
  <c r="AE498" i="1"/>
  <c r="AH498" i="1"/>
  <c r="AD498" i="1"/>
  <c r="W499" i="1"/>
  <c r="Z499" i="1"/>
  <c r="U499" i="1"/>
  <c r="V499" i="1" s="1"/>
  <c r="Y499" i="1"/>
  <c r="T499" i="1"/>
  <c r="X499" i="1"/>
  <c r="S500" i="1"/>
  <c r="S501" i="1" l="1"/>
  <c r="Y500" i="1"/>
  <c r="U500" i="1"/>
  <c r="V500" i="1" s="1"/>
  <c r="X500" i="1"/>
  <c r="W500" i="1"/>
  <c r="T500" i="1"/>
  <c r="Z500" i="1"/>
  <c r="AF499" i="1"/>
  <c r="AB499" i="1"/>
  <c r="AD499" i="1"/>
  <c r="AH499" i="1"/>
  <c r="AC499" i="1"/>
  <c r="AG499" i="1"/>
  <c r="AE499" i="1"/>
  <c r="AA499" i="1"/>
  <c r="AF500" i="1" l="1"/>
  <c r="AB500" i="1"/>
  <c r="AD500" i="1"/>
  <c r="AH500" i="1"/>
  <c r="AG500" i="1"/>
  <c r="AC500" i="1"/>
  <c r="AE500" i="1"/>
  <c r="AA500" i="1"/>
  <c r="W501" i="1"/>
  <c r="Z501" i="1"/>
  <c r="S502" i="1"/>
  <c r="Y501" i="1"/>
  <c r="U501" i="1"/>
  <c r="V501" i="1" s="1"/>
  <c r="T501" i="1"/>
  <c r="X501" i="1"/>
  <c r="AF501" i="1" l="1"/>
  <c r="AB501" i="1"/>
  <c r="AG501" i="1"/>
  <c r="AC501" i="1"/>
  <c r="S503" i="1"/>
  <c r="Y502" i="1"/>
  <c r="U502" i="1"/>
  <c r="V502" i="1" s="1"/>
  <c r="X502" i="1"/>
  <c r="T502" i="1"/>
  <c r="W502" i="1"/>
  <c r="Z502" i="1"/>
  <c r="AH501" i="1"/>
  <c r="AD501" i="1"/>
  <c r="AE501" i="1"/>
  <c r="AA501" i="1"/>
  <c r="AE502" i="1" l="1"/>
  <c r="AA502" i="1"/>
  <c r="AG502" i="1"/>
  <c r="AC502" i="1"/>
  <c r="AF502" i="1"/>
  <c r="AB502" i="1"/>
  <c r="AD502" i="1"/>
  <c r="AH502" i="1"/>
  <c r="W503" i="1"/>
  <c r="Z503" i="1"/>
  <c r="S504" i="1"/>
  <c r="Y503" i="1"/>
  <c r="U503" i="1"/>
  <c r="V503" i="1" s="1"/>
  <c r="T503" i="1"/>
  <c r="X503" i="1"/>
  <c r="AG503" i="1" l="1"/>
  <c r="AC503" i="1"/>
  <c r="AF503" i="1"/>
  <c r="AB503" i="1"/>
  <c r="AH503" i="1"/>
  <c r="AD503" i="1"/>
  <c r="S505" i="1"/>
  <c r="Y504" i="1"/>
  <c r="U504" i="1"/>
  <c r="V504" i="1" s="1"/>
  <c r="X504" i="1"/>
  <c r="T504" i="1"/>
  <c r="W504" i="1"/>
  <c r="Z504" i="1"/>
  <c r="AE503" i="1"/>
  <c r="AA503" i="1"/>
  <c r="AE504" i="1" l="1"/>
  <c r="AA504" i="1"/>
  <c r="AG504" i="1"/>
  <c r="AC504" i="1"/>
  <c r="W505" i="1"/>
  <c r="Z505" i="1"/>
  <c r="S506" i="1"/>
  <c r="Y505" i="1"/>
  <c r="U505" i="1"/>
  <c r="V505" i="1" s="1"/>
  <c r="T505" i="1"/>
  <c r="X505" i="1"/>
  <c r="AF504" i="1"/>
  <c r="AB504" i="1"/>
  <c r="AD504" i="1"/>
  <c r="AH504" i="1"/>
  <c r="AG505" i="1" l="1"/>
  <c r="AC505" i="1"/>
  <c r="AF505" i="1"/>
  <c r="AB505" i="1"/>
  <c r="S507" i="1"/>
  <c r="Y506" i="1"/>
  <c r="U506" i="1"/>
  <c r="V506" i="1" s="1"/>
  <c r="X506" i="1"/>
  <c r="T506" i="1"/>
  <c r="W506" i="1"/>
  <c r="Z506" i="1"/>
  <c r="AH505" i="1"/>
  <c r="AD505" i="1"/>
  <c r="AE505" i="1"/>
  <c r="AA505" i="1"/>
  <c r="AE506" i="1" l="1"/>
  <c r="AA506" i="1"/>
  <c r="AG506" i="1"/>
  <c r="AC506" i="1"/>
  <c r="W507" i="1"/>
  <c r="Z507" i="1"/>
  <c r="Y507" i="1"/>
  <c r="U507" i="1"/>
  <c r="V507" i="1" s="1"/>
  <c r="T507" i="1"/>
  <c r="S508" i="1"/>
  <c r="X507" i="1"/>
  <c r="AF506" i="1"/>
  <c r="AB506" i="1"/>
  <c r="AD506" i="1"/>
  <c r="AH506" i="1"/>
  <c r="AF507" i="1" l="1"/>
  <c r="AB507" i="1"/>
  <c r="Z508" i="1"/>
  <c r="W508" i="1"/>
  <c r="S509" i="1"/>
  <c r="U508" i="1"/>
  <c r="V508" i="1" s="1"/>
  <c r="Y508" i="1"/>
  <c r="T508" i="1"/>
  <c r="X508" i="1"/>
  <c r="AD507" i="1"/>
  <c r="AH507" i="1"/>
  <c r="AC507" i="1"/>
  <c r="AG507" i="1"/>
  <c r="AE507" i="1"/>
  <c r="AA507" i="1"/>
  <c r="AA508" i="1" l="1"/>
  <c r="AE508" i="1"/>
  <c r="AH508" i="1"/>
  <c r="AD508" i="1"/>
  <c r="AG508" i="1"/>
  <c r="AC508" i="1"/>
  <c r="AB508" i="1"/>
  <c r="AF508" i="1"/>
  <c r="X509" i="1"/>
  <c r="T509" i="1"/>
  <c r="Z509" i="1"/>
  <c r="U509" i="1"/>
  <c r="V509" i="1" s="1"/>
  <c r="Y509" i="1"/>
  <c r="W509" i="1"/>
  <c r="S510" i="1"/>
  <c r="AD509" i="1" l="1"/>
  <c r="AH509" i="1"/>
  <c r="Z510" i="1"/>
  <c r="W510" i="1"/>
  <c r="S511" i="1"/>
  <c r="U510" i="1"/>
  <c r="V510" i="1" s="1"/>
  <c r="Y510" i="1"/>
  <c r="T510" i="1"/>
  <c r="X510" i="1"/>
  <c r="AE509" i="1"/>
  <c r="AA509" i="1"/>
  <c r="AC509" i="1"/>
  <c r="AG509" i="1"/>
  <c r="AF509" i="1"/>
  <c r="AB509" i="1"/>
  <c r="AA510" i="1" l="1"/>
  <c r="AE510" i="1"/>
  <c r="AG510" i="1"/>
  <c r="AC510" i="1"/>
  <c r="AH510" i="1"/>
  <c r="AD510" i="1"/>
  <c r="AB510" i="1"/>
  <c r="AF510" i="1"/>
  <c r="X511" i="1"/>
  <c r="T511" i="1"/>
  <c r="Z511" i="1"/>
  <c r="U511" i="1"/>
  <c r="V511" i="1" s="1"/>
  <c r="Y511" i="1"/>
  <c r="W511" i="1"/>
  <c r="S512" i="1"/>
  <c r="Z512" i="1" l="1"/>
  <c r="W512" i="1"/>
  <c r="S513" i="1"/>
  <c r="U512" i="1"/>
  <c r="V512" i="1" s="1"/>
  <c r="Y512" i="1"/>
  <c r="T512" i="1"/>
  <c r="X512" i="1"/>
  <c r="AD511" i="1"/>
  <c r="AH511" i="1"/>
  <c r="AE511" i="1"/>
  <c r="AA511" i="1"/>
  <c r="AC511" i="1"/>
  <c r="AG511" i="1"/>
  <c r="AF511" i="1"/>
  <c r="AB511" i="1"/>
  <c r="X513" i="1" l="1"/>
  <c r="T513" i="1"/>
  <c r="Z513" i="1"/>
  <c r="U513" i="1"/>
  <c r="V513" i="1" s="1"/>
  <c r="Y513" i="1"/>
  <c r="W513" i="1"/>
  <c r="S514" i="1"/>
  <c r="AA512" i="1"/>
  <c r="AE512" i="1"/>
  <c r="AB512" i="1"/>
  <c r="AF512" i="1"/>
  <c r="AG512" i="1"/>
  <c r="AC512" i="1"/>
  <c r="AH512" i="1"/>
  <c r="AD512" i="1"/>
  <c r="Z514" i="1" l="1"/>
  <c r="W514" i="1"/>
  <c r="S515" i="1"/>
  <c r="U514" i="1"/>
  <c r="V514" i="1" s="1"/>
  <c r="Y514" i="1"/>
  <c r="T514" i="1"/>
  <c r="X514" i="1"/>
  <c r="AD513" i="1"/>
  <c r="AH513" i="1"/>
  <c r="AE513" i="1"/>
  <c r="AA513" i="1"/>
  <c r="AC513" i="1"/>
  <c r="AG513" i="1"/>
  <c r="AF513" i="1"/>
  <c r="AB513" i="1"/>
  <c r="X515" i="1" l="1"/>
  <c r="T515" i="1"/>
  <c r="Z515" i="1"/>
  <c r="U515" i="1"/>
  <c r="V515" i="1" s="1"/>
  <c r="Y515" i="1"/>
  <c r="W515" i="1"/>
  <c r="S516" i="1"/>
  <c r="AA514" i="1"/>
  <c r="AE514" i="1"/>
  <c r="AB514" i="1"/>
  <c r="AF514" i="1"/>
  <c r="AG514" i="1"/>
  <c r="AC514" i="1"/>
  <c r="AH514" i="1"/>
  <c r="AD514" i="1"/>
  <c r="AE515" i="1" l="1"/>
  <c r="AA515" i="1"/>
  <c r="Z516" i="1"/>
  <c r="W516" i="1"/>
  <c r="S517" i="1"/>
  <c r="U516" i="1"/>
  <c r="V516" i="1" s="1"/>
  <c r="Y516" i="1"/>
  <c r="T516" i="1"/>
  <c r="X516" i="1"/>
  <c r="AD515" i="1"/>
  <c r="AH515" i="1"/>
  <c r="AC515" i="1"/>
  <c r="AG515" i="1"/>
  <c r="AF515" i="1"/>
  <c r="AB515" i="1"/>
  <c r="AG516" i="1" l="1"/>
  <c r="AC516" i="1"/>
  <c r="AH516" i="1"/>
  <c r="AD516" i="1"/>
  <c r="AB516" i="1"/>
  <c r="AF516" i="1"/>
  <c r="X517" i="1"/>
  <c r="T517" i="1"/>
  <c r="Z517" i="1"/>
  <c r="U517" i="1"/>
  <c r="V517" i="1" s="1"/>
  <c r="Y517" i="1"/>
  <c r="W517" i="1"/>
  <c r="S518" i="1"/>
  <c r="AA516" i="1"/>
  <c r="AE516" i="1"/>
  <c r="Z518" i="1" l="1"/>
  <c r="W518" i="1"/>
  <c r="S519" i="1"/>
  <c r="U518" i="1"/>
  <c r="V518" i="1" s="1"/>
  <c r="Y518" i="1"/>
  <c r="T518" i="1"/>
  <c r="X518" i="1"/>
  <c r="AD517" i="1"/>
  <c r="AH517" i="1"/>
  <c r="AE517" i="1"/>
  <c r="AA517" i="1"/>
  <c r="AC517" i="1"/>
  <c r="AG517" i="1"/>
  <c r="AF517" i="1"/>
  <c r="AB517" i="1"/>
  <c r="AB518" i="1" l="1"/>
  <c r="AF518" i="1"/>
  <c r="X519" i="1"/>
  <c r="T519" i="1"/>
  <c r="Z519" i="1"/>
  <c r="U519" i="1"/>
  <c r="V519" i="1" s="1"/>
  <c r="Y519" i="1"/>
  <c r="W519" i="1"/>
  <c r="S520" i="1"/>
  <c r="AA518" i="1"/>
  <c r="AE518" i="1"/>
  <c r="AG518" i="1"/>
  <c r="AC518" i="1"/>
  <c r="AH518" i="1"/>
  <c r="AD518" i="1"/>
  <c r="AD519" i="1" l="1"/>
  <c r="AH519" i="1"/>
  <c r="AE519" i="1"/>
  <c r="AA519" i="1"/>
  <c r="AC519" i="1"/>
  <c r="AG519" i="1"/>
  <c r="AF519" i="1"/>
  <c r="AB519" i="1"/>
  <c r="Z520" i="1"/>
  <c r="S521" i="1"/>
  <c r="W520" i="1"/>
  <c r="U520" i="1"/>
  <c r="V520" i="1" s="1"/>
  <c r="Y520" i="1"/>
  <c r="T520" i="1"/>
  <c r="X520" i="1"/>
  <c r="AB520" i="1" l="1"/>
  <c r="AF520" i="1"/>
  <c r="AA520" i="1"/>
  <c r="AE520" i="1"/>
  <c r="X521" i="1"/>
  <c r="T521" i="1"/>
  <c r="W521" i="1"/>
  <c r="U521" i="1"/>
  <c r="V521" i="1" s="1"/>
  <c r="Z521" i="1"/>
  <c r="S522" i="1"/>
  <c r="Y521" i="1"/>
  <c r="AG520" i="1"/>
  <c r="AC520" i="1"/>
  <c r="AH520" i="1"/>
  <c r="AD520" i="1"/>
  <c r="AC521" i="1" l="1"/>
  <c r="AG521" i="1"/>
  <c r="AE521" i="1"/>
  <c r="AA521" i="1"/>
  <c r="Z522" i="1"/>
  <c r="S523" i="1"/>
  <c r="Y522" i="1"/>
  <c r="U522" i="1"/>
  <c r="V522" i="1" s="1"/>
  <c r="X522" i="1"/>
  <c r="W522" i="1"/>
  <c r="T522" i="1"/>
  <c r="AD521" i="1"/>
  <c r="AH521" i="1"/>
  <c r="AF521" i="1"/>
  <c r="AB521" i="1"/>
  <c r="AG522" i="1" l="1"/>
  <c r="AC522" i="1"/>
  <c r="AE522" i="1"/>
  <c r="AA522" i="1"/>
  <c r="X523" i="1"/>
  <c r="T523" i="1"/>
  <c r="W523" i="1"/>
  <c r="U523" i="1"/>
  <c r="V523" i="1" s="1"/>
  <c r="Z523" i="1"/>
  <c r="S524" i="1"/>
  <c r="Y523" i="1"/>
  <c r="AF522" i="1"/>
  <c r="AB522" i="1"/>
  <c r="AH522" i="1"/>
  <c r="AD522" i="1"/>
  <c r="Z524" i="1" l="1"/>
  <c r="S525" i="1"/>
  <c r="Y524" i="1"/>
  <c r="U524" i="1"/>
  <c r="V524" i="1" s="1"/>
  <c r="X524" i="1"/>
  <c r="W524" i="1"/>
  <c r="T524" i="1"/>
  <c r="AD523" i="1"/>
  <c r="AH523" i="1"/>
  <c r="AF523" i="1"/>
  <c r="AB523" i="1"/>
  <c r="AC523" i="1"/>
  <c r="AG523" i="1"/>
  <c r="AE523" i="1"/>
  <c r="AA523" i="1"/>
  <c r="AG524" i="1" l="1"/>
  <c r="AC524" i="1"/>
  <c r="AE524" i="1"/>
  <c r="AA524" i="1"/>
  <c r="X525" i="1"/>
  <c r="T525" i="1"/>
  <c r="W525" i="1"/>
  <c r="U525" i="1"/>
  <c r="V525" i="1" s="1"/>
  <c r="Z525" i="1"/>
  <c r="S526" i="1"/>
  <c r="Y525" i="1"/>
  <c r="AF524" i="1"/>
  <c r="AB524" i="1"/>
  <c r="AH524" i="1"/>
  <c r="AD524" i="1"/>
  <c r="AC525" i="1" l="1"/>
  <c r="AG525" i="1"/>
  <c r="AE525" i="1"/>
  <c r="AA525" i="1"/>
  <c r="Z526" i="1"/>
  <c r="S527" i="1"/>
  <c r="Y526" i="1"/>
  <c r="U526" i="1"/>
  <c r="V526" i="1" s="1"/>
  <c r="X526" i="1"/>
  <c r="W526" i="1"/>
  <c r="T526" i="1"/>
  <c r="AD525" i="1"/>
  <c r="AH525" i="1"/>
  <c r="AF525" i="1"/>
  <c r="AB525" i="1"/>
  <c r="AG526" i="1" l="1"/>
  <c r="AC526" i="1"/>
  <c r="AE526" i="1"/>
  <c r="AA526" i="1"/>
  <c r="X527" i="1"/>
  <c r="T527" i="1"/>
  <c r="W527" i="1"/>
  <c r="U527" i="1"/>
  <c r="V527" i="1" s="1"/>
  <c r="Z527" i="1"/>
  <c r="S528" i="1"/>
  <c r="Y527" i="1"/>
  <c r="AF526" i="1"/>
  <c r="AB526" i="1"/>
  <c r="AH526" i="1"/>
  <c r="AD526" i="1"/>
  <c r="AE527" i="1" l="1"/>
  <c r="AA527" i="1"/>
  <c r="Z528" i="1"/>
  <c r="Y528" i="1"/>
  <c r="U528" i="1"/>
  <c r="V528" i="1" s="1"/>
  <c r="X528" i="1"/>
  <c r="W528" i="1"/>
  <c r="T528" i="1"/>
  <c r="AD527" i="1"/>
  <c r="AH527" i="1"/>
  <c r="AF527" i="1"/>
  <c r="AB527" i="1"/>
  <c r="AC527" i="1"/>
  <c r="AG527" i="1"/>
  <c r="AE528" i="1" l="1"/>
  <c r="AA528" i="1"/>
  <c r="AF528" i="1"/>
  <c r="AB528" i="1"/>
  <c r="AG528" i="1"/>
  <c r="AC528" i="1"/>
  <c r="AH528" i="1"/>
  <c r="AD528" i="1"/>
</calcChain>
</file>

<file path=xl/sharedStrings.xml><?xml version="1.0" encoding="utf-8"?>
<sst xmlns="http://schemas.openxmlformats.org/spreadsheetml/2006/main" count="19040" uniqueCount="5812">
  <si>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</si>
  <si>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</si>
  <si>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</si>
  <si>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</si>
  <si>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</si>
  <si>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</si>
  <si>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</si>
  <si>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</si>
  <si>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</si>
  <si>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</si>
  <si>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</si>
  <si>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</si>
  <si>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</si>
  <si>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</si>
  <si>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</si>
  <si>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</si>
  <si>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</si>
  <si>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</si>
  <si>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</si>
  <si>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</si>
  <si>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</si>
  <si>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</si>
  <si>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</si>
  <si>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</si>
  <si>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</si>
  <si>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</si>
  <si>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</si>
  <si>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</si>
  <si>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</si>
  <si>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</si>
  <si>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</si>
  <si>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</si>
  <si>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</si>
  <si>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</si>
  <si>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</si>
  <si>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</si>
  <si>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</si>
  <si>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</si>
  <si>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</si>
  <si>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</si>
  <si>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</si>
  <si>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</si>
  <si>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</si>
  <si>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</si>
  <si>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</si>
  <si>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</si>
  <si>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</si>
  <si>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</si>
  <si>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</si>
  <si>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</si>
  <si>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</si>
  <si>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</si>
  <si>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</si>
  <si>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</si>
  <si>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</si>
  <si>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</si>
  <si>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</si>
  <si>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</si>
  <si>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</si>
  <si>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</si>
  <si>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</si>
  <si>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</si>
  <si>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</si>
  <si>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</si>
  <si>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</si>
  <si>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</si>
  <si>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</si>
  <si>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</si>
  <si>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</si>
  <si>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</si>
  <si>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</si>
  <si>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</si>
  <si>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</si>
  <si>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</si>
  <si>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</si>
  <si>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</si>
  <si>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</si>
  <si>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</si>
  <si>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</si>
  <si>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</si>
  <si>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</si>
  <si>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</si>
  <si>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</si>
  <si>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</si>
  <si>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</si>
  <si>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</si>
  <si>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</si>
  <si>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</si>
  <si>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</si>
  <si>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</si>
  <si>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</si>
  <si>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</si>
  <si>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</si>
  <si>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</si>
  <si>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</si>
  <si>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</si>
  <si>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</si>
  <si>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</si>
  <si>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</si>
  <si>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</si>
  <si>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</si>
  <si>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</si>
  <si>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</si>
  <si>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</si>
  <si>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</si>
  <si>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</si>
  <si>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</si>
  <si>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</si>
  <si>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</si>
  <si>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</si>
  <si>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</si>
  <si>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</si>
  <si>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</si>
  <si>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</si>
  <si>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</si>
  <si>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</si>
  <si>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</si>
  <si>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</si>
  <si>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</si>
  <si>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</si>
  <si>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</si>
  <si>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</si>
  <si>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</si>
  <si>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</si>
  <si>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</si>
  <si>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</si>
  <si>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</si>
  <si>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</si>
  <si>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</si>
  <si>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</si>
  <si>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</si>
  <si>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</si>
  <si>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</si>
  <si>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</si>
  <si>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</si>
  <si>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</si>
  <si>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</si>
  <si>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</si>
  <si>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</si>
  <si>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</si>
  <si>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</si>
  <si>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</si>
  <si>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</si>
  <si>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 xml:space="preserve">  reserved : std_logic_vector(31 downto 0); -- "RESERVED" Field</t>
  </si>
  <si>
    <t>end record ;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</si>
  <si>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</si>
  <si>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</si>
  <si>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</si>
  <si>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</si>
  <si>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</si>
  <si>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</si>
  <si>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</si>
  <si>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</si>
  <si>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</si>
  <si>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</si>
  <si>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</si>
  <si>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</si>
  <si>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</si>
  <si>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</si>
  <si>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</si>
  <si>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</si>
  <si>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</si>
  <si>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</si>
  <si>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</si>
  <si>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</si>
  <si>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</si>
  <si>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</si>
  <si>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</si>
  <si>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</si>
  <si>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</si>
  <si>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</si>
  <si>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</si>
  <si>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</si>
  <si>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</si>
  <si>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</si>
  <si>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</si>
  <si>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</si>
  <si>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</si>
  <si>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</si>
  <si>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</si>
  <si>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</si>
  <si>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</si>
  <si>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</si>
  <si>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</si>
  <si>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</si>
  <si>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</si>
  <si>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</si>
  <si>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</si>
  <si>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</si>
  <si>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</si>
  <si>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</si>
  <si>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</si>
  <si>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</si>
  <si>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</si>
  <si>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</si>
  <si>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</si>
  <si>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</si>
  <si>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</si>
  <si>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</si>
  <si>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</si>
  <si>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</si>
  <si>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</si>
  <si>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</si>
  <si>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</si>
  <si>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</si>
  <si>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</si>
  <si>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</si>
  <si>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</si>
  <si>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</si>
  <si>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</si>
  <si>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</si>
  <si>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</si>
  <si>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</si>
  <si>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</si>
  <si>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</si>
  <si>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</si>
  <si>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</si>
  <si>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</si>
  <si>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</si>
  <si>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</si>
  <si>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</si>
  <si>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</si>
  <si>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</si>
  <si>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</si>
  <si>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</si>
  <si>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</si>
  <si>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</si>
  <si>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</si>
  <si>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</si>
  <si>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</si>
  <si>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</si>
  <si>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</si>
  <si>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</si>
  <si>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</si>
  <si>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</si>
  <si>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</si>
  <si>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</si>
  <si>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</si>
  <si>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</si>
  <si>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</si>
  <si>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</si>
  <si>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</si>
  <si>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</si>
  <si>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</si>
  <si>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</si>
  <si>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</si>
  <si>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</si>
  <si>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</si>
  <si>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</si>
  <si>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</si>
  <si>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</si>
  <si>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</si>
  <si>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</si>
  <si>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</si>
  <si>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</si>
  <si>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</si>
  <si>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</si>
  <si>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</si>
  <si>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</si>
  <si>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</si>
  <si>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</si>
  <si>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</si>
  <si>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</si>
  <si>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</si>
  <si>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</si>
  <si>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</si>
  <si>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</si>
  <si>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</si>
  <si>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</si>
  <si>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</si>
  <si>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</si>
  <si>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</si>
  <si>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</si>
  <si>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</si>
  <si>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</si>
  <si>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</si>
  <si>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</si>
  <si>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</si>
  <si>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</si>
  <si>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</si>
  <si>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</si>
  <si>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</si>
  <si>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</si>
  <si>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</si>
  <si>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</si>
  <si>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</si>
  <si>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</si>
  <si>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</si>
  <si>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</si>
  <si>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</si>
  <si>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</si>
  <si>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</si>
  <si>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</si>
  <si>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</si>
  <si>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</si>
  <si>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</si>
  <si>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</si>
  <si>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</si>
  <si>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</si>
  <si>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</si>
  <si>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</si>
  <si>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</si>
  <si>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</si>
  <si>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</si>
  <si>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</si>
  <si>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</si>
  <si>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</si>
  <si>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</si>
  <si>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</si>
  <si>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</si>
  <si>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</si>
  <si>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</si>
  <si>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</si>
  <si>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</si>
  <si>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</si>
  <si>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</si>
  <si>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</si>
  <si>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</si>
  <si>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</si>
  <si>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</si>
  <si>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</si>
  <si>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</si>
  <si>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</si>
  <si>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</si>
  <si>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</si>
  <si>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</si>
  <si>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</si>
  <si>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</si>
  <si>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</si>
  <si>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</si>
  <si>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</si>
  <si>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</si>
  <si>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</si>
  <si>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</si>
  <si>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</si>
  <si>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</si>
  <si>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</si>
  <si>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</si>
  <si>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</si>
  <si>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</si>
  <si>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</si>
  <si>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</si>
  <si>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</si>
  <si>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</si>
  <si>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</si>
  <si>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</si>
  <si>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</si>
  <si>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</si>
  <si>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</si>
  <si>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</si>
  <si>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</si>
  <si>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</si>
  <si>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</si>
  <si>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</si>
  <si>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</si>
  <si>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</si>
  <si>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</si>
  <si>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</si>
  <si>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</si>
  <si>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</si>
  <si>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</si>
  <si>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</si>
  <si>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</si>
  <si>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</si>
  <si>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</si>
  <si>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</si>
  <si>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</si>
  <si>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</si>
  <si>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</si>
  <si>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</si>
  <si>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</si>
  <si>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</si>
  <si>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</si>
  <si>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</si>
  <si>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</si>
  <si>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</si>
  <si>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</si>
  <si>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</si>
  <si>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</si>
  <si>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</si>
  <si>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</si>
  <si>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</si>
  <si>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</si>
  <si>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</si>
  <si>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</si>
  <si>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</si>
  <si>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</si>
  <si>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</si>
  <si>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</si>
  <si>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</si>
  <si>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</si>
  <si>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</si>
  <si>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</si>
  <si>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</si>
  <si>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</si>
  <si>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</si>
  <si>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</si>
  <si>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</si>
  <si>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</si>
  <si>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</si>
  <si>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</si>
  <si>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</si>
  <si>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</si>
  <si>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</si>
  <si>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</si>
  <si>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</si>
  <si>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</si>
  <si>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</si>
  <si>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</si>
  <si>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</si>
  <si>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</si>
  <si>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</si>
  <si>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</si>
  <si>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</si>
  <si>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</si>
  <si>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</si>
  <si>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</si>
  <si>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</si>
  <si>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</si>
  <si>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</si>
  <si>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</si>
  <si>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</si>
  <si>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</si>
  <si>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</si>
  <si>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</si>
  <si>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</si>
  <si>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</si>
  <si>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</si>
  <si>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</si>
  <si>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</si>
  <si>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</si>
  <si>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</si>
  <si>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</si>
  <si>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</si>
  <si>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</si>
  <si>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</si>
  <si>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</si>
  <si>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</si>
  <si>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</si>
  <si>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</si>
  <si>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</si>
  <si>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</si>
  <si>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</si>
  <si>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</si>
  <si>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</si>
  <si>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</si>
  <si>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</si>
  <si>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</si>
  <si>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</si>
  <si>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</si>
  <si>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</si>
  <si>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</si>
  <si>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</si>
  <si>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</si>
  <si>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</si>
  <si>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</si>
  <si>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</si>
  <si>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</si>
  <si>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</si>
  <si>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</si>
  <si>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</si>
  <si>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</si>
  <si>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</si>
  <si>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</si>
  <si>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</si>
  <si>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</si>
  <si>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</si>
  <si>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</si>
  <si>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</si>
  <si>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</si>
  <si>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</si>
  <si>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</si>
  <si>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</si>
  <si>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</si>
  <si>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</si>
  <si>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</si>
  <si>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</si>
  <si>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</si>
  <si>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</si>
  <si>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</si>
  <si>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</si>
  <si>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</si>
  <si>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</si>
  <si>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</si>
  <si>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</si>
  <si>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</si>
  <si>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</si>
  <si>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</si>
  <si>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</si>
  <si>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</si>
  <si>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</si>
  <si>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</si>
  <si>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</si>
  <si>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</si>
  <si>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</si>
  <si>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</si>
  <si>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</si>
  <si>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</si>
  <si>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</si>
  <si>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</si>
  <si>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</si>
  <si>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</si>
  <si>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</si>
  <si>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</si>
  <si>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</si>
  <si>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</si>
  <si>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</si>
  <si>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</si>
  <si>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</si>
  <si>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</si>
  <si>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</si>
  <si>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</si>
  <si>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</si>
  <si>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</si>
  <si>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</si>
  <si>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</si>
  <si>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</si>
  <si>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</si>
  <si>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</si>
  <si>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</si>
  <si>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</si>
  <si>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</si>
  <si>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</si>
  <si>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</si>
  <si>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</si>
  <si>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</si>
  <si>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</si>
  <si>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</si>
  <si>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</si>
  <si>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</si>
  <si>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</si>
  <si>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</si>
  <si>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</si>
  <si>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</si>
  <si>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</si>
  <si>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</si>
  <si>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</si>
  <si>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</si>
  <si>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</si>
  <si>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</si>
  <si>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</si>
  <si>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</si>
  <si>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</si>
  <si>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</si>
  <si>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</si>
  <si>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</si>
  <si>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</si>
  <si>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</si>
  <si>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</si>
  <si>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</si>
  <si>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</si>
  <si>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</si>
  <si>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</si>
  <si>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</si>
  <si>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</si>
  <si>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</si>
  <si>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</si>
  <si>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</si>
  <si>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</si>
  <si>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</si>
  <si>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</si>
  <si>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</si>
  <si>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</si>
  <si>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</si>
  <si>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</si>
  <si>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</si>
  <si>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</si>
  <si>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</si>
  <si>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</si>
  <si>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</si>
  <si>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</si>
  <si>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</si>
  <si>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</si>
  <si>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</si>
  <si>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</si>
  <si>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</si>
  <si>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</si>
  <si>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</si>
  <si>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</si>
  <si>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</si>
  <si>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</si>
  <si>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</si>
  <si>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</si>
  <si>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</si>
  <si>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</si>
  <si>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</si>
  <si>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</si>
  <si>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</si>
  <si>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</si>
  <si>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</si>
  <si>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</si>
  <si>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</si>
  <si>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</si>
  <si>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</si>
  <si>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</si>
  <si>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</si>
  <si>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</si>
  <si>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</si>
  <si>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</si>
  <si>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</si>
  <si>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</si>
  <si>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</si>
  <si>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</si>
  <si>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</si>
  <si>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</si>
  <si>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</si>
  <si>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</si>
  <si>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</si>
  <si>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</si>
  <si>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</si>
  <si>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</si>
  <si>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</si>
  <si>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</si>
  <si>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</si>
  <si>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</si>
  <si>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</si>
  <si>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</si>
  <si>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</si>
  <si>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</si>
  <si>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</si>
  <si>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</si>
  <si>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</si>
  <si>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</si>
  <si>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</si>
  <si>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</si>
  <si>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</si>
  <si>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</si>
  <si>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</si>
  <si>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</si>
  <si>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</si>
  <si>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</si>
  <si>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</si>
  <si>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</si>
  <si>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</si>
  <si>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</si>
  <si>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</si>
  <si>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</si>
  <si>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</si>
  <si>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</si>
  <si>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</si>
  <si>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</si>
  <si>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</si>
  <si>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</si>
  <si>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</si>
  <si>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</si>
  <si>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</si>
  <si>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</si>
  <si>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</si>
  <si>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</si>
  <si>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</si>
  <si>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</si>
  <si>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</si>
  <si>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</si>
  <si>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</si>
  <si>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</si>
  <si>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</si>
  <si>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</si>
  <si>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</si>
  <si>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</si>
  <si>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</si>
  <si>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</si>
  <si>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</si>
  <si>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</si>
  <si>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</si>
  <si>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</si>
  <si>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</si>
  <si>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</si>
  <si>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</si>
  <si>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</si>
  <si>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</si>
  <si>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</si>
  <si>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</si>
  <si>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</si>
  <si>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</si>
  <si>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</si>
  <si>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</si>
  <si>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</si>
  <si>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</si>
  <si>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</si>
  <si>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</si>
  <si>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</si>
  <si>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</si>
  <si>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</si>
  <si>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</si>
  <si>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</si>
  <si>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</si>
  <si>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</si>
  <si>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</si>
  <si>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</si>
  <si>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</si>
  <si>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</si>
  <si>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</si>
  <si>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</si>
  <si>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</si>
  <si>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</si>
  <si>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</si>
  <si>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</si>
  <si>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</si>
  <si>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</si>
  <si>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</si>
  <si>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</si>
  <si>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</si>
  <si>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</si>
  <si>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</si>
  <si>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</si>
  <si>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</si>
  <si>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</si>
  <si>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</si>
  <si>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</si>
  <si>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</si>
  <si>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</si>
  <si>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</si>
  <si>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</si>
  <si>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</si>
  <si>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</si>
  <si>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</si>
  <si>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</si>
  <si>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</si>
  <si>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</si>
  <si>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</si>
  <si>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</si>
  <si>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</si>
  <si>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</si>
  <si>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</si>
  <si>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</si>
  <si>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</si>
  <si>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</si>
  <si>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</si>
  <si>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</si>
  <si>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</si>
  <si>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</si>
  <si>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</si>
  <si>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</si>
  <si>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</si>
  <si>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</si>
  <si>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</si>
  <si>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</si>
  <si>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</si>
  <si>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</si>
  <si>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</si>
  <si>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</si>
  <si>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</si>
  <si>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</si>
  <si>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</si>
  <si>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</si>
  <si>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</si>
  <si>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</si>
  <si>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</si>
  <si>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</si>
  <si>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</si>
  <si>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</si>
  <si>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</si>
  <si>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</si>
  <si>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</si>
  <si>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</si>
  <si>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t_aeb_hk_adc1_rd_config_1_wr_reg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</si>
  <si>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</si>
  <si>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</si>
  <si>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</si>
  <si>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</si>
  <si>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</si>
  <si>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</si>
  <si>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</si>
  <si>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</si>
  <si>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</si>
  <si>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</si>
  <si>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</si>
  <si>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</si>
  <si>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</si>
  <si>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</si>
  <si>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</si>
  <si>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</si>
  <si>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</si>
  <si>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</si>
  <si>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</si>
  <si>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</si>
  <si>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</si>
  <si>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</si>
  <si>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</si>
  <si>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</si>
  <si>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</si>
  <si>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</si>
  <si>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</si>
  <si>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</si>
  <si>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</si>
  <si>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</si>
  <si>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</si>
  <si>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</si>
  <si>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</si>
  <si>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</si>
  <si>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</si>
  <si>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</si>
  <si>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</si>
  <si>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</si>
  <si>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</si>
  <si>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</si>
  <si>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</si>
  <si>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</si>
  <si>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</si>
  <si>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</si>
  <si>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</si>
  <si>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</si>
  <si>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</si>
  <si>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</si>
  <si>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t_aeb_hk_adc1_rd_config_2_wr_reg</t>
  </si>
  <si>
    <t>AEB Housekeeping Area Register "ADC1_RD_CONFIG_3"</t>
  </si>
  <si>
    <t>aeb_hk_adc1_rd_config_3</t>
  </si>
  <si>
    <t>t_aeb_hk_adc1_rd_config_3_wr_reg</t>
  </si>
  <si>
    <t>AEB Housekeeping Area Register "ADC2_RD_CONFIG_1"</t>
  </si>
  <si>
    <t>aeb_hk_adc2_rd_config_1</t>
  </si>
  <si>
    <t>t_aeb_hk_adc2_rd_config_1_wr_reg</t>
  </si>
  <si>
    <t>AEB Housekeeping Area Register "ADC2_RD_CONFIG_2"</t>
  </si>
  <si>
    <t>aeb_hk_adc2_rd_config_2</t>
  </si>
  <si>
    <t>t_aeb_hk_adc2_rd_config_2_wr_reg</t>
  </si>
  <si>
    <t>AEB Housekeeping Area Register "ADC2_RD_CONFIG_3"</t>
  </si>
  <si>
    <t>aeb_hk_adc2_rd_config_3</t>
  </si>
  <si>
    <t>t_aeb_hk_adc2_rd_config_3_wr_reg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</si>
  <si>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</si>
  <si>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</si>
  <si>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</si>
  <si>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</si>
  <si>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</si>
  <si>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</si>
  <si>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</si>
  <si>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</si>
  <si>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</si>
  <si>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</si>
  <si>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</si>
  <si>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</si>
  <si>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</si>
  <si>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</si>
  <si>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</si>
  <si>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</si>
  <si>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</si>
  <si>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</si>
  <si>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</si>
  <si>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</si>
  <si>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</si>
  <si>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</si>
  <si>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</si>
  <si>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</si>
  <si>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</si>
  <si>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</si>
  <si>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</si>
  <si>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</si>
  <si>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</si>
  <si>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</si>
  <si>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</si>
  <si>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</si>
  <si>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</si>
  <si>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</si>
  <si>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</si>
  <si>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</si>
  <si>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</si>
  <si>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</si>
  <si>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</si>
  <si>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</si>
  <si>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</si>
  <si>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</si>
  <si>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</si>
  <si>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</si>
  <si>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</si>
  <si>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</si>
  <si>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</si>
  <si>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</si>
  <si>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</si>
  <si>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</si>
  <si>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</si>
  <si>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</si>
  <si>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</si>
  <si>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</si>
  <si>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</si>
  <si>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</si>
  <si>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</si>
  <si>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</si>
  <si>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</si>
  <si>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</si>
  <si>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</si>
  <si>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</si>
  <si>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</si>
  <si>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</si>
  <si>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</si>
  <si>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</si>
  <si>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</si>
  <si>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</si>
  <si>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</si>
  <si>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</si>
  <si>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</si>
  <si>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</si>
  <si>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</si>
  <si>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</si>
  <si>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</si>
  <si>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</si>
  <si>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</si>
  <si>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</si>
  <si>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</si>
  <si>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</si>
  <si>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</si>
  <si>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</si>
  <si>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</si>
  <si>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</si>
  <si>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</si>
  <si>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</si>
  <si>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</si>
  <si>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</si>
  <si>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</si>
  <si>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</si>
  <si>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</si>
  <si>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</si>
  <si>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</si>
  <si>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</si>
  <si>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</si>
  <si>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</si>
  <si>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</si>
  <si>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</si>
  <si>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</si>
  <si>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</si>
  <si>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</si>
  <si>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</si>
  <si>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</si>
  <si>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</si>
  <si>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</si>
  <si>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</si>
  <si>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</si>
  <si>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</si>
  <si>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</si>
  <si>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</si>
  <si>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</si>
  <si>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</si>
  <si>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</si>
  <si>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</si>
  <si>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</si>
  <si>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</si>
  <si>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</si>
  <si>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</si>
  <si>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</si>
  <si>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</si>
  <si>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</si>
  <si>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</si>
  <si>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</si>
  <si>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</si>
  <si>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</si>
  <si>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</si>
  <si>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</si>
  <si>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</si>
  <si>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</si>
  <si>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</si>
  <si>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</si>
  <si>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</si>
  <si>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</si>
  <si>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</si>
  <si>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</si>
  <si>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</si>
  <si>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</si>
  <si>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</si>
  <si>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</si>
  <si>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</si>
  <si>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</si>
  <si>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</si>
  <si>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</si>
  <si>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</si>
  <si>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</si>
  <si>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</si>
  <si>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</si>
  <si>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</si>
  <si>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</si>
  <si>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</si>
  <si>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</si>
  <si>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</si>
  <si>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</si>
  <si>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</si>
  <si>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</si>
  <si>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</si>
  <si>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</si>
  <si>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</si>
  <si>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</si>
  <si>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</si>
  <si>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</si>
  <si>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</si>
  <si>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</si>
  <si>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</si>
  <si>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</si>
  <si>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</si>
  <si>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</si>
  <si>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</si>
  <si>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</si>
  <si>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</si>
  <si>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</si>
  <si>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</si>
  <si>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</si>
  <si>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</si>
  <si>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</si>
  <si>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</si>
  <si>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</si>
  <si>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</si>
  <si>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</si>
  <si>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</si>
  <si>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</si>
  <si>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</si>
  <si>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</si>
  <si>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</si>
  <si>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</si>
  <si>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</si>
  <si>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</si>
  <si>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</si>
  <si>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</si>
  <si>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</si>
  <si>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</si>
  <si>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</si>
  <si>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</si>
  <si>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</si>
  <si>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</si>
  <si>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</si>
  <si>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</si>
  <si>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</si>
  <si>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</si>
  <si>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</si>
  <si>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</si>
  <si>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</si>
  <si>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</si>
  <si>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</si>
  <si>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</si>
  <si>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</si>
  <si>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</si>
  <si>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</si>
  <si>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</si>
  <si>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</si>
  <si>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</si>
  <si>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</si>
  <si>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</si>
  <si>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</si>
  <si>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</si>
  <si>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</si>
  <si>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</si>
  <si>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</si>
  <si>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</si>
  <si>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</si>
  <si>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</si>
  <si>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</si>
  <si>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</si>
  <si>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</si>
  <si>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</si>
  <si>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</si>
  <si>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</si>
  <si>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</si>
  <si>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</si>
  <si>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</si>
  <si>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</si>
  <si>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</si>
  <si>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</si>
  <si>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</si>
  <si>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</si>
  <si>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</si>
  <si>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</si>
  <si>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</si>
  <si>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</si>
  <si>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</si>
  <si>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</si>
  <si>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</si>
  <si>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</si>
  <si>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</si>
  <si>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</si>
  <si>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</si>
  <si>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</si>
  <si>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</si>
  <si>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</si>
  <si>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</si>
  <si>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</si>
  <si>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</si>
  <si>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</si>
  <si>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</si>
  <si>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</si>
  <si>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</si>
  <si>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</si>
  <si>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</si>
  <si>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</si>
  <si>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</si>
  <si>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</si>
  <si>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</si>
  <si>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</si>
  <si>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</si>
  <si>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</si>
  <si>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</si>
  <si>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</si>
  <si>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</si>
  <si>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</si>
  <si>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</si>
  <si>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</si>
  <si>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</si>
  <si>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</si>
  <si>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</si>
  <si>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</si>
  <si>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</si>
  <si>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</si>
  <si>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</si>
  <si>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</si>
  <si>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</si>
  <si>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</si>
  <si>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</si>
  <si>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</si>
  <si>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</si>
  <si>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</si>
  <si>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</si>
  <si>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</si>
  <si>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</si>
  <si>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</si>
  <si>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</si>
  <si>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</si>
  <si>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</si>
  <si>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</si>
  <si>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</si>
  <si>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</si>
  <si>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</si>
  <si>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</si>
  <si>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</si>
  <si>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</si>
  <si>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</si>
  <si>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</si>
  <si>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</si>
  <si>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</si>
  <si>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</si>
  <si>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</si>
  <si>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</si>
  <si>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</si>
  <si>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</si>
  <si>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</si>
  <si>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</si>
  <si>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</si>
  <si>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</si>
  <si>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</si>
  <si>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</si>
  <si>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</si>
  <si>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</si>
  <si>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</si>
  <si>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</si>
  <si>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</si>
  <si>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</si>
  <si>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</si>
  <si>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</si>
  <si>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</si>
  <si>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</si>
  <si>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</si>
  <si>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</si>
  <si>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</si>
  <si>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</si>
  <si>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</si>
  <si>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</si>
  <si>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</si>
  <si>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</si>
  <si>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</si>
  <si>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</si>
  <si>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</si>
  <si>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</si>
  <si>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</si>
  <si>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</si>
  <si>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</si>
  <si>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</si>
  <si>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</si>
  <si>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</si>
  <si>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</si>
  <si>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</si>
  <si>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</si>
  <si>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</si>
  <si>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</si>
  <si>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</si>
  <si>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</si>
  <si>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</si>
  <si>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</si>
  <si>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</si>
  <si>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</si>
  <si>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</si>
  <si>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</si>
  <si>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</si>
  <si>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</si>
  <si>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</si>
  <si>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</si>
  <si>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</si>
  <si>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</si>
  <si>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</si>
  <si>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</si>
  <si>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</si>
  <si>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</si>
  <si>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</si>
  <si>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</si>
  <si>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</si>
  <si>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</si>
  <si>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</si>
  <si>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</si>
  <si>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</si>
  <si>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</si>
  <si>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</si>
  <si>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</si>
  <si>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</si>
  <si>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</si>
  <si>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</si>
  <si>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</si>
  <si>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</si>
  <si>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</si>
  <si>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</si>
  <si>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</si>
  <si>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</si>
  <si>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</si>
  <si>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</si>
  <si>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</si>
  <si>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</si>
  <si>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</si>
  <si>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</si>
  <si>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</si>
  <si>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</si>
  <si>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</si>
  <si>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</si>
  <si>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</si>
  <si>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</si>
  <si>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</si>
  <si>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>type t_aeb_hk_adc1_rd_config_1_wr_reg is record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</si>
  <si>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</si>
  <si>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</si>
  <si>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</si>
  <si>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</si>
  <si>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</si>
  <si>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</si>
  <si>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</si>
  <si>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</si>
  <si>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</si>
  <si>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</si>
  <si>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</si>
  <si>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</si>
  <si>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</si>
  <si>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</si>
  <si>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</si>
  <si>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</si>
  <si>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</si>
  <si>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</si>
  <si>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</si>
  <si>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</si>
  <si>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</si>
  <si>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</si>
  <si>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</si>
  <si>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end record t_aeb_hk_adc1_rd_config_1_wr_reg;</t>
  </si>
  <si>
    <t>-- AEB Housekeeping Area Register "ADC1_RD_CONFIG_2"</t>
  </si>
  <si>
    <t>type t_aeb_hk_adc1_rd_config_2_wr_reg is record</t>
  </si>
  <si>
    <t>end record t_aeb_hk_adc1_rd_config_2_wr_reg;</t>
  </si>
  <si>
    <t>-- AEB Housekeeping Area Register "ADC1_RD_CONFIG_3"</t>
  </si>
  <si>
    <t>type t_aeb_hk_adc1_rd_config_3_wr_reg is record</t>
  </si>
  <si>
    <t>end record t_aeb_hk_adc1_rd_config_3_wr_reg;</t>
  </si>
  <si>
    <t>-- AEB Housekeeping Area Register "ADC2_RD_CONFIG_1"</t>
  </si>
  <si>
    <t>type t_aeb_hk_adc2_rd_config_1_wr_reg is record</t>
  </si>
  <si>
    <t>end record t_aeb_hk_adc2_rd_config_1_wr_reg;</t>
  </si>
  <si>
    <t>-- AEB Housekeeping Area Register "ADC2_RD_CONFIG_2"</t>
  </si>
  <si>
    <t>type t_aeb_hk_adc2_rd_config_2_wr_reg is record</t>
  </si>
  <si>
    <t>end record t_aeb_hk_adc2_rd_config_2_wr_reg;</t>
  </si>
  <si>
    <t>-- AEB Housekeeping Area Register "ADC2_RD_CONFIG_3"</t>
  </si>
  <si>
    <t>type t_aeb_hk_adc2_rd_config_3_wr_reg is record</t>
  </si>
  <si>
    <t>end record t_aeb_hk_adc2_rd_config_3_wr_reg;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</si>
  <si>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</si>
  <si>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</si>
  <si>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</si>
  <si>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</si>
  <si>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</si>
  <si>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</si>
  <si>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</si>
  <si>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</si>
  <si>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</si>
  <si>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</si>
  <si>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</si>
  <si>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</si>
  <si>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</si>
  <si>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</si>
  <si>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</si>
  <si>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</si>
  <si>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</si>
  <si>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</si>
  <si>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</si>
  <si>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</si>
  <si>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</si>
  <si>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</si>
  <si>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</si>
  <si>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</si>
  <si>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</si>
  <si>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</si>
  <si>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</si>
  <si>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</si>
  <si>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</si>
  <si>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</si>
  <si>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</si>
  <si>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</si>
  <si>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</si>
  <si>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</si>
  <si>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</si>
  <si>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</si>
  <si>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</si>
  <si>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</si>
  <si>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</si>
  <si>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</si>
  <si>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</si>
  <si>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</si>
  <si>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</si>
  <si>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</si>
  <si>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</si>
  <si>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</si>
  <si>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</si>
  <si>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</si>
  <si>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</si>
  <si>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</si>
  <si>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</si>
  <si>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</si>
  <si>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</si>
  <si>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</si>
  <si>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</si>
  <si>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</si>
  <si>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</si>
  <si>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</si>
  <si>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</si>
  <si>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</si>
  <si>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</si>
  <si>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</si>
  <si>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</si>
  <si>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</si>
  <si>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</si>
  <si>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</si>
  <si>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</si>
  <si>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</si>
  <si>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</si>
  <si>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</si>
  <si>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</si>
  <si>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</si>
  <si>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</si>
  <si>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</si>
  <si>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</si>
  <si>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</si>
  <si>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</si>
  <si>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</si>
  <si>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</si>
  <si>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</si>
  <si>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</si>
  <si>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</si>
  <si>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</si>
  <si>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</si>
  <si>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</si>
  <si>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</si>
  <si>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</si>
  <si>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</si>
  <si>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</si>
  <si>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</si>
  <si>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</si>
  <si>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</si>
  <si>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</si>
  <si>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</si>
  <si>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</si>
  <si>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aeb_hk_adc1_rd_config_1 : t_aeb_hk_adc1_rd_config_1_wr_reg; -- AEB Housekeeping Area Register "ADC1_RD_CONFIG_1"</t>
  </si>
  <si>
    <t xml:space="preserve">  aeb_hk_adc1_rd_config_2 : t_aeb_hk_adc1_rd_config_2_wr_reg; -- AEB Housekeeping Area Register "ADC1_RD_CONFIG_2"</t>
  </si>
  <si>
    <t xml:space="preserve">  aeb_hk_adc1_rd_config_3 : t_aeb_hk_adc1_rd_config_3_wr_reg; -- AEB Housekeeping Area Register "ADC1_RD_CONFIG_3"</t>
  </si>
  <si>
    <t xml:space="preserve">  aeb_hk_adc2_rd_config_1 : t_aeb_hk_adc2_rd_config_1_wr_reg; -- AEB Housekeeping Area Register "ADC2_RD_CONFIG_1"</t>
  </si>
  <si>
    <t xml:space="preserve">  aeb_hk_adc2_rd_config_2 : t_aeb_hk_adc2_rd_config_2_wr_reg; -- AEB Housekeeping Area Register "ADC2_RD_CONFIG_2"</t>
  </si>
  <si>
    <t xml:space="preserve">  aeb_hk_adc2_rd_config_3 : t_aeb_hk_adc2_rd_config_3_wr_reg; -- AEB Housekeeping Area Register "ADC2_RD_CONFIG_3"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</si>
  <si>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</si>
  <si>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</si>
  <si>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</si>
  <si>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</si>
  <si>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</si>
  <si>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</si>
  <si>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</si>
  <si>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</si>
  <si>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</si>
  <si>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</si>
  <si>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</si>
  <si>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    avalon_mm_rmap_o.readdata(3 downto 0) &lt;= rmap_registers_wr_i.aeb_crit_cfg_aeb_control.new_state;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</si>
  <si>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</si>
  <si>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</si>
  <si>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</si>
  <si>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</si>
  <si>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</si>
  <si>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</si>
  <si>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</si>
  <si>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</si>
  <si>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</si>
  <si>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</si>
  <si>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</si>
  <si>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</si>
  <si>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</si>
  <si>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</si>
  <si>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</si>
  <si>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</si>
  <si>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</si>
  <si>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</si>
  <si>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</si>
  <si>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</si>
  <si>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</si>
  <si>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</si>
  <si>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</si>
  <si>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</si>
  <si>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</si>
  <si>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</si>
  <si>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    avalon_mm_rmap_o.readdata(21 downto 16) &lt;= rmap_registers_wr_i.aeb_crit_cfg_aeb_config.reserved_0;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</si>
  <si>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</si>
  <si>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</si>
  <si>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</si>
  <si>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</si>
  <si>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</si>
  <si>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</si>
  <si>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</si>
  <si>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</si>
  <si>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</si>
  <si>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</si>
  <si>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</si>
  <si>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</si>
  <si>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</si>
  <si>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</si>
  <si>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</si>
  <si>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</si>
  <si>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</si>
  <si>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</si>
  <si>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</si>
  <si>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</si>
  <si>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</si>
  <si>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</si>
  <si>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</si>
  <si>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</si>
  <si>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</si>
  <si>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</si>
  <si>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</si>
  <si>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</si>
  <si>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</si>
  <si>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</si>
  <si>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</si>
  <si>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</si>
  <si>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</si>
  <si>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</si>
  <si>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</si>
  <si>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</si>
  <si>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</si>
  <si>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</si>
  <si>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</si>
  <si>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</si>
  <si>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</si>
  <si>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</si>
  <si>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</si>
  <si>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</si>
  <si>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</si>
  <si>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</si>
  <si>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</si>
  <si>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</si>
  <si>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</si>
  <si>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</si>
  <si>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</si>
  <si>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</si>
  <si>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</si>
  <si>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</si>
  <si>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</si>
  <si>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</si>
  <si>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</si>
  <si>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</si>
  <si>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</si>
  <si>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</si>
  <si>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</si>
  <si>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</si>
  <si>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</si>
  <si>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</si>
  <si>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</si>
  <si>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</si>
  <si>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</si>
  <si>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</si>
  <si>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</si>
  <si>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</si>
  <si>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</si>
  <si>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</si>
  <si>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</si>
  <si>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</si>
  <si>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</si>
  <si>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</si>
  <si>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</si>
  <si>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</si>
  <si>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</si>
  <si>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</si>
  <si>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</si>
  <si>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</si>
  <si>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</si>
  <si>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</si>
  <si>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</si>
  <si>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</si>
  <si>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</si>
  <si>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</si>
  <si>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</si>
  <si>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</si>
  <si>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</si>
  <si>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</si>
  <si>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</si>
  <si>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</si>
  <si>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</si>
  <si>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</si>
  <si>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</si>
  <si>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</si>
  <si>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</si>
  <si>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</si>
  <si>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avalon_mm_rmap_o.readdata(9 downto 8) &lt;= rmap_registers_wr_i.aeb_crit_cfg_aeb_config_pattern.pattern_ccdid;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</si>
  <si>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</si>
  <si>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</si>
  <si>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</si>
  <si>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</si>
  <si>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</si>
  <si>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</si>
  <si>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</si>
  <si>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</si>
  <si>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</si>
  <si>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</si>
  <si>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</si>
  <si>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</si>
  <si>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</si>
  <si>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</si>
  <si>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</si>
  <si>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</si>
  <si>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</si>
  <si>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</si>
  <si>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</si>
  <si>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</si>
  <si>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</si>
  <si>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</si>
  <si>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</si>
  <si>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</si>
  <si>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</si>
  <si>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</si>
  <si>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</si>
  <si>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</si>
  <si>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</si>
  <si>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</si>
  <si>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</si>
  <si>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</si>
  <si>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</si>
  <si>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</si>
  <si>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</si>
  <si>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</si>
  <si>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</si>
  <si>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</si>
  <si>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</si>
  <si>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</si>
  <si>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</si>
  <si>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</si>
  <si>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</si>
  <si>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</si>
  <si>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</si>
  <si>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</si>
  <si>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</si>
  <si>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</si>
  <si>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</si>
  <si>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</si>
  <si>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</si>
  <si>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</si>
  <si>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</si>
  <si>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</si>
  <si>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</si>
  <si>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</si>
  <si>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</si>
  <si>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</si>
  <si>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</si>
  <si>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</si>
  <si>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</si>
  <si>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</si>
  <si>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</si>
  <si>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</si>
  <si>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</si>
  <si>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</si>
  <si>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</si>
  <si>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</si>
  <si>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</si>
  <si>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</si>
  <si>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</si>
  <si>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</si>
  <si>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</si>
  <si>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</si>
  <si>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</si>
  <si>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</si>
  <si>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</si>
  <si>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</si>
  <si>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</si>
  <si>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</si>
  <si>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</si>
  <si>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</si>
  <si>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</si>
  <si>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</si>
  <si>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</si>
  <si>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</si>
  <si>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</si>
  <si>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</si>
  <si>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</si>
  <si>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</si>
  <si>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</si>
  <si>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</si>
  <si>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</si>
  <si>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</si>
  <si>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</si>
  <si>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</si>
  <si>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</si>
  <si>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</si>
  <si>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</si>
  <si>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</si>
  <si>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</si>
  <si>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</si>
  <si>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</si>
  <si>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</si>
  <si>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</si>
  <si>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</si>
  <si>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</si>
  <si>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</si>
  <si>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</si>
  <si>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</si>
  <si>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</si>
  <si>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</si>
  <si>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</si>
  <si>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</si>
  <si>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</si>
  <si>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when (16#058#) =&gt;</t>
  </si>
  <si>
    <t xml:space="preserve">  when (16#059#) =&gt;</t>
  </si>
  <si>
    <t xml:space="preserve">  when (16#05A#) =&gt;</t>
  </si>
  <si>
    <t xml:space="preserve">  when (16#05B#) =&gt;</t>
  </si>
  <si>
    <t xml:space="preserve">  when (16#05C#) =&gt;</t>
  </si>
  <si>
    <t xml:space="preserve">  when (16#05D#) =&gt;</t>
  </si>
  <si>
    <t xml:space="preserve">  when (16#05E#) =&gt;</t>
  </si>
  <si>
    <t xml:space="preserve">  when (16#05F#) =&gt;</t>
  </si>
  <si>
    <t xml:space="preserve">  when (16#060#) =&gt;</t>
  </si>
  <si>
    <t xml:space="preserve">  when (16#061#) =&gt;</t>
  </si>
  <si>
    <t xml:space="preserve">  when (16#062#) =&gt;</t>
  </si>
  <si>
    <t xml:space="preserve">  when (16#063#) =&gt;</t>
  </si>
  <si>
    <t xml:space="preserve">  when (16#064#) =&gt;</t>
  </si>
  <si>
    <t xml:space="preserve">  when (16#065#) =&gt;</t>
  </si>
  <si>
    <t xml:space="preserve">  when (16#066#) =&gt;</t>
  </si>
  <si>
    <t xml:space="preserve">  when (16#067#) =&gt;</t>
  </si>
  <si>
    <t xml:space="preserve">  when (16#068#) =&gt;</t>
  </si>
  <si>
    <t xml:space="preserve">  when (16#069#) =&gt;</t>
  </si>
  <si>
    <t xml:space="preserve">  when (16#06A#) =&gt;</t>
  </si>
  <si>
    <t xml:space="preserve">  when (16#06B#) =&gt;</t>
  </si>
  <si>
    <t xml:space="preserve">  when (16#06C#) =&gt;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</si>
  <si>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</si>
  <si>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</si>
  <si>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</si>
  <si>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</si>
  <si>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</si>
  <si>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</si>
  <si>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</si>
  <si>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</si>
  <si>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</si>
  <si>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</si>
  <si>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</si>
  <si>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</si>
  <si>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</si>
  <si>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</si>
  <si>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</si>
  <si>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</si>
  <si>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</si>
  <si>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</si>
  <si>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</si>
  <si>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</si>
  <si>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</si>
  <si>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</si>
  <si>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</si>
  <si>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</si>
  <si>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</si>
  <si>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</si>
  <si>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</si>
  <si>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</si>
  <si>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</si>
  <si>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</si>
  <si>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</si>
  <si>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</si>
  <si>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</si>
  <si>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</si>
  <si>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</si>
  <si>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</si>
  <si>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</si>
  <si>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</si>
  <si>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</si>
  <si>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</si>
  <si>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</si>
  <si>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</si>
  <si>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</si>
  <si>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</si>
  <si>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</si>
  <si>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</si>
  <si>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</si>
  <si>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</si>
  <si>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</si>
  <si>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</si>
  <si>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</si>
  <si>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</si>
  <si>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</si>
  <si>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</si>
  <si>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</si>
  <si>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</si>
  <si>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</si>
  <si>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</si>
  <si>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</si>
  <si>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</si>
  <si>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</si>
  <si>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</si>
  <si>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</si>
  <si>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</si>
  <si>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</si>
  <si>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</si>
  <si>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</si>
  <si>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</si>
  <si>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</si>
  <si>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</si>
  <si>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</si>
  <si>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</si>
  <si>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</si>
  <si>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</si>
  <si>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</si>
  <si>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</si>
  <si>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</si>
  <si>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</si>
  <si>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</si>
  <si>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</si>
  <si>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</si>
  <si>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</si>
  <si>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</si>
  <si>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</si>
  <si>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</si>
  <si>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</si>
  <si>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</si>
  <si>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</si>
  <si>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</si>
  <si>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</si>
  <si>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</si>
  <si>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</si>
  <si>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</si>
  <si>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</si>
  <si>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</si>
  <si>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</si>
  <si>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</si>
  <si>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</si>
  <si>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</si>
  <si>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</si>
  <si>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</si>
  <si>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</si>
  <si>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</si>
  <si>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</si>
  <si>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</si>
  <si>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</si>
  <si>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</si>
  <si>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</si>
  <si>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</si>
  <si>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</si>
  <si>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</si>
  <si>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</si>
  <si>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</si>
  <si>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</si>
  <si>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</si>
  <si>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</si>
  <si>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</si>
  <si>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</si>
  <si>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</si>
  <si>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</si>
  <si>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</si>
  <si>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</si>
  <si>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</si>
  <si>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</si>
  <si>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</si>
  <si>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</si>
  <si>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</si>
  <si>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</si>
  <si>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</si>
  <si>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</si>
  <si>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</si>
  <si>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</si>
  <si>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</si>
  <si>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</si>
  <si>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</si>
  <si>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</si>
  <si>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</si>
  <si>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</si>
  <si>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</si>
  <si>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</si>
  <si>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</si>
  <si>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</si>
  <si>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</si>
  <si>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</si>
  <si>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</si>
  <si>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</si>
  <si>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</si>
  <si>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</si>
  <si>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</si>
  <si>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</si>
  <si>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</si>
  <si>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</si>
  <si>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</si>
  <si>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</si>
  <si>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</si>
  <si>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</si>
  <si>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</si>
  <si>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</si>
  <si>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</si>
  <si>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</si>
  <si>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</si>
  <si>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</si>
  <si>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</si>
  <si>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</si>
  <si>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</si>
  <si>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</si>
  <si>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</si>
  <si>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</si>
  <si>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</si>
  <si>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</si>
  <si>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</si>
  <si>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</si>
  <si>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</si>
  <si>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</si>
  <si>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</si>
  <si>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</si>
  <si>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</si>
  <si>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</si>
  <si>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</si>
  <si>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</si>
  <si>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</si>
  <si>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</si>
  <si>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</si>
  <si>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</si>
  <si>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</si>
  <si>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</si>
  <si>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</si>
  <si>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</si>
  <si>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</si>
  <si>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</si>
  <si>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</si>
  <si>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</si>
  <si>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</si>
  <si>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</si>
  <si>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</si>
  <si>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</si>
  <si>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</si>
  <si>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</si>
  <si>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</si>
  <si>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</si>
  <si>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</si>
  <si>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</si>
  <si>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</si>
  <si>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</si>
  <si>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</si>
  <si>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</si>
  <si>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</si>
  <si>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</si>
  <si>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</si>
  <si>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</si>
  <si>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</si>
  <si>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</si>
  <si>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</si>
  <si>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</si>
  <si>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</si>
  <si>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</si>
  <si>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</si>
  <si>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</si>
  <si>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</si>
  <si>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</si>
  <si>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</si>
  <si>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</si>
  <si>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</si>
  <si>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</si>
  <si>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</si>
  <si>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</si>
  <si>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</si>
  <si>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</si>
  <si>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</si>
  <si>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</si>
  <si>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</si>
  <si>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</si>
  <si>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</si>
  <si>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</si>
  <si>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</si>
  <si>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</si>
  <si>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</si>
  <si>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</si>
  <si>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</si>
  <si>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</si>
  <si>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</si>
  <si>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</si>
  <si>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</si>
  <si>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</si>
  <si>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</si>
  <si>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</si>
  <si>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</si>
  <si>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</si>
  <si>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</si>
  <si>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</si>
  <si>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</si>
  <si>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</si>
  <si>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</si>
  <si>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</si>
  <si>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</si>
  <si>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</si>
  <si>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</si>
  <si>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</si>
  <si>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</si>
  <si>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</si>
  <si>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</si>
  <si>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</si>
  <si>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</si>
  <si>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</si>
  <si>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</si>
  <si>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</si>
  <si>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</si>
  <si>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</si>
  <si>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</si>
  <si>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</si>
  <si>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</si>
  <si>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</si>
  <si>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</si>
  <si>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</si>
  <si>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</si>
  <si>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</si>
  <si>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</si>
  <si>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</si>
  <si>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</si>
  <si>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</si>
  <si>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</si>
  <si>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</si>
  <si>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</si>
  <si>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</si>
  <si>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</si>
  <si>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</si>
  <si>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</si>
  <si>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</si>
  <si>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</si>
  <si>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</si>
  <si>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</si>
  <si>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</si>
  <si>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</si>
  <si>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</si>
  <si>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</si>
  <si>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</si>
  <si>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</si>
  <si>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</si>
  <si>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</si>
  <si>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</si>
  <si>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</si>
  <si>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</si>
  <si>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</si>
  <si>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</si>
  <si>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</si>
  <si>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</si>
  <si>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</si>
  <si>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</si>
  <si>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</si>
  <si>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</si>
  <si>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</si>
  <si>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</si>
  <si>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</si>
  <si>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</si>
  <si>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</si>
  <si>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</si>
  <si>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</si>
  <si>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</si>
  <si>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</si>
  <si>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</si>
  <si>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</si>
  <si>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</si>
  <si>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</si>
  <si>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</si>
  <si>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</si>
  <si>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</si>
  <si>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</si>
  <si>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</si>
  <si>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</si>
  <si>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</si>
  <si>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</si>
  <si>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</si>
  <si>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</si>
  <si>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</si>
  <si>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</si>
  <si>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</si>
  <si>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</si>
  <si>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</si>
  <si>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</si>
  <si>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</si>
  <si>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</si>
  <si>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</si>
  <si>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</si>
  <si>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</si>
  <si>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</si>
  <si>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</si>
  <si>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</si>
  <si>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</si>
  <si>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</si>
  <si>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</si>
  <si>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</si>
  <si>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</si>
  <si>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</si>
  <si>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</si>
  <si>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</si>
  <si>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</si>
  <si>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</si>
  <si>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</si>
  <si>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</si>
  <si>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</si>
  <si>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</si>
  <si>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</si>
  <si>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</si>
  <si>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</si>
  <si>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</si>
  <si>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</si>
  <si>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</si>
  <si>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</si>
  <si>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</si>
  <si>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</si>
  <si>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</si>
  <si>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</si>
  <si>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</si>
  <si>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</si>
  <si>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</si>
  <si>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</si>
  <si>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</si>
  <si>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</si>
  <si>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</si>
  <si>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</si>
  <si>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</si>
  <si>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</si>
  <si>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</si>
  <si>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</si>
  <si>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</si>
  <si>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</si>
  <si>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</si>
  <si>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</si>
  <si>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</si>
  <si>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</si>
  <si>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</si>
  <si>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</si>
  <si>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</si>
  <si>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</si>
  <si>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</si>
  <si>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</si>
  <si>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</si>
  <si>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</si>
  <si>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</si>
  <si>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</si>
  <si>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</si>
  <si>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</si>
  <si>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</si>
  <si>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</si>
  <si>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</si>
  <si>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</si>
  <si>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</si>
  <si>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</si>
  <si>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</si>
  <si>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</si>
  <si>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</si>
  <si>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</si>
  <si>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</si>
  <si>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</si>
  <si>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avalon_mm_rmap_o.readdata(15 downto 8) &lt;= rmap_registers_wr_i.aeb_gen_cfg_seq_config_2.adc_clk_low_pos;</t>
  </si>
  <si>
    <t xml:space="preserve">      -- AEB General Configuration Area Register "SEQ_CONFIG_2" : "ADC_CLK_HIGH_POS" Field</t>
  </si>
  <si>
    <t xml:space="preserve">      avalon_mm_rmap_o.readdata(23 downto 16) &lt;= rmap_registers_wr_i.aeb_gen_cfg_seq_config_2.adc_clk_high_pos;</t>
  </si>
  <si>
    <t xml:space="preserve">      -- AEB General Configuration Area Register "SEQ_CONFIG_2" : "CDS_CLK_LOW_POS" Field</t>
  </si>
  <si>
    <t xml:space="preserve">      avalon_mm_rmap_o.readdata(31 downto 24) &lt;= rmap_registers_wr_i.aeb_gen_cfg_seq_config_2.cds_clk_low_pos;</t>
  </si>
  <si>
    <t xml:space="preserve">  when (16#0EE#) =&gt;</t>
  </si>
  <si>
    <t xml:space="preserve">      -- AEB General Configuration Area Register "SEQ_CONFIG_2" : "CDS_CLK_HIGH_POS" Field</t>
  </si>
  <si>
    <t xml:space="preserve">      avalon_mm_rmap_o.readdata(7 downto 0) &lt;= rmap_registers_wr_i.aeb_gen_cfg_seq_config_2.cds_clk_high_pos;</t>
  </si>
  <si>
    <t xml:space="preserve">      -- AEB General Configuration Area Register "SEQ_CONFIG_3" : "RPHIR_CLK_LOW_POS" Field</t>
  </si>
  <si>
    <t xml:space="preserve">      avalon_mm_rmap_o.readdata(15 downto 8) &lt;= rmap_registers_wr_i.aeb_gen_cfg_seq_config_3.rphir_clk_low_pos;</t>
  </si>
  <si>
    <t xml:space="preserve">      -- AEB General Configuration Area Register "SEQ_CONFIG_3" : "RPHIR_CLK_HIGH_POS" Field</t>
  </si>
  <si>
    <t xml:space="preserve">      avalon_mm_rmap_o.readdata(23 downto 16) &lt;= rmap_registers_wr_i.aeb_gen_cfg_seq_config_3.rphir_clk_high_pos;</t>
  </si>
  <si>
    <t xml:space="preserve">      -- AEB General Configuration Area Register "SEQ_CONFIG_3" : "RPHI1_CLK_LOW_POS" Field</t>
  </si>
  <si>
    <t xml:space="preserve">      avalon_mm_rmap_o.readdata(31 downto 24) &lt;= rmap_registers_wr_i.aeb_gen_cfg_seq_config_3.rphi1_clk_low_pos;</t>
  </si>
  <si>
    <t xml:space="preserve">  when (16#0EF#) =&gt;</t>
  </si>
  <si>
    <t xml:space="preserve">      -- AEB General Configuration Area Register "SEQ_CONFIG_3" : "RPHI1_CLK_HIGH_POS" Field</t>
  </si>
  <si>
    <t xml:space="preserve">      avalon_mm_rmap_o.readdata(7 downto 0) &lt;= rmap_registers_wr_i.aeb_gen_cfg_seq_config_3.rphi1_clk_high_pos;</t>
  </si>
  <si>
    <t xml:space="preserve">      -- AEB General Configuration Area Register "SEQ_CONFIG_4" : "RPHI2_CLK_LOW_POS" Field</t>
  </si>
  <si>
    <t xml:space="preserve">      avalon_mm_rmap_o.readdata(15 downto 8) &lt;= rmap_registers_wr_i.aeb_gen_cfg_seq_config_4.rphi2_clk_low_pos;</t>
  </si>
  <si>
    <t xml:space="preserve">      -- AEB General Configuration Area Register "SEQ_CONFIG_4" : "RPHI2_CLK_HIGH_POS" Field</t>
  </si>
  <si>
    <t xml:space="preserve">      avalon_mm_rmap_o.readdata(23 downto 16) &lt;= rmap_registers_wr_i.aeb_gen_cfg_seq_config_4.rphi2_clk_high_pos;</t>
  </si>
  <si>
    <t xml:space="preserve">      -- AEB General Configuration Area Register "SEQ_CONFIG_4" : "RPHI3_CLK_LOW_POS" Field</t>
  </si>
  <si>
    <t xml:space="preserve">      avalon_mm_rmap_o.readdata(31 downto 24) &lt;= rmap_registers_wr_i.aeb_gen_cfg_seq_config_4.rphi3_clk_low_pos;</t>
  </si>
  <si>
    <t xml:space="preserve">  when (16#0F0#) =&gt;</t>
  </si>
  <si>
    <t xml:space="preserve">      -- AEB General Configuration Area Register "SEQ_CONFIG_4" : "RPHI3_CLK_HIGH_POS" Field</t>
  </si>
  <si>
    <t xml:space="preserve">      avalon_mm_rmap_o.readdata(7 downto 0) &lt;= rmap_registers_wr_i.aeb_gen_cfg_seq_config_4.rphi3_clk_high_pos;</t>
  </si>
  <si>
    <t xml:space="preserve">      -- AEB General Configuration Area Register "SEQ_CONFIG_5" : "SW_CLK_LOW_POS" Field</t>
  </si>
  <si>
    <t xml:space="preserve">      avalon_mm_rmap_o.readdata(15 downto 8) &lt;= rmap_registers_wr_i.aeb_gen_cfg_seq_config_5.sw_clk_low_pos;</t>
  </si>
  <si>
    <t xml:space="preserve">      -- AEB General Configuration Area Register "SEQ_CONFIG_5" : "SW_CLK_HIGH_POS" Field</t>
  </si>
  <si>
    <t xml:space="preserve">      avalon_mm_rmap_o.readdata(23 downto 16) &lt;= rmap_registers_wr_i.aeb_gen_cfg_seq_config_5.sw_clk_high_pos;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</si>
  <si>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</si>
  <si>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</si>
  <si>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</si>
  <si>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</si>
  <si>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</si>
  <si>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</si>
  <si>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</si>
  <si>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</si>
  <si>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</si>
  <si>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</si>
  <si>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</si>
  <si>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</si>
  <si>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</si>
  <si>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</si>
  <si>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</si>
  <si>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</si>
  <si>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</si>
  <si>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</si>
  <si>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</si>
  <si>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</si>
  <si>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</si>
  <si>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</si>
  <si>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</si>
  <si>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</si>
  <si>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</si>
  <si>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</si>
  <si>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</si>
  <si>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</si>
  <si>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</si>
  <si>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</si>
  <si>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</si>
  <si>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</si>
  <si>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</si>
  <si>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</si>
  <si>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</si>
  <si>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</si>
  <si>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</si>
  <si>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</si>
  <si>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</si>
  <si>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</si>
  <si>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</si>
  <si>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</si>
  <si>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</si>
  <si>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</si>
  <si>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</si>
  <si>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</si>
  <si>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</si>
  <si>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</si>
  <si>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</si>
  <si>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</si>
  <si>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</si>
  <si>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</si>
  <si>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</si>
  <si>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</si>
  <si>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</si>
  <si>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</si>
  <si>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</si>
  <si>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</si>
  <si>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</si>
  <si>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</si>
  <si>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</si>
  <si>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</si>
  <si>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</si>
  <si>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</si>
  <si>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</si>
  <si>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</si>
  <si>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</si>
  <si>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</si>
  <si>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</si>
  <si>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</si>
  <si>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</si>
  <si>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</si>
  <si>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</si>
  <si>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</si>
  <si>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</si>
  <si>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</si>
  <si>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</si>
  <si>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</si>
  <si>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</si>
  <si>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</si>
  <si>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</si>
  <si>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</si>
  <si>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</si>
  <si>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</si>
  <si>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</si>
  <si>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</si>
  <si>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</si>
  <si>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</si>
  <si>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</si>
  <si>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</si>
  <si>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</si>
  <si>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</si>
  <si>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</si>
  <si>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</si>
  <si>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</si>
  <si>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</si>
  <si>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</si>
  <si>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</si>
  <si>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</si>
  <si>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    avalon_mm_rmap_o.readdata(17 downto 16) &lt;= rmap_registers_wr_i.aeb_gen_cfg_seq_config_13.reserved_0;</t>
  </si>
  <si>
    <t xml:space="preserve">  when (16#10A#) =&gt;</t>
  </si>
  <si>
    <t xml:space="preserve">      -- AEB General Configuration Area Register "SEQ_CONFIG_13" : "INT1_LOOP_CNT" Field</t>
  </si>
  <si>
    <t xml:space="preserve">      avalon_mm_rmap_o.readdata(7 downto 0) &lt;= rmap_registers_wr_i.aeb_gen_cfg_seq_config_13.int1_loop_cnt(7 downto 0);</t>
  </si>
  <si>
    <t xml:space="preserve">      avalon_mm_rmap_o.readdata(13 downto 8) &lt;= rmap_registers_wr_i.aeb_gen_cfg_seq_config_13.int1_loop_cnt(13 downto 8);</t>
  </si>
  <si>
    <t xml:space="preserve">      -- AEB General Configuration Area Register "SEQ_CONFIG_13" : "RESERVED_1" Field</t>
  </si>
  <si>
    <t xml:space="preserve">      avalon_mm_rmap_o.readdata(17 downto 16) &lt;= rmap_registers_wr_i.aeb_gen_cfg_seq_config_13.reserved_1;</t>
  </si>
  <si>
    <t xml:space="preserve">  when (16#10B#) =&gt;</t>
  </si>
  <si>
    <t xml:space="preserve">      -- AEB General Configuration Area Register "SEQ_CONFIG_13" : "INT2_LOOP_CNT" Field</t>
  </si>
  <si>
    <t xml:space="preserve">      avalon_mm_rmap_o.readdata(7 downto 0) &lt;= rmap_registers_wr_i.aeb_gen_cfg_seq_config_13.int2_loop_cnt(7 downto 0);</t>
  </si>
  <si>
    <t xml:space="preserve">      avalon_mm_rmap_o.readdata(13 downto 8) &lt;= rmap_registers_wr_i.aeb_gen_cfg_seq_config_13.int2_loop_cnt(13 downto 8);</t>
  </si>
  <si>
    <t xml:space="preserve">      -- AEB General Configuration Area Register "SEQ_CONFIG_14" : "RESERVED_0" Field</t>
  </si>
  <si>
    <t xml:space="preserve">      avalon_mm_rmap_o.readdata(22 downto 16) &lt;= rmap_registers_wr_i.aeb_gen_cfg_seq_config_14.reserved_0;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</si>
  <si>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</si>
  <si>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</si>
  <si>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</si>
  <si>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</si>
  <si>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</si>
  <si>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</si>
  <si>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</si>
  <si>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</si>
  <si>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</si>
  <si>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</si>
  <si>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</si>
  <si>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</si>
  <si>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</si>
  <si>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</si>
  <si>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when (16#111#) =&gt;</t>
  </si>
  <si>
    <t xml:space="preserve">  when (16#112#) =&gt;</t>
  </si>
  <si>
    <t xml:space="preserve">  when (16#113#) =&gt;</t>
  </si>
  <si>
    <t xml:space="preserve">  when (16#114#) =&gt;</t>
  </si>
  <si>
    <t xml:space="preserve">  when (16#115#) =&gt;</t>
  </si>
  <si>
    <t xml:space="preserve">  when (16#116#) =&gt;</t>
  </si>
  <si>
    <t xml:space="preserve">  when (16#117#) =&gt;</t>
  </si>
  <si>
    <t xml:space="preserve">  when (16#118#) =&gt;</t>
  </si>
  <si>
    <t xml:space="preserve">  when (16#119#) =&gt;</t>
  </si>
  <si>
    <t xml:space="preserve">  when (16#11A#) =&gt;</t>
  </si>
  <si>
    <t xml:space="preserve">  when (16#11B#) =&gt;</t>
  </si>
  <si>
    <t xml:space="preserve">  when (16#11C#) =&gt;</t>
  </si>
  <si>
    <t xml:space="preserve">  when (16#11D#) =&gt;</t>
  </si>
  <si>
    <t xml:space="preserve">  when (16#11E#) =&gt;</t>
  </si>
  <si>
    <t xml:space="preserve">  when (16#11F#) =&gt;</t>
  </si>
  <si>
    <t xml:space="preserve">  when (16#120#) =&gt;</t>
  </si>
  <si>
    <t xml:space="preserve">  when (16#121#) =&gt;</t>
  </si>
  <si>
    <t xml:space="preserve">  when (16#122#) =&gt;</t>
  </si>
  <si>
    <t xml:space="preserve">  when (16#123#) =&gt;</t>
  </si>
  <si>
    <t xml:space="preserve">  when (16#124#) =&gt;</t>
  </si>
  <si>
    <t xml:space="preserve">  when (16#125#) =&gt;</t>
  </si>
  <si>
    <t xml:space="preserve">  when (16#126#) =&gt;</t>
  </si>
  <si>
    <t xml:space="preserve">  when (16#127#) =&gt;</t>
  </si>
  <si>
    <t xml:space="preserve">  when (16#128#) =&gt;</t>
  </si>
  <si>
    <t xml:space="preserve">  when (16#129#) =&gt;</t>
  </si>
  <si>
    <t xml:space="preserve">  when (16#12A#) =&gt;</t>
  </si>
  <si>
    <t xml:space="preserve">  when (16#12B#) =&gt;</t>
  </si>
  <si>
    <t xml:space="preserve">  when (16#12C#) =&gt;</t>
  </si>
  <si>
    <t xml:space="preserve">  when (16#12D#) =&gt;</t>
  </si>
  <si>
    <t xml:space="preserve">  when (16#12E#) =&gt;</t>
  </si>
  <si>
    <t xml:space="preserve">  when (16#12F#) =&gt;</t>
  </si>
  <si>
    <t xml:space="preserve">  when (16#130#) =&gt;</t>
  </si>
  <si>
    <t xml:space="preserve">  when (16#131#) =&gt;</t>
  </si>
  <si>
    <t xml:space="preserve">  when (16#132#) =&gt;</t>
  </si>
  <si>
    <t xml:space="preserve">  when (16#133#) =&gt;</t>
  </si>
  <si>
    <t xml:space="preserve">  when (16#134#) =&gt;</t>
  </si>
  <si>
    <t xml:space="preserve">  when (16#135#) =&gt;</t>
  </si>
  <si>
    <t xml:space="preserve">  when (16#136#) =&gt;</t>
  </si>
  <si>
    <t xml:space="preserve">  when (16#137#) =&gt;</t>
  </si>
  <si>
    <t xml:space="preserve">  when (16#138#) =&gt;</t>
  </si>
  <si>
    <t xml:space="preserve">  when (16#139#) =&gt;</t>
  </si>
  <si>
    <t xml:space="preserve">  when (16#13A#) =&gt;</t>
  </si>
  <si>
    <t xml:space="preserve">  when (16#13B#) =&gt;</t>
  </si>
  <si>
    <t xml:space="preserve">  when (16#13C#) =&gt;</t>
  </si>
  <si>
    <t xml:space="preserve">  when (16#13D#) =&gt;</t>
  </si>
  <si>
    <t xml:space="preserve">  when (16#13E#) =&gt;</t>
  </si>
  <si>
    <t xml:space="preserve">  when (16#13F#) =&gt;</t>
  </si>
  <si>
    <t xml:space="preserve">  when (16#140#) =&gt;</t>
  </si>
  <si>
    <t xml:space="preserve">  when (16#141#) =&gt;</t>
  </si>
  <si>
    <t xml:space="preserve">  when (16#142#) =&gt;</t>
  </si>
  <si>
    <t xml:space="preserve">  when (16#143#) =&gt;</t>
  </si>
  <si>
    <t xml:space="preserve">  when (16#144#) =&gt;</t>
  </si>
  <si>
    <t xml:space="preserve">  when (16#145#) =&gt;</t>
  </si>
  <si>
    <t xml:space="preserve">  when (16#146#) =&gt;</t>
  </si>
  <si>
    <t xml:space="preserve">  when (16#147#) =&gt;</t>
  </si>
  <si>
    <t xml:space="preserve">  when (16#148#) =&gt;</t>
  </si>
  <si>
    <t xml:space="preserve">  when (16#149#) =&gt;</t>
  </si>
  <si>
    <t xml:space="preserve">  when (16#14A#) =&gt;</t>
  </si>
  <si>
    <t xml:space="preserve">  when (16#14B#) =&gt;</t>
  </si>
  <si>
    <t xml:space="preserve">  when (16#14C#) =&gt;</t>
  </si>
  <si>
    <t xml:space="preserve">  when (16#14D#) =&gt;</t>
  </si>
  <si>
    <t xml:space="preserve">  when (16#14E#) =&gt;</t>
  </si>
  <si>
    <t xml:space="preserve">  when (16#14F#) =&gt;</t>
  </si>
  <si>
    <t xml:space="preserve">  when (16#150#) =&gt;</t>
  </si>
  <si>
    <t xml:space="preserve">  when (16#151#) =&gt;</t>
  </si>
  <si>
    <t xml:space="preserve">  when (16#152#) =&gt;</t>
  </si>
  <si>
    <t xml:space="preserve">  when (16#153#) =&gt;</t>
  </si>
  <si>
    <t xml:space="preserve">  when (16#154#) =&gt;</t>
  </si>
  <si>
    <t xml:space="preserve">  when (16#155#) =&gt;</t>
  </si>
  <si>
    <t xml:space="preserve">  when (16#156#) =&gt;</t>
  </si>
  <si>
    <t xml:space="preserve">  when (16#157#) =&gt;</t>
  </si>
  <si>
    <t xml:space="preserve">  when (16#158#) =&gt;</t>
  </si>
  <si>
    <t xml:space="preserve">  when (16#159#) =&gt;</t>
  </si>
  <si>
    <t xml:space="preserve">  when (16#15A#) =&gt;</t>
  </si>
  <si>
    <t xml:space="preserve">  when (16#15B#) =&gt;</t>
  </si>
  <si>
    <t xml:space="preserve">  when (16#15C#) =&gt;</t>
  </si>
  <si>
    <t xml:space="preserve">  when (16#15D#) =&gt;</t>
  </si>
  <si>
    <t xml:space="preserve">  when (16#15E#) =&gt;</t>
  </si>
  <si>
    <t xml:space="preserve">  when (16#15F#) =&gt;</t>
  </si>
  <si>
    <t xml:space="preserve">  when (16#160#) =&gt;</t>
  </si>
  <si>
    <t xml:space="preserve">  when (16#161#) =&gt;</t>
  </si>
  <si>
    <t xml:space="preserve">  when (16#162#) =&gt;</t>
  </si>
  <si>
    <t xml:space="preserve">  when (16#163#) =&gt;</t>
  </si>
  <si>
    <t xml:space="preserve">  when (16#164#) =&gt;</t>
  </si>
  <si>
    <t xml:space="preserve">  when (16#165#) =&gt;</t>
  </si>
  <si>
    <t xml:space="preserve">  when (16#166#) =&gt;</t>
  </si>
  <si>
    <t xml:space="preserve">  when (16#167#) =&gt;</t>
  </si>
  <si>
    <t xml:space="preserve">  when (16#168#) =&gt;</t>
  </si>
  <si>
    <t xml:space="preserve">  when (16#169#) =&gt;</t>
  </si>
  <si>
    <t xml:space="preserve">  when (16#16A#) =&gt;</t>
  </si>
  <si>
    <t xml:space="preserve">  when (16#16B#) =&gt;</t>
  </si>
  <si>
    <t xml:space="preserve">  when (16#16C#) =&gt;</t>
  </si>
  <si>
    <t xml:space="preserve">  when (16#16D#) =&gt;</t>
  </si>
  <si>
    <t xml:space="preserve">  when (16#16E#) =&gt;</t>
  </si>
  <si>
    <t xml:space="preserve">  when (16#16F#) =&gt;</t>
  </si>
  <si>
    <t xml:space="preserve">  when (16#170#) =&gt;</t>
  </si>
  <si>
    <t xml:space="preserve">  when (16#171#) =&gt;</t>
  </si>
  <si>
    <t xml:space="preserve">  when (16#172#) =&gt;</t>
  </si>
  <si>
    <t xml:space="preserve">  when (16#173#) =&gt;</t>
  </si>
  <si>
    <t xml:space="preserve">  when (16#174#) =&gt;</t>
  </si>
  <si>
    <t xml:space="preserve">  when (16#175#) =&gt;</t>
  </si>
  <si>
    <t xml:space="preserve">  when (16#176#) =&gt;</t>
  </si>
  <si>
    <t xml:space="preserve">  when (16#177#) =&gt;</t>
  </si>
  <si>
    <t xml:space="preserve">  when (16#178#) =&gt;</t>
  </si>
  <si>
    <t xml:space="preserve">  when (16#179#) =&gt;</t>
  </si>
  <si>
    <t xml:space="preserve">  when (16#17A#) =&gt;</t>
  </si>
  <si>
    <t xml:space="preserve">  when (16#17B#) =&gt;</t>
  </si>
  <si>
    <t xml:space="preserve">  when (16#17C#) =&gt;</t>
  </si>
  <si>
    <t xml:space="preserve">  when (16#17D#) =&gt;</t>
  </si>
  <si>
    <t xml:space="preserve">  when (16#17E#) =&gt;</t>
  </si>
  <si>
    <t xml:space="preserve">  when (16#17F#) =&gt;</t>
  </si>
  <si>
    <t xml:space="preserve">  when (16#180#) =&gt;</t>
  </si>
  <si>
    <t xml:space="preserve">  when (16#181#) =&gt;</t>
  </si>
  <si>
    <t xml:space="preserve">  when (16#182#) =&gt;</t>
  </si>
  <si>
    <t xml:space="preserve">  when (16#183#) =&gt;</t>
  </si>
  <si>
    <t xml:space="preserve">  when (16#184#) =&gt;</t>
  </si>
  <si>
    <t xml:space="preserve">  when (16#185#) =&gt;</t>
  </si>
  <si>
    <t xml:space="preserve">  when (16#186#) =&gt;</t>
  </si>
  <si>
    <t xml:space="preserve">  when (16#187#) =&gt;</t>
  </si>
  <si>
    <t xml:space="preserve">  when (16#188#) =&gt;</t>
  </si>
  <si>
    <t xml:space="preserve">  when (16#189#) =&gt;</t>
  </si>
  <si>
    <t xml:space="preserve">  when (16#18A#) =&gt;</t>
  </si>
  <si>
    <t xml:space="preserve">  when (16#18B#) =&gt;</t>
  </si>
  <si>
    <t xml:space="preserve">  when (16#18C#) =&gt;</t>
  </si>
  <si>
    <t xml:space="preserve">  when (16#18D#) =&gt;</t>
  </si>
  <si>
    <t xml:space="preserve">  when (16#18E#) =&gt;</t>
  </si>
  <si>
    <t xml:space="preserve">  when (16#18F#) =&gt;</t>
  </si>
  <si>
    <t xml:space="preserve">  when (16#190#) =&gt;</t>
  </si>
  <si>
    <t xml:space="preserve">  when (16#191#) =&gt;</t>
  </si>
  <si>
    <t xml:space="preserve">  when (16#192#) =&gt;</t>
  </si>
  <si>
    <t xml:space="preserve">  when (16#193#) =&gt;</t>
  </si>
  <si>
    <t xml:space="preserve">  when (16#194#) =&gt;</t>
  </si>
  <si>
    <t xml:space="preserve">  when (16#195#) =&gt;</t>
  </si>
  <si>
    <t xml:space="preserve">  when (16#196#) =&gt;</t>
  </si>
  <si>
    <t xml:space="preserve">  when (16#197#) =&gt;</t>
  </si>
  <si>
    <t xml:space="preserve">  when (16#198#) =&gt;</t>
  </si>
  <si>
    <t xml:space="preserve">  when (16#199#) =&gt;</t>
  </si>
  <si>
    <t xml:space="preserve">  when (16#19A#) =&gt;</t>
  </si>
  <si>
    <t xml:space="preserve">  when (16#19B#) =&gt;</t>
  </si>
  <si>
    <t xml:space="preserve">  when (16#19C#) =&gt;</t>
  </si>
  <si>
    <t xml:space="preserve">  when (16#19D#) =&gt;</t>
  </si>
  <si>
    <t xml:space="preserve">  when (16#19E#) =&gt;</t>
  </si>
  <si>
    <t xml:space="preserve">  when (16#19F#) =&gt;</t>
  </si>
  <si>
    <t xml:space="preserve">  when (16#1A0#) =&gt;</t>
  </si>
  <si>
    <t xml:space="preserve">  when (16#1A1#) =&gt;</t>
  </si>
  <si>
    <t xml:space="preserve">  when (16#1A2#) =&gt;</t>
  </si>
  <si>
    <t xml:space="preserve">  when (16#1A3#) =&gt;</t>
  </si>
  <si>
    <t xml:space="preserve">  when (16#1A4#) =&gt;</t>
  </si>
  <si>
    <t xml:space="preserve">  when (16#1A5#) =&gt;</t>
  </si>
  <si>
    <t xml:space="preserve">  when (16#1A6#) =&gt;</t>
  </si>
  <si>
    <t xml:space="preserve">  when (16#1A7#) =&gt;</t>
  </si>
  <si>
    <t xml:space="preserve">  when (16#1A8#) =&gt;</t>
  </si>
  <si>
    <t xml:space="preserve">  when (16#1A9#) =&gt;</t>
  </si>
  <si>
    <t xml:space="preserve">  when (16#1AA#) =&gt;</t>
  </si>
  <si>
    <t xml:space="preserve">  when (16#1AB#) =&gt;</t>
  </si>
  <si>
    <t xml:space="preserve">  when (16#1AC#) =&gt;</t>
  </si>
  <si>
    <t xml:space="preserve">  when (16#1AD#) =&gt;</t>
  </si>
  <si>
    <t xml:space="preserve">  when (16#1AE#) =&gt;</t>
  </si>
  <si>
    <t xml:space="preserve">  when (16#1AF#) =&gt;</t>
  </si>
  <si>
    <t xml:space="preserve">  when (16#1B0#) =&gt;</t>
  </si>
  <si>
    <t xml:space="preserve">  when (16#1B1#) =&gt;</t>
  </si>
  <si>
    <t xml:space="preserve">  when (16#1B2#) =&gt;</t>
  </si>
  <si>
    <t xml:space="preserve">  when (16#1B3#) =&gt;</t>
  </si>
  <si>
    <t xml:space="preserve">  when (16#1B4#) =&gt;</t>
  </si>
  <si>
    <t xml:space="preserve">  when (16#1B5#) =&gt;</t>
  </si>
  <si>
    <t xml:space="preserve">  when (16#1B6#) =&gt;</t>
  </si>
  <si>
    <t xml:space="preserve">  when (16#1B7#) =&gt;</t>
  </si>
  <si>
    <t xml:space="preserve">  when (16#1B8#) =&gt;</t>
  </si>
  <si>
    <t xml:space="preserve">  when (16#1B9#) =&gt;</t>
  </si>
  <si>
    <t xml:space="preserve">  when (16#1BA#) =&gt;</t>
  </si>
  <si>
    <t xml:space="preserve">  when (16#1BB#) =&gt;</t>
  </si>
  <si>
    <t xml:space="preserve">  when (16#1BC#) =&gt;</t>
  </si>
  <si>
    <t xml:space="preserve">  when (16#1BD#) =&gt;</t>
  </si>
  <si>
    <t xml:space="preserve">  when (16#1BE#) =&gt;</t>
  </si>
  <si>
    <t xml:space="preserve">  when (16#1BF#) =&gt;</t>
  </si>
  <si>
    <t xml:space="preserve">  when (16#1C0#) =&gt;</t>
  </si>
  <si>
    <t xml:space="preserve">  when (16#1C1#) =&gt;</t>
  </si>
  <si>
    <t xml:space="preserve">  when (16#1C2#) =&gt;</t>
  </si>
  <si>
    <t xml:space="preserve">  when (16#1C3#) =&gt;</t>
  </si>
  <si>
    <t xml:space="preserve">  when (16#1C4#) =&gt;</t>
  </si>
  <si>
    <t xml:space="preserve">  when (16#1C5#) =&gt;</t>
  </si>
  <si>
    <t xml:space="preserve">  when (16#1C6#) =&gt;</t>
  </si>
  <si>
    <t xml:space="preserve">  when (16#1C7#) =&gt;</t>
  </si>
  <si>
    <t xml:space="preserve">  when (16#1C8#) =&gt;</t>
  </si>
  <si>
    <t xml:space="preserve">  when (16#1C9#) =&gt;</t>
  </si>
  <si>
    <t xml:space="preserve">  when (16#1CA#) =&gt;</t>
  </si>
  <si>
    <t xml:space="preserve">  when (16#1CB#) =&gt;</t>
  </si>
  <si>
    <t xml:space="preserve">  when (16#1CC#) =&gt;</t>
  </si>
  <si>
    <t xml:space="preserve">  when (16#1CD#) =&gt;</t>
  </si>
  <si>
    <t xml:space="preserve">  when (16#1CE#) =&gt;</t>
  </si>
  <si>
    <t xml:space="preserve">  when (16#1CF#) =&gt;</t>
  </si>
  <si>
    <t xml:space="preserve">  when (16#1D0#) =&gt;</t>
  </si>
  <si>
    <t xml:space="preserve">  when (16#1D1#) =&gt;</t>
  </si>
  <si>
    <t xml:space="preserve">  when (16#1D2#) =&gt;</t>
  </si>
  <si>
    <t xml:space="preserve">  when (16#1D3#) =&gt;</t>
  </si>
  <si>
    <t xml:space="preserve">  when (16#1D4#) =&gt;</t>
  </si>
  <si>
    <t xml:space="preserve">  when (16#1D5#) =&gt;</t>
  </si>
  <si>
    <t xml:space="preserve">  when (16#1D6#) =&gt;</t>
  </si>
  <si>
    <t xml:space="preserve">  when (16#1D7#) =&gt;</t>
  </si>
  <si>
    <t xml:space="preserve">  when (16#1D8#) =&gt;</t>
  </si>
  <si>
    <t xml:space="preserve">  when (16#1D9#) =&gt;</t>
  </si>
  <si>
    <t xml:space="preserve">  when (16#1DA#) =&gt;</t>
  </si>
  <si>
    <t xml:space="preserve">  when (16#1DB#) =&gt;</t>
  </si>
  <si>
    <t xml:space="preserve">  when (16#1DC#)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</si>
  <si>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</si>
  <si>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</si>
  <si>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</si>
  <si>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</si>
  <si>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</si>
  <si>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</si>
  <si>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</si>
  <si>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</si>
  <si>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</si>
  <si>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</si>
  <si>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</si>
  <si>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</si>
  <si>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</si>
  <si>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</si>
  <si>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</si>
  <si>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</si>
  <si>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</si>
  <si>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</si>
  <si>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</si>
  <si>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</si>
  <si>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</si>
  <si>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</si>
  <si>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</si>
  <si>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</si>
  <si>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</si>
  <si>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</si>
  <si>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</si>
  <si>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</si>
  <si>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</si>
  <si>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</si>
  <si>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</si>
  <si>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</si>
  <si>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</si>
  <si>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</si>
  <si>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</si>
  <si>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</si>
  <si>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</si>
  <si>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</si>
  <si>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</si>
  <si>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</si>
  <si>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</si>
  <si>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</si>
  <si>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</si>
  <si>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</si>
  <si>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</si>
  <si>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</si>
  <si>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</si>
  <si>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</si>
  <si>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</si>
  <si>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</si>
  <si>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</si>
  <si>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</si>
  <si>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</si>
  <si>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</si>
  <si>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</si>
  <si>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</si>
  <si>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</si>
  <si>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</si>
  <si>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</si>
  <si>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</si>
  <si>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</si>
  <si>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</si>
  <si>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</si>
  <si>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</si>
  <si>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</si>
  <si>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</si>
  <si>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</si>
  <si>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</si>
  <si>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</si>
  <si>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</si>
  <si>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</si>
  <si>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</si>
  <si>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</si>
  <si>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</si>
  <si>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</si>
  <si>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</si>
  <si>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</si>
  <si>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</si>
  <si>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</si>
  <si>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</si>
  <si>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</si>
  <si>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</si>
  <si>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</si>
  <si>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</si>
  <si>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</si>
  <si>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</si>
  <si>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</si>
  <si>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</si>
  <si>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</si>
  <si>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</si>
  <si>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</si>
  <si>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</si>
  <si>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</si>
  <si>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</si>
  <si>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</si>
  <si>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</si>
  <si>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</si>
  <si>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</si>
  <si>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</si>
  <si>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</si>
  <si>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</si>
  <si>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</si>
  <si>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</si>
  <si>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</si>
  <si>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</si>
  <si>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</si>
  <si>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</si>
  <si>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</si>
  <si>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</si>
  <si>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</si>
  <si>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</si>
  <si>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</si>
  <si>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</si>
  <si>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</si>
  <si>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</si>
  <si>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</si>
  <si>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</si>
  <si>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</si>
  <si>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</si>
  <si>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</si>
  <si>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</si>
  <si>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</si>
  <si>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</si>
  <si>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</si>
  <si>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</si>
  <si>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</si>
  <si>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</si>
  <si>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</si>
  <si>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</si>
  <si>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</si>
  <si>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</si>
  <si>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</si>
  <si>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</si>
  <si>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</si>
  <si>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</si>
  <si>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</si>
  <si>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</si>
  <si>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</si>
  <si>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</si>
  <si>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</si>
  <si>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</si>
  <si>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</si>
  <si>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</si>
  <si>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</si>
  <si>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</si>
  <si>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</si>
  <si>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</si>
  <si>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</si>
  <si>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</si>
  <si>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</si>
  <si>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</si>
  <si>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</si>
  <si>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</si>
  <si>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</si>
  <si>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</si>
  <si>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</si>
  <si>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</si>
  <si>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</si>
  <si>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</si>
  <si>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</si>
  <si>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</si>
  <si>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</si>
  <si>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</si>
  <si>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</si>
  <si>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</si>
  <si>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</si>
  <si>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</si>
  <si>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</si>
  <si>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</si>
  <si>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</si>
  <si>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</si>
  <si>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</si>
  <si>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</si>
  <si>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</si>
  <si>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</si>
  <si>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</si>
  <si>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</si>
  <si>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</si>
  <si>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</si>
  <si>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</si>
  <si>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</si>
  <si>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</si>
  <si>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</si>
  <si>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</si>
  <si>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</si>
  <si>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</si>
  <si>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</si>
  <si>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</si>
  <si>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</si>
  <si>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</si>
  <si>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</si>
  <si>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</si>
  <si>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</si>
  <si>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</si>
  <si>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</si>
  <si>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</si>
  <si>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</si>
  <si>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</si>
  <si>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</si>
  <si>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</si>
  <si>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</si>
  <si>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</si>
  <si>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</si>
  <si>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</si>
  <si>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</si>
  <si>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</si>
  <si>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</si>
  <si>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</si>
  <si>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</si>
  <si>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</si>
  <si>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</si>
  <si>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</si>
  <si>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</si>
  <si>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</si>
  <si>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</si>
  <si>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</si>
  <si>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</si>
  <si>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</si>
  <si>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</si>
  <si>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</si>
  <si>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</si>
  <si>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</si>
  <si>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</si>
  <si>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</si>
  <si>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</si>
  <si>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</si>
  <si>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</si>
  <si>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</si>
  <si>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</si>
  <si>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</si>
  <si>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</si>
  <si>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</si>
  <si>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</si>
  <si>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</si>
  <si>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</si>
  <si>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</si>
  <si>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</si>
  <si>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</si>
  <si>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</si>
  <si>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</si>
  <si>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</si>
  <si>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</si>
  <si>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</si>
  <si>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</si>
  <si>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</si>
  <si>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</si>
  <si>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</si>
  <si>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</si>
  <si>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</si>
  <si>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</si>
  <si>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</si>
  <si>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</si>
  <si>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</si>
  <si>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</si>
  <si>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</si>
  <si>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</si>
  <si>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</si>
  <si>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</si>
  <si>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</si>
  <si>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</si>
  <si>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</si>
  <si>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</si>
  <si>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</si>
  <si>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</si>
  <si>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</si>
  <si>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</si>
  <si>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</si>
  <si>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</si>
  <si>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</si>
  <si>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</si>
  <si>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</si>
  <si>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</si>
  <si>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</si>
  <si>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</si>
  <si>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</si>
  <si>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</si>
  <si>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</si>
  <si>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</si>
  <si>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</si>
  <si>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</si>
  <si>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</si>
  <si>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</si>
  <si>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</si>
  <si>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</si>
  <si>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</si>
  <si>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</si>
  <si>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</si>
  <si>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</si>
  <si>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</si>
  <si>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</si>
  <si>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</si>
  <si>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</si>
  <si>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</si>
  <si>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</si>
  <si>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</si>
  <si>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</si>
  <si>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</si>
  <si>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</si>
  <si>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</si>
  <si>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</si>
  <si>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</si>
  <si>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</si>
  <si>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</si>
  <si>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</si>
  <si>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</si>
  <si>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</si>
  <si>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</si>
  <si>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</si>
  <si>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</si>
  <si>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</si>
  <si>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</si>
  <si>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</si>
  <si>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</si>
  <si>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</si>
  <si>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</si>
  <si>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</si>
  <si>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</si>
  <si>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</si>
  <si>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</si>
  <si>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</si>
  <si>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</si>
  <si>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</si>
  <si>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</si>
  <si>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</si>
  <si>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</si>
  <si>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</si>
  <si>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</si>
  <si>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</si>
  <si>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</si>
  <si>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</si>
  <si>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</si>
  <si>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</si>
  <si>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</si>
  <si>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</si>
  <si>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</si>
  <si>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</si>
  <si>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</si>
  <si>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</si>
  <si>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</si>
  <si>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</si>
  <si>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</si>
  <si>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</si>
  <si>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</si>
  <si>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</si>
  <si>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</si>
  <si>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</si>
  <si>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</si>
  <si>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</si>
  <si>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</si>
  <si>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</si>
  <si>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</si>
  <si>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</si>
  <si>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</si>
  <si>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</si>
  <si>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</si>
  <si>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</si>
  <si>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</si>
  <si>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</si>
  <si>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</si>
  <si>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</si>
  <si>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</si>
  <si>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</si>
  <si>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</si>
  <si>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</si>
  <si>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</si>
  <si>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</si>
  <si>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</si>
  <si>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</si>
  <si>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</si>
  <si>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</si>
  <si>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</si>
  <si>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</si>
  <si>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</si>
  <si>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</si>
  <si>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</si>
  <si>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</si>
  <si>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</si>
  <si>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</si>
  <si>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</si>
  <si>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</si>
  <si>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</si>
  <si>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</si>
  <si>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</si>
  <si>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</si>
  <si>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</si>
  <si>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</si>
  <si>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</si>
  <si>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</si>
  <si>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</si>
  <si>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</si>
  <si>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</si>
  <si>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</si>
  <si>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</si>
  <si>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</si>
  <si>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</si>
  <si>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</si>
  <si>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</si>
  <si>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</si>
  <si>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</si>
  <si>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</si>
  <si>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</si>
  <si>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</si>
  <si>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</si>
  <si>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</si>
  <si>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</si>
  <si>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</si>
  <si>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</si>
  <si>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</si>
  <si>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</si>
  <si>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</si>
  <si>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</si>
  <si>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</si>
  <si>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</si>
  <si>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</si>
  <si>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</si>
  <si>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</si>
  <si>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</si>
  <si>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</si>
  <si>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</si>
  <si>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</si>
  <si>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</si>
  <si>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</si>
  <si>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</si>
  <si>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</si>
  <si>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</si>
  <si>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</si>
  <si>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</si>
  <si>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</si>
  <si>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</si>
  <si>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</si>
  <si>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</si>
  <si>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</si>
  <si>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</si>
  <si>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</si>
  <si>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</si>
  <si>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</si>
  <si>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</si>
  <si>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</si>
  <si>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</si>
  <si>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</si>
  <si>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</si>
  <si>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</si>
  <si>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</si>
  <si>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</si>
  <si>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</si>
  <si>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</si>
  <si>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</si>
  <si>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</si>
  <si>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</si>
  <si>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</si>
  <si>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</si>
  <si>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</si>
  <si>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</si>
  <si>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</si>
  <si>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</si>
  <si>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</si>
  <si>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</si>
  <si>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</si>
  <si>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</si>
  <si>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</si>
  <si>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</si>
  <si>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</si>
  <si>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</si>
  <si>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</si>
  <si>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</si>
  <si>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</si>
  <si>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</si>
  <si>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</si>
  <si>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</si>
  <si>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</si>
  <si>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</si>
  <si>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</si>
  <si>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</si>
  <si>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</si>
  <si>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</si>
  <si>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</si>
  <si>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</si>
  <si>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</si>
  <si>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</si>
  <si>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</si>
  <si>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</si>
  <si>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</si>
  <si>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</si>
  <si>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</si>
  <si>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</si>
  <si>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</si>
  <si>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</si>
  <si>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</si>
  <si>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</si>
  <si>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</si>
  <si>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</si>
  <si>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</si>
  <si>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</si>
  <si>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</si>
  <si>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</si>
  <si>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</si>
  <si>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</si>
  <si>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</si>
  <si>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</si>
  <si>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</si>
  <si>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</si>
  <si>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</si>
  <si>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</si>
  <si>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</si>
  <si>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</si>
  <si>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</si>
  <si>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</si>
  <si>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</si>
  <si>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</si>
  <si>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</si>
  <si>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</si>
  <si>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</si>
  <si>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</si>
  <si>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</si>
  <si>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</si>
  <si>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</si>
  <si>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</si>
  <si>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</si>
  <si>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</si>
  <si>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</si>
  <si>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</si>
  <si>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</si>
  <si>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</si>
  <si>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</si>
  <si>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</si>
  <si>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</si>
  <si>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</si>
  <si>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</si>
  <si>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</si>
  <si>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</si>
  <si>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</si>
  <si>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</si>
  <si>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</si>
  <si>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</si>
  <si>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</si>
  <si>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</si>
  <si>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</si>
  <si>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</si>
  <si>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</si>
  <si>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</si>
  <si>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</si>
  <si>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</si>
  <si>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</si>
  <si>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</si>
  <si>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</si>
  <si>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</si>
  <si>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</si>
  <si>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</si>
  <si>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</si>
  <si>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</si>
  <si>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</si>
  <si>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</si>
  <si>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</si>
  <si>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</si>
  <si>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</si>
  <si>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</si>
  <si>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</si>
  <si>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</si>
  <si>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</si>
  <si>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</si>
  <si>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</si>
  <si>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</si>
  <si>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</si>
  <si>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</si>
  <si>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</si>
  <si>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</si>
  <si>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</si>
  <si>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</si>
  <si>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</si>
  <si>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</si>
  <si>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</si>
  <si>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</si>
  <si>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</si>
  <si>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</si>
  <si>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</si>
  <si>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</si>
  <si>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</si>
  <si>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</si>
  <si>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</si>
  <si>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</si>
  <si>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</si>
  <si>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</si>
  <si>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</si>
  <si>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</si>
  <si>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</si>
  <si>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</si>
  <si>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</si>
  <si>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</si>
  <si>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</si>
  <si>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</si>
  <si>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</si>
  <si>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</si>
  <si>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</si>
  <si>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</si>
  <si>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</si>
  <si>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</si>
  <si>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</si>
  <si>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</si>
  <si>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</si>
  <si>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</si>
  <si>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</si>
  <si>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</si>
  <si>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</si>
  <si>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</si>
  <si>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</si>
  <si>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</si>
  <si>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</si>
  <si>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</si>
  <si>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</si>
  <si>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</si>
  <si>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</si>
  <si>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</si>
  <si>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</si>
  <si>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</si>
  <si>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</si>
  <si>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</si>
  <si>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</si>
  <si>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</si>
  <si>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</si>
  <si>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</si>
  <si>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</si>
  <si>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</si>
  <si>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</si>
  <si>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</si>
  <si>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</si>
  <si>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</si>
  <si>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</si>
  <si>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</si>
  <si>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</si>
  <si>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</si>
  <si>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</si>
  <si>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</si>
  <si>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</si>
  <si>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</si>
  <si>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</si>
  <si>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</si>
  <si>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</si>
  <si>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</si>
  <si>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</si>
  <si>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</si>
  <si>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</si>
  <si>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</si>
  <si>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</si>
  <si>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</si>
  <si>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</si>
  <si>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</si>
  <si>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</si>
  <si>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</si>
  <si>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</si>
  <si>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</si>
  <si>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</si>
  <si>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</si>
  <si>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</si>
  <si>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</si>
  <si>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</si>
  <si>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</si>
  <si>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</si>
  <si>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</si>
  <si>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</si>
  <si>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</si>
  <si>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</si>
  <si>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</si>
  <si>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</si>
  <si>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</si>
  <si>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</si>
  <si>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</si>
  <si>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</si>
  <si>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</si>
  <si>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</si>
  <si>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</si>
  <si>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</si>
  <si>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</si>
  <si>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</si>
  <si>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</si>
  <si>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</si>
  <si>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</si>
  <si>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</si>
  <si>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</si>
  <si>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</si>
  <si>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</si>
  <si>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</si>
  <si>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</si>
  <si>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</si>
  <si>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</si>
  <si>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</si>
  <si>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</si>
  <si>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</si>
  <si>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</si>
  <si>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</si>
  <si>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</si>
  <si>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</si>
  <si>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</si>
  <si>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</si>
  <si>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</si>
  <si>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</si>
  <si>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</si>
  <si>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</si>
  <si>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</si>
  <si>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</si>
  <si>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</si>
  <si>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</si>
  <si>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</si>
  <si>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</si>
  <si>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</si>
  <si>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</si>
  <si>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</si>
  <si>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</si>
  <si>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</si>
  <si>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</si>
  <si>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</si>
  <si>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</si>
  <si>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</si>
  <si>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</si>
  <si>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</si>
  <si>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</si>
  <si>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</si>
  <si>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</si>
  <si>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</si>
  <si>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</si>
  <si>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</si>
  <si>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</si>
  <si>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</si>
  <si>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</si>
  <si>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</si>
  <si>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</si>
  <si>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</si>
  <si>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</si>
  <si>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</si>
  <si>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</si>
  <si>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</si>
  <si>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</si>
  <si>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</si>
  <si>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</si>
  <si>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</si>
  <si>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</si>
  <si>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</si>
  <si>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</si>
  <si>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</si>
  <si>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</si>
  <si>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</si>
  <si>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</si>
  <si>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</si>
  <si>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</si>
  <si>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</si>
  <si>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</si>
  <si>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</si>
  <si>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</si>
  <si>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</si>
  <si>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</si>
  <si>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</si>
  <si>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</si>
  <si>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</si>
  <si>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</si>
  <si>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</si>
  <si>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</si>
  <si>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</si>
  <si>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</si>
  <si>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</si>
  <si>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</si>
  <si>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</si>
  <si>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</si>
  <si>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</si>
  <si>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</si>
  <si>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</si>
  <si>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</si>
  <si>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</si>
  <si>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</si>
  <si>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</si>
  <si>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</si>
  <si>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</si>
  <si>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</si>
  <si>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</si>
  <si>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</si>
  <si>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</si>
  <si>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</si>
  <si>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</si>
  <si>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</si>
  <si>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</si>
  <si>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</si>
  <si>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</si>
  <si>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</si>
  <si>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</si>
  <si>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</si>
  <si>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</si>
  <si>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</si>
  <si>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</si>
  <si>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</si>
  <si>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</si>
  <si>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</si>
  <si>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</si>
  <si>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</si>
  <si>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</si>
  <si>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</si>
  <si>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</si>
  <si>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</si>
  <si>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</si>
  <si>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</si>
  <si>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</si>
  <si>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</si>
  <si>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</si>
  <si>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</si>
  <si>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</si>
  <si>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</si>
  <si>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</si>
  <si>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</si>
  <si>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</si>
  <si>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</si>
  <si>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</si>
  <si>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</si>
  <si>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</si>
  <si>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</si>
  <si>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</si>
  <si>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</si>
  <si>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</si>
  <si>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</si>
  <si>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</si>
  <si>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</si>
  <si>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</si>
  <si>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</si>
  <si>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</si>
  <si>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</si>
  <si>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</si>
  <si>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</si>
  <si>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</si>
  <si>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</si>
  <si>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</si>
  <si>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</si>
  <si>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</si>
  <si>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</si>
  <si>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</si>
  <si>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</si>
  <si>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</si>
  <si>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</si>
  <si>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</si>
  <si>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</si>
  <si>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</si>
  <si>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</si>
  <si>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</si>
  <si>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</si>
  <si>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</si>
  <si>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</si>
  <si>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</si>
  <si>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</si>
  <si>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</si>
  <si>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</si>
  <si>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</si>
  <si>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</si>
  <si>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</si>
  <si>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</si>
  <si>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rmap_registers_wr_o.aeb_crit_cfg_aeb_control.new_state &lt;= avalon_mm_rmap_i.writedata(3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</si>
  <si>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</si>
  <si>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</si>
  <si>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</si>
  <si>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</si>
  <si>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</si>
  <si>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</si>
  <si>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</si>
  <si>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</si>
  <si>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</si>
  <si>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rmap_registers_wr_o.aeb_crit_cfg_aeb_config.reserved_0 &lt;= avalon_mm_rmap_i.writedata(21 downto 16);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</si>
  <si>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</si>
  <si>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</si>
  <si>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</si>
  <si>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</si>
  <si>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</si>
  <si>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</si>
  <si>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</si>
  <si>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</si>
  <si>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</si>
  <si>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</si>
  <si>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</si>
  <si>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</si>
  <si>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</si>
  <si>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</si>
  <si>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</si>
  <si>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</si>
  <si>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</si>
  <si>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</si>
  <si>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</si>
  <si>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</si>
  <si>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</si>
  <si>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</si>
  <si>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</si>
  <si>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</si>
  <si>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</si>
  <si>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</si>
  <si>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</si>
  <si>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</si>
  <si>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</si>
  <si>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</si>
  <si>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</si>
  <si>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</si>
  <si>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</si>
  <si>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</si>
  <si>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</si>
  <si>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rmap_registers_wr_o.aeb_crit_cfg_aeb_config_pattern.pattern_ccdid &lt;= avalon_mm_rmap_i.writedata(9 downto 8);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</si>
  <si>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</si>
  <si>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</si>
  <si>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</si>
  <si>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</si>
  <si>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</si>
  <si>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</si>
  <si>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</si>
  <si>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</si>
  <si>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</si>
  <si>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</si>
  <si>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</si>
  <si>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</si>
  <si>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</si>
  <si>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</si>
  <si>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</si>
  <si>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</si>
  <si>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</si>
  <si>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</si>
  <si>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</si>
  <si>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</si>
  <si>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</si>
  <si>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</si>
  <si>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</si>
  <si>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</si>
  <si>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</si>
  <si>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</si>
  <si>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</si>
  <si>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</si>
  <si>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</si>
  <si>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</si>
  <si>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</si>
  <si>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</si>
  <si>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</si>
  <si>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</si>
  <si>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</si>
  <si>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</si>
  <si>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</si>
  <si>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</si>
  <si>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</si>
  <si>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</si>
  <si>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</si>
  <si>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</si>
  <si>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</si>
  <si>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</si>
  <si>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</si>
  <si>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</si>
  <si>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</si>
  <si>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</si>
  <si>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</si>
  <si>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</si>
  <si>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</si>
  <si>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</si>
  <si>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</si>
  <si>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</si>
  <si>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</si>
  <si>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</si>
  <si>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</si>
  <si>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</si>
  <si>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</si>
  <si>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</si>
  <si>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</si>
  <si>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</si>
  <si>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</si>
  <si>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</si>
  <si>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</si>
  <si>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</si>
  <si>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</si>
  <si>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</si>
  <si>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</si>
  <si>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</si>
  <si>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</si>
  <si>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</si>
  <si>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</si>
  <si>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</si>
  <si>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</si>
  <si>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</si>
  <si>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</si>
  <si>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</si>
  <si>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</si>
  <si>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</si>
  <si>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</si>
  <si>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</si>
  <si>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</si>
  <si>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</si>
  <si>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</si>
  <si>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</si>
  <si>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</si>
  <si>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</si>
  <si>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</si>
  <si>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</si>
  <si>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</si>
  <si>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</si>
  <si>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</si>
  <si>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</si>
  <si>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</si>
  <si>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</si>
  <si>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</si>
  <si>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</si>
  <si>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</si>
  <si>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</si>
  <si>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</si>
  <si>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</si>
  <si>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</si>
  <si>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</si>
  <si>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</si>
  <si>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</si>
  <si>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</si>
  <si>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</si>
  <si>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</si>
  <si>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</si>
  <si>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</si>
  <si>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</si>
  <si>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</si>
  <si>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</si>
  <si>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</si>
  <si>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</si>
  <si>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</si>
  <si>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</si>
  <si>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</si>
  <si>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</si>
  <si>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</si>
  <si>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</si>
  <si>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</si>
  <si>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</si>
  <si>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</si>
  <si>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</si>
  <si>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</si>
  <si>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</si>
  <si>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</si>
  <si>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</si>
  <si>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</si>
  <si>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</si>
  <si>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</si>
  <si>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</si>
  <si>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</si>
  <si>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</si>
  <si>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</si>
  <si>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</si>
  <si>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</si>
  <si>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</si>
  <si>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</si>
  <si>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</si>
  <si>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</si>
  <si>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</si>
  <si>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</si>
  <si>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</si>
  <si>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</si>
  <si>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</si>
  <si>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</si>
  <si>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</si>
  <si>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</si>
  <si>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</si>
  <si>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</si>
  <si>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</si>
  <si>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</si>
  <si>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</si>
  <si>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</si>
  <si>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</si>
  <si>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</si>
  <si>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</si>
  <si>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</si>
  <si>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</si>
  <si>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</si>
  <si>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</si>
  <si>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</si>
  <si>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</si>
  <si>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</si>
  <si>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</si>
  <si>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</si>
  <si>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</si>
  <si>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</si>
  <si>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</si>
  <si>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</si>
  <si>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</si>
  <si>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</si>
  <si>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</si>
  <si>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</si>
  <si>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</si>
  <si>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</si>
  <si>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</si>
  <si>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</si>
  <si>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</si>
  <si>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</si>
  <si>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</si>
  <si>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</si>
  <si>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</si>
  <si>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rmap_registers_wr_o.aeb_gen_cfg_seq_config_2.adc_clk_low_pos &lt;= avalon_mm_rmap_i.writedata(15 downto 8);</t>
  </si>
  <si>
    <t xml:space="preserve">      rmap_registers_wr_o.aeb_gen_cfg_seq_config_2.adc_clk_high_pos &lt;= avalon_mm_rmap_i.writedata(23 downto 16);</t>
  </si>
  <si>
    <t xml:space="preserve">      rmap_registers_wr_o.aeb_gen_cfg_seq_config_2.cds_clk_low_pos &lt;= avalon_mm_rmap_i.writedata(31 downto 24);</t>
  </si>
  <si>
    <t xml:space="preserve">      rmap_registers_wr_o.aeb_gen_cfg_seq_config_2.cds_clk_high_pos &lt;= avalon_mm_rmap_i.writedata(7 downto 0);</t>
  </si>
  <si>
    <t xml:space="preserve">      rmap_registers_wr_o.aeb_gen_cfg_seq_config_3.rphir_clk_low_pos &lt;= avalon_mm_rmap_i.writedata(15 downto 8);</t>
  </si>
  <si>
    <t xml:space="preserve">      rmap_registers_wr_o.aeb_gen_cfg_seq_config_3.rphir_clk_high_pos &lt;= avalon_mm_rmap_i.writedata(23 downto 16);</t>
  </si>
  <si>
    <t xml:space="preserve">      rmap_registers_wr_o.aeb_gen_cfg_seq_config_3.rphi1_clk_low_pos &lt;= avalon_mm_rmap_i.writedata(31 downto 24);</t>
  </si>
  <si>
    <t xml:space="preserve">      rmap_registers_wr_o.aeb_gen_cfg_seq_config_3.rphi1_clk_high_pos &lt;= avalon_mm_rmap_i.writedata(7 downto 0);</t>
  </si>
  <si>
    <t xml:space="preserve">      rmap_registers_wr_o.aeb_gen_cfg_seq_config_4.rphi2_clk_low_pos &lt;= avalon_mm_rmap_i.writedata(15 downto 8);</t>
  </si>
  <si>
    <t xml:space="preserve">      rmap_registers_wr_o.aeb_gen_cfg_seq_config_4.rphi2_clk_high_pos &lt;= avalon_mm_rmap_i.writedata(23 downto 16);</t>
  </si>
  <si>
    <t xml:space="preserve">      rmap_registers_wr_o.aeb_gen_cfg_seq_config_4.rphi3_clk_low_pos &lt;= avalon_mm_rmap_i.writedata(31 downto 24);</t>
  </si>
  <si>
    <t xml:space="preserve">      rmap_registers_wr_o.aeb_gen_cfg_seq_config_4.rphi3_clk_high_pos &lt;= avalon_mm_rmap_i.writedata(7 downto 0);</t>
  </si>
  <si>
    <t xml:space="preserve">      rmap_registers_wr_o.aeb_gen_cfg_seq_config_5.sw_clk_low_pos &lt;= avalon_mm_rmap_i.writedata(15 downto 8);</t>
  </si>
  <si>
    <t xml:space="preserve">      rmap_registers_wr_o.aeb_gen_cfg_seq_config_5.sw_clk_high_pos &lt;= avalon_mm_rmap_i.writedata(23 downto 16);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</si>
  <si>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</si>
  <si>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</si>
  <si>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</si>
  <si>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</si>
  <si>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</si>
  <si>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</si>
  <si>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</si>
  <si>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</si>
  <si>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</si>
  <si>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</si>
  <si>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</si>
  <si>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</si>
  <si>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</si>
  <si>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</si>
  <si>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</si>
  <si>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</si>
  <si>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</si>
  <si>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</si>
  <si>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</si>
  <si>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</si>
  <si>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</si>
  <si>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</si>
  <si>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</si>
  <si>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</si>
  <si>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</si>
  <si>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</si>
  <si>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</si>
  <si>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</si>
  <si>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</si>
  <si>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</si>
  <si>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</si>
  <si>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</si>
  <si>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</si>
  <si>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</si>
  <si>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</si>
  <si>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</si>
  <si>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</si>
  <si>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</si>
  <si>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</si>
  <si>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</si>
  <si>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</si>
  <si>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</si>
  <si>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</si>
  <si>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</si>
  <si>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</si>
  <si>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rmap_registers_wr_o.aeb_gen_cfg_seq_config_13.reserved_0 &lt;= avalon_mm_rmap_i.writedata(17 downto 16);</t>
  </si>
  <si>
    <t xml:space="preserve">      rmap_registers_wr_o.aeb_gen_cfg_seq_config_13.int1_loop_cnt(7 downto 0) &lt;= avalon_mm_rmap_i.writedata(7 downto 0);</t>
  </si>
  <si>
    <t xml:space="preserve">      rmap_registers_wr_o.aeb_gen_cfg_seq_config_13.int1_loop_cnt(13 downto 8) &lt;= avalon_mm_rmap_i.writedata(13 downto 8);</t>
  </si>
  <si>
    <t xml:space="preserve">      rmap_registers_wr_o.aeb_gen_cfg_seq_config_13.reserved_1 &lt;= avalon_mm_rmap_i.writedata(17 downto 16);</t>
  </si>
  <si>
    <t xml:space="preserve">      rmap_registers_wr_o.aeb_gen_cfg_seq_config_13.int2_loop_cnt(7 downto 0) &lt;= avalon_mm_rmap_i.writedata(7 downto 0);</t>
  </si>
  <si>
    <t xml:space="preserve">      rmap_registers_wr_o.aeb_gen_cfg_seq_config_13.int2_loop_cnt(13 downto 8) &lt;= avalon_mm_rmap_i.writedata(13 downto 8);</t>
  </si>
  <si>
    <t xml:space="preserve">      rmap_registers_wr_o.aeb_gen_cfg_seq_config_14.reserved_0 &lt;= avalon_mm_rmap_i.writedata(22 downto 16);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</si>
  <si>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</si>
  <si>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</si>
  <si>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</si>
  <si>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</si>
  <si>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</si>
  <si>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</si>
  <si>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</si>
  <si>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</si>
  <si>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</si>
  <si>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</si>
  <si>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</si>
  <si>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</si>
  <si>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</si>
  <si>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</si>
  <si>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</si>
  <si>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</si>
  <si>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</si>
  <si>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</si>
  <si>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</si>
  <si>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</si>
  <si>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</si>
  <si>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</si>
  <si>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</si>
  <si>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</si>
  <si>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</si>
  <si>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</si>
  <si>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</si>
  <si>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</si>
  <si>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</si>
  <si>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</si>
  <si>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</si>
  <si>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</si>
  <si>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</si>
  <si>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</si>
  <si>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</si>
  <si>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</si>
  <si>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</si>
  <si>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</si>
  <si>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</si>
  <si>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</si>
  <si>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</si>
  <si>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</si>
  <si>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</si>
  <si>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</si>
  <si>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</si>
  <si>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</si>
  <si>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</si>
  <si>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</si>
  <si>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</si>
  <si>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</si>
  <si>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</si>
  <si>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</si>
  <si>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</si>
  <si>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</si>
  <si>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</si>
  <si>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</si>
  <si>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</si>
  <si>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</si>
  <si>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</si>
  <si>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</si>
  <si>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</si>
  <si>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</si>
  <si>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</si>
  <si>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</si>
  <si>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</si>
  <si>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</si>
  <si>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</si>
  <si>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</si>
  <si>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</si>
  <si>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</si>
  <si>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</si>
  <si>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</si>
  <si>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</si>
  <si>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</si>
  <si>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</si>
  <si>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</si>
  <si>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</si>
  <si>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</si>
  <si>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</si>
  <si>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</si>
  <si>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</si>
  <si>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</si>
  <si>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</si>
  <si>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</si>
  <si>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</si>
  <si>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</si>
  <si>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</si>
  <si>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</si>
  <si>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</si>
  <si>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</si>
  <si>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</si>
  <si>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</si>
  <si>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</si>
  <si>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</si>
  <si>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</si>
  <si>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</si>
  <si>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</si>
  <si>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</si>
  <si>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</si>
  <si>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</si>
  <si>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</si>
  <si>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</si>
  <si>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</si>
  <si>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</si>
  <si>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</si>
  <si>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</si>
  <si>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</si>
  <si>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</si>
  <si>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</si>
  <si>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</si>
  <si>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</si>
  <si>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</si>
  <si>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</si>
  <si>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</si>
  <si>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</si>
  <si>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</si>
  <si>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</si>
  <si>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</si>
  <si>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</si>
  <si>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</si>
  <si>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</si>
  <si>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</si>
  <si>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</si>
  <si>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</si>
  <si>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</si>
  <si>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</si>
  <si>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</si>
  <si>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</si>
  <si>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</si>
  <si>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</si>
  <si>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</si>
  <si>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</si>
  <si>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</si>
  <si>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</si>
  <si>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</si>
  <si>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</si>
  <si>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</si>
  <si>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</si>
  <si>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</si>
  <si>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</si>
  <si>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</si>
  <si>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</si>
  <si>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</si>
  <si>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</si>
  <si>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</si>
  <si>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</si>
  <si>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</si>
  <si>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</si>
  <si>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</si>
  <si>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</si>
  <si>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</si>
  <si>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</si>
  <si>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</si>
  <si>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</si>
  <si>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</si>
  <si>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</si>
  <si>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</si>
  <si>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</si>
  <si>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</si>
  <si>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</si>
  <si>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</si>
  <si>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</si>
  <si>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</si>
  <si>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</si>
  <si>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</si>
  <si>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</si>
  <si>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</si>
  <si>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</si>
  <si>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</si>
  <si>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</si>
  <si>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</si>
  <si>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</si>
  <si>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</si>
  <si>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</si>
  <si>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</si>
  <si>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</si>
  <si>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</si>
  <si>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</si>
  <si>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</si>
  <si>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</si>
  <si>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</si>
  <si>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</si>
  <si>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</si>
  <si>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</si>
  <si>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</si>
  <si>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</si>
  <si>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</si>
  <si>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</si>
  <si>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</si>
  <si>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</si>
  <si>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</si>
  <si>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</si>
  <si>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</si>
  <si>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</si>
  <si>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</si>
  <si>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</si>
  <si>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</si>
  <si>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</si>
  <si>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</si>
  <si>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</si>
  <si>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</si>
  <si>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</si>
  <si>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</si>
  <si>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</si>
  <si>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</si>
  <si>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</si>
  <si>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</si>
  <si>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</si>
  <si>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</si>
  <si>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</si>
  <si>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</si>
  <si>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</si>
  <si>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</si>
  <si>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</si>
  <si>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</si>
  <si>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</si>
  <si>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</si>
  <si>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</si>
  <si>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</si>
  <si>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</si>
  <si>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</si>
  <si>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</si>
  <si>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</si>
  <si>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</si>
  <si>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</si>
  <si>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</si>
  <si>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</si>
  <si>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</si>
  <si>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</si>
  <si>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</si>
  <si>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</si>
  <si>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</si>
  <si>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</si>
  <si>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</si>
  <si>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</si>
  <si>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</si>
  <si>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</si>
  <si>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</si>
  <si>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</si>
  <si>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</si>
  <si>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</si>
  <si>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</si>
  <si>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</si>
  <si>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</si>
  <si>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</si>
  <si>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</si>
  <si>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</si>
  <si>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</si>
  <si>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</si>
  <si>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</si>
  <si>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</si>
  <si>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</si>
  <si>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</si>
  <si>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</si>
  <si>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</si>
  <si>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</si>
  <si>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</si>
  <si>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</si>
  <si>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</si>
  <si>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</si>
  <si>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</si>
  <si>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</si>
  <si>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</si>
  <si>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</si>
  <si>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</si>
  <si>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</si>
  <si>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</si>
  <si>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</si>
  <si>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</si>
  <si>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</si>
  <si>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</si>
  <si>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</si>
  <si>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</si>
  <si>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</si>
  <si>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</si>
  <si>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</si>
  <si>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</si>
  <si>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</si>
  <si>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</si>
  <si>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</si>
  <si>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</si>
  <si>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</si>
  <si>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</si>
  <si>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</si>
  <si>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</si>
  <si>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</si>
  <si>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</si>
  <si>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</si>
  <si>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</si>
  <si>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</si>
  <si>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</si>
  <si>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</si>
  <si>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</si>
  <si>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</si>
  <si>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</si>
  <si>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</si>
  <si>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</si>
  <si>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</si>
  <si>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</si>
  <si>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</si>
  <si>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</si>
  <si>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</si>
  <si>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</si>
  <si>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</si>
  <si>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</si>
  <si>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</si>
  <si>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</si>
  <si>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</si>
  <si>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</si>
  <si>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</si>
  <si>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</si>
  <si>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</si>
  <si>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</si>
  <si>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</si>
  <si>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</si>
  <si>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</si>
  <si>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</si>
  <si>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</si>
  <si>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</si>
  <si>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</si>
  <si>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</si>
  <si>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</si>
  <si>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</si>
  <si>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</si>
  <si>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</si>
  <si>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</si>
  <si>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</si>
  <si>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</si>
  <si>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</si>
  <si>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</si>
  <si>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</si>
  <si>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</si>
  <si>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</si>
  <si>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</si>
  <si>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</si>
  <si>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</si>
  <si>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</si>
  <si>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</si>
  <si>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</si>
  <si>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</si>
  <si>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</si>
  <si>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</si>
  <si>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</si>
  <si>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</si>
  <si>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</si>
  <si>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</si>
  <si>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</si>
  <si>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</si>
  <si>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</si>
  <si>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</si>
  <si>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</si>
  <si>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</si>
  <si>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</si>
  <si>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</si>
  <si>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</si>
  <si>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</si>
  <si>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</si>
  <si>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</si>
  <si>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</si>
  <si>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</si>
  <si>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</si>
  <si>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</si>
  <si>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</si>
  <si>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</si>
  <si>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</si>
  <si>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</si>
  <si>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</si>
  <si>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</si>
  <si>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</si>
  <si>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</si>
  <si>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</si>
  <si>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</si>
  <si>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</si>
  <si>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</si>
  <si>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</si>
  <si>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</si>
  <si>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</si>
  <si>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</si>
  <si>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</si>
  <si>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</si>
  <si>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</si>
  <si>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</si>
  <si>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</si>
  <si>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</si>
  <si>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</si>
  <si>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</si>
  <si>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</si>
  <si>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</si>
  <si>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</si>
  <si>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</si>
  <si>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</si>
  <si>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</si>
  <si>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</si>
  <si>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</si>
  <si>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</si>
  <si>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</si>
  <si>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</si>
  <si>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</si>
  <si>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</si>
  <si>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</si>
  <si>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</si>
  <si>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</si>
  <si>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</si>
  <si>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</si>
  <si>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</si>
  <si>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</si>
  <si>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</si>
  <si>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</si>
  <si>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</si>
  <si>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</si>
  <si>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</si>
  <si>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</si>
  <si>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</si>
  <si>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</si>
  <si>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</si>
  <si>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</si>
  <si>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</si>
  <si>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</si>
  <si>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</si>
  <si>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</si>
  <si>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</si>
  <si>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</si>
  <si>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</si>
  <si>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</si>
  <si>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</si>
  <si>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</si>
  <si>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</si>
  <si>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</si>
  <si>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</si>
  <si>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</si>
  <si>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</si>
  <si>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</si>
  <si>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</si>
  <si>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</si>
  <si>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</si>
  <si>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</si>
  <si>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</si>
  <si>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</si>
  <si>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</si>
  <si>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</si>
  <si>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</si>
  <si>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</si>
  <si>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</si>
  <si>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</si>
  <si>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</si>
  <si>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</si>
  <si>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</si>
  <si>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</si>
  <si>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</si>
  <si>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</si>
  <si>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</si>
  <si>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</si>
  <si>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</si>
  <si>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</si>
  <si>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</si>
  <si>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</si>
  <si>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</si>
  <si>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</si>
  <si>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</si>
  <si>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</si>
  <si>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</si>
  <si>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</si>
  <si>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</si>
  <si>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</si>
  <si>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</si>
  <si>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</si>
  <si>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</si>
  <si>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</si>
  <si>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</si>
  <si>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</si>
  <si>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</si>
  <si>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</si>
  <si>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</si>
  <si>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</si>
  <si>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</si>
  <si>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</si>
  <si>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</si>
  <si>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</si>
  <si>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</si>
  <si>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</si>
  <si>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</si>
  <si>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</si>
  <si>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</si>
  <si>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</si>
  <si>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</si>
  <si>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</si>
  <si>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</si>
  <si>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</si>
  <si>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</si>
  <si>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</si>
  <si>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</si>
  <si>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</si>
  <si>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</si>
  <si>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</si>
  <si>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</si>
  <si>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</si>
  <si>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</si>
  <si>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</si>
  <si>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</si>
  <si>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</si>
  <si>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</si>
  <si>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</si>
  <si>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</si>
  <si>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</si>
  <si>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</si>
  <si>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</si>
  <si>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</si>
  <si>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</si>
  <si>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</si>
  <si>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</si>
  <si>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</si>
  <si>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</si>
  <si>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</si>
  <si>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</si>
  <si>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</si>
  <si>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</si>
  <si>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</si>
  <si>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</si>
  <si>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</si>
  <si>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</si>
  <si>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</si>
  <si>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</si>
  <si>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</si>
  <si>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</si>
  <si>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</si>
  <si>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</si>
  <si>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</si>
  <si>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</si>
  <si>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</si>
  <si>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</si>
  <si>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</si>
  <si>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</si>
  <si>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</si>
  <si>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</si>
  <si>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</si>
  <si>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</si>
  <si>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</si>
  <si>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</si>
  <si>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</si>
  <si>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</si>
  <si>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</si>
  <si>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</si>
  <si>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</si>
  <si>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</si>
  <si>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</si>
  <si>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</si>
  <si>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</si>
  <si>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</si>
  <si>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</si>
  <si>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</si>
  <si>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</si>
  <si>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</si>
  <si>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</si>
  <si>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</si>
  <si>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</si>
  <si>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</si>
  <si>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</si>
  <si>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</si>
  <si>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</si>
  <si>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</si>
  <si>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</si>
  <si>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</si>
  <si>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</si>
  <si>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</si>
  <si>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</si>
  <si>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</si>
  <si>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</si>
  <si>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</si>
  <si>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</si>
  <si>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</si>
  <si>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</si>
  <si>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</si>
  <si>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</si>
  <si>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</si>
  <si>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</si>
  <si>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</si>
  <si>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</si>
  <si>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</si>
  <si>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</si>
  <si>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</si>
  <si>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</si>
  <si>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</si>
  <si>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</si>
  <si>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</si>
  <si>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</si>
  <si>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</si>
  <si>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</si>
  <si>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</si>
  <si>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</si>
  <si>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</si>
  <si>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</si>
  <si>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</si>
  <si>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</si>
  <si>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</si>
  <si>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</si>
  <si>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</si>
  <si>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</si>
  <si>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</si>
  <si>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</si>
  <si>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</si>
  <si>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</si>
  <si>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</si>
  <si>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</si>
  <si>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</si>
  <si>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</si>
  <si>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</si>
  <si>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</si>
  <si>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</si>
  <si>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</si>
  <si>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</si>
  <si>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</si>
  <si>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</si>
  <si>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</si>
  <si>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</si>
  <si>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</si>
  <si>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</si>
  <si>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</si>
  <si>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</si>
  <si>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</si>
  <si>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</si>
  <si>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</si>
  <si>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</si>
  <si>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</si>
  <si>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</si>
  <si>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</si>
  <si>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</si>
  <si>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</si>
  <si>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</si>
  <si>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</si>
  <si>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</si>
  <si>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</si>
  <si>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</si>
  <si>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</si>
  <si>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</si>
  <si>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</si>
  <si>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</si>
  <si>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</si>
  <si>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</si>
  <si>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</si>
  <si>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</si>
  <si>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</si>
  <si>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</si>
  <si>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</si>
  <si>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</si>
  <si>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</si>
  <si>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</si>
  <si>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</si>
  <si>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</si>
  <si>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</si>
  <si>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</si>
  <si>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</si>
  <si>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</si>
  <si>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</si>
  <si>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</si>
  <si>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</si>
  <si>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</si>
  <si>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</si>
  <si>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</si>
  <si>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</si>
  <si>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</si>
  <si>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</si>
  <si>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</si>
  <si>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</si>
  <si>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</si>
  <si>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</si>
  <si>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</si>
  <si>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</si>
  <si>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</si>
  <si>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</si>
  <si>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</si>
  <si>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</si>
  <si>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</si>
  <si>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</si>
  <si>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</si>
  <si>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</si>
  <si>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</si>
  <si>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</si>
  <si>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</si>
  <si>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</si>
  <si>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</si>
  <si>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</si>
  <si>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</si>
  <si>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</si>
  <si>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</si>
  <si>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</si>
  <si>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</si>
  <si>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</si>
  <si>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</si>
  <si>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</si>
  <si>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</si>
  <si>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</si>
  <si>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</si>
  <si>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</si>
  <si>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</si>
  <si>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</si>
  <si>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</si>
  <si>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</si>
  <si>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</si>
  <si>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</si>
  <si>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</si>
  <si>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</si>
  <si>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</si>
  <si>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</si>
  <si>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</si>
  <si>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</si>
  <si>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</si>
  <si>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</si>
  <si>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</si>
  <si>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</si>
  <si>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</si>
  <si>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</si>
  <si>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</si>
  <si>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</si>
  <si>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</si>
  <si>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</si>
  <si>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</si>
  <si>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</si>
  <si>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</si>
  <si>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</si>
  <si>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</si>
  <si>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</si>
  <si>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</si>
  <si>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</si>
  <si>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</si>
  <si>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</si>
  <si>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</si>
  <si>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</si>
  <si>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</si>
  <si>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</si>
  <si>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</si>
  <si>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</si>
  <si>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</si>
  <si>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</si>
  <si>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</si>
  <si>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</si>
  <si>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</si>
  <si>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</si>
  <si>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</si>
  <si>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</si>
  <si>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</si>
  <si>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</si>
  <si>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</si>
  <si>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</si>
  <si>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</si>
  <si>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</si>
  <si>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</si>
  <si>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</si>
  <si>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</si>
  <si>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</si>
  <si>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</si>
  <si>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</si>
  <si>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</si>
  <si>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</si>
  <si>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</si>
  <si>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</si>
  <si>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</si>
  <si>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</si>
  <si>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</si>
  <si>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</si>
  <si>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</si>
  <si>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</si>
  <si>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</si>
  <si>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</si>
  <si>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</si>
  <si>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</si>
  <si>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</si>
  <si>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</si>
  <si>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</si>
  <si>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</si>
  <si>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</si>
  <si>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</si>
  <si>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</si>
  <si>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</si>
  <si>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</si>
  <si>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</si>
  <si>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</si>
  <si>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</si>
  <si>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</si>
  <si>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</si>
  <si>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</si>
  <si>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</si>
  <si>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</si>
  <si>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</si>
  <si>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</si>
  <si>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</si>
  <si>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</si>
  <si>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</si>
  <si>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</si>
  <si>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</si>
  <si>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</si>
  <si>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</si>
  <si>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</si>
  <si>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</si>
  <si>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</si>
  <si>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</si>
  <si>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</si>
  <si>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</si>
  <si>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</si>
  <si>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</si>
  <si>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</si>
  <si>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</si>
  <si>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</si>
  <si>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</si>
  <si>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</si>
  <si>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</si>
  <si>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</si>
  <si>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</si>
  <si>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</si>
  <si>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</si>
  <si>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</si>
  <si>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</si>
  <si>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</si>
  <si>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</si>
  <si>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</si>
  <si>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</si>
  <si>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</si>
  <si>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</si>
  <si>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</si>
  <si>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</si>
  <si>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</si>
  <si>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</si>
  <si>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</si>
  <si>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</si>
  <si>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</si>
  <si>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</si>
  <si>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</si>
  <si>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</si>
  <si>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</si>
  <si>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</si>
  <si>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</si>
  <si>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</si>
  <si>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</si>
  <si>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</si>
  <si>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</si>
  <si>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</si>
  <si>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</si>
  <si>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</si>
  <si>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</si>
  <si>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</si>
  <si>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</si>
  <si>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</si>
  <si>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</si>
  <si>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</si>
  <si>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</si>
  <si>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</si>
  <si>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</si>
  <si>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</si>
  <si>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</si>
  <si>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</si>
  <si>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</si>
  <si>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</si>
  <si>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</si>
  <si>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</si>
  <si>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</si>
  <si>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</si>
  <si>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</si>
  <si>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</si>
  <si>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</si>
  <si>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</si>
  <si>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</si>
  <si>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</si>
  <si>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</si>
  <si>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</si>
  <si>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</si>
  <si>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</si>
  <si>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</si>
  <si>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</si>
  <si>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</si>
  <si>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</si>
  <si>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</si>
  <si>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</si>
  <si>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</si>
  <si>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</si>
  <si>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</si>
  <si>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</si>
  <si>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</si>
  <si>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</si>
  <si>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</si>
  <si>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</si>
  <si>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</si>
  <si>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</si>
  <si>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</si>
  <si>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</si>
  <si>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</si>
  <si>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</si>
  <si>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</si>
  <si>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</si>
  <si>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</si>
  <si>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</si>
  <si>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</si>
  <si>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</si>
  <si>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</si>
  <si>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</si>
  <si>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</si>
  <si>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</si>
  <si>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</si>
  <si>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</si>
  <si>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</si>
  <si>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</si>
  <si>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</si>
  <si>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</si>
  <si>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</si>
  <si>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</si>
  <si>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</si>
  <si>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</si>
  <si>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</si>
  <si>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</si>
  <si>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</si>
  <si>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</si>
  <si>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</si>
  <si>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</si>
  <si>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</si>
  <si>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</si>
  <si>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</si>
  <si>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</si>
  <si>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</si>
  <si>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</si>
  <si>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</si>
  <si>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</si>
  <si>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</si>
  <si>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</si>
  <si>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</si>
  <si>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</si>
  <si>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</si>
  <si>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</si>
  <si>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</si>
  <si>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</si>
  <si>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</si>
  <si>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</si>
  <si>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</si>
  <si>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</si>
  <si>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</si>
  <si>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</si>
  <si>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</si>
  <si>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</si>
  <si>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</si>
  <si>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</si>
  <si>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</si>
  <si>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</si>
  <si>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</si>
  <si>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</si>
  <si>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</si>
  <si>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</si>
  <si>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</si>
  <si>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</si>
  <si>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</si>
  <si>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</si>
  <si>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</si>
  <si>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</si>
  <si>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</si>
  <si>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</si>
  <si>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</si>
  <si>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</si>
  <si>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</si>
  <si>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</si>
  <si>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</si>
  <si>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</si>
  <si>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</si>
  <si>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</si>
  <si>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</si>
  <si>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</si>
  <si>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</si>
  <si>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</si>
  <si>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</si>
  <si>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</si>
  <si>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</si>
  <si>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</si>
  <si>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</si>
  <si>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</si>
  <si>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</si>
  <si>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</si>
  <si>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</si>
  <si>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</si>
  <si>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</si>
  <si>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</si>
  <si>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</si>
  <si>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</si>
  <si>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</si>
  <si>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</si>
  <si>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</si>
  <si>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</si>
  <si>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</si>
  <si>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</si>
  <si>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</si>
  <si>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</si>
  <si>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</si>
  <si>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</si>
  <si>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</si>
  <si>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</si>
  <si>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</si>
  <si>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</si>
  <si>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</si>
  <si>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</si>
  <si>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</si>
  <si>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</si>
  <si>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</si>
  <si>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</si>
  <si>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</si>
  <si>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</si>
  <si>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</si>
  <si>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</si>
  <si>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</si>
  <si>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</si>
  <si>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</si>
  <si>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</si>
  <si>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</si>
  <si>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</si>
  <si>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</si>
  <si>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</si>
  <si>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</si>
  <si>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</si>
  <si>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</si>
  <si>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</si>
  <si>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</si>
  <si>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</si>
  <si>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</si>
  <si>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</si>
  <si>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</si>
  <si>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</si>
  <si>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</si>
  <si>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</si>
  <si>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</si>
  <si>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</si>
  <si>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</si>
  <si>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</si>
  <si>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</si>
  <si>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</si>
  <si>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</si>
  <si>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</si>
  <si>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</si>
  <si>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</si>
  <si>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</si>
  <si>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</si>
  <si>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</si>
  <si>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</si>
  <si>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</si>
  <si>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</si>
  <si>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</si>
  <si>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</si>
  <si>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</si>
  <si>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</si>
  <si>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</si>
  <si>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</si>
  <si>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</si>
  <si>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</si>
  <si>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</si>
  <si>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</si>
  <si>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</si>
  <si>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</si>
  <si>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</si>
  <si>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</si>
  <si>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</si>
  <si>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</si>
  <si>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</si>
  <si>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</si>
  <si>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</si>
  <si>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</si>
  <si>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</si>
  <si>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</si>
  <si>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</si>
  <si>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</si>
  <si>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"ADC1_RD_CONFIG_1" : "SPIRST" Field</t>
  </si>
  <si>
    <t>rmap_registers_wr_o.aeb_hk_adc1_rd_config_1.spirst &lt;= '0';</t>
  </si>
  <si>
    <t>-- AEB Housekeeping Area Register "ADC1_RD_CONFIG_1" : "MUXMOD" Field</t>
  </si>
  <si>
    <t>rmap_registers_wr_o.aeb_hk_adc1_rd_config_1.muxmod &lt;= '0';</t>
  </si>
  <si>
    <t>-- AEB Housekeeping Area Register "ADC1_RD_CONFIG_1" : "BYPAS" Field</t>
  </si>
  <si>
    <t>rmap_registers_wr_o.aeb_hk_adc1_rd_config_1.bypas &lt;= '0';</t>
  </si>
  <si>
    <t>-- AEB Housekeeping Area Register "ADC1_RD_CONFIG_1" : "CLKENB" Field</t>
  </si>
  <si>
    <t>rmap_registers_wr_o.aeb_hk_adc1_rd_config_1.clkenb &lt;= '0';</t>
  </si>
  <si>
    <t>-- AEB Housekeeping Area Register "ADC1_RD_CONFIG_1" : "CHOP" Field</t>
  </si>
  <si>
    <t>rmap_registers_wr_o.aeb_hk_adc1_rd_config_1.chop &lt;= '0';</t>
  </si>
  <si>
    <t>-- AEB Housekeeping Area Register "ADC1_RD_CONFIG_1" : "STAT" Field</t>
  </si>
  <si>
    <t>rmap_registers_wr_o.aeb_hk_adc1_rd_config_1.stat &lt;= '0';</t>
  </si>
  <si>
    <t>-- AEB Housekeeping Area Register "ADC1_RD_CONFIG_1" : "IDLMOD" Field</t>
  </si>
  <si>
    <t>rmap_registers_wr_o.aeb_hk_adc1_rd_config_1.idlmod &lt;= '0';</t>
  </si>
  <si>
    <t>-- AEB Housekeeping Area Register "ADC1_RD_CONFIG_1" : "DLY2" Field</t>
  </si>
  <si>
    <t>rmap_registers_wr_o.aeb_hk_adc1_rd_config_1.dly2 &lt;= '0';</t>
  </si>
  <si>
    <t>-- AEB Housekeeping Area Register "ADC1_RD_CONFIG_1" : "DLY1" Field</t>
  </si>
  <si>
    <t>rmap_registers_wr_o.aeb_hk_adc1_rd_config_1.dly1 &lt;= '0';</t>
  </si>
  <si>
    <t>-- AEB Housekeeping Area Register "ADC1_RD_CONFIG_1" : "DLY0" Field</t>
  </si>
  <si>
    <t>rmap_registers_wr_o.aeb_hk_adc1_rd_config_1.dly0 &lt;= '0';</t>
  </si>
  <si>
    <t>-- AEB Housekeeping Area Register "ADC1_RD_CONFIG_1" : "SBCS1" Field</t>
  </si>
  <si>
    <t>rmap_registers_wr_o.aeb_hk_adc1_rd_config_1.sbcs1 &lt;= '0';</t>
  </si>
  <si>
    <t>-- AEB Housekeeping Area Register "ADC1_RD_CONFIG_1" : "SBCS0" Field</t>
  </si>
  <si>
    <t>rmap_registers_wr_o.aeb_hk_adc1_rd_config_1.sbcs0 &lt;= '0';</t>
  </si>
  <si>
    <t>-- AEB Housekeeping Area Register "ADC1_RD_CONFIG_1" : "DRATE1" Field</t>
  </si>
  <si>
    <t>rmap_registers_wr_o.aeb_hk_adc1_rd_config_1.drate1 &lt;= '0';</t>
  </si>
  <si>
    <t>-- AEB Housekeeping Area Register "ADC1_RD_CONFIG_1" : "DRATE0" Field</t>
  </si>
  <si>
    <t>rmap_registers_wr_o.aeb_hk_adc1_rd_config_1.drate0 &lt;= '0';</t>
  </si>
  <si>
    <t>-- AEB Housekeeping Area Register "ADC1_RD_CONFIG_1" : "AINP3" Field</t>
  </si>
  <si>
    <t>rmap_registers_wr_o.aeb_hk_adc1_rd_config_1.ainp3 &lt;= '0';</t>
  </si>
  <si>
    <t>-- AEB Housekeeping Area Register "ADC1_RD_CONFIG_1" : "AINP2" Field</t>
  </si>
  <si>
    <t>rmap_registers_wr_o.aeb_hk_adc1_rd_config_1.ainp2 &lt;= '0';</t>
  </si>
  <si>
    <t>-- AEB Housekeeping Area Register "ADC1_RD_CONFIG_1" : "AINP1" Field</t>
  </si>
  <si>
    <t>rmap_registers_wr_o.aeb_hk_adc1_rd_config_1.ainp1 &lt;= '0';</t>
  </si>
  <si>
    <t>-- AEB Housekeeping Area Register "ADC1_RD_CONFIG_1" : "AINP0" Field</t>
  </si>
  <si>
    <t>rmap_registers_wr_o.aeb_hk_adc1_rd_config_1.ainp0 &lt;= '0';</t>
  </si>
  <si>
    <t>-- AEB Housekeeping Area Register "ADC1_RD_CONFIG_1" : "AINN3" Field</t>
  </si>
  <si>
    <t>rmap_registers_wr_o.aeb_hk_adc1_rd_config_1.ainn3 &lt;= '0';</t>
  </si>
  <si>
    <t>-- AEB Housekeeping Area Register "ADC1_RD_CONFIG_1" : "AINN2" Field</t>
  </si>
  <si>
    <t>rmap_registers_wr_o.aeb_hk_adc1_rd_config_1.ainn2 &lt;= '0';</t>
  </si>
  <si>
    <t>-- AEB Housekeeping Area Register "ADC1_RD_CONFIG_1" : "AINN1" Field</t>
  </si>
  <si>
    <t>rmap_registers_wr_o.aeb_hk_adc1_rd_config_1.ainn1 &lt;= '0';</t>
  </si>
  <si>
    <t>-- AEB Housekeeping Area Register "ADC1_RD_CONFIG_1" : "AINN0" Field</t>
  </si>
  <si>
    <t>rmap_registers_wr_o.aeb_hk_adc1_rd_config_1.ainn0 &lt;= '0';</t>
  </si>
  <si>
    <t>-- AEB Housekeeping Area Register "ADC1_RD_CONFIG_1" : "DIFF7" Field</t>
  </si>
  <si>
    <t>rmap_registers_wr_o.aeb_hk_adc1_rd_config_1.diff7 &lt;= '0';</t>
  </si>
  <si>
    <t>-- AEB Housekeeping Area Register "ADC1_RD_CONFIG_1" : "DIFF6" Field</t>
  </si>
  <si>
    <t>rmap_registers_wr_o.aeb_hk_adc1_rd_config_1.diff6 &lt;= '0';</t>
  </si>
  <si>
    <t>-- AEB Housekeeping Area Register "ADC1_RD_CONFIG_1" : "DIFF5" Field</t>
  </si>
  <si>
    <t>rmap_registers_wr_o.aeb_hk_adc1_rd_config_1.diff5 &lt;= '0';</t>
  </si>
  <si>
    <t>-- AEB Housekeeping Area Register "ADC1_RD_CONFIG_1" : "DIFF4" Field</t>
  </si>
  <si>
    <t>rmap_registers_wr_o.aeb_hk_adc1_rd_config_1.diff4 &lt;= '0';</t>
  </si>
  <si>
    <t>-- AEB Housekeeping Area Register "ADC1_RD_CONFIG_1" : "DIFF3" Field</t>
  </si>
  <si>
    <t>rmap_registers_wr_o.aeb_hk_adc1_rd_config_1.diff3 &lt;= '0';</t>
  </si>
  <si>
    <t>-- AEB Housekeeping Area Register "ADC1_RD_CONFIG_1" : "DIFF2" Field</t>
  </si>
  <si>
    <t>rmap_registers_wr_o.aeb_hk_adc1_rd_config_1.diff2 &lt;= '0';</t>
  </si>
  <si>
    <t>-- AEB Housekeeping Area Register "ADC1_RD_CONFIG_1" : "DIFF1" Field</t>
  </si>
  <si>
    <t>rmap_registers_wr_o.aeb_hk_adc1_rd_config_1.diff1 &lt;= '0';</t>
  </si>
  <si>
    <t>-- AEB Housekeeping Area Register "ADC1_RD_CONFIG_1" : "DIFF0" Field</t>
  </si>
  <si>
    <t>rmap_registers_wr_o.aeb_hk_adc1_rd_config_1.diff0 &lt;= '0';</t>
  </si>
  <si>
    <t>-- AEB Housekeeping Area Register "ADC1_RD_CONFIG_2" : "AIN7" Field</t>
  </si>
  <si>
    <t>rmap_registers_wr_o.aeb_hk_adc1_rd_config_2.ain7 &lt;= '0';</t>
  </si>
  <si>
    <t>-- AEB Housekeeping Area Register "ADC1_RD_CONFIG_2" : "AIN6" Field</t>
  </si>
  <si>
    <t>rmap_registers_wr_o.aeb_hk_adc1_rd_config_2.ain6 &lt;= '0';</t>
  </si>
  <si>
    <t>-- AEB Housekeeping Area Register "ADC1_RD_CONFIG_2" : "AIN5" Field</t>
  </si>
  <si>
    <t>rmap_registers_wr_o.aeb_hk_adc1_rd_config_2.ain5 &lt;= '0';</t>
  </si>
  <si>
    <t>-- AEB Housekeeping Area Register "ADC1_RD_CONFIG_2" : "AIN4" Field</t>
  </si>
  <si>
    <t>rmap_registers_wr_o.aeb_hk_adc1_rd_config_2.ain4 &lt;= '0';</t>
  </si>
  <si>
    <t>-- AEB Housekeeping Area Register "ADC1_RD_CONFIG_2" : "AIN3" Field</t>
  </si>
  <si>
    <t>rmap_registers_wr_o.aeb_hk_adc1_rd_config_2.ain3 &lt;= '0';</t>
  </si>
  <si>
    <t>-- AEB Housekeeping Area Register "ADC1_RD_CONFIG_2" : "AIN2" Field</t>
  </si>
  <si>
    <t>rmap_registers_wr_o.aeb_hk_adc1_rd_config_2.ain2 &lt;= '0';</t>
  </si>
  <si>
    <t>-- AEB Housekeeping Area Register "ADC1_RD_CONFIG_2" : "AIN1" Field</t>
  </si>
  <si>
    <t>rmap_registers_wr_o.aeb_hk_adc1_rd_config_2.ain1 &lt;= '0';</t>
  </si>
  <si>
    <t>-- AEB Housekeeping Area Register "ADC1_RD_CONFIG_2" : "AIN0" Field</t>
  </si>
  <si>
    <t>rmap_registers_wr_o.aeb_hk_adc1_rd_config_2.ain0 &lt;= '0';</t>
  </si>
  <si>
    <t>-- AEB Housekeeping Area Register "ADC1_RD_CONFIG_2" : "AIN15" Field</t>
  </si>
  <si>
    <t>rmap_registers_wr_o.aeb_hk_adc1_rd_config_2.ain15 &lt;= '0';</t>
  </si>
  <si>
    <t>-- AEB Housekeeping Area Register "ADC1_RD_CONFIG_2" : "AIN14" Field</t>
  </si>
  <si>
    <t>rmap_registers_wr_o.aeb_hk_adc1_rd_config_2.ain14 &lt;= '0';</t>
  </si>
  <si>
    <t>-- AEB Housekeeping Area Register "ADC1_RD_CONFIG_2" : "AIN13" Field</t>
  </si>
  <si>
    <t>rmap_registers_wr_o.aeb_hk_adc1_rd_config_2.ain13 &lt;= '0';</t>
  </si>
  <si>
    <t>-- AEB Housekeeping Area Register "ADC1_RD_CONFIG_2" : "AIN12" Field</t>
  </si>
  <si>
    <t>rmap_registers_wr_o.aeb_hk_adc1_rd_config_2.ain12 &lt;= '0';</t>
  </si>
  <si>
    <t>-- AEB Housekeeping Area Register "ADC1_RD_CONFIG_2" : "AIN11" Field</t>
  </si>
  <si>
    <t>rmap_registers_wr_o.aeb_hk_adc1_rd_config_2.ain11 &lt;= '0';</t>
  </si>
  <si>
    <t>-- AEB Housekeeping Area Register "ADC1_RD_CONFIG_2" : "AIN10" Field</t>
  </si>
  <si>
    <t>rmap_registers_wr_o.aeb_hk_adc1_rd_config_2.ain10 &lt;= '0';</t>
  </si>
  <si>
    <t>-- AEB Housekeeping Area Register "ADC1_RD_CONFIG_2" : "AIN9" Field</t>
  </si>
  <si>
    <t>rmap_registers_wr_o.aeb_hk_adc1_rd_config_2.ain9 &lt;= '0';</t>
  </si>
  <si>
    <t>-- AEB Housekeeping Area Register "ADC1_RD_CONFIG_2" : "AIN8" Field</t>
  </si>
  <si>
    <t>rmap_registers_wr_o.aeb_hk_adc1_rd_config_2.ain8 &lt;= '0';</t>
  </si>
  <si>
    <t>-- AEB Housekeeping Area Register "ADC1_RD_CONFIG_2" : "REF" Field</t>
  </si>
  <si>
    <t>rmap_registers_wr_o.aeb_hk_adc1_rd_config_2.ref &lt;= '0';</t>
  </si>
  <si>
    <t>-- AEB Housekeeping Area Register "ADC1_RD_CONFIG_2" : "GAIN" Field</t>
  </si>
  <si>
    <t>rmap_registers_wr_o.aeb_hk_adc1_rd_config_2.gain &lt;= '0';</t>
  </si>
  <si>
    <t>-- AEB Housekeeping Area Register "ADC1_RD_CONFIG_2" : "TEMP" Field</t>
  </si>
  <si>
    <t>rmap_registers_wr_o.aeb_hk_adc1_rd_config_2.temp &lt;= '0';</t>
  </si>
  <si>
    <t>-- AEB Housekeeping Area Register "ADC1_RD_CONFIG_2" : "VCC" Field</t>
  </si>
  <si>
    <t>rmap_registers_wr_o.aeb_hk_adc1_rd_config_2.vcc &lt;= '0';</t>
  </si>
  <si>
    <t>-- AEB Housekeeping Area Register "ADC1_RD_CONFIG_2" : "OFFSET" Field</t>
  </si>
  <si>
    <t>rmap_registers_wr_o.aeb_hk_adc1_rd_config_2.offset &lt;= '0';</t>
  </si>
  <si>
    <t>-- AEB Housekeeping Area Register "ADC1_RD_CONFIG_2" : "CIO7" Field</t>
  </si>
  <si>
    <t>rmap_registers_wr_o.aeb_hk_adc1_rd_config_2.cio7 &lt;= '0';</t>
  </si>
  <si>
    <t>-- AEB Housekeeping Area Register "ADC1_RD_CONFIG_2" : "CIO6" Field</t>
  </si>
  <si>
    <t>rmap_registers_wr_o.aeb_hk_adc1_rd_config_2.cio6 &lt;= '0';</t>
  </si>
  <si>
    <t>-- AEB Housekeeping Area Register "ADC1_RD_CONFIG_2" : "CIO5" Field</t>
  </si>
  <si>
    <t>rmap_registers_wr_o.aeb_hk_adc1_rd_config_2.cio5 &lt;= '0';</t>
  </si>
  <si>
    <t>-- AEB Housekeeping Area Register "ADC1_RD_CONFIG_2" : "CIO4" Field</t>
  </si>
  <si>
    <t>rmap_registers_wr_o.aeb_hk_adc1_rd_config_2.cio4 &lt;= '0';</t>
  </si>
  <si>
    <t>-- AEB Housekeeping Area Register "ADC1_RD_CONFIG_2" : "CIO3" Field</t>
  </si>
  <si>
    <t>rmap_registers_wr_o.aeb_hk_adc1_rd_config_2.cio3 &lt;= '0';</t>
  </si>
  <si>
    <t>-- AEB Housekeeping Area Register "ADC1_RD_CONFIG_2" : "CIO2" Field</t>
  </si>
  <si>
    <t>rmap_registers_wr_o.aeb_hk_adc1_rd_config_2.cio2 &lt;= '0';</t>
  </si>
  <si>
    <t>-- AEB Housekeeping Area Register "ADC1_RD_CONFIG_2" : "CIO1" Field</t>
  </si>
  <si>
    <t>rmap_registers_wr_o.aeb_hk_adc1_rd_config_2.cio1 &lt;= '0';</t>
  </si>
  <si>
    <t>-- AEB Housekeeping Area Register "ADC1_RD_CONFIG_2" : "CIO0" Field</t>
  </si>
  <si>
    <t>rmap_registers_wr_o.aeb_hk_adc1_rd_config_2.cio0 &lt;= '0';</t>
  </si>
  <si>
    <t>-- AEB Housekeeping Area Register "ADC1_RD_CONFIG_3" : "DIO7" Field</t>
  </si>
  <si>
    <t>rmap_registers_wr_o.aeb_hk_adc1_rd_config_3.dio7 &lt;= '0';</t>
  </si>
  <si>
    <t>-- AEB Housekeeping Area Register "ADC1_RD_CONFIG_3" : "DIO6" Field</t>
  </si>
  <si>
    <t>rmap_registers_wr_o.aeb_hk_adc1_rd_config_3.dio6 &lt;= '0';</t>
  </si>
  <si>
    <t>-- AEB Housekeeping Area Register "ADC1_RD_CONFIG_3" : "DIO5" Field</t>
  </si>
  <si>
    <t>rmap_registers_wr_o.aeb_hk_adc1_rd_config_3.dio5 &lt;= '0';</t>
  </si>
  <si>
    <t>-- AEB Housekeeping Area Register "ADC1_RD_CONFIG_3" : "DIO4" Field</t>
  </si>
  <si>
    <t>rmap_registers_wr_o.aeb_hk_adc1_rd_config_3.dio4 &lt;= '0';</t>
  </si>
  <si>
    <t>-- AEB Housekeeping Area Register "ADC1_RD_CONFIG_3" : "DIO3" Field</t>
  </si>
  <si>
    <t>rmap_registers_wr_o.aeb_hk_adc1_rd_config_3.dio3 &lt;= '0';</t>
  </si>
  <si>
    <t>-- AEB Housekeeping Area Register "ADC1_RD_CONFIG_3" : "DIO2" Field</t>
  </si>
  <si>
    <t>rmap_registers_wr_o.aeb_hk_adc1_rd_config_3.dio2 &lt;= '0';</t>
  </si>
  <si>
    <t>-- AEB Housekeeping Area Register "ADC1_RD_CONFIG_3" : "DIO1" Field</t>
  </si>
  <si>
    <t>rmap_registers_wr_o.aeb_hk_adc1_rd_config_3.dio1 &lt;= '0';</t>
  </si>
  <si>
    <t>-- AEB Housekeeping Area Register "ADC1_RD_CONFIG_3" : "DIO0" Field</t>
  </si>
  <si>
    <t>rmap_registers_wr_o.aeb_hk_adc1_rd_config_3.dio0 &lt;= '0';</t>
  </si>
  <si>
    <t>-- AEB Housekeeping Area Register "ADC2_RD_CONFIG_1" : "SPIRST" Field</t>
  </si>
  <si>
    <t>rmap_registers_wr_o.aeb_hk_adc2_rd_config_1.spirst &lt;= '0';</t>
  </si>
  <si>
    <t>-- AEB Housekeeping Area Register "ADC2_RD_CONFIG_1" : "MUXMOD" Field</t>
  </si>
  <si>
    <t>rmap_registers_wr_o.aeb_hk_adc2_rd_config_1.muxmod &lt;= '0';</t>
  </si>
  <si>
    <t>-- AEB Housekeeping Area Register "ADC2_RD_CONFIG_1" : "BYPAS" Field</t>
  </si>
  <si>
    <t>rmap_registers_wr_o.aeb_hk_adc2_rd_config_1.bypas &lt;= '0';</t>
  </si>
  <si>
    <t>-- AEB Housekeeping Area Register "ADC2_RD_CONFIG_1" : "CLKENB" Field</t>
  </si>
  <si>
    <t>rmap_registers_wr_o.aeb_hk_adc2_rd_config_1.clkenb &lt;= '0';</t>
  </si>
  <si>
    <t>-- AEB Housekeeping Area Register "ADC2_RD_CONFIG_1" : "CHOP" Field</t>
  </si>
  <si>
    <t>rmap_registers_wr_o.aeb_hk_adc2_rd_config_1.chop &lt;= '0';</t>
  </si>
  <si>
    <t>-- AEB Housekeeping Area Register "ADC2_RD_CONFIG_1" : "STAT" Field</t>
  </si>
  <si>
    <t>rmap_registers_wr_o.aeb_hk_adc2_rd_config_1.stat &lt;= '0';</t>
  </si>
  <si>
    <t>-- AEB Housekeeping Area Register "ADC2_RD_CONFIG_1" : "IDLMOD" Field</t>
  </si>
  <si>
    <t>rmap_registers_wr_o.aeb_hk_adc2_rd_config_1.idlmod &lt;= '0';</t>
  </si>
  <si>
    <t>-- AEB Housekeeping Area Register "ADC2_RD_CONFIG_1" : "DLY2" Field</t>
  </si>
  <si>
    <t>rmap_registers_wr_o.aeb_hk_adc2_rd_config_1.dly2 &lt;= '0';</t>
  </si>
  <si>
    <t>-- AEB Housekeeping Area Register "ADC2_RD_CONFIG_1" : "DLY1" Field</t>
  </si>
  <si>
    <t>rmap_registers_wr_o.aeb_hk_adc2_rd_config_1.dly1 &lt;= '0';</t>
  </si>
  <si>
    <t>-- AEB Housekeeping Area Register "ADC2_RD_CONFIG_1" : "DLY0" Field</t>
  </si>
  <si>
    <t>rmap_registers_wr_o.aeb_hk_adc2_rd_config_1.dly0 &lt;= '0';</t>
  </si>
  <si>
    <t>-- AEB Housekeeping Area Register "ADC2_RD_CONFIG_1" : "SBCS1" Field</t>
  </si>
  <si>
    <t>rmap_registers_wr_o.aeb_hk_adc2_rd_config_1.sbcs1 &lt;= '0';</t>
  </si>
  <si>
    <t>-- AEB Housekeeping Area Register "ADC2_RD_CONFIG_1" : "SBCS0" Field</t>
  </si>
  <si>
    <t>rmap_registers_wr_o.aeb_hk_adc2_rd_config_1.sbcs0 &lt;= '0';</t>
  </si>
  <si>
    <t>-- AEB Housekeeping Area Register "ADC2_RD_CONFIG_1" : "DRATE1" Field</t>
  </si>
  <si>
    <t>rmap_registers_wr_o.aeb_hk_adc2_rd_config_1.drate1 &lt;= '0';</t>
  </si>
  <si>
    <t>-- AEB Housekeeping Area Register "ADC2_RD_CONFIG_1" : "DRATE0" Field</t>
  </si>
  <si>
    <t>rmap_registers_wr_o.aeb_hk_adc2_rd_config_1.drate0 &lt;= '0';</t>
  </si>
  <si>
    <t>-- AEB Housekeeping Area Register "ADC2_RD_CONFIG_1" : "AINP3" Field</t>
  </si>
  <si>
    <t>rmap_registers_wr_o.aeb_hk_adc2_rd_config_1.ainp3 &lt;= '0';</t>
  </si>
  <si>
    <t>-- AEB Housekeeping Area Register "ADC2_RD_CONFIG_1" : "AINP2" Field</t>
  </si>
  <si>
    <t>rmap_registers_wr_o.aeb_hk_adc2_rd_config_1.ainp2 &lt;= '0';</t>
  </si>
  <si>
    <t>-- AEB Housekeeping Area Register "ADC2_RD_CONFIG_1" : "AINP1" Field</t>
  </si>
  <si>
    <t>rmap_registers_wr_o.aeb_hk_adc2_rd_config_1.ainp1 &lt;= '0';</t>
  </si>
  <si>
    <t>-- AEB Housekeeping Area Register "ADC2_RD_CONFIG_1" : "AINP0" Field</t>
  </si>
  <si>
    <t>rmap_registers_wr_o.aeb_hk_adc2_rd_config_1.ainp0 &lt;= '0';</t>
  </si>
  <si>
    <t>-- AEB Housekeeping Area Register "ADC2_RD_CONFIG_1" : "AINN3" Field</t>
  </si>
  <si>
    <t>rmap_registers_wr_o.aeb_hk_adc2_rd_config_1.ainn3 &lt;= '0';</t>
  </si>
  <si>
    <t>-- AEB Housekeeping Area Register "ADC2_RD_CONFIG_1" : "AINN2" Field</t>
  </si>
  <si>
    <t>rmap_registers_wr_o.aeb_hk_adc2_rd_config_1.ainn2 &lt;= '0';</t>
  </si>
  <si>
    <t>-- AEB Housekeeping Area Register "ADC2_RD_CONFIG_1" : "AINN1" Field</t>
  </si>
  <si>
    <t>rmap_registers_wr_o.aeb_hk_adc2_rd_config_1.ainn1 &lt;= '0';</t>
  </si>
  <si>
    <t>-- AEB Housekeeping Area Register "ADC2_RD_CONFIG_1" : "AINN0" Field</t>
  </si>
  <si>
    <t>rmap_registers_wr_o.aeb_hk_adc2_rd_config_1.ainn0 &lt;= '0';</t>
  </si>
  <si>
    <t>-- AEB Housekeeping Area Register "ADC2_RD_CONFIG_1" : "DIFF7" Field</t>
  </si>
  <si>
    <t>rmap_registers_wr_o.aeb_hk_adc2_rd_config_1.diff7 &lt;= '0';</t>
  </si>
  <si>
    <t>-- AEB Housekeeping Area Register "ADC2_RD_CONFIG_1" : "DIFF6" Field</t>
  </si>
  <si>
    <t>rmap_registers_wr_o.aeb_hk_adc2_rd_config_1.diff6 &lt;= '0';</t>
  </si>
  <si>
    <t>-- AEB Housekeeping Area Register "ADC2_RD_CONFIG_1" : "DIFF5" Field</t>
  </si>
  <si>
    <t>rmap_registers_wr_o.aeb_hk_adc2_rd_config_1.diff5 &lt;= '0';</t>
  </si>
  <si>
    <t>-- AEB Housekeeping Area Register "ADC2_RD_CONFIG_1" : "DIFF4" Field</t>
  </si>
  <si>
    <t>rmap_registers_wr_o.aeb_hk_adc2_rd_config_1.diff4 &lt;= '0';</t>
  </si>
  <si>
    <t>-- AEB Housekeeping Area Register "ADC2_RD_CONFIG_1" : "DIFF3" Field</t>
  </si>
  <si>
    <t>rmap_registers_wr_o.aeb_hk_adc2_rd_config_1.diff3 &lt;= '0';</t>
  </si>
  <si>
    <t>-- AEB Housekeeping Area Register "ADC2_RD_CONFIG_1" : "DIFF2" Field</t>
  </si>
  <si>
    <t>rmap_registers_wr_o.aeb_hk_adc2_rd_config_1.diff2 &lt;= '0';</t>
  </si>
  <si>
    <t>-- AEB Housekeeping Area Register "ADC2_RD_CONFIG_1" : "DIFF1" Field</t>
  </si>
  <si>
    <t>rmap_registers_wr_o.aeb_hk_adc2_rd_config_1.diff1 &lt;= '0';</t>
  </si>
  <si>
    <t>-- AEB Housekeeping Area Register "ADC2_RD_CONFIG_1" : "DIFF0" Field</t>
  </si>
  <si>
    <t>rmap_registers_wr_o.aeb_hk_adc2_rd_config_1.diff0 &lt;= '0';</t>
  </si>
  <si>
    <t>-- AEB Housekeeping Area Register "ADC2_RD_CONFIG_2" : "AIN7" Field</t>
  </si>
  <si>
    <t>rmap_registers_wr_o.aeb_hk_adc2_rd_config_2.ain7 &lt;= '0';</t>
  </si>
  <si>
    <t>-- AEB Housekeeping Area Register "ADC2_RD_CONFIG_2" : "AIN6" Field</t>
  </si>
  <si>
    <t>rmap_registers_wr_o.aeb_hk_adc2_rd_config_2.ain6 &lt;= '0';</t>
  </si>
  <si>
    <t>-- AEB Housekeeping Area Register "ADC2_RD_CONFIG_2" : "AIN5" Field</t>
  </si>
  <si>
    <t>rmap_registers_wr_o.aeb_hk_adc2_rd_config_2.ain5 &lt;= '0';</t>
  </si>
  <si>
    <t>-- AEB Housekeeping Area Register "ADC2_RD_CONFIG_2" : "AIN4" Field</t>
  </si>
  <si>
    <t>rmap_registers_wr_o.aeb_hk_adc2_rd_config_2.ain4 &lt;= '0';</t>
  </si>
  <si>
    <t>-- AEB Housekeeping Area Register "ADC2_RD_CONFIG_2" : "AIN3" Field</t>
  </si>
  <si>
    <t>rmap_registers_wr_o.aeb_hk_adc2_rd_config_2.ain3 &lt;= '0';</t>
  </si>
  <si>
    <t>-- AEB Housekeeping Area Register "ADC2_RD_CONFIG_2" : "AIN2" Field</t>
  </si>
  <si>
    <t>rmap_registers_wr_o.aeb_hk_adc2_rd_config_2.ain2 &lt;= '0';</t>
  </si>
  <si>
    <t>-- AEB Housekeeping Area Register "ADC2_RD_CONFIG_2" : "AIN1" Field</t>
  </si>
  <si>
    <t>rmap_registers_wr_o.aeb_hk_adc2_rd_config_2.ain1 &lt;= '0';</t>
  </si>
  <si>
    <t>-- AEB Housekeeping Area Register "ADC2_RD_CONFIG_2" : "AIN0" Field</t>
  </si>
  <si>
    <t>rmap_registers_wr_o.aeb_hk_adc2_rd_config_2.ain0 &lt;= '0';</t>
  </si>
  <si>
    <t>-- AEB Housekeeping Area Register "ADC2_RD_CONFIG_2" : "AIN15" Field</t>
  </si>
  <si>
    <t>rmap_registers_wr_o.aeb_hk_adc2_rd_config_2.ain15 &lt;= '0';</t>
  </si>
  <si>
    <t>-- AEB Housekeeping Area Register "ADC2_RD_CONFIG_2" : "AIN14" Field</t>
  </si>
  <si>
    <t>rmap_registers_wr_o.aeb_hk_adc2_rd_config_2.ain14 &lt;= '0';</t>
  </si>
  <si>
    <t>-- AEB Housekeeping Area Register "ADC2_RD_CONFIG_2" : "AIN13" Field</t>
  </si>
  <si>
    <t>rmap_registers_wr_o.aeb_hk_adc2_rd_config_2.ain13 &lt;= '0';</t>
  </si>
  <si>
    <t>-- AEB Housekeeping Area Register "ADC2_RD_CONFIG_2" : "AIN12" Field</t>
  </si>
  <si>
    <t>rmap_registers_wr_o.aeb_hk_adc2_rd_config_2.ain12 &lt;= '0';</t>
  </si>
  <si>
    <t>-- AEB Housekeeping Area Register "ADC2_RD_CONFIG_2" : "AIN11" Field</t>
  </si>
  <si>
    <t>rmap_registers_wr_o.aeb_hk_adc2_rd_config_2.ain11 &lt;= '0';</t>
  </si>
  <si>
    <t>-- AEB Housekeeping Area Register "ADC2_RD_CONFIG_2" : "AIN10" Field</t>
  </si>
  <si>
    <t>rmap_registers_wr_o.aeb_hk_adc2_rd_config_2.ain10 &lt;= '0';</t>
  </si>
  <si>
    <t>-- AEB Housekeeping Area Register "ADC2_RD_CONFIG_2" : "AIN9" Field</t>
  </si>
  <si>
    <t>rmap_registers_wr_o.aeb_hk_adc2_rd_config_2.ain9 &lt;= '0';</t>
  </si>
  <si>
    <t>-- AEB Housekeeping Area Register "ADC2_RD_CONFIG_2" : "AIN8" Field</t>
  </si>
  <si>
    <t>rmap_registers_wr_o.aeb_hk_adc2_rd_config_2.ain8 &lt;= '0';</t>
  </si>
  <si>
    <t>-- AEB Housekeeping Area Register "ADC2_RD_CONFIG_2" : "REF" Field</t>
  </si>
  <si>
    <t>rmap_registers_wr_o.aeb_hk_adc2_rd_config_2.ref &lt;= '0';</t>
  </si>
  <si>
    <t>-- AEB Housekeeping Area Register "ADC2_RD_CONFIG_2" : "GAIN" Field</t>
  </si>
  <si>
    <t>rmap_registers_wr_o.aeb_hk_adc2_rd_config_2.gain &lt;= '0';</t>
  </si>
  <si>
    <t>-- AEB Housekeeping Area Register "ADC2_RD_CONFIG_2" : "TEMP" Field</t>
  </si>
  <si>
    <t>rmap_registers_wr_o.aeb_hk_adc2_rd_config_2.temp &lt;= '0';</t>
  </si>
  <si>
    <t>-- AEB Housekeeping Area Register "ADC2_RD_CONFIG_2" : "VCC" Field</t>
  </si>
  <si>
    <t>rmap_registers_wr_o.aeb_hk_adc2_rd_config_2.vcc &lt;= '0';</t>
  </si>
  <si>
    <t>-- AEB Housekeeping Area Register "ADC2_RD_CONFIG_2" : "OFFSET" Field</t>
  </si>
  <si>
    <t>rmap_registers_wr_o.aeb_hk_adc2_rd_config_2.offset &lt;= '0';</t>
  </si>
  <si>
    <t>-- AEB Housekeeping Area Register "ADC2_RD_CONFIG_2" : "CIO7" Field</t>
  </si>
  <si>
    <t>rmap_registers_wr_o.aeb_hk_adc2_rd_config_2.cio7 &lt;= '0';</t>
  </si>
  <si>
    <t>-- AEB Housekeeping Area Register "ADC2_RD_CONFIG_2" : "CIO6" Field</t>
  </si>
  <si>
    <t>rmap_registers_wr_o.aeb_hk_adc2_rd_config_2.cio6 &lt;= '0';</t>
  </si>
  <si>
    <t>-- AEB Housekeeping Area Register "ADC2_RD_CONFIG_2" : "CIO5" Field</t>
  </si>
  <si>
    <t>rmap_registers_wr_o.aeb_hk_adc2_rd_config_2.cio5 &lt;= '0';</t>
  </si>
  <si>
    <t>-- AEB Housekeeping Area Register "ADC2_RD_CONFIG_2" : "CIO4" Field</t>
  </si>
  <si>
    <t>rmap_registers_wr_o.aeb_hk_adc2_rd_config_2.cio4 &lt;= '0';</t>
  </si>
  <si>
    <t>-- AEB Housekeeping Area Register "ADC2_RD_CONFIG_2" : "CIO3" Field</t>
  </si>
  <si>
    <t>rmap_registers_wr_o.aeb_hk_adc2_rd_config_2.cio3 &lt;= '0';</t>
  </si>
  <si>
    <t>-- AEB Housekeeping Area Register "ADC2_RD_CONFIG_2" : "CIO2" Field</t>
  </si>
  <si>
    <t>rmap_registers_wr_o.aeb_hk_adc2_rd_config_2.cio2 &lt;= '0';</t>
  </si>
  <si>
    <t>-- AEB Housekeeping Area Register "ADC2_RD_CONFIG_2" : "CIO1" Field</t>
  </si>
  <si>
    <t>rmap_registers_wr_o.aeb_hk_adc2_rd_config_2.cio1 &lt;= '0';</t>
  </si>
  <si>
    <t>-- AEB Housekeeping Area Register "ADC2_RD_CONFIG_2" : "CIO0" Field</t>
  </si>
  <si>
    <t>rmap_registers_wr_o.aeb_hk_adc2_rd_config_2.cio0 &lt;= '0';</t>
  </si>
  <si>
    <t>-- AEB Housekeeping Area Register "ADC2_RD_CONFIG_3" : "DIO7" Field</t>
  </si>
  <si>
    <t>rmap_registers_wr_o.aeb_hk_adc2_rd_config_3.dio7 &lt;= '0';</t>
  </si>
  <si>
    <t>-- AEB Housekeeping Area Register "ADC2_RD_CONFIG_3" : "DIO6" Field</t>
  </si>
  <si>
    <t>rmap_registers_wr_o.aeb_hk_adc2_rd_config_3.dio6 &lt;= '0';</t>
  </si>
  <si>
    <t>-- AEB Housekeeping Area Register "ADC2_RD_CONFIG_3" : "DIO5" Field</t>
  </si>
  <si>
    <t>rmap_registers_wr_o.aeb_hk_adc2_rd_config_3.dio5 &lt;= '0';</t>
  </si>
  <si>
    <t>-- AEB Housekeeping Area Register "ADC2_RD_CONFIG_3" : "DIO4" Field</t>
  </si>
  <si>
    <t>rmap_registers_wr_o.aeb_hk_adc2_rd_config_3.dio4 &lt;= '0';</t>
  </si>
  <si>
    <t>-- AEB Housekeeping Area Register "ADC2_RD_CONFIG_3" : "DIO3" Field</t>
  </si>
  <si>
    <t>rmap_registers_wr_o.aeb_hk_adc2_rd_config_3.dio3 &lt;= '0';</t>
  </si>
  <si>
    <t>-- AEB Housekeeping Area Register "ADC2_RD_CONFIG_3" : "DIO2" Field</t>
  </si>
  <si>
    <t>rmap_registers_wr_o.aeb_hk_adc2_rd_config_3.dio2 &lt;= '0';</t>
  </si>
  <si>
    <t>-- AEB Housekeeping Area Register "ADC2_RD_CONFIG_3" : "DIO1" Field</t>
  </si>
  <si>
    <t>rmap_registers_wr_o.aeb_hk_adc2_rd_config_3.dio1 &lt;= '0';</t>
  </si>
  <si>
    <t>-- AEB Housekeeping Area Register "ADC2_RD_CONFIG_3" : "DIO0" Field</t>
  </si>
  <si>
    <t>rmap_registers_wr_o.aeb_hk_adc2_rd_config_3.dio0 &lt;= '0';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</si>
  <si>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</si>
  <si>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</si>
  <si>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</si>
  <si>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</si>
  <si>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</si>
  <si>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</si>
  <si>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</si>
  <si>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</si>
  <si>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</si>
  <si>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</si>
  <si>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</si>
  <si>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</si>
  <si>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</si>
  <si>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</si>
  <si>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</si>
  <si>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</si>
  <si>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</si>
  <si>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</si>
  <si>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</si>
  <si>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</si>
  <si>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</si>
  <si>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</si>
  <si>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</si>
  <si>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</si>
  <si>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</si>
  <si>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</si>
  <si>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</si>
  <si>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</si>
  <si>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</si>
  <si>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</si>
  <si>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</si>
  <si>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</si>
  <si>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</si>
  <si>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</si>
  <si>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</si>
  <si>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</si>
  <si>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</si>
  <si>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</si>
  <si>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</si>
  <si>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</si>
  <si>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</si>
  <si>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</si>
  <si>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</si>
  <si>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</si>
  <si>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</si>
  <si>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</si>
  <si>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</si>
  <si>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</si>
  <si>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</si>
  <si>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</si>
  <si>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</si>
  <si>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</si>
  <si>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</si>
  <si>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</si>
  <si>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</si>
  <si>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</si>
  <si>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</si>
  <si>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</si>
  <si>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</si>
  <si>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</si>
  <si>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</si>
  <si>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</si>
  <si>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</si>
  <si>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</si>
  <si>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</si>
  <si>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</si>
  <si>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</si>
  <si>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</si>
  <si>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</si>
  <si>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</si>
  <si>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</si>
  <si>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</si>
  <si>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</si>
  <si>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</si>
  <si>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</si>
  <si>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</si>
  <si>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</si>
  <si>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</si>
  <si>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</si>
  <si>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</si>
  <si>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</si>
  <si>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</si>
  <si>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</si>
  <si>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</si>
  <si>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</si>
  <si>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</si>
  <si>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</si>
  <si>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</si>
  <si>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</si>
  <si>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</si>
  <si>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</si>
  <si>
    <t>constant c_FARM_AVALON_MM_FFEE_AEB_RMAP_MIN_ADDR : natural range 0 to 511 := 16#000#;</t>
  </si>
  <si>
    <t>constant c_FARM_AVALON_MM_FFEE_AEB_RMAP_MAX_ADDR : natural range 0 to 511 := 16#1DC#;</t>
  </si>
  <si>
    <t xml:space="preserve">      avalon_mm_rmap_o.readdata(19 downto 16) &lt;= rmap_registers_wr_i.aeb_hk_aeb_status.aeb_status;</t>
  </si>
  <si>
    <t xml:space="preserve">      rmap_registers_wr_o.aeb_hk_aeb_status.aeb_status &lt;= avalon_mm_rmap_i.writedata(19 downto 16);</t>
  </si>
  <si>
    <t>bReserved0</t>
  </si>
  <si>
    <t>bNewState</t>
  </si>
  <si>
    <t>bSetState</t>
  </si>
  <si>
    <t>bAebReset</t>
  </si>
  <si>
    <t>ucReserved1</t>
  </si>
  <si>
    <t>bAdcDataRd</t>
  </si>
  <si>
    <t>bAdcCfgWr</t>
  </si>
  <si>
    <t>bAdcCfgRd</t>
  </si>
  <si>
    <t>bDacWr</t>
  </si>
  <si>
    <t>usiReserved2</t>
  </si>
  <si>
    <t>ucReserved0</t>
  </si>
  <si>
    <t>bWatchdogDis</t>
  </si>
  <si>
    <t>bIntSync</t>
  </si>
  <si>
    <t>bVaspCdsEn</t>
  </si>
  <si>
    <t>bVasp2CalEn</t>
  </si>
  <si>
    <t>bVasp1CalEn</t>
  </si>
  <si>
    <t>uliKey</t>
  </si>
  <si>
    <t>bOverrideSw</t>
  </si>
  <si>
    <t>bSwVan3</t>
  </si>
  <si>
    <t>bSwVan2</t>
  </si>
  <si>
    <t>bSwVan1</t>
  </si>
  <si>
    <t>bSwVclk</t>
  </si>
  <si>
    <t>bSwVccd</t>
  </si>
  <si>
    <t>bOverrideVasp</t>
  </si>
  <si>
    <t>bReserved1</t>
  </si>
  <si>
    <t>bVasp2PixEn</t>
  </si>
  <si>
    <t>bVasp1PixEn</t>
  </si>
  <si>
    <t>bVasp2AdcEn</t>
  </si>
  <si>
    <t>bVasp1AdcEn</t>
  </si>
  <si>
    <t>bVasp2Reset</t>
  </si>
  <si>
    <t>bVasp1Reset</t>
  </si>
  <si>
    <t>bOverrideAdc</t>
  </si>
  <si>
    <t>bAdc2EnP5V0</t>
  </si>
  <si>
    <t>bAdc1EnP5V0</t>
  </si>
  <si>
    <t>bPt1000CalOnN</t>
  </si>
  <si>
    <t>bEnVMuxN</t>
  </si>
  <si>
    <t>bAdc2PwdnN</t>
  </si>
  <si>
    <t>bAdc1PwdnN</t>
  </si>
  <si>
    <t>bAdcClkEn</t>
  </si>
  <si>
    <t>ucReserved2</t>
  </si>
  <si>
    <t>ucPatternCcdid</t>
  </si>
  <si>
    <t>usiPatternCols</t>
  </si>
  <si>
    <t>ucReserved</t>
  </si>
  <si>
    <t>usiPatternRows</t>
  </si>
  <si>
    <t>ucVaspCfgAddr</t>
  </si>
  <si>
    <t>ucVasp1CfgData</t>
  </si>
  <si>
    <t>ucVasp2CfgData</t>
  </si>
  <si>
    <t>bVasp2Select</t>
  </si>
  <si>
    <t>bVasp1Select</t>
  </si>
  <si>
    <t>bCalibrationStart</t>
  </si>
  <si>
    <t>bI2CReadStart</t>
  </si>
  <si>
    <t>bI2CWriteStart</t>
  </si>
  <si>
    <t>usiDacVog</t>
  </si>
  <si>
    <t>usiDacVrd</t>
  </si>
  <si>
    <t>usiDacVod</t>
  </si>
  <si>
    <t>usiReserved1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</si>
  <si>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</si>
  <si>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</si>
  <si>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</si>
  <si>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</si>
  <si>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</si>
  <si>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</si>
  <si>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</si>
  <si>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</si>
  <si>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</si>
  <si>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</si>
  <si>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</si>
  <si>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bSpirst</t>
  </si>
  <si>
    <t>bMuxmod</t>
  </si>
  <si>
    <t>bBypas</t>
  </si>
  <si>
    <t>bClkenb</t>
  </si>
  <si>
    <t>bChop</t>
  </si>
  <si>
    <t>bStat</t>
  </si>
  <si>
    <t>bIdlmod</t>
  </si>
  <si>
    <t>ucDly</t>
  </si>
  <si>
    <t>ucSbcs</t>
  </si>
  <si>
    <t>ucDrate</t>
  </si>
  <si>
    <t>ucAinp</t>
  </si>
  <si>
    <t>ucAinn</t>
  </si>
  <si>
    <t>ucDiff</t>
  </si>
  <si>
    <t>bAin7</t>
  </si>
  <si>
    <t>bAin6</t>
  </si>
  <si>
    <t>bAin5</t>
  </si>
  <si>
    <t>bAin4</t>
  </si>
  <si>
    <t>bAin3</t>
  </si>
  <si>
    <t>bAin2</t>
  </si>
  <si>
    <t>bAin1</t>
  </si>
  <si>
    <t>bAin0</t>
  </si>
  <si>
    <t>bAin15</t>
  </si>
  <si>
    <t>bAin14</t>
  </si>
  <si>
    <t>bAin13</t>
  </si>
  <si>
    <t>bAin12</t>
  </si>
  <si>
    <t>bAin11</t>
  </si>
  <si>
    <t>bAin10</t>
  </si>
  <si>
    <t>bAin9</t>
  </si>
  <si>
    <t>bAin8</t>
  </si>
  <si>
    <t>bRef</t>
  </si>
  <si>
    <t>bGain</t>
  </si>
  <si>
    <t>bTemp</t>
  </si>
  <si>
    <t>bVcc</t>
  </si>
  <si>
    <t>bOffset</t>
  </si>
  <si>
    <t>bCio7</t>
  </si>
  <si>
    <t>bCio6</t>
  </si>
  <si>
    <t>bCio5</t>
  </si>
  <si>
    <t>bCio4</t>
  </si>
  <si>
    <t>bCio3</t>
  </si>
  <si>
    <t>bCio2</t>
  </si>
  <si>
    <t>bCio1</t>
  </si>
  <si>
    <t>bCio0</t>
  </si>
  <si>
    <t>bDio7</t>
  </si>
  <si>
    <t>bDio6</t>
  </si>
  <si>
    <t>bDio5</t>
  </si>
  <si>
    <t>bDio4</t>
  </si>
  <si>
    <t>bDio3</t>
  </si>
  <si>
    <t>bDio2</t>
  </si>
  <si>
    <t>bDio1</t>
  </si>
  <si>
    <t>bDio0</t>
  </si>
  <si>
    <t>bSeqOeCcdEnable</t>
  </si>
  <si>
    <t>bSeqOeSpare</t>
  </si>
  <si>
    <t>bSeqOeTstline</t>
  </si>
  <si>
    <t>bSeqOeTstfrm</t>
  </si>
  <si>
    <t>bSeqOeVaspclamp</t>
  </si>
  <si>
    <t>bSeqOePreclamp</t>
  </si>
  <si>
    <t>bSeqOeIg</t>
  </si>
  <si>
    <t>bSeqOeTg</t>
  </si>
  <si>
    <t>bSeqOeDg</t>
  </si>
  <si>
    <t>bSeqOeRphir</t>
  </si>
  <si>
    <t>bSeqOeSw</t>
  </si>
  <si>
    <t>bSeqOeRphi3</t>
  </si>
  <si>
    <t>bSeqOeRphi2</t>
  </si>
  <si>
    <t>bSeqOeRphi1</t>
  </si>
  <si>
    <t>bSeqOeSphi4</t>
  </si>
  <si>
    <t>bSeqOeSphi3</t>
  </si>
  <si>
    <t>bSeqOeSphi2</t>
  </si>
  <si>
    <t>bSeqOeSphi1</t>
  </si>
  <si>
    <t>bSeqOeIphi4</t>
  </si>
  <si>
    <t>bSeqOeIphi3</t>
  </si>
  <si>
    <t>bSeqOeIphi2</t>
  </si>
  <si>
    <t>bSeqOeIphi1</t>
  </si>
  <si>
    <t>ucAdcClkDiv</t>
  </si>
  <si>
    <t>ucAdcClkLowPos</t>
  </si>
  <si>
    <t>ucAdcClkHighPos</t>
  </si>
  <si>
    <t>ucCdsClkLowPos</t>
  </si>
  <si>
    <t>ucCdsClkHighPos</t>
  </si>
  <si>
    <t>ucRphirClkLowPos</t>
  </si>
  <si>
    <t>ucRphirClkHighPos</t>
  </si>
  <si>
    <t>ucRphi1ClkLowPos</t>
  </si>
  <si>
    <t>ucRphi1ClkHighPos</t>
  </si>
  <si>
    <t>ucRphi2ClkLowPos</t>
  </si>
  <si>
    <t>ucRphi2ClkHighPos</t>
  </si>
  <si>
    <t>ucRphi3ClkLowPos</t>
  </si>
  <si>
    <t>ucRphi3ClkHighPos</t>
  </si>
  <si>
    <t>ucSwClkLowPos</t>
  </si>
  <si>
    <t>ucSwClkHighPos</t>
  </si>
  <si>
    <t>bVaspOutCtrl</t>
  </si>
  <si>
    <t>bReserved</t>
  </si>
  <si>
    <t>usiVaspOutEnPos</t>
  </si>
  <si>
    <t>bVaspOutCtrlInv</t>
  </si>
  <si>
    <t>usiVaspOutDisPos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</si>
  <si>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</si>
  <si>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</si>
  <si>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</si>
  <si>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</si>
  <si>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</si>
  <si>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</si>
  <si>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</si>
  <si>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</si>
  <si>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</si>
  <si>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</si>
  <si>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</si>
  <si>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</si>
  <si>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</si>
  <si>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</si>
  <si>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</si>
  <si>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bSphiInv</t>
  </si>
  <si>
    <t>bRphiInv</t>
  </si>
  <si>
    <t>ucAebStatus</t>
  </si>
  <si>
    <t>bVasp2CfgRun</t>
  </si>
  <si>
    <t>bVasp1CfgRun</t>
  </si>
  <si>
    <t>bDacCfgWrRun</t>
  </si>
  <si>
    <t>bAdcCfgRdRun</t>
  </si>
  <si>
    <t>bAdcCfgWrRun</t>
  </si>
  <si>
    <t>bAdcDatRdRun</t>
  </si>
  <si>
    <t>bAdcError</t>
  </si>
  <si>
    <t>bAdc2Lu</t>
  </si>
  <si>
    <t>bAdc1Lu</t>
  </si>
  <si>
    <t>bAdcDatRd</t>
  </si>
  <si>
    <t>bAdc2Busy</t>
  </si>
  <si>
    <t>bAdc1Busy</t>
  </si>
  <si>
    <t>uliTimestampDword1</t>
  </si>
  <si>
    <t>uliTimestampDword0</t>
  </si>
  <si>
    <t>bNewData</t>
  </si>
  <si>
    <t>bOvf</t>
  </si>
  <si>
    <t>bSupply</t>
  </si>
  <si>
    <t>ucChid</t>
  </si>
  <si>
    <t>uliAdcChxDataTVaspL</t>
  </si>
  <si>
    <t>uliAdcChxDataTVaspR</t>
  </si>
  <si>
    <t>uliAdcChxDataTBiasP</t>
  </si>
  <si>
    <t>uliAdcChxDataTHkP</t>
  </si>
  <si>
    <t>uliAdcChxDataTTou1P</t>
  </si>
  <si>
    <t>uliAdcChxDataTTou2P</t>
  </si>
  <si>
    <t>uliAdcChxDataHkVode</t>
  </si>
  <si>
    <t>uliAdcChxDataHkVodf</t>
  </si>
  <si>
    <t>uliAdcChxDataHkVrd</t>
  </si>
  <si>
    <t>uliAdcChxDataHkVog</t>
  </si>
  <si>
    <t>uliAdcChxDataTCcd</t>
  </si>
  <si>
    <t>uliAdcChxDataTRef1KMea</t>
  </si>
  <si>
    <t>uliAdcChxDataTRef649RMea</t>
  </si>
  <si>
    <t>uliAdcChxDataHkAnaN5V</t>
  </si>
  <si>
    <t>uliAdcChxDataSRef</t>
  </si>
  <si>
    <t>uliAdcChxDataHkCcdP31V</t>
  </si>
  <si>
    <t>uliAdcChxDataHkClkP15V</t>
  </si>
  <si>
    <t>uliAdcChxDataHkAnaP5V</t>
  </si>
  <si>
    <t>uliAdcChxDataHkAnaP3V3</t>
  </si>
  <si>
    <t>uliAdcChxDataHkDigP3V3</t>
  </si>
  <si>
    <t>ucAdcChxDataAdcRefBuf2</t>
  </si>
  <si>
    <t>bDly2</t>
  </si>
  <si>
    <t>bDly1</t>
  </si>
  <si>
    <t>bDly0</t>
  </si>
  <si>
    <t>bSbcs1</t>
  </si>
  <si>
    <t>bSbcs0</t>
  </si>
  <si>
    <t>bDrate1</t>
  </si>
  <si>
    <t>bDrate0</t>
  </si>
  <si>
    <t>bAinp3</t>
  </si>
  <si>
    <t>bAinp2</t>
  </si>
  <si>
    <t>bAinp1</t>
  </si>
  <si>
    <t>bAinp0</t>
  </si>
  <si>
    <t>bAinn3</t>
  </si>
  <si>
    <t>bAinn2</t>
  </si>
  <si>
    <t>bAinn1</t>
  </si>
  <si>
    <t>bAinn0</t>
  </si>
  <si>
    <t>bDiff7</t>
  </si>
  <si>
    <t>bDiff6</t>
  </si>
  <si>
    <t>bDiff5</t>
  </si>
  <si>
    <t>bDiff4</t>
  </si>
  <si>
    <t>bDiff3</t>
  </si>
  <si>
    <t>bDiff2</t>
  </si>
  <si>
    <t>bDiff1</t>
  </si>
  <si>
    <t>bDiff0</t>
  </si>
  <si>
    <t>ucVasp1ReadData</t>
  </si>
  <si>
    <t>ucVasp2ReadData</t>
  </si>
  <si>
    <t>usiFpgaVersion</t>
  </si>
  <si>
    <t>usiFpgaDate</t>
  </si>
  <si>
    <t>usiFpgaTimeH</t>
  </si>
  <si>
    <t>ucFpgaTimeM</t>
  </si>
  <si>
    <t>usiFpgaSvn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</si>
  <si>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</si>
  <si>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</si>
  <si>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</si>
  <si>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</si>
  <si>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</si>
  <si>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</si>
  <si>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</si>
  <si>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</si>
  <si>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</si>
  <si>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</si>
  <si>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</si>
  <si>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</si>
  <si>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</si>
  <si>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</si>
  <si>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</si>
  <si>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</si>
  <si>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</si>
  <si>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</si>
  <si>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</si>
  <si>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</si>
  <si>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</si>
  <si>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</si>
  <si>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</si>
  <si>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</si>
  <si>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</si>
  <si>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</si>
  <si>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</si>
  <si>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</si>
  <si>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</si>
  <si>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</si>
  <si>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</si>
  <si>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</si>
  <si>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</si>
  <si>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</si>
  <si>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</si>
  <si>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</si>
  <si>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</si>
  <si>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</si>
  <si>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</si>
  <si>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</si>
  <si>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</si>
  <si>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</si>
  <si>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</si>
  <si>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</si>
  <si>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</si>
  <si>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</si>
  <si>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</si>
  <si>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</si>
  <si>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</si>
  <si>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</si>
  <si>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</si>
  <si>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</si>
  <si>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</si>
  <si>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</si>
  <si>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</si>
  <si>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</si>
  <si>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</si>
  <si>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</si>
  <si>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</si>
  <si>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</si>
  <si>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</si>
  <si>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</si>
  <si>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</si>
  <si>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</si>
  <si>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</si>
  <si>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</si>
  <si>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</si>
  <si>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</si>
  <si>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</si>
  <si>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</si>
  <si>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</si>
  <si>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</si>
  <si>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bNewState; /* "NEW_STATE" Field */</t>
  </si>
  <si>
    <t xml:space="preserve">  bool bSetState; /* "SET_STATE" Field */</t>
  </si>
  <si>
    <t xml:space="preserve">  bool bAebReset; /* "AEB_RESET" Field */</t>
  </si>
  <si>
    <t xml:space="preserve">  alt_u8 ucReserved1; /* "RESERVED_1" Field */</t>
  </si>
  <si>
    <t xml:space="preserve">  bool bAdcDataRd; /* "ADC_DATA_RD" Field */</t>
  </si>
  <si>
    <t xml:space="preserve">  bool bAdcCfgWr; /* "ADC_CFG_WR" Field */</t>
  </si>
  <si>
    <t xml:space="preserve">  bool bAdcCfgRd; /* "ADC_CFG_RD" Field */</t>
  </si>
  <si>
    <t xml:space="preserve">  bool bDacWr; /* "DAC_WR" Field */</t>
  </si>
  <si>
    <t xml:space="preserve">  alt_u16 usiReserved2; /* "RESERVED_2" Field */</t>
  </si>
  <si>
    <t>} TAebControl;</t>
  </si>
  <si>
    <t xml:space="preserve"> /* AEB Critical Configuration Area Register "AEB_CONFIG" Struct */</t>
  </si>
  <si>
    <t>typedef struct AebConfig {</t>
  </si>
  <si>
    <t xml:space="preserve">  alt_u8 ucReserved0; /* "RESERVED_0" Field */</t>
  </si>
  <si>
    <t xml:space="preserve">  bool bWatchdogDis; /* "WATCH-DOG_DIS" Field */</t>
  </si>
  <si>
    <t xml:space="preserve">  bool bIntSync; /* "INT_SYNC" Field */</t>
  </si>
  <si>
    <t xml:space="preserve">  bool bVaspCdsEn; /* "VASP_CDS_EN" Field */</t>
  </si>
  <si>
    <t xml:space="preserve">  bool bVasp2CalEn; /* "VASP2_CAL_EN" Field */</t>
  </si>
  <si>
    <t xml:space="preserve">  bool bVasp1CalEn; /* "VASP1_CAL_EN" Field */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</si>
  <si>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</si>
  <si>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</si>
  <si>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</si>
  <si>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</si>
  <si>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</si>
  <si>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</si>
  <si>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</si>
  <si>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bOverrideSw; /* "OVERRIDE_SW" Field */</t>
  </si>
  <si>
    <t xml:space="preserve">  bool bSwVan3; /* "SW_VAN3" Field */</t>
  </si>
  <si>
    <t xml:space="preserve">  bool bSwVan2; /* "SW_VAN2" Field */</t>
  </si>
  <si>
    <t xml:space="preserve">  bool bSwVan1; /* "SW_VAN1" Field */</t>
  </si>
  <si>
    <t xml:space="preserve">  bool bSwVclk; /* "SW_VCLK" Field */</t>
  </si>
  <si>
    <t xml:space="preserve">  bool bSwVccd; /* "SW_VCCD" Field */</t>
  </si>
  <si>
    <t xml:space="preserve">  bool bOverrideVasp; /* "OVERRIDE_VASP" Field */</t>
  </si>
  <si>
    <t xml:space="preserve">  bool bReserved1; /* "RESERVED_1" Field */</t>
  </si>
  <si>
    <t xml:space="preserve">  bool bVasp2PixEn; /* "VASP2_PIX_EN" Field */</t>
  </si>
  <si>
    <t xml:space="preserve">  bool bVasp1PixEn; /* "VASP1_PIX_EN" Field */</t>
  </si>
  <si>
    <t xml:space="preserve">  bool bVasp2AdcEn; /* "VASP2_ADC_EN" Field */</t>
  </si>
  <si>
    <t xml:space="preserve">  bool bVasp1AdcEn; /* "VASP1_ADC_EN" Field */</t>
  </si>
  <si>
    <t xml:space="preserve">  bool bVasp2Reset; /* "VASP2_RESET" Field */</t>
  </si>
  <si>
    <t xml:space="preserve">  bool bVasp1Reset; /* "VASP1_RESET" Field */</t>
  </si>
  <si>
    <t xml:space="preserve">  bool bOverrideAdc; /* "OVERRIDE_ADC" Field */</t>
  </si>
  <si>
    <t xml:space="preserve">  bool bAdc2EnP5V0; /* "ADC2_EN_P5V0" Field */</t>
  </si>
  <si>
    <t xml:space="preserve">  bool bAdc1EnP5V0; /* "ADC1_EN_P5V0" Field */</t>
  </si>
  <si>
    <t xml:space="preserve">  bool bPt1000CalOnN; /* "PT1000_CAL_ON_N" Field */</t>
  </si>
  <si>
    <t xml:space="preserve">  bool bEnVMuxN; /* "EN_V_MUX_N" Field */</t>
  </si>
  <si>
    <t xml:space="preserve">  bool bAdc2PwdnN; /* "ADC2_PWDN_N" Field */</t>
  </si>
  <si>
    <t xml:space="preserve">  bool bAdc1PwdnN; /* "ADC1_PWDN_N" Field */</t>
  </si>
  <si>
    <t xml:space="preserve">  bool bAdcClkEn; /* "ADC_CLK_EN" Field */</t>
  </si>
  <si>
    <t xml:space="preserve">  alt_u8 ucReserved2; /* "RESERVED_2" Field */</t>
  </si>
  <si>
    <t>} TAebConfigAit;</t>
  </si>
  <si>
    <t xml:space="preserve"> /* AEB Critical Configuration Area Register "AEB_CONFIG_PATTERN" Struct */</t>
  </si>
  <si>
    <t>typedef struct AebConfigPattern {</t>
  </si>
  <si>
    <t xml:space="preserve">  alt_u8 ucPatternCcdid; /* "PATTERN_CCDID" Field */</t>
  </si>
  <si>
    <t xml:space="preserve">  alt_u16 usiPatternCols; /* "PATTERN_COLS" Field */</t>
  </si>
  <si>
    <t xml:space="preserve">  alt_u8 ucReserved; /* "RESERVED" Field */</t>
  </si>
  <si>
    <t xml:space="preserve">  alt_u16 usiPatternRows; /* "PATTERN_ROWS" Field */</t>
  </si>
  <si>
    <t>} TAebConfigPattern;</t>
  </si>
  <si>
    <t xml:space="preserve"> /* AEB Critical Configuration Area Register "VASP_I2C_CONTROL" Struct */</t>
  </si>
  <si>
    <t>typedef struct VaspI2CControl {</t>
  </si>
  <si>
    <t xml:space="preserve">  alt_u8 ucVaspCfgAddr; /* "VASP_CFG_ADDR" Field */</t>
  </si>
  <si>
    <t xml:space="preserve">  alt_u8 ucVasp1CfgData; /* "VASP1_CFG_DATA" Field */</t>
  </si>
  <si>
    <t xml:space="preserve">  alt_u8 ucVasp2CfgData; /* "VASP2_CFG_DATA" Field */</t>
  </si>
  <si>
    <t xml:space="preserve">  bool bVasp2Select; /* "VASP2_SELECT" Field */</t>
  </si>
  <si>
    <t xml:space="preserve">  bool bVasp1Select; /* "VASP1_SELECT" Field */</t>
  </si>
  <si>
    <t xml:space="preserve">  bool bCalibrationStart; /* "CALIBRATION_START" Field */</t>
  </si>
  <si>
    <t xml:space="preserve">  bool bI2CReadStart; /* "I2C_READ_START" Field */</t>
  </si>
  <si>
    <t xml:space="preserve">  bool bI2CWriteStart; /* "I2C_WRITE_START" Field */</t>
  </si>
  <si>
    <t>} TVaspI2CControl;</t>
  </si>
  <si>
    <t xml:space="preserve"> /* AEB Critical Configuration Area Register "DAC_CONFIG_1" Struct */</t>
  </si>
  <si>
    <t>typedef struct DacConfig1 {</t>
  </si>
  <si>
    <t xml:space="preserve">  alt_u16 usiDacVog; /* "DAC_VOG" Field */</t>
  </si>
  <si>
    <t xml:space="preserve">  alt_u16 usiDacVrd; /* "DAC_VRD" Field */</t>
  </si>
  <si>
    <t>} TDacConfig1;</t>
  </si>
  <si>
    <t xml:space="preserve"> /* AEB Critical Configuration Area Register "DAC_CONFIG_2" Struct */</t>
  </si>
  <si>
    <t>typedef struct DacConfig2 {</t>
  </si>
  <si>
    <t xml:space="preserve">  alt_u16 usiDacVod; /* "DAC_VOD" Field */</t>
  </si>
  <si>
    <t xml:space="preserve">  alt_u16 usiReserved1; /* "RESERVED_1" Field */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</si>
  <si>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</si>
  <si>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</si>
  <si>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</si>
  <si>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</si>
  <si>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</si>
  <si>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</si>
  <si>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</si>
  <si>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 xml:space="preserve">  alt_u8 ucTimeVccdOn; /* "TIME_VCCD_ON" Field */</t>
  </si>
  <si>
    <t xml:space="preserve">  alt_u8 ucTimeVclkOn; /* "TIME_VCLK_ON" Field */</t>
  </si>
  <si>
    <t xml:space="preserve">  alt_u8 ucTimeVan1On; /* "TIME_VAN1_ON" Field */</t>
  </si>
  <si>
    <t xml:space="preserve">  alt_u8 ucTimeVan2On; /* "TIME_VAN2_ON" Field */</t>
  </si>
  <si>
    <t>} TPwrConfig1;</t>
  </si>
  <si>
    <t xml:space="preserve"> /* AEB Critical Configuration Area Register "PWR_CONFIG2" Struct */</t>
  </si>
  <si>
    <t>typedef struct PwrConfig2 {</t>
  </si>
  <si>
    <t xml:space="preserve">  alt_u8 ucTimeVan3On; /* "TIME_VAN3_ON" Field */</t>
  </si>
  <si>
    <t xml:space="preserve">  alt_u8 ucTimeVccdOff; /* "TIME_VCCD_OFF" Field */</t>
  </si>
  <si>
    <t xml:space="preserve">  alt_u8 ucTimeVclkOff; /* "TIME_VCLK_OFF" Field */</t>
  </si>
  <si>
    <t xml:space="preserve">  alt_u8 ucTimeVan1Off; /* "TIME_VAN1_OFF" Field */</t>
  </si>
  <si>
    <t>} TPwrConfig2;</t>
  </si>
  <si>
    <t xml:space="preserve"> /* AEB Critical Configuration Area Register "PWR_CONFIG3" Struct */</t>
  </si>
  <si>
    <t>typedef struct PwrConfig3 {</t>
  </si>
  <si>
    <t xml:space="preserve">  alt_u8 ucTimeVan2Off; /* "TIME_VAN2_OFF" Field */</t>
  </si>
  <si>
    <t xml:space="preserve">  alt_u8 ucTimeVan3Off; /* "TIME_VAN3_OFF" Field */</t>
  </si>
  <si>
    <t>} TPwrConfig3;</t>
  </si>
  <si>
    <t xml:space="preserve"> /* AEB General Configuration Area Register "ADC1_CONFIG_1" Struct */</t>
  </si>
  <si>
    <t>typedef struct Adc1Config1 {</t>
  </si>
  <si>
    <t xml:space="preserve">  bool bSpirst; /* "SPIRST" Field */</t>
  </si>
  <si>
    <t xml:space="preserve">  bool bMuxmod; /* "MUXMOD" Field */</t>
  </si>
  <si>
    <t xml:space="preserve">  bool bBypas; /* "BYPAS" Field */</t>
  </si>
  <si>
    <t xml:space="preserve">  bool bClkenb; /* "CLKENB" Field */</t>
  </si>
  <si>
    <t xml:space="preserve">  bool bChop; /* "CHOP" Field */</t>
  </si>
  <si>
    <t xml:space="preserve">  bool bStat; /* "STAT" Field */</t>
  </si>
  <si>
    <t xml:space="preserve">  bool bIdlmod; /* "IDLMOD" Field */</t>
  </si>
  <si>
    <t xml:space="preserve">  alt_u8 ucDly; /* "DLY" Field */</t>
  </si>
  <si>
    <t xml:space="preserve">  alt_u8 ucSbcs; /* "SBCS" Field */</t>
  </si>
  <si>
    <t xml:space="preserve">  alt_u8 ucDrate; /* "DRATE" Field */</t>
  </si>
  <si>
    <t xml:space="preserve">  alt_u8 ucAinp; /* "AINP" Field */</t>
  </si>
  <si>
    <t xml:space="preserve">  alt_u8 ucAinn; /* "AINN" Field */</t>
  </si>
  <si>
    <t xml:space="preserve">  alt_u8 ucDiff; /* "DIFF" Field */</t>
  </si>
  <si>
    <t>} TAdc1Config1;</t>
  </si>
  <si>
    <t xml:space="preserve"> /* AEB General Configuration Area Register "ADC1_CONFIG_2" Struct */</t>
  </si>
  <si>
    <t>typedef struct Adc1Config2 {</t>
  </si>
  <si>
    <t xml:space="preserve">  bool bAin7; /* "AIN7" Field */</t>
  </si>
  <si>
    <t xml:space="preserve">  bool bAin6; /* "AIN6" Field */</t>
  </si>
  <si>
    <t xml:space="preserve">  bool bAin5; /* "AIN5" Field */</t>
  </si>
  <si>
    <t xml:space="preserve">  bool bAin4; /* "AIN4" Field */</t>
  </si>
  <si>
    <t xml:space="preserve">  bool bAin3; /* "AIN3" Field */</t>
  </si>
  <si>
    <t xml:space="preserve">  bool bAin2; /* "AIN2" Field */</t>
  </si>
  <si>
    <t xml:space="preserve">  bool bAin1; /* "AIN1" Field */</t>
  </si>
  <si>
    <t xml:space="preserve">  bool bAin0; /* "AIN0" Field */</t>
  </si>
  <si>
    <t xml:space="preserve">  bool bAin15; /* "AIN15" Field */</t>
  </si>
  <si>
    <t xml:space="preserve">  bool bAin14; /* "AIN14" Field */</t>
  </si>
  <si>
    <t xml:space="preserve">  bool bAin13; /* "AIN13" Field */</t>
  </si>
  <si>
    <t xml:space="preserve">  bool bAin12; /* "AIN12" Field */</t>
  </si>
  <si>
    <t xml:space="preserve">  bool bAin11; /* "AIN11" Field */</t>
  </si>
  <si>
    <t xml:space="preserve">  bool bAin10; /* "AIN10" Field */</t>
  </si>
  <si>
    <t xml:space="preserve">  bool bAin9; /* "AIN9" Field */</t>
  </si>
  <si>
    <t xml:space="preserve">  bool bAin8; /* "AIN8" Field */</t>
  </si>
  <si>
    <t xml:space="preserve">  bool bRef; /* "REF" Field */</t>
  </si>
  <si>
    <t xml:space="preserve">  bool bGain; /* "GAIN" Field */</t>
  </si>
  <si>
    <t xml:space="preserve">  bool bTemp; /* "TEMP" Field */</t>
  </si>
  <si>
    <t xml:space="preserve">  bool bVcc; /* "VCC" Field */</t>
  </si>
  <si>
    <t xml:space="preserve">  bool bOffset; /* "OFFSET" Field */</t>
  </si>
  <si>
    <t xml:space="preserve">  bool bCio7; /* "CIO7" Field */</t>
  </si>
  <si>
    <t xml:space="preserve">  bool bCio6; /* "CIO6" Field */</t>
  </si>
  <si>
    <t xml:space="preserve">  bool bCio5; /* "CIO5" Field */</t>
  </si>
  <si>
    <t xml:space="preserve">  bool bCio4; /* "CIO4" Field */</t>
  </si>
  <si>
    <t xml:space="preserve">  bool bCio3; /* "CIO3" Field */</t>
  </si>
  <si>
    <t xml:space="preserve">  bool bCio2; /* "CIO2" Field */</t>
  </si>
  <si>
    <t xml:space="preserve">  bool bCio1; /* "CIO1" Field */</t>
  </si>
  <si>
    <t xml:space="preserve">  bool bCio0; /* "CIO0" Field */</t>
  </si>
  <si>
    <t>} TAdc1Config2;</t>
  </si>
  <si>
    <t xml:space="preserve"> /* AEB General Configuration Area Register "ADC1_CONFIG_3" Struct */</t>
  </si>
  <si>
    <t>typedef struct Adc1Config3 {</t>
  </si>
  <si>
    <t xml:space="preserve">  bool bDio7; /* "DIO7" Field */</t>
  </si>
  <si>
    <t xml:space="preserve">  bool bDio6; /* "DIO6" Field */</t>
  </si>
  <si>
    <t xml:space="preserve">  bool bDio5; /* "DIO5" Field */</t>
  </si>
  <si>
    <t xml:space="preserve">  bool bDio4; /* "DIO4" Field */</t>
  </si>
  <si>
    <t xml:space="preserve">  bool bDio3; /* "DIO3" Field */</t>
  </si>
  <si>
    <t xml:space="preserve">  bool bDio2; /* "DIO2" Field */</t>
  </si>
  <si>
    <t xml:space="preserve">  bool bDio1; /* "DIO1" Field */</t>
  </si>
  <si>
    <t xml:space="preserve">  bool bDio0; /* "DIO0" Field */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</si>
  <si>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</si>
  <si>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</si>
  <si>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</si>
  <si>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</si>
  <si>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</si>
  <si>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</si>
  <si>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</si>
  <si>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</si>
  <si>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</si>
  <si>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</si>
  <si>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</si>
  <si>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</si>
  <si>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</si>
  <si>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</si>
  <si>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</si>
  <si>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</si>
  <si>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</si>
  <si>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</si>
  <si>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 xml:space="preserve">  bool bSeqOeCcdEnable; /* "SEQ_OE_CCD_ENABLE" Field */</t>
  </si>
  <si>
    <t xml:space="preserve">  bool bSeqOeSpare; /* "SEQ_OE_SPARE" Field */</t>
  </si>
  <si>
    <t xml:space="preserve">  bool bSeqOeTstline; /* "SEQ_OE_TSTLINE" Field */</t>
  </si>
  <si>
    <t xml:space="preserve">  bool bSeqOeTstfrm; /* "SEQ_OE_TSTFRM" Field */</t>
  </si>
  <si>
    <t xml:space="preserve">  bool bSeqOeVaspclamp; /* "SEQ_OE_VASPCLAMP" Field */</t>
  </si>
  <si>
    <t xml:space="preserve">  bool bSeqOePreclamp; /* "SEQ_OE_PRECLAMP" Field */</t>
  </si>
  <si>
    <t xml:space="preserve">  bool bSeqOeIg; /* "SEQ_OE_IG" Field */</t>
  </si>
  <si>
    <t xml:space="preserve">  bool bSeqOeTg; /* "SEQ_OE_TG" Field */</t>
  </si>
  <si>
    <t xml:space="preserve">  bool bSeqOeDg; /* "SEQ_OE_DG" Field */</t>
  </si>
  <si>
    <t xml:space="preserve">  bool bSeqOeRphir; /* "SEQ_OE_RPHIR" Field */</t>
  </si>
  <si>
    <t xml:space="preserve">  bool bSeqOeSw; /* "SEQ_OE_SW" Field */</t>
  </si>
  <si>
    <t xml:space="preserve">  bool bSeqOeRphi3; /* "SEQ_OE_RPHI3" Field */</t>
  </si>
  <si>
    <t xml:space="preserve">  bool bSeqOeRphi2; /* "SEQ_OE_RPHI2" Field */</t>
  </si>
  <si>
    <t xml:space="preserve">  bool bSeqOeRphi1; /* "SEQ_OE_RPHI1" Field */</t>
  </si>
  <si>
    <t xml:space="preserve">  bool bSeqOeSphi4; /* "SEQ_OE_SPHI4" Field */</t>
  </si>
  <si>
    <t xml:space="preserve">  bool bSeqOeSphi3; /* "SEQ_OE_SPHI3" Field */</t>
  </si>
  <si>
    <t xml:space="preserve">  bool bSeqOeSphi2; /* "SEQ_OE_SPHI2" Field */</t>
  </si>
  <si>
    <t xml:space="preserve">  bool bSeqOeSphi1; /* "SEQ_OE_SPHI1" Field */</t>
  </si>
  <si>
    <t xml:space="preserve">  bool bSeqOeIphi4; /* "SEQ_OE_IPHI4" Field */</t>
  </si>
  <si>
    <t xml:space="preserve">  bool bSeqOeIphi3; /* "SEQ_OE_IPHI3" Field */</t>
  </si>
  <si>
    <t xml:space="preserve">  bool bSeqOeIphi2; /* "SEQ_OE_IPHI2" Field */</t>
  </si>
  <si>
    <t xml:space="preserve">  bool bSeqOeIphi1; /* "SEQ_OE_IPHI1" Field */</t>
  </si>
  <si>
    <t xml:space="preserve">  alt_u8 ucAdcClkDiv; /* "ADC_CLK_DIV" Field */</t>
  </si>
  <si>
    <t>} TSeqConfig1;</t>
  </si>
  <si>
    <t xml:space="preserve"> /* AEB General Configuration Area Register "SEQ_CONFIG_2" Struct */</t>
  </si>
  <si>
    <t>typedef struct SeqConfig2 {</t>
  </si>
  <si>
    <t xml:space="preserve">  alt_u8 ucAdcClkLowPos; /* "ADC_CLK_LOW_POS" Field */</t>
  </si>
  <si>
    <t xml:space="preserve">  alt_u8 ucAdcClkHighPos; /* "ADC_CLK_HIGH_POS" Field */</t>
  </si>
  <si>
    <t xml:space="preserve">  alt_u8 ucCdsClkLowPos; /* "CDS_CLK_LOW_POS" Field */</t>
  </si>
  <si>
    <t xml:space="preserve">  alt_u8 ucCdsClkHighPos; /* "CDS_CLK_HIGH_POS" Field */</t>
  </si>
  <si>
    <t>} TSeqConfig2;</t>
  </si>
  <si>
    <t xml:space="preserve"> /* AEB General Configuration Area Register "SEQ_CONFIG_3" Struct */</t>
  </si>
  <si>
    <t>typedef struct SeqConfig3 {</t>
  </si>
  <si>
    <t xml:space="preserve">  alt_u8 ucRphirClkLowPos; /* "RPHIR_CLK_LOW_POS" Field */</t>
  </si>
  <si>
    <t xml:space="preserve">  alt_u8 ucRphirClkHighPos; /* "RPHIR_CLK_HIGH_POS" Field */</t>
  </si>
  <si>
    <t xml:space="preserve">  alt_u8 ucRphi1ClkLowPos; /* "RPHI1_CLK_LOW_POS" Field */</t>
  </si>
  <si>
    <t xml:space="preserve">  alt_u8 ucRphi1ClkHighPos; /* "RPHI1_CLK_HIGH_POS" Field */</t>
  </si>
  <si>
    <t>} TSeqConfig3;</t>
  </si>
  <si>
    <t xml:space="preserve"> /* AEB General Configuration Area Register "SEQ_CONFIG_4" Struct */</t>
  </si>
  <si>
    <t>typedef struct SeqConfig4 {</t>
  </si>
  <si>
    <t xml:space="preserve">  alt_u8 ucRphi2ClkLowPos; /* "RPHI2_CLK_LOW_POS" Field */</t>
  </si>
  <si>
    <t xml:space="preserve">  alt_u8 ucRphi2ClkHighPos; /* "RPHI2_CLK_HIGH_POS" Field */</t>
  </si>
  <si>
    <t xml:space="preserve">  alt_u8 ucRphi3ClkLowPos; /* "RPHI3_CLK_LOW_POS" Field */</t>
  </si>
  <si>
    <t xml:space="preserve">  alt_u8 ucRphi3ClkHighPos; /* "RPHI3_CLK_HIGH_POS" Field */</t>
  </si>
  <si>
    <t>} TSeqConfig4;</t>
  </si>
  <si>
    <t xml:space="preserve"> /* AEB General Configuration Area Register "SEQ_CONFIG_5" Struct */</t>
  </si>
  <si>
    <t>typedef struct SeqConfig5 {</t>
  </si>
  <si>
    <t xml:space="preserve">  alt_u8 ucSwClkLowPos; /* "SW_CLK_LOW_POS" Field */</t>
  </si>
  <si>
    <t xml:space="preserve">  alt_u8 ucSwClkHighPos; /* "SW_CLK_HIGH_POS" Field */</t>
  </si>
  <si>
    <t xml:space="preserve">  bool bVaspOutCtrl; /* "VASP_OUT_CTRL" Field */</t>
  </si>
  <si>
    <t xml:space="preserve">  bool bReserved; /* "RESERVED" Field */</t>
  </si>
  <si>
    <t xml:space="preserve">  alt_u16 usiVaspOutEnPos; /* "VASP_OUT_EN_POS" Field */</t>
  </si>
  <si>
    <t>} TSeqConfig5;</t>
  </si>
  <si>
    <t xml:space="preserve"> /* AEB General Configuration Area Register "SEQ_CONFIG_6" Struct */</t>
  </si>
  <si>
    <t>typedef struct SeqConfig6 {</t>
  </si>
  <si>
    <t xml:space="preserve">  bool bVaspOutCtrlInv; /* "VASP_OUT_CTRL_INV" Field */</t>
  </si>
  <si>
    <t xml:space="preserve">  alt_u16 usiVaspOutDisPos; /* "VASP_OUT_DIS_POS" Field */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</si>
  <si>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</si>
  <si>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</si>
  <si>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</si>
  <si>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</si>
  <si>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</si>
  <si>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</si>
  <si>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</si>
  <si>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</si>
  <si>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</si>
  <si>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alt_u16 usiFtLoopCnt; /* "FT_LOOP_CNT" Field */</t>
  </si>
  <si>
    <t xml:space="preserve">  bool bLt0Enabled; /* "LT0_ENABLED" Field */</t>
  </si>
  <si>
    <t xml:space="preserve">  alt_u16 usiLt0LoopCnt; /* "LT0_LOOP_CNT"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</si>
  <si>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</si>
  <si>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</si>
  <si>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</si>
  <si>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</si>
  <si>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alt_u16 usiLt1LoopCnt; /* "LT1_LOOP_CNT" Field */</t>
  </si>
  <si>
    <t xml:space="preserve">  bool bLt2Enabled; /* "LT2_ENABLED" Field */</t>
  </si>
  <si>
    <t xml:space="preserve">  alt_u16 usiLt2LoopCnt; /* "LT2_LOOP_CNT"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</si>
  <si>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</si>
  <si>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</si>
  <si>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</si>
  <si>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</si>
  <si>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 xml:space="preserve">  alt_u16 usiLt3LoopCnt; /* "LT3_LOOP_CNT" Field */</t>
  </si>
  <si>
    <t xml:space="preserve">  alt_u16 usiPixLoopCntWord1; /* "PIX_LOOP_CNT_WORD_1" Field */</t>
  </si>
  <si>
    <t>} TSeqConfig11;</t>
  </si>
  <si>
    <t xml:space="preserve"> /* AEB General Configuration Area Register "SEQ_CONFIG_12" Struct */</t>
  </si>
  <si>
    <t>typedef struct SeqConfig12 {</t>
  </si>
  <si>
    <t xml:space="preserve">  alt_u16 usiPixLoopCntWord0; /* "PIX_LOOP_CNT_WORD_0" Field */</t>
  </si>
  <si>
    <t xml:space="preserve">  bool bPcEnabled; /* "PC_ENABLED" Field */</t>
  </si>
  <si>
    <t xml:space="preserve">  alt_u16 usiPcLoopCnt; /* "PC_LOOP_CNT" Field */</t>
  </si>
  <si>
    <t>} TSeqConfig12;</t>
  </si>
  <si>
    <t xml:space="preserve"> /* AEB General Configuration Area Register "SEQ_CONFIG_13" Struct */</t>
  </si>
  <si>
    <t>typedef struct SeqConfig13 {</t>
  </si>
  <si>
    <t xml:space="preserve">  alt_u16 usiInt1LoopCnt; /* "INT1_LOOP_CNT" Field */</t>
  </si>
  <si>
    <t xml:space="preserve">  alt_u16 usiInt2LoopCnt; /* "INT2_LOOP_CNT" Field */</t>
  </si>
  <si>
    <t>} TSeqConfig13;</t>
  </si>
  <si>
    <t xml:space="preserve"> /* AEB General Configuration Area Register "SEQ_CONFIG_14" Struct */</t>
  </si>
  <si>
    <t>typedef struct SeqConfig14 {</t>
  </si>
  <si>
    <t xml:space="preserve">  bool bSphiInv; /* "SPHI_INV" Field */</t>
  </si>
  <si>
    <t xml:space="preserve">  bool bRphiInv; /* "RPHI_INV" Field */</t>
  </si>
  <si>
    <t>} TSeqConfig14;</t>
  </si>
  <si>
    <t xml:space="preserve"> /* AEB Housekeeping Area Register "AEB_STATUS" Struct */</t>
  </si>
  <si>
    <t>typedef struct AebStatus {</t>
  </si>
  <si>
    <t xml:space="preserve">  alt_u8 ucAebStatus; /* "AEB_STATUS" Field */</t>
  </si>
  <si>
    <t xml:space="preserve">  bool bVasp2CfgRun; /* "VASP2_CFG_RUN" Field */</t>
  </si>
  <si>
    <t xml:space="preserve">  bool bVasp1CfgRun; /* "VASP1_CFG_RUN" Field */</t>
  </si>
  <si>
    <t xml:space="preserve">  bool bDacCfgWrRun; /* "DAC_CFG_WR_RUN" Field */</t>
  </si>
  <si>
    <t xml:space="preserve">  bool bAdcCfgRdRun; /* "ADC_CFG_RD_RUN" Field */</t>
  </si>
  <si>
    <t xml:space="preserve">  bool bAdcCfgWrRun; /* "ADC_CFG_WR_RUN" Field */</t>
  </si>
  <si>
    <t xml:space="preserve">  bool bAdcDatRdRun; /* "ADC_DAT_RD_RUN" Field */</t>
  </si>
  <si>
    <t xml:space="preserve">  bool bAdcError; /* "ADC_ERROR" Field */</t>
  </si>
  <si>
    <t xml:space="preserve">  bool bAdc2Lu; /* "ADC2_LU" Field */</t>
  </si>
  <si>
    <t xml:space="preserve">  bool bAdc1Lu; /* "ADC1_LU" Field */</t>
  </si>
  <si>
    <t xml:space="preserve">  bool bAdcDatRd; /* "ADC_DAT_RD" Field */</t>
  </si>
  <si>
    <t xml:space="preserve">  bool bAdc2Busy; /* "ADC2_BUSY" Field */</t>
  </si>
  <si>
    <t xml:space="preserve">  bool bAdc1Busy; /* "ADC1_BUSY" Field */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</si>
  <si>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</si>
  <si>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</si>
  <si>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</si>
  <si>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</si>
  <si>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</si>
  <si>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</si>
  <si>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</si>
  <si>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</si>
  <si>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</si>
  <si>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</si>
  <si>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</si>
  <si>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 xml:space="preserve">  bool bNewData; /* "NEW" Field */</t>
  </si>
  <si>
    <t xml:space="preserve">  bool bOvf; /* "OVF" Field */</t>
  </si>
  <si>
    <t xml:space="preserve">  bool bSupply; /* "SUPPLY" Field */</t>
  </si>
  <si>
    <t xml:space="preserve">  alt_u8 ucChid; /* "CHID" Field */</t>
  </si>
  <si>
    <t xml:space="preserve">  alt_u32 uliAdcChxDataTVaspL; /* "ADC_CHX_DATA_T_VASP_L" Field */</t>
  </si>
  <si>
    <t>} TAdcRdDataTVaspL;</t>
  </si>
  <si>
    <t xml:space="preserve"> /* AEB Housekeeping Area Register "ADC_RD_DATA_T_VASP_R" Struct */</t>
  </si>
  <si>
    <t>typedef struct AdcRdDataTVaspR {</t>
  </si>
  <si>
    <t xml:space="preserve">  alt_u32 uliAdcChxDataTVaspR; /* "ADC_CHX_DATA_T_VASP_R" Field */</t>
  </si>
  <si>
    <t>} TAdcRdDataTVaspR;</t>
  </si>
  <si>
    <t xml:space="preserve"> /* AEB Housekeeping Area Register "ADC_RD_DATA_T_BIAS_P" Struct */</t>
  </si>
  <si>
    <t>typedef struct AdcRdDataTBiasP {</t>
  </si>
  <si>
    <t xml:space="preserve">  alt_u32 uliAdcChxDataTBiasP; /* "ADC_CHX_DATA_T_BIAS_P" Field */</t>
  </si>
  <si>
    <t>} TAdcRdDataTBiasP;</t>
  </si>
  <si>
    <t xml:space="preserve"> /* AEB Housekeeping Area Register "ADC_RD_DATA_T_HK_P" Struct */</t>
  </si>
  <si>
    <t>typedef struct AdcRdDataTHkP {</t>
  </si>
  <si>
    <t xml:space="preserve">  alt_u32 uliAdcChxDataTHkP; /* "ADC_CHX_DATA_T_HK_P" Field */</t>
  </si>
  <si>
    <t>} TAdcRdDataTHkP;</t>
  </si>
  <si>
    <t xml:space="preserve"> /* AEB Housekeeping Area Register "ADC_RD_DATA_T_TOU_1_P" Struct */</t>
  </si>
  <si>
    <t>typedef struct AdcRdDataTTou1P {</t>
  </si>
  <si>
    <t xml:space="preserve">  alt_u32 uliAdcChxDataTTou1P; /* "ADC_CHX_DATA_T_TOU_1_P" Field */</t>
  </si>
  <si>
    <t>} TAdcRdDataTTou1P;</t>
  </si>
  <si>
    <t xml:space="preserve"> /* AEB Housekeeping Area Register "ADC_RD_DATA_T_TOU_2_P" Struct */</t>
  </si>
  <si>
    <t>typedef struct AdcRdDataTTou2P {</t>
  </si>
  <si>
    <t xml:space="preserve">  alt_u32 uliAdcChxDataTTou2P; /* "ADC_CHX_DATA_T_TOU_2_P" Field */</t>
  </si>
  <si>
    <t>} TAdcRdDataTTou2P;</t>
  </si>
  <si>
    <t xml:space="preserve"> /* AEB Housekeeping Area Register "ADC_RD_DATA_HK_VODE" Struct */</t>
  </si>
  <si>
    <t>typedef struct AdcRdDataHkVode {</t>
  </si>
  <si>
    <t xml:space="preserve">  alt_u32 uliAdcChxDataHkVode; /* "ADC_CHX_DATA_HK_VODE" Field */</t>
  </si>
  <si>
    <t>} TAdcRdDataHkVode;</t>
  </si>
  <si>
    <t xml:space="preserve"> /* AEB Housekeeping Area Register "ADC_RD_DATA_HK_VODF" Struct */</t>
  </si>
  <si>
    <t>typedef struct AdcRdDataHkVodf {</t>
  </si>
  <si>
    <t xml:space="preserve">  alt_u32 uliAdcChxDataHkVodf; /* "ADC_CHX_DATA_HK_VODF" Field */</t>
  </si>
  <si>
    <t>} TAdcRdDataHkVodf;</t>
  </si>
  <si>
    <t xml:space="preserve"> /* AEB Housekeeping Area Register "ADC_RD_DATA_HK_VRD" Struct */</t>
  </si>
  <si>
    <t>typedef struct AdcRdDataHkVrd {</t>
  </si>
  <si>
    <t xml:space="preserve">  alt_u32 uliAdcChxDataHkVrd; /* "ADC_CHX_DATA_HK_VRD" Field */</t>
  </si>
  <si>
    <t>} TAdcRdDataHkVrd;</t>
  </si>
  <si>
    <t xml:space="preserve"> /* AEB Housekeeping Area Register "ADC_RD_DATA_HK_VOG" Struct */</t>
  </si>
  <si>
    <t>typedef struct AdcRdDataHkVog {</t>
  </si>
  <si>
    <t xml:space="preserve">  alt_u32 uliAdcChxDataHkVog; /* "ADC_CHX_DATA_HK_VOG" Field */</t>
  </si>
  <si>
    <t>} TAdcRdDataHkVog;</t>
  </si>
  <si>
    <t xml:space="preserve"> /* AEB Housekeeping Area Register "ADC_RD_DATA_T_CCD" Struct */</t>
  </si>
  <si>
    <t>typedef struct AdcRdDataTCcd {</t>
  </si>
  <si>
    <t xml:space="preserve">  alt_u32 uliAdcChxDataTCcd; /* "ADC_CHX_DATA_T_CCD" Field */</t>
  </si>
  <si>
    <t>} TAdcRdDataTCcd;</t>
  </si>
  <si>
    <t xml:space="preserve"> /* AEB Housekeeping Area Register "ADC_RD_DATA_T_REF1K_MEA" Struct */</t>
  </si>
  <si>
    <t>typedef struct AdcRdDataTRef1KMea {</t>
  </si>
  <si>
    <t xml:space="preserve">  alt_u32 uliAdcChxDataTRef1KMea; /* "ADC_CHX_DATA_T_REF1K_MEA" Field */</t>
  </si>
  <si>
    <t>} TAdcRdDataTRef1KMea;</t>
  </si>
  <si>
    <t xml:space="preserve"> /* AEB Housekeeping Area Register "ADC_RD_DATA_T_REF649R_MEA" Struct */</t>
  </si>
  <si>
    <t>typedef struct AdcRdDataTRef649RMea {</t>
  </si>
  <si>
    <t xml:space="preserve">  alt_u32 uliAdcChxDataTRef649RMea; /* "ADC_CHX_DATA_T_REF649R_MEA" Field */</t>
  </si>
  <si>
    <t>} TAdcRdDataTRef649RMea;</t>
  </si>
  <si>
    <t xml:space="preserve"> /* AEB Housekeeping Area Register "ADC_RD_DATA_HK_ANA_N5V" Struct */</t>
  </si>
  <si>
    <t>typedef struct AdcRdDataHkAnaN5V {</t>
  </si>
  <si>
    <t xml:space="preserve">  alt_u32 uliAdcChxDataHkAnaN5V; /* "ADC_CHX_DATA_HK_ANA_N5V" Field */</t>
  </si>
  <si>
    <t>} TAdcRdDataHkAnaN5V;</t>
  </si>
  <si>
    <t xml:space="preserve"> /* AEB Housekeeping Area Register "ADC_RD_DATA_S_REF" Struct */</t>
  </si>
  <si>
    <t>typedef struct AdcRdDataSRef {</t>
  </si>
  <si>
    <t xml:space="preserve">  alt_u32 uliAdcChxDataSRef; /* "ADC_CHX_DATA_S_REF" Field */</t>
  </si>
  <si>
    <t>} TAdcRdDataSRef;</t>
  </si>
  <si>
    <t xml:space="preserve"> /* AEB Housekeeping Area Register "ADC_RD_DATA_HK_CCD_P31V" Struct */</t>
  </si>
  <si>
    <t>typedef struct AdcRdDataHkCcdP31V {</t>
  </si>
  <si>
    <t xml:space="preserve">  alt_u32 uliAdcChxDataHkCcdP31V; /* "ADC_CHX_DATA_HK_CCD_P31V" Field */</t>
  </si>
  <si>
    <t>} TAdcRdDataHkCcdP31V;</t>
  </si>
  <si>
    <t xml:space="preserve"> /* AEB Housekeeping Area Register "ADC_RD_DATA_HK_CLK_P15V" Struct */</t>
  </si>
  <si>
    <t>typedef struct AdcRdDataHkClkP15V {</t>
  </si>
  <si>
    <t xml:space="preserve">  alt_u32 uliAdcChxDataHkClkP15V; /* "ADC_CHX_DATA_HK_CLK_P15V" Field */</t>
  </si>
  <si>
    <t>} TAdcRdDataHkClkP15V;</t>
  </si>
  <si>
    <t xml:space="preserve"> /* AEB Housekeeping Area Register "ADC_RD_DATA_HK_ANA_P5V" Struct */</t>
  </si>
  <si>
    <t>typedef struct AdcRdDataHkAnaP5V {</t>
  </si>
  <si>
    <t xml:space="preserve">  alt_u32 uliAdcChxDataHkAnaP5V; /* "ADC_CHX_DATA_HK_ANA_P5V" Field */</t>
  </si>
  <si>
    <t>} TAdcRdDataHkAnaP5V;</t>
  </si>
  <si>
    <t xml:space="preserve"> /* AEB Housekeeping Area Register "ADC_RD_DATA_HK_ANA_P3V3" Struct */</t>
  </si>
  <si>
    <t>typedef struct AdcRdDataHkAnaP3V3 {</t>
  </si>
  <si>
    <t xml:space="preserve">  alt_u32 uliAdcChxDataHkAnaP3V3; /* "ADC_CHX_DATA_HK_ANA_P3V3" Field */</t>
  </si>
  <si>
    <t>} TAdcRdDataHkAnaP3V3;</t>
  </si>
  <si>
    <t xml:space="preserve"> /* AEB Housekeeping Area Register "ADC_RD_DATA_HK_DIG_P3V3" Struct */</t>
  </si>
  <si>
    <t>typedef struct AdcRdDataHkDigP3V3 {</t>
  </si>
  <si>
    <t xml:space="preserve">  alt_u32 uliAdcChxDataHkDigP3V3; /* "ADC_CHX_DATA_HK_DIG_P3V3" Field */</t>
  </si>
  <si>
    <t>} TAdcRdDataHkDigP3V3;</t>
  </si>
  <si>
    <t xml:space="preserve"> /* AEB Housekeeping Area Register "ADC_RD_DATA_ADC_REF_BUF_2" Struct */</t>
  </si>
  <si>
    <t>typedef struct AdcRdDataAdcRefBuf2 {</t>
  </si>
  <si>
    <t xml:space="preserve">  alt_u8 ucAdcChxDataAdcRefBuf2; /* "ADC_CHX_DATA_ADC_REF_BUF_2" Field */</t>
  </si>
  <si>
    <t>} TAdcRdDataAdcRefBuf2;</t>
  </si>
  <si>
    <t xml:space="preserve"> /* AEB Housekeeping Area Register "ADC1_RD_CONFIG_1" Struct */</t>
  </si>
  <si>
    <t>typedef struct Adc1RdConfig1 {</t>
  </si>
  <si>
    <t xml:space="preserve">  bool bDly2; /* "DLY2" Field */</t>
  </si>
  <si>
    <t xml:space="preserve">  bool bDly1; /* "DLY1" Field */</t>
  </si>
  <si>
    <t xml:space="preserve">  bool bDly0; /* "DLY0" Field */</t>
  </si>
  <si>
    <t xml:space="preserve">  bool bSbcs1; /* "SBCS1" Field */</t>
  </si>
  <si>
    <t xml:space="preserve">  bool bSbcs0; /* "SBCS0" Field */</t>
  </si>
  <si>
    <t xml:space="preserve">  bool bDrate1; /* "DRATE1" Field */</t>
  </si>
  <si>
    <t xml:space="preserve">  bool bDrate0; /* "DRATE0" Field */</t>
  </si>
  <si>
    <t xml:space="preserve">  bool bAinp3; /* "AINP3" Field */</t>
  </si>
  <si>
    <t xml:space="preserve">  bool bAinp2; /* "AINP2" Field */</t>
  </si>
  <si>
    <t xml:space="preserve">  bool bAinp1; /* "AINP1" Field */</t>
  </si>
  <si>
    <t xml:space="preserve">  bool bAinp0; /* "AINP0" Field */</t>
  </si>
  <si>
    <t xml:space="preserve">  bool bAinn3; /* "AINN3" Field */</t>
  </si>
  <si>
    <t xml:space="preserve">  bool bAinn2; /* "AINN2" Field */</t>
  </si>
  <si>
    <t xml:space="preserve">  bool bAinn1; /* "AINN1" Field */</t>
  </si>
  <si>
    <t xml:space="preserve">  bool bAinn0; /* "AINN0" Field */</t>
  </si>
  <si>
    <t xml:space="preserve">  bool bDiff7; /* "DIFF7" Field */</t>
  </si>
  <si>
    <t xml:space="preserve">  bool bDiff6; /* "DIFF6" Field */</t>
  </si>
  <si>
    <t xml:space="preserve">  bool bDiff5; /* "DIFF5" Field */</t>
  </si>
  <si>
    <t xml:space="preserve">  bool bDiff4; /* "DIFF4" Field */</t>
  </si>
  <si>
    <t xml:space="preserve">  bool bDiff3; /* "DIFF3" Field */</t>
  </si>
  <si>
    <t xml:space="preserve">  bool bDiff2; /* "DIFF2" Field */</t>
  </si>
  <si>
    <t xml:space="preserve">  bool bDiff1; /* "DIFF1" Field */</t>
  </si>
  <si>
    <t xml:space="preserve">  bool bDiff0; /* "DIFF0" Field */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</si>
  <si>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</si>
  <si>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</si>
  <si>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</si>
  <si>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</si>
  <si>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</si>
  <si>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</si>
  <si>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</si>
  <si>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</si>
  <si>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</si>
  <si>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</si>
  <si>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</si>
  <si>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</si>
  <si>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</si>
  <si>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</si>
  <si>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</si>
  <si>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</si>
  <si>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</si>
  <si>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</si>
  <si>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 xml:space="preserve">  alt_u8 ucVasp1ReadData; /* "VASP1_READ_DATA" Field */</t>
  </si>
  <si>
    <t xml:space="preserve">  alt_u8 ucVasp2ReadData; /* "VASP2_READ_DATA" Field */</t>
  </si>
  <si>
    <t>} TVaspRdConfig;</t>
  </si>
  <si>
    <t xml:space="preserve"> /* AEB Housekeeping Area Register "REVISION_ID_1" Struct */</t>
  </si>
  <si>
    <t>typedef struct RevisionId1 {</t>
  </si>
  <si>
    <t xml:space="preserve">  alt_u16 usiFpgaVersion; /* "FPGA_VERSION" Field */</t>
  </si>
  <si>
    <t xml:space="preserve">  alt_u16 usiFpgaDate; /* "FPGA_DATE" Field */</t>
  </si>
  <si>
    <t>} TRevisionId1;</t>
  </si>
  <si>
    <t xml:space="preserve"> /* AEB Housekeeping Area Register "REVISION_ID_2" Struct */</t>
  </si>
  <si>
    <t>typedef struct RevisionId2 {</t>
  </si>
  <si>
    <t xml:space="preserve">  alt_u16 usiFpgaTimeH; /* "FPGA_TIME_H" Field */</t>
  </si>
  <si>
    <t xml:space="preserve">  alt_u8 ucFpgaTimeM; /* "FPGA_TIME_M" Field */</t>
  </si>
  <si>
    <t xml:space="preserve">  alt_u16 usiFpgaSvn; /* "FPGA_SVN" Field */</t>
  </si>
  <si>
    <t>} TRevisionId2;</t>
  </si>
  <si>
    <t>typedef struct RmapAebAreaCritCfg {</t>
  </si>
  <si>
    <t xml:space="preserve">  TAebControl xAebControl;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</si>
  <si>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</si>
  <si>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</si>
  <si>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</si>
  <si>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</si>
  <si>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</si>
  <si>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</si>
  <si>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</si>
  <si>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</si>
  <si>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</si>
  <si>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</si>
  <si>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</si>
  <si>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>} TRmapAebAreaCritCfg;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</si>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</sst>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2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3" t="s">
        <v>31</v>
      </c>
      <c r="C2" s="23" t="s">
        <v>32</v>
      </c>
      <c r="D2" s="23" t="s">
        <v>0</v>
      </c>
      <c r="E2" s="23" t="s">
        <v>43</v>
      </c>
      <c r="F2" s="23" t="s">
        <v>1</v>
      </c>
      <c r="G2" s="23" t="s">
        <v>3</v>
      </c>
      <c r="H2" s="23" t="s">
        <v>2</v>
      </c>
      <c r="I2" s="23" t="s">
        <v>42</v>
      </c>
      <c r="J2" s="23" t="s">
        <v>33</v>
      </c>
      <c r="K2" s="23" t="s">
        <v>79</v>
      </c>
      <c r="L2" s="23" t="s">
        <v>80</v>
      </c>
      <c r="M2" s="23" t="s">
        <v>82</v>
      </c>
      <c r="N2" s="23" t="s">
        <v>44</v>
      </c>
      <c r="O2" s="23" t="s">
        <v>45</v>
      </c>
      <c r="P2" s="23" t="s">
        <v>46</v>
      </c>
      <c r="Q2" s="25" t="s">
        <v>73</v>
      </c>
      <c r="R2" s="25" t="s">
        <v>74</v>
      </c>
      <c r="S2" s="25" t="s">
        <v>76</v>
      </c>
      <c r="T2" s="25" t="s">
        <v>78</v>
      </c>
      <c r="U2" s="25" t="s">
        <v>75</v>
      </c>
      <c r="V2" s="25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5" t="s">
        <v>83</v>
      </c>
    </row>
    <row r="3" spans="1:35" x14ac:dyDescent="0.25">
      <c r="A3" s="2"/>
      <c r="B3" s="23" t="s">
        <v>40</v>
      </c>
      <c r="C3" s="23" t="s">
        <v>40</v>
      </c>
      <c r="D3" s="23" t="s">
        <v>40</v>
      </c>
      <c r="E3" s="23" t="s">
        <v>40</v>
      </c>
      <c r="F3" s="23" t="s">
        <v>40</v>
      </c>
      <c r="G3" s="23" t="s">
        <v>40</v>
      </c>
      <c r="H3" s="23" t="s">
        <v>40</v>
      </c>
      <c r="I3" s="23" t="s">
        <v>40</v>
      </c>
      <c r="J3" s="23" t="s">
        <v>40</v>
      </c>
      <c r="K3" s="23" t="s">
        <v>40</v>
      </c>
      <c r="L3" s="23" t="s">
        <v>40</v>
      </c>
      <c r="M3" s="23" t="s">
        <v>40</v>
      </c>
      <c r="N3" s="23" t="s">
        <v>40</v>
      </c>
      <c r="O3" s="23" t="s">
        <v>40</v>
      </c>
      <c r="P3" s="23" t="s">
        <v>40</v>
      </c>
      <c r="Q3" s="25" t="s">
        <v>40</v>
      </c>
      <c r="R3" s="25" t="s">
        <v>40</v>
      </c>
      <c r="S3" s="25" t="s">
        <v>40</v>
      </c>
      <c r="T3" s="25" t="s">
        <v>40</v>
      </c>
      <c r="U3" s="25" t="s">
        <v>40</v>
      </c>
      <c r="V3" s="25" t="s">
        <v>40</v>
      </c>
      <c r="W3" s="25" t="s">
        <v>8</v>
      </c>
      <c r="X3" s="25" t="s">
        <v>9</v>
      </c>
      <c r="Y3" s="25" t="s">
        <v>10</v>
      </c>
      <c r="Z3" s="25" t="s">
        <v>11</v>
      </c>
      <c r="AA3" s="26" t="s">
        <v>23</v>
      </c>
      <c r="AB3" s="26" t="s">
        <v>24</v>
      </c>
      <c r="AC3" s="26" t="s">
        <v>25</v>
      </c>
      <c r="AD3" s="26" t="s">
        <v>26</v>
      </c>
      <c r="AE3" s="26" t="s">
        <v>23</v>
      </c>
      <c r="AF3" s="26" t="s">
        <v>24</v>
      </c>
      <c r="AG3" s="26" t="s">
        <v>25</v>
      </c>
      <c r="AH3" s="26" t="s">
        <v>26</v>
      </c>
    </row>
    <row r="4" spans="1:35" x14ac:dyDescent="0.25">
      <c r="B4" s="2" t="s">
        <v>145</v>
      </c>
      <c r="C4" s="2" t="s">
        <v>146</v>
      </c>
      <c r="D4" s="2" t="s">
        <v>0</v>
      </c>
      <c r="E4" s="2" t="s">
        <v>130</v>
      </c>
      <c r="F4" s="2" t="s">
        <v>147</v>
      </c>
      <c r="G4" s="2" t="s">
        <v>148</v>
      </c>
      <c r="H4" s="2" t="s">
        <v>149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5290</v>
      </c>
      <c r="N4" s="2" t="s">
        <v>5223</v>
      </c>
      <c r="O4" s="2" t="s">
        <v>4977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5" si="0">IF(X4="","",CONCATENATE("(",IF(($J4-COUNTIF($Y4:$Z4,"X")*8)=1,"16)",CONCATENATE(IF(($J4-COUNTIF($Y4:$Z4,"X")*8)&gt;=8,24,($J4-COUNTIF($Y4:$Z4,"X")*8)+16)-1," downto 16)"))))</f>
        <v/>
      </c>
      <c r="AC4" s="2" t="str">
        <f t="shared" ref="AC4:AC5" si="1">IF(Y4="","",CONCATENATE("(",IF(($J4-COUNTIF($Z4,"X")*8)=1,"8)",CONCATENATE(IF(($J4-COUNTIF($Z4,"X")*8)&gt;=8,16,($J4-COUNTIF($Z4,"X")*8)+8)-1," downto 8)"))))</f>
        <v/>
      </c>
      <c r="AD4" s="2" t="str">
        <f t="shared" ref="AD4:AD5" si="2">IF(Z4="","",CONCATENATE("(",IF($J4=1,"0)",CONCATENATE(IF($J4&gt;=8,8,$J4)-1," downto 0)"))))</f>
        <v>(1 downto 0)</v>
      </c>
      <c r="AE4" s="2" t="str">
        <f t="shared" ref="AE4:AE5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5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5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5" si="6">IF(Z4="","",IF($J4&lt;=8,"",CONCATENATE("(",IF($J4&gt;=8,7,$J4-1)," downto ",0,")")))</f>
        <v/>
      </c>
    </row>
    <row r="5" spans="1:35" x14ac:dyDescent="0.25">
      <c r="B5" s="2" t="s">
        <v>145</v>
      </c>
      <c r="C5" s="2" t="s">
        <v>150</v>
      </c>
      <c r="D5" s="2" t="s">
        <v>0</v>
      </c>
      <c r="E5" s="2" t="s">
        <v>130</v>
      </c>
      <c r="F5" s="2" t="s">
        <v>147</v>
      </c>
      <c r="G5" s="2" t="s">
        <v>148</v>
      </c>
      <c r="H5" s="2" t="s">
        <v>151</v>
      </c>
      <c r="I5" s="2" t="s">
        <v>41</v>
      </c>
      <c r="J5" s="2">
        <v>4</v>
      </c>
      <c r="K5" s="2" t="s">
        <v>152</v>
      </c>
      <c r="L5" s="2" t="s">
        <v>40</v>
      </c>
      <c r="M5" s="2" t="s">
        <v>5290</v>
      </c>
      <c r="N5" s="2" t="s">
        <v>5223</v>
      </c>
      <c r="O5" s="2" t="s">
        <v>4978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$S4+$R4+INDEX(Tables!$N$5:$Q$8,MATCH(MOD($S4+$R4,4),Tables!$M$5:$M$8,0),MATCH($R5,Tables!$N$4:$Q$4,0))</f>
        <v>4</v>
      </c>
      <c r="T5" s="2" t="str">
        <f t="shared" ref="T5:T68" si="7">DEC2HEX($S5,4)</f>
        <v>0004</v>
      </c>
      <c r="U5" s="2">
        <f t="shared" ref="U5" si="8">ROUNDDOWN(S5/4,0)</f>
        <v>1</v>
      </c>
      <c r="V5" s="2" t="str">
        <f t="shared" ref="V5:V68" si="9">DEC2HEX($U5,3)</f>
        <v>001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/>
      </c>
      <c r="AD5" s="2" t="str">
        <f t="shared" si="2"/>
        <v>(3 downto 0)</v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145</v>
      </c>
      <c r="C6" s="2" t="s">
        <v>153</v>
      </c>
      <c r="D6" s="2" t="s">
        <v>0</v>
      </c>
      <c r="E6" s="2" t="s">
        <v>130</v>
      </c>
      <c r="F6" s="2" t="s">
        <v>147</v>
      </c>
      <c r="G6" s="2" t="s">
        <v>148</v>
      </c>
      <c r="H6" s="2" t="s">
        <v>154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5290</v>
      </c>
      <c r="N6" s="2" t="s">
        <v>5223</v>
      </c>
      <c r="O6" s="2" t="s">
        <v>4979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8</v>
      </c>
      <c r="T6" s="2" t="str">
        <f t="shared" si="7"/>
        <v>0008</v>
      </c>
      <c r="U6" s="2">
        <f t="shared" ref="U6:U69" si="14">ROUNDDOWN(S6/4,0)</f>
        <v>2</v>
      </c>
      <c r="V6" s="2" t="str">
        <f t="shared" si="9"/>
        <v>002</v>
      </c>
      <c r="W6" s="2" t="str">
        <f t="shared" si="10"/>
        <v/>
      </c>
      <c r="X6" s="2" t="str">
        <f t="shared" ref="X6:X69" si="15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ref="AA6:AA69" si="16">IF(W6="","",CONCATENATE("(",IF(($J6-COUNTIF($X6:$Z6,"X")*8)=1,"24)",CONCATENATE(IF(($J6-COUNTIF($X6:$Z6,"X")*8)&gt;=8,32,($J6-COUNTIF($X6:$Z6,"X")*8)+24)-1," downto 24)"))))</f>
        <v/>
      </c>
      <c r="AB6" s="2" t="str">
        <f t="shared" ref="AB6:AB69" si="17">IF(X6="","",CONCATENATE("(",IF(($J6-COUNTIF($Y6:$Z6,"X")*8)=1,"16)",CONCATENATE(IF(($J6-COUNTIF($Y6:$Z6,"X")*8)&gt;=8,24,($J6-COUNTIF($Y6:$Z6,"X")*8)+16)-1," downto 16)"))))</f>
        <v/>
      </c>
      <c r="AC6" s="2" t="str">
        <f t="shared" ref="AC6:AC69" si="18">IF(Y6="","",CONCATENATE("(",IF(($J6-COUNTIF($Z6,"X")*8)=1,"8)",CONCATENATE(IF(($J6-COUNTIF($Z6,"X")*8)&gt;=8,16,($J6-COUNTIF($Z6,"X")*8)+8)-1," downto 8)"))))</f>
        <v/>
      </c>
      <c r="AD6" s="2" t="str">
        <f t="shared" ref="AD6:AD69" si="19">IF(Z6="","",CONCATENATE("(",IF($J6=1,"0)",CONCATENATE(IF($J6&gt;=8,8,$J6)-1," downto 0)"))))</f>
        <v>(0)</v>
      </c>
      <c r="AE6" s="2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2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2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2" t="str">
        <f t="shared" ref="AH6:AH69" si="23">IF(Z6="","",IF($J6&lt;=8,"",CONCATENATE("(",IF($J6&gt;=8,7,$J6-1)," downto ",0,")")))</f>
        <v/>
      </c>
    </row>
    <row r="7" spans="1:35" x14ac:dyDescent="0.25">
      <c r="B7" s="2" t="s">
        <v>145</v>
      </c>
      <c r="C7" s="2" t="s">
        <v>155</v>
      </c>
      <c r="D7" s="2" t="s">
        <v>0</v>
      </c>
      <c r="E7" s="2" t="s">
        <v>130</v>
      </c>
      <c r="F7" s="2" t="s">
        <v>147</v>
      </c>
      <c r="G7" s="2" t="s">
        <v>148</v>
      </c>
      <c r="H7" s="2" t="s">
        <v>156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5290</v>
      </c>
      <c r="N7" s="2" t="s">
        <v>5223</v>
      </c>
      <c r="O7" s="2" t="s">
        <v>4980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12</v>
      </c>
      <c r="T7" s="2" t="str">
        <f t="shared" si="7"/>
        <v>000C</v>
      </c>
      <c r="U7" s="2">
        <f t="shared" si="14"/>
        <v>3</v>
      </c>
      <c r="V7" s="2" t="str">
        <f t="shared" si="9"/>
        <v>003</v>
      </c>
      <c r="W7" s="2" t="str">
        <f t="shared" si="10"/>
        <v/>
      </c>
      <c r="X7" s="2" t="str">
        <f t="shared" si="15"/>
        <v/>
      </c>
      <c r="Y7" s="2" t="str">
        <f t="shared" si="11"/>
        <v/>
      </c>
      <c r="Z7" s="2" t="str">
        <f t="shared" si="12"/>
        <v>X</v>
      </c>
      <c r="AA7" s="2" t="str">
        <f t="shared" si="16"/>
        <v/>
      </c>
      <c r="AB7" s="2" t="str">
        <f t="shared" si="17"/>
        <v/>
      </c>
      <c r="AC7" s="2" t="str">
        <f t="shared" si="18"/>
        <v/>
      </c>
      <c r="AD7" s="2" t="str">
        <f t="shared" si="19"/>
        <v>(0)</v>
      </c>
      <c r="AE7" s="2" t="str">
        <f t="shared" si="20"/>
        <v/>
      </c>
      <c r="AF7" s="2" t="str">
        <f t="shared" si="21"/>
        <v/>
      </c>
      <c r="AG7" s="2" t="str">
        <f t="shared" si="22"/>
        <v/>
      </c>
      <c r="AH7" s="2" t="str">
        <f t="shared" si="23"/>
        <v/>
      </c>
    </row>
    <row r="8" spans="1:35" x14ac:dyDescent="0.25">
      <c r="B8" s="2" t="s">
        <v>145</v>
      </c>
      <c r="C8" s="2" t="s">
        <v>157</v>
      </c>
      <c r="D8" s="2" t="s">
        <v>0</v>
      </c>
      <c r="E8" s="2" t="s">
        <v>130</v>
      </c>
      <c r="F8" s="2" t="s">
        <v>147</v>
      </c>
      <c r="G8" s="2" t="s">
        <v>148</v>
      </c>
      <c r="H8" s="2" t="s">
        <v>158</v>
      </c>
      <c r="I8" s="2" t="s">
        <v>41</v>
      </c>
      <c r="J8" s="2">
        <v>4</v>
      </c>
      <c r="K8" s="2" t="s">
        <v>132</v>
      </c>
      <c r="L8" s="2" t="s">
        <v>40</v>
      </c>
      <c r="M8" s="2" t="s">
        <v>5290</v>
      </c>
      <c r="N8" s="2" t="s">
        <v>5223</v>
      </c>
      <c r="O8" s="2" t="s">
        <v>4981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$S7+$R7+INDEX(Tables!$N$5:$Q$8,MATCH(MOD($S7+$R7,4),Tables!$M$5:$M$8,0),MATCH($R8,Tables!$N$4:$Q$4,0))</f>
        <v>16</v>
      </c>
      <c r="T8" s="2" t="str">
        <f t="shared" si="7"/>
        <v>0010</v>
      </c>
      <c r="U8" s="2">
        <f t="shared" si="14"/>
        <v>4</v>
      </c>
      <c r="V8" s="2" t="str">
        <f t="shared" si="9"/>
        <v>004</v>
      </c>
      <c r="W8" s="2" t="str">
        <f t="shared" si="10"/>
        <v/>
      </c>
      <c r="X8" s="2" t="str">
        <f t="shared" si="15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145</v>
      </c>
      <c r="C9" s="2" t="s">
        <v>159</v>
      </c>
      <c r="D9" s="2" t="s">
        <v>0</v>
      </c>
      <c r="E9" s="2" t="s">
        <v>130</v>
      </c>
      <c r="F9" s="2" t="s">
        <v>147</v>
      </c>
      <c r="G9" s="2" t="s">
        <v>148</v>
      </c>
      <c r="H9" s="2" t="s">
        <v>160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5290</v>
      </c>
      <c r="N9" s="2" t="s">
        <v>5223</v>
      </c>
      <c r="O9" s="2" t="s">
        <v>4982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20</v>
      </c>
      <c r="T9" s="2" t="str">
        <f t="shared" si="7"/>
        <v>0014</v>
      </c>
      <c r="U9" s="2">
        <f t="shared" si="14"/>
        <v>5</v>
      </c>
      <c r="V9" s="2" t="str">
        <f t="shared" si="9"/>
        <v>005</v>
      </c>
      <c r="W9" s="2" t="str">
        <f t="shared" si="10"/>
        <v/>
      </c>
      <c r="X9" s="2" t="str">
        <f t="shared" si="15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145</v>
      </c>
      <c r="C10" s="2" t="s">
        <v>161</v>
      </c>
      <c r="D10" s="2" t="s">
        <v>0</v>
      </c>
      <c r="E10" s="2" t="s">
        <v>130</v>
      </c>
      <c r="F10" s="2" t="s">
        <v>147</v>
      </c>
      <c r="G10" s="2" t="s">
        <v>148</v>
      </c>
      <c r="H10" s="2" t="s">
        <v>162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5290</v>
      </c>
      <c r="N10" s="2" t="s">
        <v>5223</v>
      </c>
      <c r="O10" s="2" t="s">
        <v>4983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24</v>
      </c>
      <c r="T10" s="2" t="str">
        <f t="shared" si="7"/>
        <v>0018</v>
      </c>
      <c r="U10" s="2">
        <f t="shared" si="14"/>
        <v>6</v>
      </c>
      <c r="V10" s="2" t="str">
        <f t="shared" si="9"/>
        <v>006</v>
      </c>
      <c r="W10" s="2" t="str">
        <f t="shared" si="10"/>
        <v/>
      </c>
      <c r="X10" s="2" t="str">
        <f t="shared" si="15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145</v>
      </c>
      <c r="C11" s="2" t="s">
        <v>163</v>
      </c>
      <c r="D11" s="2" t="s">
        <v>0</v>
      </c>
      <c r="E11" s="2" t="s">
        <v>130</v>
      </c>
      <c r="F11" s="2" t="s">
        <v>147</v>
      </c>
      <c r="G11" s="2" t="s">
        <v>148</v>
      </c>
      <c r="H11" s="2" t="s">
        <v>164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5290</v>
      </c>
      <c r="N11" s="2" t="s">
        <v>5223</v>
      </c>
      <c r="O11" s="2" t="s">
        <v>4984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28</v>
      </c>
      <c r="T11" s="2" t="str">
        <f t="shared" si="7"/>
        <v>001C</v>
      </c>
      <c r="U11" s="2">
        <f t="shared" si="14"/>
        <v>7</v>
      </c>
      <c r="V11" s="2" t="str">
        <f t="shared" si="9"/>
        <v>007</v>
      </c>
      <c r="W11" s="2" t="str">
        <f t="shared" si="10"/>
        <v/>
      </c>
      <c r="X11" s="2" t="str">
        <f t="shared" si="15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145</v>
      </c>
      <c r="C12" s="2" t="s">
        <v>165</v>
      </c>
      <c r="D12" s="2" t="s">
        <v>0</v>
      </c>
      <c r="E12" s="2" t="s">
        <v>130</v>
      </c>
      <c r="F12" s="2" t="s">
        <v>147</v>
      </c>
      <c r="G12" s="2" t="s">
        <v>148</v>
      </c>
      <c r="H12" s="2" t="s">
        <v>166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5290</v>
      </c>
      <c r="N12" s="2" t="s">
        <v>5223</v>
      </c>
      <c r="O12" s="2" t="s">
        <v>4985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32</v>
      </c>
      <c r="T12" s="2" t="str">
        <f t="shared" si="7"/>
        <v>0020</v>
      </c>
      <c r="U12" s="2">
        <f t="shared" si="14"/>
        <v>8</v>
      </c>
      <c r="V12" s="2" t="str">
        <f t="shared" si="9"/>
        <v>008</v>
      </c>
      <c r="W12" s="2" t="str">
        <f t="shared" si="10"/>
        <v/>
      </c>
      <c r="X12" s="2" t="str">
        <f t="shared" si="15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145</v>
      </c>
      <c r="C13" s="2" t="s">
        <v>167</v>
      </c>
      <c r="D13" s="2" t="s">
        <v>0</v>
      </c>
      <c r="E13" s="2" t="s">
        <v>130</v>
      </c>
      <c r="F13" s="2" t="s">
        <v>147</v>
      </c>
      <c r="G13" s="2" t="s">
        <v>148</v>
      </c>
      <c r="H13" s="2" t="s">
        <v>168</v>
      </c>
      <c r="I13" s="2" t="s">
        <v>41</v>
      </c>
      <c r="J13" s="2">
        <v>16</v>
      </c>
      <c r="K13" s="2" t="s">
        <v>132</v>
      </c>
      <c r="L13" s="2" t="s">
        <v>40</v>
      </c>
      <c r="M13" s="2" t="s">
        <v>5290</v>
      </c>
      <c r="N13" s="2" t="s">
        <v>5223</v>
      </c>
      <c r="O13" s="2" t="s">
        <v>4986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$S12+$R12+INDEX(Tables!$N$5:$Q$8,MATCH(MOD($S12+$R12,4),Tables!$M$5:$M$8,0),MATCH($R13,Tables!$N$4:$Q$4,0))</f>
        <v>36</v>
      </c>
      <c r="T13" s="2" t="str">
        <f t="shared" si="7"/>
        <v>0024</v>
      </c>
      <c r="U13" s="2">
        <f t="shared" si="14"/>
        <v>9</v>
      </c>
      <c r="V13" s="2" t="str">
        <f t="shared" si="9"/>
        <v>009</v>
      </c>
      <c r="W13" s="2" t="str">
        <f t="shared" si="10"/>
        <v/>
      </c>
      <c r="X13" s="2" t="str">
        <f t="shared" si="15"/>
        <v/>
      </c>
      <c r="Y13" s="2" t="str">
        <f t="shared" si="11"/>
        <v>X</v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>(15 downto 8)</v>
      </c>
      <c r="AD13" s="2" t="str">
        <f t="shared" si="19"/>
        <v>(7 downto 0)</v>
      </c>
      <c r="AE13" s="2" t="str">
        <f t="shared" si="20"/>
        <v/>
      </c>
      <c r="AF13" s="2" t="str">
        <f t="shared" si="21"/>
        <v/>
      </c>
      <c r="AG13" s="2" t="str">
        <f t="shared" si="22"/>
        <v>(15 downto 8)</v>
      </c>
      <c r="AH13" s="2" t="str">
        <f t="shared" si="23"/>
        <v>(7 downto 0)</v>
      </c>
    </row>
    <row r="14" spans="1:35" x14ac:dyDescent="0.25">
      <c r="B14" s="2" t="s">
        <v>169</v>
      </c>
      <c r="C14" s="2" t="s">
        <v>146</v>
      </c>
      <c r="D14" s="2" t="s">
        <v>0</v>
      </c>
      <c r="E14" s="2" t="s">
        <v>130</v>
      </c>
      <c r="F14" s="2" t="s">
        <v>170</v>
      </c>
      <c r="G14" s="2" t="s">
        <v>171</v>
      </c>
      <c r="H14" s="2" t="s">
        <v>149</v>
      </c>
      <c r="I14" s="2" t="s">
        <v>41</v>
      </c>
      <c r="J14" s="2">
        <v>6</v>
      </c>
      <c r="K14" s="2" t="s">
        <v>132</v>
      </c>
      <c r="L14" s="2" t="s">
        <v>40</v>
      </c>
      <c r="M14" s="2" t="s">
        <v>5290</v>
      </c>
      <c r="N14" s="2" t="s">
        <v>5224</v>
      </c>
      <c r="O14" s="2" t="s">
        <v>4987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$S13+$R13+INDEX(Tables!$N$5:$Q$8,MATCH(MOD($S13+$R13,4),Tables!$M$5:$M$8,0),MATCH($R14,Tables!$N$4:$Q$4,0))</f>
        <v>38</v>
      </c>
      <c r="T14" s="2" t="str">
        <f t="shared" si="7"/>
        <v>0026</v>
      </c>
      <c r="U14" s="2">
        <f t="shared" si="14"/>
        <v>9</v>
      </c>
      <c r="V14" s="2" t="str">
        <f t="shared" si="9"/>
        <v>009</v>
      </c>
      <c r="W14" s="2" t="str">
        <f t="shared" si="10"/>
        <v/>
      </c>
      <c r="X14" s="2" t="str">
        <f t="shared" si="15"/>
        <v>X</v>
      </c>
      <c r="Y14" s="2" t="str">
        <f t="shared" si="11"/>
        <v/>
      </c>
      <c r="Z14" s="2" t="str">
        <f t="shared" si="12"/>
        <v/>
      </c>
      <c r="AA14" s="2" t="str">
        <f t="shared" si="16"/>
        <v/>
      </c>
      <c r="AB14" s="2" t="str">
        <f t="shared" si="17"/>
        <v>(21 downto 16)</v>
      </c>
      <c r="AC14" s="2" t="str">
        <f t="shared" si="18"/>
        <v/>
      </c>
      <c r="AD14" s="2" t="str">
        <f t="shared" si="19"/>
        <v/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25">
      <c r="B15" s="2" t="s">
        <v>169</v>
      </c>
      <c r="C15" s="2" t="s">
        <v>172</v>
      </c>
      <c r="D15" s="2" t="s">
        <v>0</v>
      </c>
      <c r="E15" s="2" t="s">
        <v>130</v>
      </c>
      <c r="F15" s="2" t="s">
        <v>170</v>
      </c>
      <c r="G15" s="2" t="s">
        <v>171</v>
      </c>
      <c r="H15" s="2" t="s">
        <v>4899</v>
      </c>
      <c r="I15" s="2" t="s">
        <v>41</v>
      </c>
      <c r="J15" s="2">
        <v>1</v>
      </c>
      <c r="K15" s="2" t="s">
        <v>81</v>
      </c>
      <c r="L15" s="2" t="s">
        <v>40</v>
      </c>
      <c r="M15" s="2" t="s">
        <v>5290</v>
      </c>
      <c r="N15" s="2" t="s">
        <v>5224</v>
      </c>
      <c r="O15" s="2" t="s">
        <v>4988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40</v>
      </c>
      <c r="T15" s="2" t="str">
        <f t="shared" si="7"/>
        <v>0028</v>
      </c>
      <c r="U15" s="2">
        <f t="shared" si="14"/>
        <v>10</v>
      </c>
      <c r="V15" s="2" t="str">
        <f t="shared" si="9"/>
        <v>00A</v>
      </c>
      <c r="W15" s="2" t="str">
        <f t="shared" si="10"/>
        <v/>
      </c>
      <c r="X15" s="2" t="str">
        <f t="shared" si="15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169</v>
      </c>
      <c r="C16" s="2" t="s">
        <v>173</v>
      </c>
      <c r="D16" s="2" t="s">
        <v>0</v>
      </c>
      <c r="E16" s="2" t="s">
        <v>130</v>
      </c>
      <c r="F16" s="2" t="s">
        <v>170</v>
      </c>
      <c r="G16" s="2" t="s">
        <v>171</v>
      </c>
      <c r="H16" s="2" t="s">
        <v>174</v>
      </c>
      <c r="I16" s="2" t="s">
        <v>41</v>
      </c>
      <c r="J16" s="2">
        <v>1</v>
      </c>
      <c r="K16" s="2" t="s">
        <v>81</v>
      </c>
      <c r="L16" s="2" t="s">
        <v>40</v>
      </c>
      <c r="M16" s="2" t="s">
        <v>5290</v>
      </c>
      <c r="N16" s="2" t="s">
        <v>5224</v>
      </c>
      <c r="O16" s="2" t="s">
        <v>4989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44</v>
      </c>
      <c r="T16" s="2" t="str">
        <f t="shared" si="7"/>
        <v>002C</v>
      </c>
      <c r="U16" s="2">
        <f t="shared" si="14"/>
        <v>11</v>
      </c>
      <c r="V16" s="2" t="str">
        <f t="shared" si="9"/>
        <v>00B</v>
      </c>
      <c r="W16" s="2" t="str">
        <f t="shared" si="10"/>
        <v/>
      </c>
      <c r="X16" s="2" t="str">
        <f t="shared" si="15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169</v>
      </c>
      <c r="C17" s="2" t="s">
        <v>157</v>
      </c>
      <c r="D17" s="2" t="s">
        <v>0</v>
      </c>
      <c r="E17" s="2" t="s">
        <v>130</v>
      </c>
      <c r="F17" s="2" t="s">
        <v>170</v>
      </c>
      <c r="G17" s="2" t="s">
        <v>171</v>
      </c>
      <c r="H17" s="2" t="s">
        <v>158</v>
      </c>
      <c r="I17" s="2" t="s">
        <v>41</v>
      </c>
      <c r="J17" s="2">
        <v>5</v>
      </c>
      <c r="K17" s="2" t="s">
        <v>132</v>
      </c>
      <c r="L17" s="2" t="s">
        <v>40</v>
      </c>
      <c r="M17" s="2" t="s">
        <v>5290</v>
      </c>
      <c r="N17" s="2" t="s">
        <v>5224</v>
      </c>
      <c r="O17" s="2" t="s">
        <v>4981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48</v>
      </c>
      <c r="T17" s="2" t="str">
        <f t="shared" si="7"/>
        <v>0030</v>
      </c>
      <c r="U17" s="2">
        <f t="shared" si="14"/>
        <v>12</v>
      </c>
      <c r="V17" s="2" t="str">
        <f t="shared" si="9"/>
        <v>00C</v>
      </c>
      <c r="W17" s="2" t="str">
        <f t="shared" si="10"/>
        <v/>
      </c>
      <c r="X17" s="2" t="str">
        <f t="shared" si="15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(4 downto 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169</v>
      </c>
      <c r="C18" s="2" t="s">
        <v>175</v>
      </c>
      <c r="D18" s="2" t="s">
        <v>0</v>
      </c>
      <c r="E18" s="2" t="s">
        <v>130</v>
      </c>
      <c r="F18" s="2" t="s">
        <v>170</v>
      </c>
      <c r="G18" s="2" t="s">
        <v>171</v>
      </c>
      <c r="H18" s="2" t="s">
        <v>176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5290</v>
      </c>
      <c r="N18" s="2" t="s">
        <v>5224</v>
      </c>
      <c r="O18" s="2" t="s">
        <v>4990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52</v>
      </c>
      <c r="T18" s="2" t="str">
        <f t="shared" si="7"/>
        <v>0034</v>
      </c>
      <c r="U18" s="2">
        <f t="shared" si="14"/>
        <v>13</v>
      </c>
      <c r="V18" s="2" t="str">
        <f t="shared" si="9"/>
        <v>00D</v>
      </c>
      <c r="W18" s="2" t="str">
        <f t="shared" si="10"/>
        <v/>
      </c>
      <c r="X18" s="2" t="str">
        <f t="shared" si="15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169</v>
      </c>
      <c r="C19" s="2" t="s">
        <v>177</v>
      </c>
      <c r="D19" s="2" t="s">
        <v>0</v>
      </c>
      <c r="E19" s="2" t="s">
        <v>130</v>
      </c>
      <c r="F19" s="2" t="s">
        <v>170</v>
      </c>
      <c r="G19" s="2" t="s">
        <v>171</v>
      </c>
      <c r="H19" s="2" t="s">
        <v>178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5290</v>
      </c>
      <c r="N19" s="2" t="s">
        <v>5224</v>
      </c>
      <c r="O19" s="2" t="s">
        <v>4991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56</v>
      </c>
      <c r="T19" s="2" t="str">
        <f t="shared" si="7"/>
        <v>0038</v>
      </c>
      <c r="U19" s="2">
        <f t="shared" si="14"/>
        <v>14</v>
      </c>
      <c r="V19" s="2" t="str">
        <f t="shared" si="9"/>
        <v>00E</v>
      </c>
      <c r="W19" s="2" t="str">
        <f t="shared" si="10"/>
        <v/>
      </c>
      <c r="X19" s="2" t="str">
        <f t="shared" si="15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169</v>
      </c>
      <c r="C20" s="2" t="s">
        <v>179</v>
      </c>
      <c r="D20" s="2" t="s">
        <v>0</v>
      </c>
      <c r="E20" s="2" t="s">
        <v>130</v>
      </c>
      <c r="F20" s="2" t="s">
        <v>170</v>
      </c>
      <c r="G20" s="2" t="s">
        <v>171</v>
      </c>
      <c r="H20" s="2" t="s">
        <v>180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5290</v>
      </c>
      <c r="N20" s="2" t="s">
        <v>5224</v>
      </c>
      <c r="O20" s="2" t="s">
        <v>4992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60</v>
      </c>
      <c r="T20" s="2" t="str">
        <f t="shared" si="7"/>
        <v>003C</v>
      </c>
      <c r="U20" s="2">
        <f t="shared" si="14"/>
        <v>15</v>
      </c>
      <c r="V20" s="2" t="str">
        <f t="shared" si="9"/>
        <v>00F</v>
      </c>
      <c r="W20" s="2" t="str">
        <f t="shared" si="10"/>
        <v/>
      </c>
      <c r="X20" s="2" t="str">
        <f t="shared" si="15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25">
      <c r="B21" s="2" t="s">
        <v>169</v>
      </c>
      <c r="C21" s="2" t="s">
        <v>167</v>
      </c>
      <c r="D21" s="2" t="s">
        <v>0</v>
      </c>
      <c r="E21" s="2" t="s">
        <v>130</v>
      </c>
      <c r="F21" s="2" t="s">
        <v>170</v>
      </c>
      <c r="G21" s="2" t="s">
        <v>171</v>
      </c>
      <c r="H21" s="2" t="s">
        <v>168</v>
      </c>
      <c r="I21" s="2" t="s">
        <v>41</v>
      </c>
      <c r="J21" s="2">
        <v>16</v>
      </c>
      <c r="K21" s="2" t="s">
        <v>132</v>
      </c>
      <c r="L21" s="2" t="s">
        <v>40</v>
      </c>
      <c r="M21" s="2" t="s">
        <v>5290</v>
      </c>
      <c r="N21" s="2" t="s">
        <v>5224</v>
      </c>
      <c r="O21" s="2" t="s">
        <v>4986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64</v>
      </c>
      <c r="T21" s="2" t="str">
        <f t="shared" si="7"/>
        <v>0040</v>
      </c>
      <c r="U21" s="2">
        <f t="shared" si="14"/>
        <v>16</v>
      </c>
      <c r="V21" s="2" t="str">
        <f t="shared" si="9"/>
        <v>010</v>
      </c>
      <c r="W21" s="2" t="str">
        <f t="shared" si="10"/>
        <v/>
      </c>
      <c r="X21" s="2" t="str">
        <f t="shared" si="15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25">
      <c r="B22" s="2" t="s">
        <v>181</v>
      </c>
      <c r="C22" s="2" t="s">
        <v>182</v>
      </c>
      <c r="D22" s="2" t="s">
        <v>0</v>
      </c>
      <c r="E22" s="2" t="s">
        <v>130</v>
      </c>
      <c r="F22" s="2" t="s">
        <v>183</v>
      </c>
      <c r="G22" s="2" t="s">
        <v>184</v>
      </c>
      <c r="H22" s="2" t="s">
        <v>185</v>
      </c>
      <c r="I22" s="2" t="s">
        <v>41</v>
      </c>
      <c r="J22" s="2">
        <v>32</v>
      </c>
      <c r="K22" s="2" t="s">
        <v>132</v>
      </c>
      <c r="L22" s="2" t="s">
        <v>40</v>
      </c>
      <c r="M22" s="2" t="s">
        <v>5290</v>
      </c>
      <c r="N22" s="2" t="s">
        <v>5225</v>
      </c>
      <c r="O22" s="2" t="s">
        <v>4993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68</v>
      </c>
      <c r="T22" s="2" t="str">
        <f t="shared" si="7"/>
        <v>0044</v>
      </c>
      <c r="U22" s="2">
        <f t="shared" si="14"/>
        <v>17</v>
      </c>
      <c r="V22" s="2" t="str">
        <f t="shared" si="9"/>
        <v>011</v>
      </c>
      <c r="W22" s="2" t="str">
        <f t="shared" si="10"/>
        <v>X</v>
      </c>
      <c r="X22" s="2" t="str">
        <f t="shared" si="15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>(31 downto 24)</v>
      </c>
      <c r="AB22" s="2" t="str">
        <f t="shared" si="17"/>
        <v>(23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>(31 downto 24)</v>
      </c>
      <c r="AF22" s="2" t="str">
        <f t="shared" si="21"/>
        <v>(23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186</v>
      </c>
      <c r="C23" s="2" t="s">
        <v>187</v>
      </c>
      <c r="D23" s="2" t="s">
        <v>0</v>
      </c>
      <c r="E23" s="2" t="s">
        <v>130</v>
      </c>
      <c r="F23" s="2" t="s">
        <v>188</v>
      </c>
      <c r="G23" s="2" t="s">
        <v>189</v>
      </c>
      <c r="H23" s="2" t="s">
        <v>190</v>
      </c>
      <c r="I23" s="2" t="s">
        <v>41</v>
      </c>
      <c r="J23" s="2">
        <v>1</v>
      </c>
      <c r="K23" s="2" t="s">
        <v>81</v>
      </c>
      <c r="L23" s="2" t="s">
        <v>40</v>
      </c>
      <c r="M23" s="2" t="s">
        <v>5290</v>
      </c>
      <c r="N23" s="2" t="s">
        <v>5226</v>
      </c>
      <c r="O23" s="2" t="s">
        <v>4994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72</v>
      </c>
      <c r="T23" s="2" t="str">
        <f t="shared" si="7"/>
        <v>0048</v>
      </c>
      <c r="U23" s="2">
        <f t="shared" si="14"/>
        <v>18</v>
      </c>
      <c r="V23" s="2" t="str">
        <f t="shared" si="9"/>
        <v>012</v>
      </c>
      <c r="W23" s="2" t="str">
        <f t="shared" si="10"/>
        <v/>
      </c>
      <c r="X23" s="2" t="str">
        <f t="shared" si="15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186</v>
      </c>
      <c r="C24" s="2" t="s">
        <v>146</v>
      </c>
      <c r="D24" s="2" t="s">
        <v>0</v>
      </c>
      <c r="E24" s="2" t="s">
        <v>130</v>
      </c>
      <c r="F24" s="2" t="s">
        <v>188</v>
      </c>
      <c r="G24" s="2" t="s">
        <v>189</v>
      </c>
      <c r="H24" s="2" t="s">
        <v>149</v>
      </c>
      <c r="I24" s="2" t="s">
        <v>41</v>
      </c>
      <c r="J24" s="2">
        <v>2</v>
      </c>
      <c r="K24" s="2" t="s">
        <v>132</v>
      </c>
      <c r="L24" s="2" t="s">
        <v>40</v>
      </c>
      <c r="M24" s="2" t="s">
        <v>5290</v>
      </c>
      <c r="N24" s="2" t="s">
        <v>5226</v>
      </c>
      <c r="O24" s="2" t="s">
        <v>4987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76</v>
      </c>
      <c r="T24" s="2" t="str">
        <f t="shared" si="7"/>
        <v>004C</v>
      </c>
      <c r="U24" s="2">
        <f t="shared" si="14"/>
        <v>19</v>
      </c>
      <c r="V24" s="2" t="str">
        <f t="shared" si="9"/>
        <v>013</v>
      </c>
      <c r="W24" s="2" t="str">
        <f t="shared" si="10"/>
        <v/>
      </c>
      <c r="X24" s="2" t="str">
        <f t="shared" si="15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186</v>
      </c>
      <c r="C25" s="2" t="s">
        <v>191</v>
      </c>
      <c r="D25" s="2" t="s">
        <v>0</v>
      </c>
      <c r="E25" s="2" t="s">
        <v>130</v>
      </c>
      <c r="F25" s="2" t="s">
        <v>188</v>
      </c>
      <c r="G25" s="2" t="s">
        <v>189</v>
      </c>
      <c r="H25" s="2" t="s">
        <v>192</v>
      </c>
      <c r="I25" s="2" t="s">
        <v>41</v>
      </c>
      <c r="J25" s="2">
        <v>1</v>
      </c>
      <c r="K25" s="2" t="s">
        <v>81</v>
      </c>
      <c r="L25" s="2" t="s">
        <v>40</v>
      </c>
      <c r="M25" s="2" t="s">
        <v>5290</v>
      </c>
      <c r="N25" s="2" t="s">
        <v>5226</v>
      </c>
      <c r="O25" s="2" t="s">
        <v>4995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80</v>
      </c>
      <c r="T25" s="2" t="str">
        <f t="shared" si="7"/>
        <v>0050</v>
      </c>
      <c r="U25" s="2">
        <f t="shared" si="14"/>
        <v>20</v>
      </c>
      <c r="V25" s="2" t="str">
        <f t="shared" si="9"/>
        <v>014</v>
      </c>
      <c r="W25" s="2" t="str">
        <f t="shared" si="10"/>
        <v/>
      </c>
      <c r="X25" s="2" t="str">
        <f t="shared" si="15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186</v>
      </c>
      <c r="C26" s="2" t="s">
        <v>193</v>
      </c>
      <c r="D26" s="2" t="s">
        <v>0</v>
      </c>
      <c r="E26" s="2" t="s">
        <v>130</v>
      </c>
      <c r="F26" s="2" t="s">
        <v>188</v>
      </c>
      <c r="G26" s="2" t="s">
        <v>189</v>
      </c>
      <c r="H26" s="2" t="s">
        <v>194</v>
      </c>
      <c r="I26" s="2" t="s">
        <v>41</v>
      </c>
      <c r="J26" s="2">
        <v>1</v>
      </c>
      <c r="K26" s="2" t="s">
        <v>81</v>
      </c>
      <c r="L26" s="2" t="s">
        <v>40</v>
      </c>
      <c r="M26" s="2" t="s">
        <v>5290</v>
      </c>
      <c r="N26" s="2" t="s">
        <v>5226</v>
      </c>
      <c r="O26" s="2" t="s">
        <v>4996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84</v>
      </c>
      <c r="T26" s="2" t="str">
        <f t="shared" si="7"/>
        <v>0054</v>
      </c>
      <c r="U26" s="2">
        <f t="shared" si="14"/>
        <v>21</v>
      </c>
      <c r="V26" s="2" t="str">
        <f t="shared" si="9"/>
        <v>015</v>
      </c>
      <c r="W26" s="2" t="str">
        <f t="shared" si="10"/>
        <v/>
      </c>
      <c r="X26" s="2" t="str">
        <f t="shared" si="15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186</v>
      </c>
      <c r="C27" s="2" t="s">
        <v>195</v>
      </c>
      <c r="D27" s="2" t="s">
        <v>0</v>
      </c>
      <c r="E27" s="2" t="s">
        <v>130</v>
      </c>
      <c r="F27" s="2" t="s">
        <v>188</v>
      </c>
      <c r="G27" s="2" t="s">
        <v>189</v>
      </c>
      <c r="H27" s="2" t="s">
        <v>196</v>
      </c>
      <c r="I27" s="2" t="s">
        <v>41</v>
      </c>
      <c r="J27" s="2">
        <v>1</v>
      </c>
      <c r="K27" s="2" t="s">
        <v>81</v>
      </c>
      <c r="L27" s="2" t="s">
        <v>40</v>
      </c>
      <c r="M27" s="2" t="s">
        <v>5290</v>
      </c>
      <c r="N27" s="2" t="s">
        <v>5226</v>
      </c>
      <c r="O27" s="2" t="s">
        <v>4997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88</v>
      </c>
      <c r="T27" s="2" t="str">
        <f t="shared" si="7"/>
        <v>0058</v>
      </c>
      <c r="U27" s="2">
        <f t="shared" si="14"/>
        <v>22</v>
      </c>
      <c r="V27" s="2" t="str">
        <f t="shared" si="9"/>
        <v>016</v>
      </c>
      <c r="W27" s="2" t="str">
        <f t="shared" si="10"/>
        <v/>
      </c>
      <c r="X27" s="2" t="str">
        <f t="shared" si="15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186</v>
      </c>
      <c r="C28" s="2" t="s">
        <v>197</v>
      </c>
      <c r="D28" s="2" t="s">
        <v>0</v>
      </c>
      <c r="E28" s="2" t="s">
        <v>130</v>
      </c>
      <c r="F28" s="2" t="s">
        <v>188</v>
      </c>
      <c r="G28" s="2" t="s">
        <v>189</v>
      </c>
      <c r="H28" s="2" t="s">
        <v>198</v>
      </c>
      <c r="I28" s="2" t="s">
        <v>41</v>
      </c>
      <c r="J28" s="2">
        <v>1</v>
      </c>
      <c r="K28" s="2" t="s">
        <v>81</v>
      </c>
      <c r="L28" s="2" t="s">
        <v>40</v>
      </c>
      <c r="M28" s="2" t="s">
        <v>5290</v>
      </c>
      <c r="N28" s="2" t="s">
        <v>5226</v>
      </c>
      <c r="O28" s="2" t="s">
        <v>4998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92</v>
      </c>
      <c r="T28" s="2" t="str">
        <f t="shared" si="7"/>
        <v>005C</v>
      </c>
      <c r="U28" s="2">
        <f t="shared" si="14"/>
        <v>23</v>
      </c>
      <c r="V28" s="2" t="str">
        <f t="shared" si="9"/>
        <v>017</v>
      </c>
      <c r="W28" s="2" t="str">
        <f t="shared" si="10"/>
        <v/>
      </c>
      <c r="X28" s="2" t="str">
        <f t="shared" si="15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186</v>
      </c>
      <c r="C29" s="2" t="s">
        <v>199</v>
      </c>
      <c r="D29" s="2" t="s">
        <v>0</v>
      </c>
      <c r="E29" s="2" t="s">
        <v>130</v>
      </c>
      <c r="F29" s="2" t="s">
        <v>188</v>
      </c>
      <c r="G29" s="2" t="s">
        <v>189</v>
      </c>
      <c r="H29" s="2" t="s">
        <v>200</v>
      </c>
      <c r="I29" s="2" t="s">
        <v>41</v>
      </c>
      <c r="J29" s="2">
        <v>1</v>
      </c>
      <c r="K29" s="2" t="s">
        <v>81</v>
      </c>
      <c r="L29" s="2" t="s">
        <v>40</v>
      </c>
      <c r="M29" s="2" t="s">
        <v>5290</v>
      </c>
      <c r="N29" s="2" t="s">
        <v>5226</v>
      </c>
      <c r="O29" s="2" t="s">
        <v>4999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96</v>
      </c>
      <c r="T29" s="2" t="str">
        <f t="shared" si="7"/>
        <v>0060</v>
      </c>
      <c r="U29" s="2">
        <f t="shared" si="14"/>
        <v>24</v>
      </c>
      <c r="V29" s="2" t="str">
        <f t="shared" si="9"/>
        <v>018</v>
      </c>
      <c r="W29" s="2" t="str">
        <f t="shared" si="10"/>
        <v/>
      </c>
      <c r="X29" s="2" t="str">
        <f t="shared" si="15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186</v>
      </c>
      <c r="C30" s="2" t="s">
        <v>201</v>
      </c>
      <c r="D30" s="2" t="s">
        <v>0</v>
      </c>
      <c r="E30" s="2" t="s">
        <v>130</v>
      </c>
      <c r="F30" s="2" t="s">
        <v>188</v>
      </c>
      <c r="G30" s="2" t="s">
        <v>189</v>
      </c>
      <c r="H30" s="2" t="s">
        <v>202</v>
      </c>
      <c r="I30" s="2" t="s">
        <v>41</v>
      </c>
      <c r="J30" s="2">
        <v>1</v>
      </c>
      <c r="K30" s="2" t="s">
        <v>81</v>
      </c>
      <c r="L30" s="2" t="s">
        <v>40</v>
      </c>
      <c r="M30" s="2" t="s">
        <v>5290</v>
      </c>
      <c r="N30" s="2" t="s">
        <v>5226</v>
      </c>
      <c r="O30" s="2" t="s">
        <v>5000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100</v>
      </c>
      <c r="T30" s="2" t="str">
        <f t="shared" si="7"/>
        <v>0064</v>
      </c>
      <c r="U30" s="2">
        <f t="shared" si="14"/>
        <v>25</v>
      </c>
      <c r="V30" s="2" t="str">
        <f t="shared" si="9"/>
        <v>019</v>
      </c>
      <c r="W30" s="2" t="str">
        <f t="shared" si="10"/>
        <v/>
      </c>
      <c r="X30" s="2" t="str">
        <f t="shared" si="15"/>
        <v/>
      </c>
      <c r="Y30" s="2" t="str">
        <f t="shared" si="11"/>
        <v/>
      </c>
      <c r="Z30" s="2" t="str">
        <f t="shared" si="12"/>
        <v>X</v>
      </c>
      <c r="AA30" s="2" t="str">
        <f t="shared" si="16"/>
        <v/>
      </c>
      <c r="AB30" s="2" t="str">
        <f t="shared" si="17"/>
        <v/>
      </c>
      <c r="AC30" s="2" t="str">
        <f t="shared" si="18"/>
        <v/>
      </c>
      <c r="AD30" s="2" t="str">
        <f t="shared" si="19"/>
        <v>(0)</v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25">
      <c r="B31" s="2" t="s">
        <v>186</v>
      </c>
      <c r="C31" s="2" t="s">
        <v>157</v>
      </c>
      <c r="D31" s="2" t="s">
        <v>0</v>
      </c>
      <c r="E31" s="2" t="s">
        <v>130</v>
      </c>
      <c r="F31" s="2" t="s">
        <v>188</v>
      </c>
      <c r="G31" s="2" t="s">
        <v>189</v>
      </c>
      <c r="H31" s="2" t="s">
        <v>158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5290</v>
      </c>
      <c r="N31" s="2" t="s">
        <v>5226</v>
      </c>
      <c r="O31" s="2" t="s">
        <v>5001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104</v>
      </c>
      <c r="T31" s="2" t="str">
        <f t="shared" si="7"/>
        <v>0068</v>
      </c>
      <c r="U31" s="2">
        <f t="shared" si="14"/>
        <v>26</v>
      </c>
      <c r="V31" s="2" t="str">
        <f t="shared" si="9"/>
        <v>01A</v>
      </c>
      <c r="W31" s="2" t="str">
        <f t="shared" si="10"/>
        <v/>
      </c>
      <c r="X31" s="2" t="str">
        <f t="shared" si="15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25">
      <c r="B32" s="2" t="s">
        <v>186</v>
      </c>
      <c r="C32" s="2" t="s">
        <v>203</v>
      </c>
      <c r="D32" s="2" t="s">
        <v>0</v>
      </c>
      <c r="E32" s="2" t="s">
        <v>130</v>
      </c>
      <c r="F32" s="2" t="s">
        <v>188</v>
      </c>
      <c r="G32" s="2" t="s">
        <v>189</v>
      </c>
      <c r="H32" s="2" t="s">
        <v>204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5290</v>
      </c>
      <c r="N32" s="2" t="s">
        <v>5226</v>
      </c>
      <c r="O32" s="2" t="s">
        <v>5002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108</v>
      </c>
      <c r="T32" s="2" t="str">
        <f t="shared" si="7"/>
        <v>006C</v>
      </c>
      <c r="U32" s="2">
        <f t="shared" si="14"/>
        <v>27</v>
      </c>
      <c r="V32" s="2" t="str">
        <f t="shared" si="9"/>
        <v>01B</v>
      </c>
      <c r="W32" s="2" t="str">
        <f t="shared" si="10"/>
        <v/>
      </c>
      <c r="X32" s="2" t="str">
        <f t="shared" si="15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186</v>
      </c>
      <c r="C33" s="2" t="s">
        <v>205</v>
      </c>
      <c r="D33" s="2" t="s">
        <v>0</v>
      </c>
      <c r="E33" s="2" t="s">
        <v>130</v>
      </c>
      <c r="F33" s="2" t="s">
        <v>188</v>
      </c>
      <c r="G33" s="2" t="s">
        <v>189</v>
      </c>
      <c r="H33" s="2" t="s">
        <v>206</v>
      </c>
      <c r="I33" s="2" t="s">
        <v>41</v>
      </c>
      <c r="J33" s="2">
        <v>1</v>
      </c>
      <c r="K33" s="2" t="s">
        <v>81</v>
      </c>
      <c r="L33" s="2" t="s">
        <v>40</v>
      </c>
      <c r="M33" s="2" t="s">
        <v>5290</v>
      </c>
      <c r="N33" s="2" t="s">
        <v>5226</v>
      </c>
      <c r="O33" s="2" t="s">
        <v>5003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112</v>
      </c>
      <c r="T33" s="2" t="str">
        <f t="shared" si="7"/>
        <v>0070</v>
      </c>
      <c r="U33" s="2">
        <f t="shared" si="14"/>
        <v>28</v>
      </c>
      <c r="V33" s="2" t="str">
        <f t="shared" si="9"/>
        <v>01C</v>
      </c>
      <c r="W33" s="2" t="str">
        <f t="shared" si="10"/>
        <v/>
      </c>
      <c r="X33" s="2" t="str">
        <f t="shared" si="15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186</v>
      </c>
      <c r="C34" s="2" t="s">
        <v>207</v>
      </c>
      <c r="D34" s="2" t="s">
        <v>0</v>
      </c>
      <c r="E34" s="2" t="s">
        <v>130</v>
      </c>
      <c r="F34" s="2" t="s">
        <v>188</v>
      </c>
      <c r="G34" s="2" t="s">
        <v>189</v>
      </c>
      <c r="H34" s="2" t="s">
        <v>208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5290</v>
      </c>
      <c r="N34" s="2" t="s">
        <v>5226</v>
      </c>
      <c r="O34" s="2" t="s">
        <v>5004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116</v>
      </c>
      <c r="T34" s="2" t="str">
        <f t="shared" si="7"/>
        <v>0074</v>
      </c>
      <c r="U34" s="2">
        <f t="shared" si="14"/>
        <v>29</v>
      </c>
      <c r="V34" s="2" t="str">
        <f t="shared" si="9"/>
        <v>01D</v>
      </c>
      <c r="W34" s="2" t="str">
        <f t="shared" si="10"/>
        <v/>
      </c>
      <c r="X34" s="2" t="str">
        <f t="shared" si="15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186</v>
      </c>
      <c r="C35" s="2" t="s">
        <v>209</v>
      </c>
      <c r="D35" s="2" t="s">
        <v>0</v>
      </c>
      <c r="E35" s="2" t="s">
        <v>130</v>
      </c>
      <c r="F35" s="2" t="s">
        <v>188</v>
      </c>
      <c r="G35" s="2" t="s">
        <v>189</v>
      </c>
      <c r="H35" s="2" t="s">
        <v>210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5290</v>
      </c>
      <c r="N35" s="2" t="s">
        <v>5226</v>
      </c>
      <c r="O35" s="2" t="s">
        <v>5005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120</v>
      </c>
      <c r="T35" s="2" t="str">
        <f t="shared" si="7"/>
        <v>0078</v>
      </c>
      <c r="U35" s="2">
        <f t="shared" si="14"/>
        <v>30</v>
      </c>
      <c r="V35" s="2" t="str">
        <f t="shared" si="9"/>
        <v>01E</v>
      </c>
      <c r="W35" s="2" t="str">
        <f t="shared" si="10"/>
        <v/>
      </c>
      <c r="X35" s="2" t="str">
        <f t="shared" si="15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186</v>
      </c>
      <c r="C36" s="2" t="s">
        <v>211</v>
      </c>
      <c r="D36" s="2" t="s">
        <v>0</v>
      </c>
      <c r="E36" s="2" t="s">
        <v>130</v>
      </c>
      <c r="F36" s="2" t="s">
        <v>188</v>
      </c>
      <c r="G36" s="2" t="s">
        <v>189</v>
      </c>
      <c r="H36" s="2" t="s">
        <v>212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5290</v>
      </c>
      <c r="N36" s="2" t="s">
        <v>5226</v>
      </c>
      <c r="O36" s="2" t="s">
        <v>5006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124</v>
      </c>
      <c r="T36" s="2" t="str">
        <f t="shared" si="7"/>
        <v>007C</v>
      </c>
      <c r="U36" s="2">
        <f t="shared" si="14"/>
        <v>31</v>
      </c>
      <c r="V36" s="2" t="str">
        <f t="shared" si="9"/>
        <v>01F</v>
      </c>
      <c r="W36" s="2" t="str">
        <f t="shared" si="10"/>
        <v/>
      </c>
      <c r="X36" s="2" t="str">
        <f t="shared" si="15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25">
      <c r="B37" s="2" t="s">
        <v>186</v>
      </c>
      <c r="C37" s="2" t="s">
        <v>213</v>
      </c>
      <c r="D37" s="2" t="s">
        <v>0</v>
      </c>
      <c r="E37" s="2" t="s">
        <v>130</v>
      </c>
      <c r="F37" s="2" t="s">
        <v>188</v>
      </c>
      <c r="G37" s="2" t="s">
        <v>189</v>
      </c>
      <c r="H37" s="2" t="s">
        <v>214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5290</v>
      </c>
      <c r="N37" s="2" t="s">
        <v>5226</v>
      </c>
      <c r="O37" s="2" t="s">
        <v>5007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128</v>
      </c>
      <c r="T37" s="2" t="str">
        <f t="shared" si="7"/>
        <v>0080</v>
      </c>
      <c r="U37" s="2">
        <f t="shared" si="14"/>
        <v>32</v>
      </c>
      <c r="V37" s="2" t="str">
        <f t="shared" si="9"/>
        <v>020</v>
      </c>
      <c r="W37" s="2" t="str">
        <f t="shared" si="10"/>
        <v/>
      </c>
      <c r="X37" s="2" t="str">
        <f t="shared" si="15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25">
      <c r="B38" s="2" t="s">
        <v>186</v>
      </c>
      <c r="C38" s="2" t="s">
        <v>215</v>
      </c>
      <c r="D38" s="2" t="s">
        <v>0</v>
      </c>
      <c r="E38" s="2" t="s">
        <v>130</v>
      </c>
      <c r="F38" s="2" t="s">
        <v>188</v>
      </c>
      <c r="G38" s="2" t="s">
        <v>189</v>
      </c>
      <c r="H38" s="2" t="s">
        <v>216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5290</v>
      </c>
      <c r="N38" s="2" t="s">
        <v>5226</v>
      </c>
      <c r="O38" s="2" t="s">
        <v>5008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132</v>
      </c>
      <c r="T38" s="2" t="str">
        <f t="shared" si="7"/>
        <v>0084</v>
      </c>
      <c r="U38" s="2">
        <f t="shared" si="14"/>
        <v>33</v>
      </c>
      <c r="V38" s="2" t="str">
        <f t="shared" si="9"/>
        <v>021</v>
      </c>
      <c r="W38" s="2" t="str">
        <f t="shared" si="10"/>
        <v/>
      </c>
      <c r="X38" s="2" t="str">
        <f t="shared" si="15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186</v>
      </c>
      <c r="C39" s="2" t="s">
        <v>217</v>
      </c>
      <c r="D39" s="2" t="s">
        <v>0</v>
      </c>
      <c r="E39" s="2" t="s">
        <v>130</v>
      </c>
      <c r="F39" s="2" t="s">
        <v>188</v>
      </c>
      <c r="G39" s="2" t="s">
        <v>189</v>
      </c>
      <c r="H39" s="2" t="s">
        <v>218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5290</v>
      </c>
      <c r="N39" s="2" t="s">
        <v>5226</v>
      </c>
      <c r="O39" s="2" t="s">
        <v>5009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136</v>
      </c>
      <c r="T39" s="2" t="str">
        <f t="shared" si="7"/>
        <v>0088</v>
      </c>
      <c r="U39" s="2">
        <f t="shared" si="14"/>
        <v>34</v>
      </c>
      <c r="V39" s="2" t="str">
        <f t="shared" si="9"/>
        <v>022</v>
      </c>
      <c r="W39" s="2" t="str">
        <f t="shared" si="10"/>
        <v/>
      </c>
      <c r="X39" s="2" t="str">
        <f t="shared" si="15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186</v>
      </c>
      <c r="C40" s="2" t="s">
        <v>219</v>
      </c>
      <c r="D40" s="2" t="s">
        <v>0</v>
      </c>
      <c r="E40" s="2" t="s">
        <v>130</v>
      </c>
      <c r="F40" s="2" t="s">
        <v>188</v>
      </c>
      <c r="G40" s="2" t="s">
        <v>189</v>
      </c>
      <c r="H40" s="2" t="s">
        <v>220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5290</v>
      </c>
      <c r="N40" s="2" t="s">
        <v>5226</v>
      </c>
      <c r="O40" s="2" t="s">
        <v>5010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140</v>
      </c>
      <c r="T40" s="2" t="str">
        <f t="shared" si="7"/>
        <v>008C</v>
      </c>
      <c r="U40" s="2">
        <f t="shared" si="14"/>
        <v>35</v>
      </c>
      <c r="V40" s="2" t="str">
        <f t="shared" si="9"/>
        <v>023</v>
      </c>
      <c r="W40" s="2" t="str">
        <f t="shared" si="10"/>
        <v/>
      </c>
      <c r="X40" s="2" t="str">
        <f t="shared" si="15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186</v>
      </c>
      <c r="C41" s="2" t="s">
        <v>221</v>
      </c>
      <c r="D41" s="2" t="s">
        <v>0</v>
      </c>
      <c r="E41" s="2" t="s">
        <v>130</v>
      </c>
      <c r="F41" s="2" t="s">
        <v>188</v>
      </c>
      <c r="G41" s="2" t="s">
        <v>189</v>
      </c>
      <c r="H41" s="2" t="s">
        <v>222</v>
      </c>
      <c r="I41" s="2" t="s">
        <v>41</v>
      </c>
      <c r="J41" s="2">
        <v>1</v>
      </c>
      <c r="K41" s="2" t="s">
        <v>81</v>
      </c>
      <c r="L41" s="2" t="s">
        <v>40</v>
      </c>
      <c r="M41" s="2" t="s">
        <v>5290</v>
      </c>
      <c r="N41" s="2" t="s">
        <v>5226</v>
      </c>
      <c r="O41" s="2" t="s">
        <v>5011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144</v>
      </c>
      <c r="T41" s="2" t="str">
        <f t="shared" si="7"/>
        <v>0090</v>
      </c>
      <c r="U41" s="2">
        <f t="shared" si="14"/>
        <v>36</v>
      </c>
      <c r="V41" s="2" t="str">
        <f t="shared" si="9"/>
        <v>024</v>
      </c>
      <c r="W41" s="2" t="str">
        <f t="shared" si="10"/>
        <v/>
      </c>
      <c r="X41" s="2" t="str">
        <f t="shared" si="15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186</v>
      </c>
      <c r="C42" s="2" t="s">
        <v>223</v>
      </c>
      <c r="D42" s="2" t="s">
        <v>0</v>
      </c>
      <c r="E42" s="2" t="s">
        <v>130</v>
      </c>
      <c r="F42" s="2" t="s">
        <v>188</v>
      </c>
      <c r="G42" s="2" t="s">
        <v>189</v>
      </c>
      <c r="H42" s="2" t="s">
        <v>224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5290</v>
      </c>
      <c r="N42" s="2" t="s">
        <v>5226</v>
      </c>
      <c r="O42" s="2" t="s">
        <v>5012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148</v>
      </c>
      <c r="T42" s="2" t="str">
        <f t="shared" si="7"/>
        <v>0094</v>
      </c>
      <c r="U42" s="2">
        <f t="shared" si="14"/>
        <v>37</v>
      </c>
      <c r="V42" s="2" t="str">
        <f t="shared" si="9"/>
        <v>025</v>
      </c>
      <c r="W42" s="2" t="str">
        <f t="shared" si="10"/>
        <v/>
      </c>
      <c r="X42" s="2" t="str">
        <f t="shared" si="15"/>
        <v/>
      </c>
      <c r="Y42" s="2" t="str">
        <f t="shared" si="11"/>
        <v/>
      </c>
      <c r="Z42" s="2" t="str">
        <f t="shared" si="12"/>
        <v>X</v>
      </c>
      <c r="AA42" s="2" t="str">
        <f t="shared" si="16"/>
        <v/>
      </c>
      <c r="AB42" s="2" t="str">
        <f t="shared" si="17"/>
        <v/>
      </c>
      <c r="AC42" s="2" t="str">
        <f t="shared" si="18"/>
        <v/>
      </c>
      <c r="AD42" s="2" t="str">
        <f t="shared" si="19"/>
        <v>(0)</v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25">
      <c r="B43" s="2" t="s">
        <v>186</v>
      </c>
      <c r="C43" s="2" t="s">
        <v>225</v>
      </c>
      <c r="D43" s="2" t="s">
        <v>0</v>
      </c>
      <c r="E43" s="2" t="s">
        <v>130</v>
      </c>
      <c r="F43" s="2" t="s">
        <v>188</v>
      </c>
      <c r="G43" s="2" t="s">
        <v>189</v>
      </c>
      <c r="H43" s="2" t="s">
        <v>226</v>
      </c>
      <c r="I43" s="2" t="s">
        <v>41</v>
      </c>
      <c r="J43" s="2">
        <v>1</v>
      </c>
      <c r="K43" s="2" t="s">
        <v>81</v>
      </c>
      <c r="L43" s="2" t="s">
        <v>40</v>
      </c>
      <c r="M43" s="2" t="s">
        <v>5290</v>
      </c>
      <c r="N43" s="2" t="s">
        <v>5226</v>
      </c>
      <c r="O43" s="2" t="s">
        <v>5013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152</v>
      </c>
      <c r="T43" s="2" t="str">
        <f t="shared" si="7"/>
        <v>0098</v>
      </c>
      <c r="U43" s="2">
        <f t="shared" si="14"/>
        <v>38</v>
      </c>
      <c r="V43" s="2" t="str">
        <f t="shared" si="9"/>
        <v>026</v>
      </c>
      <c r="W43" s="2" t="str">
        <f t="shared" si="10"/>
        <v/>
      </c>
      <c r="X43" s="2" t="str">
        <f t="shared" si="15"/>
        <v/>
      </c>
      <c r="Y43" s="2" t="str">
        <f t="shared" si="11"/>
        <v/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/>
      </c>
      <c r="AD43" s="2" t="str">
        <f t="shared" si="19"/>
        <v>(0)</v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25">
      <c r="B44" s="2" t="s">
        <v>186</v>
      </c>
      <c r="C44" s="2" t="s">
        <v>227</v>
      </c>
      <c r="D44" s="2" t="s">
        <v>0</v>
      </c>
      <c r="E44" s="2" t="s">
        <v>130</v>
      </c>
      <c r="F44" s="2" t="s">
        <v>188</v>
      </c>
      <c r="G44" s="2" t="s">
        <v>189</v>
      </c>
      <c r="H44" s="2" t="s">
        <v>228</v>
      </c>
      <c r="I44" s="2" t="s">
        <v>41</v>
      </c>
      <c r="J44" s="2">
        <v>1</v>
      </c>
      <c r="K44" s="2" t="s">
        <v>81</v>
      </c>
      <c r="L44" s="2" t="s">
        <v>40</v>
      </c>
      <c r="M44" s="2" t="s">
        <v>5290</v>
      </c>
      <c r="N44" s="2" t="s">
        <v>5226</v>
      </c>
      <c r="O44" s="2" t="s">
        <v>5014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156</v>
      </c>
      <c r="T44" s="2" t="str">
        <f t="shared" si="7"/>
        <v>009C</v>
      </c>
      <c r="U44" s="2">
        <f t="shared" si="14"/>
        <v>39</v>
      </c>
      <c r="V44" s="2" t="str">
        <f t="shared" si="9"/>
        <v>027</v>
      </c>
      <c r="W44" s="2" t="str">
        <f t="shared" si="10"/>
        <v/>
      </c>
      <c r="X44" s="2" t="str">
        <f t="shared" si="15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186</v>
      </c>
      <c r="C45" s="2" t="s">
        <v>229</v>
      </c>
      <c r="D45" s="2" t="s">
        <v>0</v>
      </c>
      <c r="E45" s="2" t="s">
        <v>130</v>
      </c>
      <c r="F45" s="2" t="s">
        <v>188</v>
      </c>
      <c r="G45" s="2" t="s">
        <v>189</v>
      </c>
      <c r="H45" s="2" t="s">
        <v>230</v>
      </c>
      <c r="I45" s="2" t="s">
        <v>41</v>
      </c>
      <c r="J45" s="2">
        <v>1</v>
      </c>
      <c r="K45" s="2" t="s">
        <v>81</v>
      </c>
      <c r="L45" s="2" t="s">
        <v>40</v>
      </c>
      <c r="M45" s="2" t="s">
        <v>5290</v>
      </c>
      <c r="N45" s="2" t="s">
        <v>5226</v>
      </c>
      <c r="O45" s="2" t="s">
        <v>5015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160</v>
      </c>
      <c r="T45" s="2" t="str">
        <f t="shared" si="7"/>
        <v>00A0</v>
      </c>
      <c r="U45" s="2">
        <f t="shared" si="14"/>
        <v>40</v>
      </c>
      <c r="V45" s="2" t="str">
        <f t="shared" si="9"/>
        <v>028</v>
      </c>
      <c r="W45" s="2" t="str">
        <f t="shared" si="10"/>
        <v/>
      </c>
      <c r="X45" s="2" t="str">
        <f t="shared" si="15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186</v>
      </c>
      <c r="C46" s="2" t="s">
        <v>167</v>
      </c>
      <c r="D46" s="2" t="s">
        <v>0</v>
      </c>
      <c r="E46" s="2" t="s">
        <v>130</v>
      </c>
      <c r="F46" s="2" t="s">
        <v>188</v>
      </c>
      <c r="G46" s="2" t="s">
        <v>189</v>
      </c>
      <c r="H46" s="2" t="s">
        <v>168</v>
      </c>
      <c r="I46" s="2" t="s">
        <v>41</v>
      </c>
      <c r="J46" s="2">
        <v>8</v>
      </c>
      <c r="K46" s="2" t="s">
        <v>132</v>
      </c>
      <c r="L46" s="2" t="s">
        <v>40</v>
      </c>
      <c r="M46" s="2" t="s">
        <v>5290</v>
      </c>
      <c r="N46" s="2" t="s">
        <v>5226</v>
      </c>
      <c r="O46" s="2" t="s">
        <v>5016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164</v>
      </c>
      <c r="T46" s="2" t="str">
        <f t="shared" si="7"/>
        <v>00A4</v>
      </c>
      <c r="U46" s="2">
        <f t="shared" si="14"/>
        <v>41</v>
      </c>
      <c r="V46" s="2" t="str">
        <f t="shared" si="9"/>
        <v>029</v>
      </c>
      <c r="W46" s="2" t="str">
        <f t="shared" si="10"/>
        <v/>
      </c>
      <c r="X46" s="2" t="str">
        <f t="shared" si="15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(7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231</v>
      </c>
      <c r="C47" s="2" t="s">
        <v>232</v>
      </c>
      <c r="D47" s="2" t="s">
        <v>0</v>
      </c>
      <c r="E47" s="2" t="s">
        <v>130</v>
      </c>
      <c r="F47" s="2" t="s">
        <v>233</v>
      </c>
      <c r="G47" s="2" t="s">
        <v>234</v>
      </c>
      <c r="H47" s="2" t="s">
        <v>235</v>
      </c>
      <c r="I47" s="2" t="s">
        <v>41</v>
      </c>
      <c r="J47" s="2">
        <v>2</v>
      </c>
      <c r="K47" s="2" t="s">
        <v>140</v>
      </c>
      <c r="L47" s="2" t="s">
        <v>40</v>
      </c>
      <c r="M47" s="2" t="s">
        <v>5290</v>
      </c>
      <c r="N47" s="2" t="s">
        <v>5227</v>
      </c>
      <c r="O47" s="2" t="s">
        <v>5017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$S46+$R46+INDEX(Tables!$N$5:$Q$8,MATCH(MOD($S46+$R46,4),Tables!$M$5:$M$8,0),MATCH($R47,Tables!$N$4:$Q$4,0))</f>
        <v>165</v>
      </c>
      <c r="T47" s="2" t="str">
        <f t="shared" si="7"/>
        <v>00A5</v>
      </c>
      <c r="U47" s="2">
        <f t="shared" si="14"/>
        <v>41</v>
      </c>
      <c r="V47" s="2" t="str">
        <f t="shared" si="9"/>
        <v>029</v>
      </c>
      <c r="W47" s="2" t="str">
        <f t="shared" si="10"/>
        <v/>
      </c>
      <c r="X47" s="2" t="str">
        <f t="shared" si="15"/>
        <v/>
      </c>
      <c r="Y47" s="2" t="str">
        <f t="shared" si="11"/>
        <v>X</v>
      </c>
      <c r="Z47" s="2" t="str">
        <f t="shared" si="12"/>
        <v/>
      </c>
      <c r="AA47" s="2" t="str">
        <f t="shared" si="16"/>
        <v/>
      </c>
      <c r="AB47" s="2" t="str">
        <f t="shared" si="17"/>
        <v/>
      </c>
      <c r="AC47" s="2" t="str">
        <f t="shared" si="18"/>
        <v>(9 downto 8)</v>
      </c>
      <c r="AD47" s="2" t="str">
        <f t="shared" si="19"/>
        <v/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231</v>
      </c>
      <c r="C48" s="2" t="s">
        <v>236</v>
      </c>
      <c r="D48" s="2" t="s">
        <v>0</v>
      </c>
      <c r="E48" s="2" t="s">
        <v>130</v>
      </c>
      <c r="F48" s="2" t="s">
        <v>233</v>
      </c>
      <c r="G48" s="2" t="s">
        <v>234</v>
      </c>
      <c r="H48" s="2" t="s">
        <v>237</v>
      </c>
      <c r="I48" s="2" t="s">
        <v>41</v>
      </c>
      <c r="J48" s="2">
        <v>14</v>
      </c>
      <c r="K48" s="2" t="s">
        <v>238</v>
      </c>
      <c r="L48" s="2" t="s">
        <v>40</v>
      </c>
      <c r="M48" s="2" t="s">
        <v>5290</v>
      </c>
      <c r="N48" s="2" t="s">
        <v>5227</v>
      </c>
      <c r="O48" s="2" t="s">
        <v>5018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166</v>
      </c>
      <c r="T48" s="2" t="str">
        <f t="shared" si="7"/>
        <v>00A6</v>
      </c>
      <c r="U48" s="2">
        <f t="shared" si="14"/>
        <v>41</v>
      </c>
      <c r="V48" s="2" t="str">
        <f t="shared" si="9"/>
        <v>029</v>
      </c>
      <c r="W48" s="2" t="str">
        <f t="shared" si="10"/>
        <v>X</v>
      </c>
      <c r="X48" s="2" t="str">
        <f t="shared" si="15"/>
        <v>X</v>
      </c>
      <c r="Y48" s="2" t="str">
        <f t="shared" si="11"/>
        <v/>
      </c>
      <c r="Z48" s="2" t="str">
        <f t="shared" si="12"/>
        <v/>
      </c>
      <c r="AA48" s="2" t="str">
        <f t="shared" si="16"/>
        <v>(29 downto 24)</v>
      </c>
      <c r="AB48" s="2" t="str">
        <f t="shared" si="17"/>
        <v>(23 downto 16)</v>
      </c>
      <c r="AC48" s="2" t="str">
        <f t="shared" si="18"/>
        <v/>
      </c>
      <c r="AD48" s="2" t="str">
        <f t="shared" si="19"/>
        <v/>
      </c>
      <c r="AE48" s="2" t="str">
        <f t="shared" si="20"/>
        <v>(13 downto 8)</v>
      </c>
      <c r="AF48" s="2" t="str">
        <f t="shared" si="21"/>
        <v>(7 downto 0)</v>
      </c>
      <c r="AG48" s="2" t="str">
        <f t="shared" si="22"/>
        <v/>
      </c>
      <c r="AH48" s="2" t="str">
        <f t="shared" si="23"/>
        <v/>
      </c>
    </row>
    <row r="49" spans="2:34" x14ac:dyDescent="0.25">
      <c r="B49" s="2" t="s">
        <v>231</v>
      </c>
      <c r="C49" s="2" t="s">
        <v>141</v>
      </c>
      <c r="D49" s="2" t="s">
        <v>0</v>
      </c>
      <c r="E49" s="2" t="s">
        <v>130</v>
      </c>
      <c r="F49" s="2" t="s">
        <v>233</v>
      </c>
      <c r="G49" s="2" t="s">
        <v>234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M49" s="2" t="s">
        <v>5290</v>
      </c>
      <c r="N49" s="2" t="s">
        <v>5227</v>
      </c>
      <c r="O49" s="2" t="s">
        <v>5019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168</v>
      </c>
      <c r="T49" s="2" t="str">
        <f t="shared" si="7"/>
        <v>00A8</v>
      </c>
      <c r="U49" s="2">
        <f t="shared" si="14"/>
        <v>42</v>
      </c>
      <c r="V49" s="2" t="str">
        <f t="shared" si="9"/>
        <v>02A</v>
      </c>
      <c r="W49" s="2" t="str">
        <f t="shared" si="10"/>
        <v/>
      </c>
      <c r="X49" s="2" t="str">
        <f t="shared" si="15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(1 downto 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25">
      <c r="B50" s="2" t="s">
        <v>231</v>
      </c>
      <c r="C50" s="2" t="s">
        <v>239</v>
      </c>
      <c r="D50" s="2" t="s">
        <v>0</v>
      </c>
      <c r="E50" s="2" t="s">
        <v>130</v>
      </c>
      <c r="F50" s="2" t="s">
        <v>233</v>
      </c>
      <c r="G50" s="2" t="s">
        <v>234</v>
      </c>
      <c r="H50" s="2" t="s">
        <v>240</v>
      </c>
      <c r="I50" s="2" t="s">
        <v>41</v>
      </c>
      <c r="J50" s="2">
        <v>14</v>
      </c>
      <c r="K50" s="2" t="s">
        <v>238</v>
      </c>
      <c r="L50" s="2" t="s">
        <v>40</v>
      </c>
      <c r="M50" s="2" t="s">
        <v>5290</v>
      </c>
      <c r="N50" s="2" t="s">
        <v>5227</v>
      </c>
      <c r="O50" s="2" t="s">
        <v>5020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$S49+$R49+INDEX(Tables!$N$5:$Q$8,MATCH(MOD($S49+$R49,4),Tables!$M$5:$M$8,0),MATCH($R50,Tables!$N$4:$Q$4,0))</f>
        <v>170</v>
      </c>
      <c r="T50" s="2" t="str">
        <f t="shared" si="7"/>
        <v>00AA</v>
      </c>
      <c r="U50" s="2">
        <f t="shared" si="14"/>
        <v>42</v>
      </c>
      <c r="V50" s="2" t="str">
        <f t="shared" si="9"/>
        <v>02A</v>
      </c>
      <c r="W50" s="2" t="str">
        <f t="shared" si="10"/>
        <v>X</v>
      </c>
      <c r="X50" s="2" t="str">
        <f t="shared" si="15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>(29 downto 24)</v>
      </c>
      <c r="AB50" s="2" t="str">
        <f t="shared" si="17"/>
        <v>(23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>(13 downto 8)</v>
      </c>
      <c r="AF50" s="2" t="str">
        <f t="shared" si="21"/>
        <v>(7 downto 0)</v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241</v>
      </c>
      <c r="C51" s="2" t="s">
        <v>242</v>
      </c>
      <c r="D51" s="2" t="s">
        <v>0</v>
      </c>
      <c r="E51" s="2" t="s">
        <v>130</v>
      </c>
      <c r="F51" s="2" t="s">
        <v>243</v>
      </c>
      <c r="G51" s="2" t="s">
        <v>244</v>
      </c>
      <c r="H51" s="2" t="s">
        <v>245</v>
      </c>
      <c r="I51" s="2" t="s">
        <v>41</v>
      </c>
      <c r="J51" s="2">
        <v>8</v>
      </c>
      <c r="K51" s="2" t="s">
        <v>132</v>
      </c>
      <c r="L51" s="2" t="s">
        <v>40</v>
      </c>
      <c r="M51" s="2" t="s">
        <v>5290</v>
      </c>
      <c r="N51" s="2" t="s">
        <v>5228</v>
      </c>
      <c r="O51" s="2" t="s">
        <v>5021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172</v>
      </c>
      <c r="T51" s="2" t="str">
        <f t="shared" si="7"/>
        <v>00AC</v>
      </c>
      <c r="U51" s="2">
        <f t="shared" si="14"/>
        <v>43</v>
      </c>
      <c r="V51" s="2" t="str">
        <f t="shared" si="9"/>
        <v>02B</v>
      </c>
      <c r="W51" s="2" t="str">
        <f t="shared" si="10"/>
        <v/>
      </c>
      <c r="X51" s="2" t="str">
        <f t="shared" si="15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(7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241</v>
      </c>
      <c r="C52" s="2" t="s">
        <v>246</v>
      </c>
      <c r="D52" s="2" t="s">
        <v>0</v>
      </c>
      <c r="E52" s="2" t="s">
        <v>130</v>
      </c>
      <c r="F52" s="2" t="s">
        <v>243</v>
      </c>
      <c r="G52" s="2" t="s">
        <v>244</v>
      </c>
      <c r="H52" s="2" t="s">
        <v>247</v>
      </c>
      <c r="I52" s="2" t="s">
        <v>41</v>
      </c>
      <c r="J52" s="2">
        <v>8</v>
      </c>
      <c r="K52" s="2" t="s">
        <v>132</v>
      </c>
      <c r="L52" s="2" t="s">
        <v>40</v>
      </c>
      <c r="M52" s="2" t="s">
        <v>5290</v>
      </c>
      <c r="N52" s="2" t="s">
        <v>5228</v>
      </c>
      <c r="O52" s="2" t="s">
        <v>5022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173</v>
      </c>
      <c r="T52" s="2" t="str">
        <f t="shared" si="7"/>
        <v>00AD</v>
      </c>
      <c r="U52" s="2">
        <f t="shared" si="14"/>
        <v>43</v>
      </c>
      <c r="V52" s="2" t="str">
        <f t="shared" si="9"/>
        <v>02B</v>
      </c>
      <c r="W52" s="2" t="str">
        <f t="shared" si="10"/>
        <v/>
      </c>
      <c r="X52" s="2" t="str">
        <f t="shared" si="15"/>
        <v/>
      </c>
      <c r="Y52" s="2" t="str">
        <f t="shared" si="11"/>
        <v>X</v>
      </c>
      <c r="Z52" s="2" t="str">
        <f t="shared" si="12"/>
        <v/>
      </c>
      <c r="AA52" s="2" t="str">
        <f t="shared" si="16"/>
        <v/>
      </c>
      <c r="AB52" s="2" t="str">
        <f t="shared" si="17"/>
        <v/>
      </c>
      <c r="AC52" s="2" t="str">
        <f t="shared" si="18"/>
        <v>(15 downto 8)</v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241</v>
      </c>
      <c r="C53" s="2" t="s">
        <v>248</v>
      </c>
      <c r="D53" s="2" t="s">
        <v>0</v>
      </c>
      <c r="E53" s="2" t="s">
        <v>130</v>
      </c>
      <c r="F53" s="2" t="s">
        <v>243</v>
      </c>
      <c r="G53" s="2" t="s">
        <v>244</v>
      </c>
      <c r="H53" s="2" t="s">
        <v>249</v>
      </c>
      <c r="I53" s="2" t="s">
        <v>41</v>
      </c>
      <c r="J53" s="2">
        <v>8</v>
      </c>
      <c r="K53" s="2" t="s">
        <v>132</v>
      </c>
      <c r="L53" s="2" t="s">
        <v>40</v>
      </c>
      <c r="M53" s="2" t="s">
        <v>5290</v>
      </c>
      <c r="N53" s="2" t="s">
        <v>5228</v>
      </c>
      <c r="O53" s="2" t="s">
        <v>5023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$S52+$R52+INDEX(Tables!$N$5:$Q$8,MATCH(MOD($S52+$R52,4),Tables!$M$5:$M$8,0),MATCH($R53,Tables!$N$4:$Q$4,0))</f>
        <v>174</v>
      </c>
      <c r="T53" s="2" t="str">
        <f t="shared" si="7"/>
        <v>00AE</v>
      </c>
      <c r="U53" s="2">
        <f t="shared" si="14"/>
        <v>43</v>
      </c>
      <c r="V53" s="2" t="str">
        <f t="shared" si="9"/>
        <v>02B</v>
      </c>
      <c r="W53" s="2" t="str">
        <f t="shared" si="10"/>
        <v/>
      </c>
      <c r="X53" s="2" t="str">
        <f t="shared" si="15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/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241</v>
      </c>
      <c r="C54" s="2" t="s">
        <v>141</v>
      </c>
      <c r="D54" s="2" t="s">
        <v>0</v>
      </c>
      <c r="E54" s="2" t="s">
        <v>130</v>
      </c>
      <c r="F54" s="2" t="s">
        <v>243</v>
      </c>
      <c r="G54" s="2" t="s">
        <v>244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M54" s="2" t="s">
        <v>5290</v>
      </c>
      <c r="N54" s="2" t="s">
        <v>5228</v>
      </c>
      <c r="O54" s="2" t="s">
        <v>5019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175</v>
      </c>
      <c r="T54" s="2" t="str">
        <f t="shared" si="7"/>
        <v>00AF</v>
      </c>
      <c r="U54" s="2">
        <f t="shared" si="14"/>
        <v>43</v>
      </c>
      <c r="V54" s="2" t="str">
        <f t="shared" si="9"/>
        <v>02B</v>
      </c>
      <c r="W54" s="2" t="str">
        <f t="shared" si="10"/>
        <v>X</v>
      </c>
      <c r="X54" s="2" t="str">
        <f t="shared" si="15"/>
        <v/>
      </c>
      <c r="Y54" s="2" t="str">
        <f t="shared" si="11"/>
        <v/>
      </c>
      <c r="Z54" s="2" t="str">
        <f t="shared" si="12"/>
        <v/>
      </c>
      <c r="AA54" s="2" t="str">
        <f t="shared" si="16"/>
        <v>(26 downto 24)</v>
      </c>
      <c r="AB54" s="2" t="str">
        <f t="shared" si="17"/>
        <v/>
      </c>
      <c r="AC54" s="2" t="str">
        <f t="shared" si="18"/>
        <v/>
      </c>
      <c r="AD54" s="2" t="str">
        <f t="shared" si="19"/>
        <v/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241</v>
      </c>
      <c r="C55" s="2" t="s">
        <v>250</v>
      </c>
      <c r="D55" s="2" t="s">
        <v>0</v>
      </c>
      <c r="E55" s="2" t="s">
        <v>130</v>
      </c>
      <c r="F55" s="2" t="s">
        <v>243</v>
      </c>
      <c r="G55" s="2" t="s">
        <v>244</v>
      </c>
      <c r="H55" s="2" t="s">
        <v>251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5290</v>
      </c>
      <c r="N55" s="2" t="s">
        <v>5228</v>
      </c>
      <c r="O55" s="2" t="s">
        <v>5024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176</v>
      </c>
      <c r="T55" s="2" t="str">
        <f t="shared" si="7"/>
        <v>00B0</v>
      </c>
      <c r="U55" s="2">
        <f t="shared" si="14"/>
        <v>44</v>
      </c>
      <c r="V55" s="2" t="str">
        <f t="shared" si="9"/>
        <v>02C</v>
      </c>
      <c r="W55" s="2" t="str">
        <f t="shared" si="10"/>
        <v/>
      </c>
      <c r="X55" s="2" t="str">
        <f t="shared" si="15"/>
        <v/>
      </c>
      <c r="Y55" s="2" t="str">
        <f t="shared" si="11"/>
        <v/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/>
      </c>
      <c r="AD55" s="2" t="str">
        <f t="shared" si="19"/>
        <v>(0)</v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241</v>
      </c>
      <c r="C56" s="2" t="s">
        <v>252</v>
      </c>
      <c r="D56" s="2" t="s">
        <v>0</v>
      </c>
      <c r="E56" s="2" t="s">
        <v>130</v>
      </c>
      <c r="F56" s="2" t="s">
        <v>243</v>
      </c>
      <c r="G56" s="2" t="s">
        <v>244</v>
      </c>
      <c r="H56" s="2" t="s">
        <v>253</v>
      </c>
      <c r="I56" s="2" t="s">
        <v>41</v>
      </c>
      <c r="J56" s="2">
        <v>1</v>
      </c>
      <c r="K56" s="2" t="s">
        <v>81</v>
      </c>
      <c r="L56" s="2" t="s">
        <v>40</v>
      </c>
      <c r="M56" s="2" t="s">
        <v>5290</v>
      </c>
      <c r="N56" s="2" t="s">
        <v>5228</v>
      </c>
      <c r="O56" s="2" t="s">
        <v>5025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180</v>
      </c>
      <c r="T56" s="2" t="str">
        <f t="shared" si="7"/>
        <v>00B4</v>
      </c>
      <c r="U56" s="2">
        <f t="shared" si="14"/>
        <v>45</v>
      </c>
      <c r="V56" s="2" t="str">
        <f t="shared" si="9"/>
        <v>02D</v>
      </c>
      <c r="W56" s="2" t="str">
        <f t="shared" si="10"/>
        <v/>
      </c>
      <c r="X56" s="2" t="str">
        <f t="shared" si="15"/>
        <v/>
      </c>
      <c r="Y56" s="2" t="str">
        <f t="shared" si="11"/>
        <v/>
      </c>
      <c r="Z56" s="2" t="str">
        <f t="shared" si="12"/>
        <v>X</v>
      </c>
      <c r="AA56" s="2" t="str">
        <f t="shared" si="16"/>
        <v/>
      </c>
      <c r="AB56" s="2" t="str">
        <f t="shared" si="17"/>
        <v/>
      </c>
      <c r="AC56" s="2" t="str">
        <f t="shared" si="18"/>
        <v/>
      </c>
      <c r="AD56" s="2" t="str">
        <f t="shared" si="19"/>
        <v>(0)</v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241</v>
      </c>
      <c r="C57" s="2" t="s">
        <v>254</v>
      </c>
      <c r="D57" s="2" t="s">
        <v>0</v>
      </c>
      <c r="E57" s="2" t="s">
        <v>130</v>
      </c>
      <c r="F57" s="2" t="s">
        <v>243</v>
      </c>
      <c r="G57" s="2" t="s">
        <v>244</v>
      </c>
      <c r="H57" s="2" t="s">
        <v>255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5290</v>
      </c>
      <c r="N57" s="2" t="s">
        <v>5228</v>
      </c>
      <c r="O57" s="2" t="s">
        <v>5026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184</v>
      </c>
      <c r="T57" s="2" t="str">
        <f t="shared" si="7"/>
        <v>00B8</v>
      </c>
      <c r="U57" s="2">
        <f t="shared" si="14"/>
        <v>46</v>
      </c>
      <c r="V57" s="2" t="str">
        <f t="shared" si="9"/>
        <v>02E</v>
      </c>
      <c r="W57" s="2" t="str">
        <f t="shared" si="10"/>
        <v/>
      </c>
      <c r="X57" s="2" t="str">
        <f t="shared" si="15"/>
        <v/>
      </c>
      <c r="Y57" s="2" t="str">
        <f t="shared" si="11"/>
        <v/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/>
      </c>
      <c r="AD57" s="2" t="str">
        <f t="shared" si="19"/>
        <v>(0)</v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25">
      <c r="B58" s="2" t="s">
        <v>241</v>
      </c>
      <c r="C58" s="2" t="s">
        <v>256</v>
      </c>
      <c r="D58" s="2" t="s">
        <v>0</v>
      </c>
      <c r="E58" s="2" t="s">
        <v>130</v>
      </c>
      <c r="F58" s="2" t="s">
        <v>243</v>
      </c>
      <c r="G58" s="2" t="s">
        <v>244</v>
      </c>
      <c r="H58" s="2" t="s">
        <v>257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5290</v>
      </c>
      <c r="N58" s="2" t="s">
        <v>5228</v>
      </c>
      <c r="O58" s="2" t="s">
        <v>5027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188</v>
      </c>
      <c r="T58" s="2" t="str">
        <f t="shared" si="7"/>
        <v>00BC</v>
      </c>
      <c r="U58" s="2">
        <f t="shared" si="14"/>
        <v>47</v>
      </c>
      <c r="V58" s="2" t="str">
        <f t="shared" si="9"/>
        <v>02F</v>
      </c>
      <c r="W58" s="2" t="str">
        <f t="shared" si="10"/>
        <v/>
      </c>
      <c r="X58" s="2" t="str">
        <f t="shared" si="15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241</v>
      </c>
      <c r="C59" s="2" t="s">
        <v>258</v>
      </c>
      <c r="D59" s="2" t="s">
        <v>0</v>
      </c>
      <c r="E59" s="2" t="s">
        <v>130</v>
      </c>
      <c r="F59" s="2" t="s">
        <v>243</v>
      </c>
      <c r="G59" s="2" t="s">
        <v>244</v>
      </c>
      <c r="H59" s="2" t="s">
        <v>259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5290</v>
      </c>
      <c r="N59" s="2" t="s">
        <v>5228</v>
      </c>
      <c r="O59" s="2" t="s">
        <v>5028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192</v>
      </c>
      <c r="T59" s="2" t="str">
        <f t="shared" si="7"/>
        <v>00C0</v>
      </c>
      <c r="U59" s="2">
        <f t="shared" si="14"/>
        <v>48</v>
      </c>
      <c r="V59" s="2" t="str">
        <f t="shared" si="9"/>
        <v>030</v>
      </c>
      <c r="W59" s="2" t="str">
        <f t="shared" si="10"/>
        <v/>
      </c>
      <c r="X59" s="2" t="str">
        <f t="shared" si="15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260</v>
      </c>
      <c r="C60" s="2" t="s">
        <v>146</v>
      </c>
      <c r="D60" s="2" t="s">
        <v>0</v>
      </c>
      <c r="E60" s="2" t="s">
        <v>130</v>
      </c>
      <c r="F60" s="2" t="s">
        <v>261</v>
      </c>
      <c r="G60" s="2" t="s">
        <v>262</v>
      </c>
      <c r="H60" s="2" t="s">
        <v>149</v>
      </c>
      <c r="I60" s="2" t="s">
        <v>41</v>
      </c>
      <c r="J60" s="2">
        <v>4</v>
      </c>
      <c r="K60" s="2" t="s">
        <v>132</v>
      </c>
      <c r="L60" s="2" t="s">
        <v>40</v>
      </c>
      <c r="M60" s="2" t="s">
        <v>5290</v>
      </c>
      <c r="N60" s="2" t="s">
        <v>5229</v>
      </c>
      <c r="O60" s="2" t="s">
        <v>4987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196</v>
      </c>
      <c r="T60" s="2" t="str">
        <f t="shared" si="7"/>
        <v>00C4</v>
      </c>
      <c r="U60" s="2">
        <f t="shared" si="14"/>
        <v>49</v>
      </c>
      <c r="V60" s="2" t="str">
        <f t="shared" si="9"/>
        <v>031</v>
      </c>
      <c r="W60" s="2" t="str">
        <f t="shared" si="10"/>
        <v/>
      </c>
      <c r="X60" s="2" t="str">
        <f t="shared" si="15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260</v>
      </c>
      <c r="C61" s="2" t="s">
        <v>263</v>
      </c>
      <c r="D61" s="2" t="s">
        <v>0</v>
      </c>
      <c r="E61" s="2" t="s">
        <v>130</v>
      </c>
      <c r="F61" s="2" t="s">
        <v>261</v>
      </c>
      <c r="G61" s="2" t="s">
        <v>262</v>
      </c>
      <c r="H61" s="2" t="s">
        <v>264</v>
      </c>
      <c r="I61" s="2" t="s">
        <v>41</v>
      </c>
      <c r="J61" s="2">
        <v>12</v>
      </c>
      <c r="K61" s="2" t="s">
        <v>265</v>
      </c>
      <c r="L61" s="2" t="s">
        <v>40</v>
      </c>
      <c r="M61" s="2" t="s">
        <v>5290</v>
      </c>
      <c r="N61" s="2" t="s">
        <v>5229</v>
      </c>
      <c r="O61" s="2" t="s">
        <v>5029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198</v>
      </c>
      <c r="T61" s="2" t="str">
        <f t="shared" si="7"/>
        <v>00C6</v>
      </c>
      <c r="U61" s="2">
        <f t="shared" si="14"/>
        <v>49</v>
      </c>
      <c r="V61" s="2" t="str">
        <f t="shared" si="9"/>
        <v>031</v>
      </c>
      <c r="W61" s="2" t="str">
        <f t="shared" si="10"/>
        <v>X</v>
      </c>
      <c r="X61" s="2" t="str">
        <f t="shared" si="15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260</v>
      </c>
      <c r="C62" s="2" t="s">
        <v>157</v>
      </c>
      <c r="D62" s="2" t="s">
        <v>0</v>
      </c>
      <c r="E62" s="2" t="s">
        <v>130</v>
      </c>
      <c r="F62" s="2" t="s">
        <v>261</v>
      </c>
      <c r="G62" s="2" t="s">
        <v>262</v>
      </c>
      <c r="H62" s="2" t="s">
        <v>158</v>
      </c>
      <c r="I62" s="2" t="s">
        <v>41</v>
      </c>
      <c r="J62" s="2">
        <v>4</v>
      </c>
      <c r="K62" s="2" t="s">
        <v>132</v>
      </c>
      <c r="L62" s="2" t="s">
        <v>40</v>
      </c>
      <c r="M62" s="2" t="s">
        <v>5290</v>
      </c>
      <c r="N62" s="2" t="s">
        <v>5229</v>
      </c>
      <c r="O62" s="2" t="s">
        <v>4981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200</v>
      </c>
      <c r="T62" s="2" t="str">
        <f t="shared" si="7"/>
        <v>00C8</v>
      </c>
      <c r="U62" s="2">
        <f t="shared" si="14"/>
        <v>50</v>
      </c>
      <c r="V62" s="2" t="str">
        <f t="shared" si="9"/>
        <v>032</v>
      </c>
      <c r="W62" s="2" t="str">
        <f t="shared" si="10"/>
        <v/>
      </c>
      <c r="X62" s="2" t="str">
        <f t="shared" si="15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(3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260</v>
      </c>
      <c r="C63" s="2" t="s">
        <v>266</v>
      </c>
      <c r="D63" s="2" t="s">
        <v>0</v>
      </c>
      <c r="E63" s="2" t="s">
        <v>130</v>
      </c>
      <c r="F63" s="2" t="s">
        <v>261</v>
      </c>
      <c r="G63" s="2" t="s">
        <v>262</v>
      </c>
      <c r="H63" s="2" t="s">
        <v>267</v>
      </c>
      <c r="I63" s="2" t="s">
        <v>41</v>
      </c>
      <c r="J63" s="2">
        <v>12</v>
      </c>
      <c r="K63" s="2" t="s">
        <v>265</v>
      </c>
      <c r="L63" s="2" t="s">
        <v>40</v>
      </c>
      <c r="M63" s="2" t="s">
        <v>5290</v>
      </c>
      <c r="N63" s="2" t="s">
        <v>5229</v>
      </c>
      <c r="O63" s="2" t="s">
        <v>5030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202</v>
      </c>
      <c r="T63" s="2" t="str">
        <f t="shared" si="7"/>
        <v>00CA</v>
      </c>
      <c r="U63" s="2">
        <f t="shared" si="14"/>
        <v>50</v>
      </c>
      <c r="V63" s="2" t="str">
        <f t="shared" si="9"/>
        <v>032</v>
      </c>
      <c r="W63" s="2" t="str">
        <f t="shared" si="10"/>
        <v>X</v>
      </c>
      <c r="X63" s="2" t="str">
        <f t="shared" si="15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268</v>
      </c>
      <c r="C64" s="2" t="s">
        <v>146</v>
      </c>
      <c r="D64" s="2" t="s">
        <v>0</v>
      </c>
      <c r="E64" s="2" t="s">
        <v>130</v>
      </c>
      <c r="F64" s="2" t="s">
        <v>269</v>
      </c>
      <c r="G64" s="2" t="s">
        <v>270</v>
      </c>
      <c r="H64" s="2" t="s">
        <v>149</v>
      </c>
      <c r="I64" s="2" t="s">
        <v>41</v>
      </c>
      <c r="J64" s="2">
        <v>4</v>
      </c>
      <c r="K64" s="2" t="s">
        <v>132</v>
      </c>
      <c r="L64" s="2" t="s">
        <v>40</v>
      </c>
      <c r="M64" s="2" t="s">
        <v>5290</v>
      </c>
      <c r="N64" s="2" t="s">
        <v>5230</v>
      </c>
      <c r="O64" s="2" t="s">
        <v>4987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204</v>
      </c>
      <c r="T64" s="2" t="str">
        <f t="shared" si="7"/>
        <v>00CC</v>
      </c>
      <c r="U64" s="2">
        <f t="shared" si="14"/>
        <v>51</v>
      </c>
      <c r="V64" s="2" t="str">
        <f t="shared" si="9"/>
        <v>033</v>
      </c>
      <c r="W64" s="2" t="str">
        <f t="shared" si="10"/>
        <v/>
      </c>
      <c r="X64" s="2" t="str">
        <f t="shared" si="15"/>
        <v/>
      </c>
      <c r="Y64" s="2" t="str">
        <f t="shared" si="11"/>
        <v/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/>
      </c>
      <c r="AD64" s="2" t="str">
        <f t="shared" si="19"/>
        <v>(3 downto 0)</v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268</v>
      </c>
      <c r="C65" s="2" t="s">
        <v>271</v>
      </c>
      <c r="D65" s="2" t="s">
        <v>0</v>
      </c>
      <c r="E65" s="2" t="s">
        <v>130</v>
      </c>
      <c r="F65" s="2" t="s">
        <v>269</v>
      </c>
      <c r="G65" s="2" t="s">
        <v>270</v>
      </c>
      <c r="H65" s="2" t="s">
        <v>272</v>
      </c>
      <c r="I65" s="2" t="s">
        <v>41</v>
      </c>
      <c r="J65" s="2">
        <v>12</v>
      </c>
      <c r="K65" s="2" t="s">
        <v>265</v>
      </c>
      <c r="L65" s="2" t="s">
        <v>40</v>
      </c>
      <c r="M65" s="2" t="s">
        <v>5290</v>
      </c>
      <c r="N65" s="2" t="s">
        <v>5230</v>
      </c>
      <c r="O65" s="2" t="s">
        <v>5031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$S64+$R64+INDEX(Tables!$N$5:$Q$8,MATCH(MOD($S64+$R64,4),Tables!$M$5:$M$8,0),MATCH($R65,Tables!$N$4:$Q$4,0))</f>
        <v>206</v>
      </c>
      <c r="T65" s="2" t="str">
        <f t="shared" si="7"/>
        <v>00CE</v>
      </c>
      <c r="U65" s="2">
        <f t="shared" si="14"/>
        <v>51</v>
      </c>
      <c r="V65" s="2" t="str">
        <f t="shared" si="9"/>
        <v>033</v>
      </c>
      <c r="W65" s="2" t="str">
        <f t="shared" si="10"/>
        <v>X</v>
      </c>
      <c r="X65" s="2" t="str">
        <f t="shared" si="15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>(27 downto 24)</v>
      </c>
      <c r="AB65" s="2" t="str">
        <f t="shared" si="17"/>
        <v>(23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>(11 downto 8)</v>
      </c>
      <c r="AF65" s="2" t="str">
        <f t="shared" si="21"/>
        <v>(7 downto 0)</v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268</v>
      </c>
      <c r="C66" s="2" t="s">
        <v>157</v>
      </c>
      <c r="D66" s="2" t="s">
        <v>0</v>
      </c>
      <c r="E66" s="2" t="s">
        <v>130</v>
      </c>
      <c r="F66" s="2" t="s">
        <v>269</v>
      </c>
      <c r="G66" s="2" t="s">
        <v>270</v>
      </c>
      <c r="H66" s="2" t="s">
        <v>158</v>
      </c>
      <c r="I66" s="2" t="s">
        <v>41</v>
      </c>
      <c r="J66" s="2">
        <v>16</v>
      </c>
      <c r="K66" s="2" t="s">
        <v>132</v>
      </c>
      <c r="L66" s="2" t="s">
        <v>40</v>
      </c>
      <c r="M66" s="2" t="s">
        <v>5290</v>
      </c>
      <c r="N66" s="2" t="s">
        <v>5230</v>
      </c>
      <c r="O66" s="2" t="s">
        <v>5032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$S65+$R65+INDEX(Tables!$N$5:$Q$8,MATCH(MOD($S65+$R65,4),Tables!$M$5:$M$8,0),MATCH($R66,Tables!$N$4:$Q$4,0))</f>
        <v>208</v>
      </c>
      <c r="T66" s="2" t="str">
        <f t="shared" si="7"/>
        <v>00D0</v>
      </c>
      <c r="U66" s="2">
        <f t="shared" si="14"/>
        <v>52</v>
      </c>
      <c r="V66" s="2" t="str">
        <f t="shared" si="9"/>
        <v>034</v>
      </c>
      <c r="W66" s="2" t="str">
        <f t="shared" si="10"/>
        <v/>
      </c>
      <c r="X66" s="2" t="str">
        <f t="shared" si="15"/>
        <v/>
      </c>
      <c r="Y66" s="2" t="str">
        <f t="shared" si="11"/>
        <v>X</v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>(15 downto 8)</v>
      </c>
      <c r="AD66" s="2" t="str">
        <f t="shared" si="19"/>
        <v>(7 downto 0)</v>
      </c>
      <c r="AE66" s="2" t="str">
        <f t="shared" si="20"/>
        <v/>
      </c>
      <c r="AF66" s="2" t="str">
        <f t="shared" si="21"/>
        <v/>
      </c>
      <c r="AG66" s="2" t="str">
        <f t="shared" si="22"/>
        <v>(15 downto 8)</v>
      </c>
      <c r="AH66" s="2" t="str">
        <f t="shared" si="23"/>
        <v>(7 downto 0)</v>
      </c>
    </row>
    <row r="67" spans="2:34" x14ac:dyDescent="0.25">
      <c r="B67" s="2" t="s">
        <v>273</v>
      </c>
      <c r="C67" s="2" t="s">
        <v>141</v>
      </c>
      <c r="D67" s="2" t="s">
        <v>0</v>
      </c>
      <c r="E67" s="2" t="s">
        <v>130</v>
      </c>
      <c r="F67" s="2" t="s">
        <v>274</v>
      </c>
      <c r="G67" s="2" t="s">
        <v>275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M67" s="2" t="s">
        <v>5290</v>
      </c>
      <c r="N67" s="2" t="s">
        <v>5231</v>
      </c>
      <c r="O67" s="2" t="s">
        <v>5033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212</v>
      </c>
      <c r="T67" s="2" t="str">
        <f t="shared" si="7"/>
        <v>00D4</v>
      </c>
      <c r="U67" s="2">
        <f t="shared" si="14"/>
        <v>53</v>
      </c>
      <c r="V67" s="2" t="str">
        <f t="shared" si="9"/>
        <v>035</v>
      </c>
      <c r="W67" s="2" t="str">
        <f t="shared" si="10"/>
        <v>X</v>
      </c>
      <c r="X67" s="2" t="str">
        <f t="shared" si="15"/>
        <v>X</v>
      </c>
      <c r="Y67" s="2" t="str">
        <f t="shared" si="11"/>
        <v>X</v>
      </c>
      <c r="Z67" s="2" t="str">
        <f t="shared" si="12"/>
        <v>X</v>
      </c>
      <c r="AA67" s="2" t="str">
        <f t="shared" si="16"/>
        <v>(31 downto 24)</v>
      </c>
      <c r="AB67" s="2" t="str">
        <f t="shared" si="17"/>
        <v>(23 downto 16)</v>
      </c>
      <c r="AC67" s="2" t="str">
        <f t="shared" si="18"/>
        <v>(15 downto 8)</v>
      </c>
      <c r="AD67" s="2" t="str">
        <f t="shared" si="19"/>
        <v>(7 downto 0)</v>
      </c>
      <c r="AE67" s="2" t="str">
        <f t="shared" si="20"/>
        <v>(31 downto 24)</v>
      </c>
      <c r="AF67" s="2" t="str">
        <f t="shared" si="21"/>
        <v>(23 downto 16)</v>
      </c>
      <c r="AG67" s="2" t="str">
        <f t="shared" si="22"/>
        <v>(15 downto 8)</v>
      </c>
      <c r="AH67" s="2" t="str">
        <f t="shared" si="23"/>
        <v>(7 downto 0)</v>
      </c>
    </row>
    <row r="68" spans="2:34" x14ac:dyDescent="0.25">
      <c r="B68" s="2" t="s">
        <v>276</v>
      </c>
      <c r="C68" s="2" t="s">
        <v>277</v>
      </c>
      <c r="D68" s="2" t="s">
        <v>0</v>
      </c>
      <c r="E68" s="2" t="s">
        <v>130</v>
      </c>
      <c r="F68" s="2" t="s">
        <v>278</v>
      </c>
      <c r="G68" s="2" t="s">
        <v>279</v>
      </c>
      <c r="H68" s="2" t="s">
        <v>280</v>
      </c>
      <c r="I68" s="2" t="s">
        <v>41</v>
      </c>
      <c r="J68" s="2">
        <v>8</v>
      </c>
      <c r="K68" s="2" t="s">
        <v>281</v>
      </c>
      <c r="L68" s="2" t="s">
        <v>40</v>
      </c>
      <c r="M68" s="2" t="s">
        <v>5290</v>
      </c>
      <c r="N68" s="2" t="s">
        <v>5232</v>
      </c>
      <c r="O68" s="2" t="s">
        <v>5034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216</v>
      </c>
      <c r="T68" s="2" t="str">
        <f t="shared" si="7"/>
        <v>00D8</v>
      </c>
      <c r="U68" s="2">
        <f t="shared" si="14"/>
        <v>54</v>
      </c>
      <c r="V68" s="2" t="str">
        <f t="shared" si="9"/>
        <v>036</v>
      </c>
      <c r="W68" s="2" t="str">
        <f t="shared" si="10"/>
        <v/>
      </c>
      <c r="X68" s="2" t="str">
        <f t="shared" si="15"/>
        <v/>
      </c>
      <c r="Y68" s="2" t="str">
        <f t="shared" si="11"/>
        <v/>
      </c>
      <c r="Z68" s="2" t="str">
        <f t="shared" si="12"/>
        <v>X</v>
      </c>
      <c r="AA68" s="2" t="str">
        <f t="shared" si="16"/>
        <v/>
      </c>
      <c r="AB68" s="2" t="str">
        <f t="shared" si="17"/>
        <v/>
      </c>
      <c r="AC68" s="2" t="str">
        <f t="shared" si="18"/>
        <v/>
      </c>
      <c r="AD68" s="2" t="str">
        <f t="shared" si="19"/>
        <v>(7 downto 0)</v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276</v>
      </c>
      <c r="C69" s="2" t="s">
        <v>282</v>
      </c>
      <c r="D69" s="2" t="s">
        <v>0</v>
      </c>
      <c r="E69" s="2" t="s">
        <v>130</v>
      </c>
      <c r="F69" s="2" t="s">
        <v>278</v>
      </c>
      <c r="G69" s="2" t="s">
        <v>279</v>
      </c>
      <c r="H69" s="2" t="s">
        <v>283</v>
      </c>
      <c r="I69" s="2" t="s">
        <v>41</v>
      </c>
      <c r="J69" s="2">
        <v>8</v>
      </c>
      <c r="K69" s="2" t="s">
        <v>284</v>
      </c>
      <c r="L69" s="2" t="s">
        <v>40</v>
      </c>
      <c r="M69" s="2" t="s">
        <v>5290</v>
      </c>
      <c r="N69" s="2" t="s">
        <v>5232</v>
      </c>
      <c r="O69" s="2" t="s">
        <v>5035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217</v>
      </c>
      <c r="T69" s="2" t="str">
        <f t="shared" ref="T69:T132" si="24">DEC2HEX($S69,4)</f>
        <v>00D9</v>
      </c>
      <c r="U69" s="2">
        <f t="shared" si="14"/>
        <v>54</v>
      </c>
      <c r="V69" s="2" t="str">
        <f t="shared" ref="V69:V132" si="25">DEC2HEX($U69,3)</f>
        <v>036</v>
      </c>
      <c r="W69" s="2" t="str">
        <f t="shared" ref="W69:W132" si="26">IF(MOD($S69,4)=3,"X",IF(AND(MOD($S69,4)=2,$J69&gt;8),"X",IF(AND(MOD($S69,4)=1,$J69&gt;16),"X",IF(AND(MOD($S69,4)=0,$J69&gt;24),"X",""))))</f>
        <v/>
      </c>
      <c r="X69" s="2" t="str">
        <f t="shared" si="15"/>
        <v/>
      </c>
      <c r="Y69" s="2" t="str">
        <f t="shared" ref="Y69:Y132" si="27">IF(MOD($S69,4)=1,"X",IF(AND(MOD($S69,4)=0,$J69&gt;8),"X",""))</f>
        <v>X</v>
      </c>
      <c r="Z69" s="2" t="str">
        <f t="shared" ref="Z69:Z132" si="28">IF(MOD($S69,4)=0,"X","")</f>
        <v/>
      </c>
      <c r="AA69" s="2" t="str">
        <f t="shared" si="16"/>
        <v/>
      </c>
      <c r="AB69" s="2" t="str">
        <f t="shared" si="17"/>
        <v/>
      </c>
      <c r="AC69" s="2" t="str">
        <f t="shared" si="18"/>
        <v>(15 downto 8)</v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276</v>
      </c>
      <c r="C70" s="2" t="s">
        <v>285</v>
      </c>
      <c r="D70" s="2" t="s">
        <v>0</v>
      </c>
      <c r="E70" s="2" t="s">
        <v>130</v>
      </c>
      <c r="F70" s="2" t="s">
        <v>278</v>
      </c>
      <c r="G70" s="2" t="s">
        <v>279</v>
      </c>
      <c r="H70" s="2" t="s">
        <v>286</v>
      </c>
      <c r="I70" s="2" t="s">
        <v>41</v>
      </c>
      <c r="J70" s="2">
        <v>8</v>
      </c>
      <c r="K70" s="2" t="s">
        <v>287</v>
      </c>
      <c r="L70" s="2" t="s">
        <v>40</v>
      </c>
      <c r="M70" s="2" t="s">
        <v>5290</v>
      </c>
      <c r="N70" s="2" t="s">
        <v>5232</v>
      </c>
      <c r="O70" s="2" t="s">
        <v>5036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218</v>
      </c>
      <c r="T70" s="2" t="str">
        <f t="shared" si="24"/>
        <v>00DA</v>
      </c>
      <c r="U70" s="2">
        <f t="shared" ref="U70:U133" si="29">ROUNDDOWN(S70/4,0)</f>
        <v>54</v>
      </c>
      <c r="V70" s="2" t="str">
        <f t="shared" si="25"/>
        <v>036</v>
      </c>
      <c r="W70" s="2" t="str">
        <f t="shared" si="26"/>
        <v/>
      </c>
      <c r="X70" s="2" t="str">
        <f t="shared" ref="X70:X133" si="30">IF(MOD($S70,4)=2,"X",IF(AND(MOD($S70,4)=1,$J70&gt;8),"X",IF(AND(MOD($S70,4)=0,$J70&gt;16),"X","")))</f>
        <v>X</v>
      </c>
      <c r="Y70" s="2" t="str">
        <f t="shared" si="27"/>
        <v/>
      </c>
      <c r="Z70" s="2" t="str">
        <f t="shared" si="28"/>
        <v/>
      </c>
      <c r="AA70" s="2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2" t="str">
        <f t="shared" ref="AB70:AB133" si="32">IF(X70="","",CONCATENATE("(",IF(($J70-COUNTIF($Y70:$Z70,"X")*8)=1,"16)",CONCATENATE(IF(($J70-COUNTIF($Y70:$Z70,"X")*8)&gt;=8,24,($J70-COUNTIF($Y70:$Z70,"X")*8)+16)-1," downto 16)"))))</f>
        <v>(23 downto 16)</v>
      </c>
      <c r="AC70" s="2" t="str">
        <f t="shared" ref="AC70:AC133" si="33">IF(Y70="","",CONCATENATE("(",IF(($J70-COUNTIF($Z70,"X")*8)=1,"8)",CONCATENATE(IF(($J70-COUNTIF($Z70,"X")*8)&gt;=8,16,($J70-COUNTIF($Z70,"X")*8)+8)-1," downto 8)"))))</f>
        <v/>
      </c>
      <c r="AD70" s="2" t="str">
        <f t="shared" ref="AD70:AD133" si="34">IF(Z70="","",CONCATENATE("(",IF($J70=1,"0)",CONCATENATE(IF($J70&gt;=8,8,$J70)-1," downto 0)"))))</f>
        <v/>
      </c>
      <c r="AE70" s="2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2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2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2" t="str">
        <f t="shared" ref="AH70:AH133" si="38">IF(Z70="","",IF($J70&lt;=8,"",CONCATENATE("(",IF($J70&gt;=8,7,$J70-1)," downto ",0,")")))</f>
        <v/>
      </c>
    </row>
    <row r="71" spans="2:34" x14ac:dyDescent="0.25">
      <c r="B71" s="2" t="s">
        <v>276</v>
      </c>
      <c r="C71" s="2" t="s">
        <v>288</v>
      </c>
      <c r="D71" s="2" t="s">
        <v>0</v>
      </c>
      <c r="E71" s="2" t="s">
        <v>130</v>
      </c>
      <c r="F71" s="2" t="s">
        <v>278</v>
      </c>
      <c r="G71" s="2" t="s">
        <v>279</v>
      </c>
      <c r="H71" s="2" t="s">
        <v>289</v>
      </c>
      <c r="I71" s="2" t="s">
        <v>41</v>
      </c>
      <c r="J71" s="2">
        <v>8</v>
      </c>
      <c r="K71" s="2" t="s">
        <v>287</v>
      </c>
      <c r="L71" s="2" t="s">
        <v>40</v>
      </c>
      <c r="M71" s="2" t="s">
        <v>5290</v>
      </c>
      <c r="N71" s="2" t="s">
        <v>5232</v>
      </c>
      <c r="O71" s="2" t="s">
        <v>5037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219</v>
      </c>
      <c r="T71" s="2" t="str">
        <f t="shared" si="24"/>
        <v>00DB</v>
      </c>
      <c r="U71" s="2">
        <f t="shared" si="29"/>
        <v>54</v>
      </c>
      <c r="V71" s="2" t="str">
        <f t="shared" si="25"/>
        <v>036</v>
      </c>
      <c r="W71" s="2" t="str">
        <f t="shared" si="26"/>
        <v>X</v>
      </c>
      <c r="X71" s="2" t="str">
        <f t="shared" si="30"/>
        <v/>
      </c>
      <c r="Y71" s="2" t="str">
        <f t="shared" si="27"/>
        <v/>
      </c>
      <c r="Z71" s="2" t="str">
        <f t="shared" si="28"/>
        <v/>
      </c>
      <c r="AA71" s="2" t="str">
        <f t="shared" si="31"/>
        <v>(31 downto 24)</v>
      </c>
      <c r="AB71" s="2" t="str">
        <f t="shared" si="32"/>
        <v/>
      </c>
      <c r="AC71" s="2" t="str">
        <f t="shared" si="33"/>
        <v/>
      </c>
      <c r="AD71" s="2" t="str">
        <f t="shared" si="34"/>
        <v/>
      </c>
      <c r="AE71" s="2" t="str">
        <f t="shared" si="35"/>
        <v/>
      </c>
      <c r="AF71" s="2" t="str">
        <f t="shared" si="36"/>
        <v/>
      </c>
      <c r="AG71" s="2" t="str">
        <f t="shared" si="37"/>
        <v/>
      </c>
      <c r="AH71" s="2" t="str">
        <f t="shared" si="38"/>
        <v/>
      </c>
    </row>
    <row r="72" spans="2:34" x14ac:dyDescent="0.25">
      <c r="B72" s="2" t="s">
        <v>290</v>
      </c>
      <c r="C72" s="2" t="s">
        <v>291</v>
      </c>
      <c r="D72" s="2" t="s">
        <v>0</v>
      </c>
      <c r="E72" s="2" t="s">
        <v>130</v>
      </c>
      <c r="F72" s="2" t="s">
        <v>292</v>
      </c>
      <c r="G72" s="2" t="s">
        <v>293</v>
      </c>
      <c r="H72" s="2" t="s">
        <v>294</v>
      </c>
      <c r="I72" s="2" t="s">
        <v>41</v>
      </c>
      <c r="J72" s="2">
        <v>8</v>
      </c>
      <c r="K72" s="2" t="s">
        <v>287</v>
      </c>
      <c r="L72" s="2" t="s">
        <v>40</v>
      </c>
      <c r="M72" s="2" t="s">
        <v>5290</v>
      </c>
      <c r="N72" s="2" t="s">
        <v>5233</v>
      </c>
      <c r="O72" s="2" t="s">
        <v>5038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220</v>
      </c>
      <c r="T72" s="2" t="str">
        <f t="shared" si="24"/>
        <v>00DC</v>
      </c>
      <c r="U72" s="2">
        <f t="shared" si="29"/>
        <v>55</v>
      </c>
      <c r="V72" s="2" t="str">
        <f t="shared" si="25"/>
        <v>037</v>
      </c>
      <c r="W72" s="2" t="str">
        <f t="shared" si="26"/>
        <v/>
      </c>
      <c r="X72" s="2" t="str">
        <f t="shared" si="30"/>
        <v/>
      </c>
      <c r="Y72" s="2" t="str">
        <f t="shared" si="27"/>
        <v/>
      </c>
      <c r="Z72" s="2" t="str">
        <f t="shared" si="28"/>
        <v>X</v>
      </c>
      <c r="AA72" s="2" t="str">
        <f t="shared" si="31"/>
        <v/>
      </c>
      <c r="AB72" s="2" t="str">
        <f t="shared" si="32"/>
        <v/>
      </c>
      <c r="AC72" s="2" t="str">
        <f t="shared" si="33"/>
        <v/>
      </c>
      <c r="AD72" s="2" t="str">
        <f t="shared" si="34"/>
        <v>(7 downto 0)</v>
      </c>
      <c r="AE72" s="2" t="str">
        <f t="shared" si="35"/>
        <v/>
      </c>
      <c r="AF72" s="2" t="str">
        <f t="shared" si="36"/>
        <v/>
      </c>
      <c r="AG72" s="2" t="str">
        <f t="shared" si="37"/>
        <v/>
      </c>
      <c r="AH72" s="2" t="str">
        <f t="shared" si="38"/>
        <v/>
      </c>
    </row>
    <row r="73" spans="2:34" x14ac:dyDescent="0.25">
      <c r="B73" s="2" t="s">
        <v>290</v>
      </c>
      <c r="C73" s="2" t="s">
        <v>295</v>
      </c>
      <c r="D73" s="2" t="s">
        <v>0</v>
      </c>
      <c r="E73" s="2" t="s">
        <v>130</v>
      </c>
      <c r="F73" s="2" t="s">
        <v>292</v>
      </c>
      <c r="G73" s="2" t="s">
        <v>293</v>
      </c>
      <c r="H73" s="2" t="s">
        <v>296</v>
      </c>
      <c r="I73" s="2" t="s">
        <v>41</v>
      </c>
      <c r="J73" s="2">
        <v>8</v>
      </c>
      <c r="K73" s="2" t="s">
        <v>287</v>
      </c>
      <c r="L73" s="2" t="s">
        <v>40</v>
      </c>
      <c r="M73" s="2" t="s">
        <v>5290</v>
      </c>
      <c r="N73" s="2" t="s">
        <v>5233</v>
      </c>
      <c r="O73" s="2" t="s">
        <v>5039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$S72+$R72+INDEX(Tables!$N$5:$Q$8,MATCH(MOD($S72+$R72,4),Tables!$M$5:$M$8,0),MATCH($R73,Tables!$N$4:$Q$4,0))</f>
        <v>221</v>
      </c>
      <c r="T73" s="2" t="str">
        <f t="shared" si="24"/>
        <v>00DD</v>
      </c>
      <c r="U73" s="2">
        <f t="shared" si="29"/>
        <v>55</v>
      </c>
      <c r="V73" s="2" t="str">
        <f t="shared" si="25"/>
        <v>037</v>
      </c>
      <c r="W73" s="2" t="str">
        <f t="shared" si="26"/>
        <v/>
      </c>
      <c r="X73" s="2" t="str">
        <f t="shared" si="30"/>
        <v/>
      </c>
      <c r="Y73" s="2" t="str">
        <f t="shared" si="27"/>
        <v>X</v>
      </c>
      <c r="Z73" s="2" t="str">
        <f t="shared" si="28"/>
        <v/>
      </c>
      <c r="AA73" s="2" t="str">
        <f t="shared" si="31"/>
        <v/>
      </c>
      <c r="AB73" s="2" t="str">
        <f t="shared" si="32"/>
        <v/>
      </c>
      <c r="AC73" s="2" t="str">
        <f t="shared" si="33"/>
        <v>(15 downto 8)</v>
      </c>
      <c r="AD73" s="2" t="str">
        <f t="shared" si="34"/>
        <v/>
      </c>
      <c r="AE73" s="2" t="str">
        <f t="shared" si="35"/>
        <v/>
      </c>
      <c r="AF73" s="2" t="str">
        <f t="shared" si="36"/>
        <v/>
      </c>
      <c r="AG73" s="2" t="str">
        <f t="shared" si="37"/>
        <v/>
      </c>
      <c r="AH73" s="2" t="str">
        <f t="shared" si="38"/>
        <v/>
      </c>
    </row>
    <row r="74" spans="2:34" x14ac:dyDescent="0.25">
      <c r="B74" s="2" t="s">
        <v>290</v>
      </c>
      <c r="C74" s="2" t="s">
        <v>297</v>
      </c>
      <c r="D74" s="2" t="s">
        <v>0</v>
      </c>
      <c r="E74" s="2" t="s">
        <v>130</v>
      </c>
      <c r="F74" s="2" t="s">
        <v>292</v>
      </c>
      <c r="G74" s="2" t="s">
        <v>293</v>
      </c>
      <c r="H74" s="2" t="s">
        <v>298</v>
      </c>
      <c r="I74" s="2" t="s">
        <v>41</v>
      </c>
      <c r="J74" s="2">
        <v>8</v>
      </c>
      <c r="K74" s="2" t="s">
        <v>284</v>
      </c>
      <c r="L74" s="2" t="s">
        <v>40</v>
      </c>
      <c r="M74" s="2" t="s">
        <v>5290</v>
      </c>
      <c r="N74" s="2" t="s">
        <v>5233</v>
      </c>
      <c r="O74" s="2" t="s">
        <v>5040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$S73+$R73+INDEX(Tables!$N$5:$Q$8,MATCH(MOD($S73+$R73,4),Tables!$M$5:$M$8,0),MATCH($R74,Tables!$N$4:$Q$4,0))</f>
        <v>222</v>
      </c>
      <c r="T74" s="2" t="str">
        <f t="shared" si="24"/>
        <v>00DE</v>
      </c>
      <c r="U74" s="2">
        <f t="shared" si="29"/>
        <v>55</v>
      </c>
      <c r="V74" s="2" t="str">
        <f t="shared" si="25"/>
        <v>037</v>
      </c>
      <c r="W74" s="2" t="str">
        <f t="shared" si="26"/>
        <v/>
      </c>
      <c r="X74" s="2" t="str">
        <f t="shared" si="30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/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/>
      </c>
      <c r="AF74" s="2" t="str">
        <f t="shared" si="36"/>
        <v/>
      </c>
      <c r="AG74" s="2" t="str">
        <f t="shared" si="37"/>
        <v/>
      </c>
      <c r="AH74" s="2" t="str">
        <f t="shared" si="38"/>
        <v/>
      </c>
    </row>
    <row r="75" spans="2:34" x14ac:dyDescent="0.25">
      <c r="B75" s="2" t="s">
        <v>290</v>
      </c>
      <c r="C75" s="2" t="s">
        <v>299</v>
      </c>
      <c r="D75" s="2" t="s">
        <v>0</v>
      </c>
      <c r="E75" s="2" t="s">
        <v>130</v>
      </c>
      <c r="F75" s="2" t="s">
        <v>292</v>
      </c>
      <c r="G75" s="2" t="s">
        <v>293</v>
      </c>
      <c r="H75" s="2" t="s">
        <v>300</v>
      </c>
      <c r="I75" s="2" t="s">
        <v>41</v>
      </c>
      <c r="J75" s="2">
        <v>8</v>
      </c>
      <c r="K75" s="2" t="s">
        <v>281</v>
      </c>
      <c r="L75" s="2" t="s">
        <v>40</v>
      </c>
      <c r="M75" s="2" t="s">
        <v>5290</v>
      </c>
      <c r="N75" s="2" t="s">
        <v>5233</v>
      </c>
      <c r="O75" s="2" t="s">
        <v>5041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223</v>
      </c>
      <c r="T75" s="2" t="str">
        <f t="shared" si="24"/>
        <v>00DF</v>
      </c>
      <c r="U75" s="2">
        <f t="shared" si="29"/>
        <v>55</v>
      </c>
      <c r="V75" s="2" t="str">
        <f t="shared" si="25"/>
        <v>037</v>
      </c>
      <c r="W75" s="2" t="str">
        <f t="shared" si="26"/>
        <v>X</v>
      </c>
      <c r="X75" s="2" t="str">
        <f t="shared" si="30"/>
        <v/>
      </c>
      <c r="Y75" s="2" t="str">
        <f t="shared" si="27"/>
        <v/>
      </c>
      <c r="Z75" s="2" t="str">
        <f t="shared" si="28"/>
        <v/>
      </c>
      <c r="AA75" s="2" t="str">
        <f t="shared" si="31"/>
        <v>(31 downto 24)</v>
      </c>
      <c r="AB75" s="2" t="str">
        <f t="shared" si="32"/>
        <v/>
      </c>
      <c r="AC75" s="2" t="str">
        <f t="shared" si="33"/>
        <v/>
      </c>
      <c r="AD75" s="2" t="str">
        <f t="shared" si="34"/>
        <v/>
      </c>
      <c r="AE75" s="2" t="str">
        <f t="shared" si="35"/>
        <v/>
      </c>
      <c r="AF75" s="2" t="str">
        <f t="shared" si="36"/>
        <v/>
      </c>
      <c r="AG75" s="2" t="str">
        <f t="shared" si="37"/>
        <v/>
      </c>
      <c r="AH75" s="2" t="str">
        <f t="shared" si="38"/>
        <v/>
      </c>
    </row>
    <row r="76" spans="2:34" x14ac:dyDescent="0.25">
      <c r="B76" s="2" t="s">
        <v>301</v>
      </c>
      <c r="C76" s="2" t="s">
        <v>302</v>
      </c>
      <c r="D76" s="2" t="s">
        <v>0</v>
      </c>
      <c r="E76" s="2" t="s">
        <v>130</v>
      </c>
      <c r="F76" s="2" t="s">
        <v>303</v>
      </c>
      <c r="G76" s="2" t="s">
        <v>304</v>
      </c>
      <c r="H76" s="2" t="s">
        <v>305</v>
      </c>
      <c r="I76" s="2" t="s">
        <v>41</v>
      </c>
      <c r="J76" s="2">
        <v>8</v>
      </c>
      <c r="K76" s="2" t="s">
        <v>281</v>
      </c>
      <c r="L76" s="2" t="s">
        <v>40</v>
      </c>
      <c r="M76" s="2" t="s">
        <v>5290</v>
      </c>
      <c r="N76" s="2" t="s">
        <v>5234</v>
      </c>
      <c r="O76" s="2" t="s">
        <v>5042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224</v>
      </c>
      <c r="T76" s="2" t="str">
        <f t="shared" si="24"/>
        <v>00E0</v>
      </c>
      <c r="U76" s="2">
        <f t="shared" si="29"/>
        <v>56</v>
      </c>
      <c r="V76" s="2" t="str">
        <f t="shared" si="25"/>
        <v>038</v>
      </c>
      <c r="W76" s="2" t="str">
        <f t="shared" si="26"/>
        <v/>
      </c>
      <c r="X76" s="2" t="str">
        <f t="shared" si="30"/>
        <v/>
      </c>
      <c r="Y76" s="2" t="str">
        <f t="shared" si="27"/>
        <v/>
      </c>
      <c r="Z76" s="2" t="str">
        <f t="shared" si="28"/>
        <v>X</v>
      </c>
      <c r="AA76" s="2" t="str">
        <f t="shared" si="31"/>
        <v/>
      </c>
      <c r="AB76" s="2" t="str">
        <f t="shared" si="32"/>
        <v/>
      </c>
      <c r="AC76" s="2" t="str">
        <f t="shared" si="33"/>
        <v/>
      </c>
      <c r="AD76" s="2" t="str">
        <f t="shared" si="34"/>
        <v>(7 downto 0)</v>
      </c>
      <c r="AE76" s="2" t="str">
        <f t="shared" si="35"/>
        <v/>
      </c>
      <c r="AF76" s="2" t="str">
        <f t="shared" si="36"/>
        <v/>
      </c>
      <c r="AG76" s="2" t="str">
        <f t="shared" si="37"/>
        <v/>
      </c>
      <c r="AH76" s="2" t="str">
        <f t="shared" si="38"/>
        <v/>
      </c>
    </row>
    <row r="77" spans="2:34" x14ac:dyDescent="0.25">
      <c r="B77" s="2" t="s">
        <v>301</v>
      </c>
      <c r="C77" s="2" t="s">
        <v>306</v>
      </c>
      <c r="D77" s="2" t="s">
        <v>0</v>
      </c>
      <c r="E77" s="2" t="s">
        <v>130</v>
      </c>
      <c r="F77" s="2" t="s">
        <v>303</v>
      </c>
      <c r="G77" s="2" t="s">
        <v>304</v>
      </c>
      <c r="H77" s="2" t="s">
        <v>307</v>
      </c>
      <c r="I77" s="2" t="s">
        <v>41</v>
      </c>
      <c r="J77" s="2">
        <v>8</v>
      </c>
      <c r="K77" s="2" t="s">
        <v>281</v>
      </c>
      <c r="L77" s="2" t="s">
        <v>40</v>
      </c>
      <c r="M77" s="2" t="s">
        <v>5290</v>
      </c>
      <c r="N77" s="2" t="s">
        <v>5234</v>
      </c>
      <c r="O77" s="2" t="s">
        <v>5043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$S76+$R76+INDEX(Tables!$N$5:$Q$8,MATCH(MOD($S76+$R76,4),Tables!$M$5:$M$8,0),MATCH($R77,Tables!$N$4:$Q$4,0))</f>
        <v>225</v>
      </c>
      <c r="T77" s="2" t="str">
        <f t="shared" si="24"/>
        <v>00E1</v>
      </c>
      <c r="U77" s="2">
        <f t="shared" si="29"/>
        <v>56</v>
      </c>
      <c r="V77" s="2" t="str">
        <f t="shared" si="25"/>
        <v>038</v>
      </c>
      <c r="W77" s="2" t="str">
        <f t="shared" si="26"/>
        <v/>
      </c>
      <c r="X77" s="2" t="str">
        <f t="shared" si="30"/>
        <v/>
      </c>
      <c r="Y77" s="2" t="str">
        <f t="shared" si="27"/>
        <v>X</v>
      </c>
      <c r="Z77" s="2" t="str">
        <f t="shared" si="28"/>
        <v/>
      </c>
      <c r="AA77" s="2" t="str">
        <f t="shared" si="31"/>
        <v/>
      </c>
      <c r="AB77" s="2" t="str">
        <f t="shared" si="32"/>
        <v/>
      </c>
      <c r="AC77" s="2" t="str">
        <f t="shared" si="33"/>
        <v>(15 downto 8)</v>
      </c>
      <c r="AD77" s="2" t="str">
        <f t="shared" si="34"/>
        <v/>
      </c>
      <c r="AE77" s="2" t="str">
        <f t="shared" si="35"/>
        <v/>
      </c>
      <c r="AF77" s="2" t="str">
        <f t="shared" si="36"/>
        <v/>
      </c>
      <c r="AG77" s="2" t="str">
        <f t="shared" si="37"/>
        <v/>
      </c>
      <c r="AH77" s="2" t="str">
        <f t="shared" si="38"/>
        <v/>
      </c>
    </row>
    <row r="78" spans="2:34" x14ac:dyDescent="0.25">
      <c r="B78" s="2" t="s">
        <v>308</v>
      </c>
      <c r="C78" s="2" t="s">
        <v>146</v>
      </c>
      <c r="D78" s="2" t="s">
        <v>0</v>
      </c>
      <c r="E78" s="2" t="s">
        <v>130</v>
      </c>
      <c r="F78" s="2" t="s">
        <v>309</v>
      </c>
      <c r="G78" s="2" t="s">
        <v>310</v>
      </c>
      <c r="H78" s="2" t="s">
        <v>149</v>
      </c>
      <c r="I78" s="2" t="s">
        <v>41</v>
      </c>
      <c r="J78" s="2">
        <v>1</v>
      </c>
      <c r="K78" s="2" t="s">
        <v>81</v>
      </c>
      <c r="L78" s="2" t="s">
        <v>40</v>
      </c>
      <c r="M78" s="2" t="s">
        <v>5291</v>
      </c>
      <c r="N78" s="2" t="s">
        <v>5235</v>
      </c>
      <c r="O78" s="2" t="s">
        <v>4977</v>
      </c>
      <c r="P78" s="2" t="s">
        <v>4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228</v>
      </c>
      <c r="T78" s="2" t="str">
        <f t="shared" si="24"/>
        <v>00E4</v>
      </c>
      <c r="U78" s="2">
        <f t="shared" si="29"/>
        <v>57</v>
      </c>
      <c r="V78" s="2" t="str">
        <f t="shared" si="25"/>
        <v>039</v>
      </c>
      <c r="W78" s="2" t="str">
        <f t="shared" si="26"/>
        <v/>
      </c>
      <c r="X78" s="2" t="str">
        <f t="shared" si="30"/>
        <v/>
      </c>
      <c r="Y78" s="2" t="str">
        <f t="shared" si="27"/>
        <v/>
      </c>
      <c r="Z78" s="2" t="str">
        <f t="shared" si="28"/>
        <v>X</v>
      </c>
      <c r="AA78" s="2" t="str">
        <f t="shared" si="31"/>
        <v/>
      </c>
      <c r="AB78" s="2" t="str">
        <f t="shared" si="32"/>
        <v/>
      </c>
      <c r="AC78" s="2" t="str">
        <f t="shared" si="33"/>
        <v/>
      </c>
      <c r="AD78" s="2" t="str">
        <f t="shared" si="34"/>
        <v>(0)</v>
      </c>
      <c r="AE78" s="2" t="str">
        <f t="shared" si="35"/>
        <v/>
      </c>
      <c r="AF78" s="2" t="str">
        <f t="shared" si="36"/>
        <v/>
      </c>
      <c r="AG78" s="2" t="str">
        <f t="shared" si="37"/>
        <v/>
      </c>
      <c r="AH78" s="2" t="str">
        <f t="shared" si="38"/>
        <v/>
      </c>
    </row>
    <row r="79" spans="2:34" x14ac:dyDescent="0.25">
      <c r="B79" s="2" t="s">
        <v>308</v>
      </c>
      <c r="C79" s="2" t="s">
        <v>311</v>
      </c>
      <c r="D79" s="2" t="s">
        <v>0</v>
      </c>
      <c r="E79" s="2" t="s">
        <v>130</v>
      </c>
      <c r="F79" s="2" t="s">
        <v>309</v>
      </c>
      <c r="G79" s="2" t="s">
        <v>310</v>
      </c>
      <c r="H79" s="2" t="s">
        <v>312</v>
      </c>
      <c r="I79" s="2" t="s">
        <v>41</v>
      </c>
      <c r="J79" s="2">
        <v>1</v>
      </c>
      <c r="K79" s="2" t="s">
        <v>131</v>
      </c>
      <c r="L79" s="2" t="s">
        <v>40</v>
      </c>
      <c r="M79" s="2" t="s">
        <v>5291</v>
      </c>
      <c r="N79" s="2" t="s">
        <v>5235</v>
      </c>
      <c r="O79" s="2" t="s">
        <v>5044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232</v>
      </c>
      <c r="T79" s="2" t="str">
        <f t="shared" si="24"/>
        <v>00E8</v>
      </c>
      <c r="U79" s="2">
        <f t="shared" si="29"/>
        <v>58</v>
      </c>
      <c r="V79" s="2" t="str">
        <f t="shared" si="25"/>
        <v>03A</v>
      </c>
      <c r="W79" s="2" t="str">
        <f t="shared" si="26"/>
        <v/>
      </c>
      <c r="X79" s="2" t="str">
        <f t="shared" si="30"/>
        <v/>
      </c>
      <c r="Y79" s="2" t="str">
        <f t="shared" si="27"/>
        <v/>
      </c>
      <c r="Z79" s="2" t="str">
        <f t="shared" si="28"/>
        <v>X</v>
      </c>
      <c r="AA79" s="2" t="str">
        <f t="shared" si="31"/>
        <v/>
      </c>
      <c r="AB79" s="2" t="str">
        <f t="shared" si="32"/>
        <v/>
      </c>
      <c r="AC79" s="2" t="str">
        <f t="shared" si="33"/>
        <v/>
      </c>
      <c r="AD79" s="2" t="str">
        <f t="shared" si="34"/>
        <v>(0)</v>
      </c>
      <c r="AE79" s="2" t="str">
        <f t="shared" si="35"/>
        <v/>
      </c>
      <c r="AF79" s="2" t="str">
        <f t="shared" si="36"/>
        <v/>
      </c>
      <c r="AG79" s="2" t="str">
        <f t="shared" si="37"/>
        <v/>
      </c>
      <c r="AH79" s="2" t="str">
        <f t="shared" si="38"/>
        <v/>
      </c>
    </row>
    <row r="80" spans="2:34" x14ac:dyDescent="0.25">
      <c r="B80" s="2" t="s">
        <v>308</v>
      </c>
      <c r="C80" s="2" t="s">
        <v>313</v>
      </c>
      <c r="D80" s="2" t="s">
        <v>0</v>
      </c>
      <c r="E80" s="2" t="s">
        <v>130</v>
      </c>
      <c r="F80" s="2" t="s">
        <v>309</v>
      </c>
      <c r="G80" s="2" t="s">
        <v>310</v>
      </c>
      <c r="H80" s="2" t="s">
        <v>314</v>
      </c>
      <c r="I80" s="2" t="s">
        <v>41</v>
      </c>
      <c r="J80" s="2">
        <v>1</v>
      </c>
      <c r="K80" s="2" t="s">
        <v>81</v>
      </c>
      <c r="L80" s="2" t="s">
        <v>40</v>
      </c>
      <c r="M80" s="2" t="s">
        <v>5291</v>
      </c>
      <c r="N80" s="2" t="s">
        <v>5235</v>
      </c>
      <c r="O80" s="2" t="s">
        <v>5045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236</v>
      </c>
      <c r="T80" s="2" t="str">
        <f t="shared" si="24"/>
        <v>00EC</v>
      </c>
      <c r="U80" s="2">
        <f t="shared" si="29"/>
        <v>59</v>
      </c>
      <c r="V80" s="2" t="str">
        <f t="shared" si="25"/>
        <v>03B</v>
      </c>
      <c r="W80" s="2" t="str">
        <f t="shared" si="26"/>
        <v/>
      </c>
      <c r="X80" s="2" t="str">
        <f t="shared" si="30"/>
        <v/>
      </c>
      <c r="Y80" s="2" t="str">
        <f t="shared" si="27"/>
        <v/>
      </c>
      <c r="Z80" s="2" t="str">
        <f t="shared" si="28"/>
        <v>X</v>
      </c>
      <c r="AA80" s="2" t="str">
        <f t="shared" si="31"/>
        <v/>
      </c>
      <c r="AB80" s="2" t="str">
        <f t="shared" si="32"/>
        <v/>
      </c>
      <c r="AC80" s="2" t="str">
        <f t="shared" si="33"/>
        <v/>
      </c>
      <c r="AD80" s="2" t="str">
        <f t="shared" si="34"/>
        <v>(0)</v>
      </c>
      <c r="AE80" s="2" t="str">
        <f t="shared" si="35"/>
        <v/>
      </c>
      <c r="AF80" s="2" t="str">
        <f t="shared" si="36"/>
        <v/>
      </c>
      <c r="AG80" s="2" t="str">
        <f t="shared" si="37"/>
        <v/>
      </c>
      <c r="AH80" s="2" t="str">
        <f t="shared" si="38"/>
        <v/>
      </c>
    </row>
    <row r="81" spans="2:34" x14ac:dyDescent="0.25">
      <c r="B81" s="2" t="s">
        <v>308</v>
      </c>
      <c r="C81" s="2" t="s">
        <v>315</v>
      </c>
      <c r="D81" s="2" t="s">
        <v>0</v>
      </c>
      <c r="E81" s="2" t="s">
        <v>130</v>
      </c>
      <c r="F81" s="2" t="s">
        <v>309</v>
      </c>
      <c r="G81" s="2" t="s">
        <v>310</v>
      </c>
      <c r="H81" s="2" t="s">
        <v>316</v>
      </c>
      <c r="I81" s="2" t="s">
        <v>41</v>
      </c>
      <c r="J81" s="2">
        <v>1</v>
      </c>
      <c r="K81" s="2" t="s">
        <v>131</v>
      </c>
      <c r="L81" s="2" t="s">
        <v>40</v>
      </c>
      <c r="M81" s="2" t="s">
        <v>5291</v>
      </c>
      <c r="N81" s="2" t="s">
        <v>5235</v>
      </c>
      <c r="O81" s="2" t="s">
        <v>5046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240</v>
      </c>
      <c r="T81" s="2" t="str">
        <f t="shared" si="24"/>
        <v>00F0</v>
      </c>
      <c r="U81" s="2">
        <f t="shared" si="29"/>
        <v>60</v>
      </c>
      <c r="V81" s="2" t="str">
        <f t="shared" si="25"/>
        <v>03C</v>
      </c>
      <c r="W81" s="2" t="str">
        <f t="shared" si="26"/>
        <v/>
      </c>
      <c r="X81" s="2" t="str">
        <f t="shared" si="30"/>
        <v/>
      </c>
      <c r="Y81" s="2" t="str">
        <f t="shared" si="27"/>
        <v/>
      </c>
      <c r="Z81" s="2" t="str">
        <f t="shared" si="28"/>
        <v>X</v>
      </c>
      <c r="AA81" s="2" t="str">
        <f t="shared" si="31"/>
        <v/>
      </c>
      <c r="AB81" s="2" t="str">
        <f t="shared" si="32"/>
        <v/>
      </c>
      <c r="AC81" s="2" t="str">
        <f t="shared" si="33"/>
        <v/>
      </c>
      <c r="AD81" s="2" t="str">
        <f t="shared" si="34"/>
        <v>(0)</v>
      </c>
      <c r="AE81" s="2" t="str">
        <f t="shared" si="35"/>
        <v/>
      </c>
      <c r="AF81" s="2" t="str">
        <f t="shared" si="36"/>
        <v/>
      </c>
      <c r="AG81" s="2" t="str">
        <f t="shared" si="37"/>
        <v/>
      </c>
      <c r="AH81" s="2" t="str">
        <f t="shared" si="38"/>
        <v/>
      </c>
    </row>
    <row r="82" spans="2:34" x14ac:dyDescent="0.25">
      <c r="B82" s="2" t="s">
        <v>308</v>
      </c>
      <c r="C82" s="2" t="s">
        <v>317</v>
      </c>
      <c r="D82" s="2" t="s">
        <v>0</v>
      </c>
      <c r="E82" s="2" t="s">
        <v>130</v>
      </c>
      <c r="F82" s="2" t="s">
        <v>309</v>
      </c>
      <c r="G82" s="2" t="s">
        <v>310</v>
      </c>
      <c r="H82" s="2" t="s">
        <v>318</v>
      </c>
      <c r="I82" s="2" t="s">
        <v>41</v>
      </c>
      <c r="J82" s="2">
        <v>1</v>
      </c>
      <c r="K82" s="2" t="s">
        <v>81</v>
      </c>
      <c r="L82" s="2" t="s">
        <v>40</v>
      </c>
      <c r="M82" s="2" t="s">
        <v>5291</v>
      </c>
      <c r="N82" s="2" t="s">
        <v>5235</v>
      </c>
      <c r="O82" s="2" t="s">
        <v>5047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244</v>
      </c>
      <c r="T82" s="2" t="str">
        <f t="shared" si="24"/>
        <v>00F4</v>
      </c>
      <c r="U82" s="2">
        <f t="shared" si="29"/>
        <v>61</v>
      </c>
      <c r="V82" s="2" t="str">
        <f t="shared" si="25"/>
        <v>03D</v>
      </c>
      <c r="W82" s="2" t="str">
        <f t="shared" si="26"/>
        <v/>
      </c>
      <c r="X82" s="2" t="str">
        <f t="shared" si="30"/>
        <v/>
      </c>
      <c r="Y82" s="2" t="str">
        <f t="shared" si="27"/>
        <v/>
      </c>
      <c r="Z82" s="2" t="str">
        <f t="shared" si="28"/>
        <v>X</v>
      </c>
      <c r="AA82" s="2" t="str">
        <f t="shared" si="31"/>
        <v/>
      </c>
      <c r="AB82" s="2" t="str">
        <f t="shared" si="32"/>
        <v/>
      </c>
      <c r="AC82" s="2" t="str">
        <f t="shared" si="33"/>
        <v/>
      </c>
      <c r="AD82" s="2" t="str">
        <f t="shared" si="34"/>
        <v>(0)</v>
      </c>
      <c r="AE82" s="2" t="str">
        <f t="shared" si="35"/>
        <v/>
      </c>
      <c r="AF82" s="2" t="str">
        <f t="shared" si="36"/>
        <v/>
      </c>
      <c r="AG82" s="2" t="str">
        <f t="shared" si="37"/>
        <v/>
      </c>
      <c r="AH82" s="2" t="str">
        <f t="shared" si="38"/>
        <v/>
      </c>
    </row>
    <row r="83" spans="2:34" x14ac:dyDescent="0.25">
      <c r="B83" s="2" t="s">
        <v>308</v>
      </c>
      <c r="C83" s="2" t="s">
        <v>319</v>
      </c>
      <c r="D83" s="2" t="s">
        <v>0</v>
      </c>
      <c r="E83" s="2" t="s">
        <v>130</v>
      </c>
      <c r="F83" s="2" t="s">
        <v>309</v>
      </c>
      <c r="G83" s="2" t="s">
        <v>310</v>
      </c>
      <c r="H83" s="2" t="s">
        <v>320</v>
      </c>
      <c r="I83" s="2" t="s">
        <v>41</v>
      </c>
      <c r="J83" s="2">
        <v>1</v>
      </c>
      <c r="K83" s="2" t="s">
        <v>131</v>
      </c>
      <c r="L83" s="2" t="s">
        <v>40</v>
      </c>
      <c r="M83" s="2" t="s">
        <v>5291</v>
      </c>
      <c r="N83" s="2" t="s">
        <v>5235</v>
      </c>
      <c r="O83" s="2" t="s">
        <v>5048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248</v>
      </c>
      <c r="T83" s="2" t="str">
        <f t="shared" si="24"/>
        <v>00F8</v>
      </c>
      <c r="U83" s="2">
        <f t="shared" si="29"/>
        <v>62</v>
      </c>
      <c r="V83" s="2" t="str">
        <f t="shared" si="25"/>
        <v>03E</v>
      </c>
      <c r="W83" s="2" t="str">
        <f t="shared" si="26"/>
        <v/>
      </c>
      <c r="X83" s="2" t="str">
        <f t="shared" si="30"/>
        <v/>
      </c>
      <c r="Y83" s="2" t="str">
        <f t="shared" si="27"/>
        <v/>
      </c>
      <c r="Z83" s="2" t="str">
        <f t="shared" si="28"/>
        <v>X</v>
      </c>
      <c r="AA83" s="2" t="str">
        <f t="shared" si="31"/>
        <v/>
      </c>
      <c r="AB83" s="2" t="str">
        <f t="shared" si="32"/>
        <v/>
      </c>
      <c r="AC83" s="2" t="str">
        <f t="shared" si="33"/>
        <v/>
      </c>
      <c r="AD83" s="2" t="str">
        <f t="shared" si="34"/>
        <v>(0)</v>
      </c>
      <c r="AE83" s="2" t="str">
        <f t="shared" si="35"/>
        <v/>
      </c>
      <c r="AF83" s="2" t="str">
        <f t="shared" si="36"/>
        <v/>
      </c>
      <c r="AG83" s="2" t="str">
        <f t="shared" si="37"/>
        <v/>
      </c>
      <c r="AH83" s="2" t="str">
        <f t="shared" si="38"/>
        <v/>
      </c>
    </row>
    <row r="84" spans="2:34" x14ac:dyDescent="0.25">
      <c r="B84" s="2" t="s">
        <v>308</v>
      </c>
      <c r="C84" s="2" t="s">
        <v>321</v>
      </c>
      <c r="D84" s="2" t="s">
        <v>0</v>
      </c>
      <c r="E84" s="2" t="s">
        <v>130</v>
      </c>
      <c r="F84" s="2" t="s">
        <v>309</v>
      </c>
      <c r="G84" s="2" t="s">
        <v>310</v>
      </c>
      <c r="H84" s="2" t="s">
        <v>322</v>
      </c>
      <c r="I84" s="2" t="s">
        <v>41</v>
      </c>
      <c r="J84" s="2">
        <v>1</v>
      </c>
      <c r="K84" s="2" t="s">
        <v>131</v>
      </c>
      <c r="L84" s="2" t="s">
        <v>40</v>
      </c>
      <c r="M84" s="2" t="s">
        <v>5291</v>
      </c>
      <c r="N84" s="2" t="s">
        <v>5235</v>
      </c>
      <c r="O84" s="2" t="s">
        <v>5049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252</v>
      </c>
      <c r="T84" s="2" t="str">
        <f t="shared" si="24"/>
        <v>00FC</v>
      </c>
      <c r="U84" s="2">
        <f t="shared" si="29"/>
        <v>63</v>
      </c>
      <c r="V84" s="2" t="str">
        <f t="shared" si="25"/>
        <v>03F</v>
      </c>
      <c r="W84" s="2" t="str">
        <f t="shared" si="26"/>
        <v/>
      </c>
      <c r="X84" s="2" t="str">
        <f t="shared" si="30"/>
        <v/>
      </c>
      <c r="Y84" s="2" t="str">
        <f t="shared" si="27"/>
        <v/>
      </c>
      <c r="Z84" s="2" t="str">
        <f t="shared" si="28"/>
        <v>X</v>
      </c>
      <c r="AA84" s="2" t="str">
        <f t="shared" si="31"/>
        <v/>
      </c>
      <c r="AB84" s="2" t="str">
        <f t="shared" si="32"/>
        <v/>
      </c>
      <c r="AC84" s="2" t="str">
        <f t="shared" si="33"/>
        <v/>
      </c>
      <c r="AD84" s="2" t="str">
        <f t="shared" si="34"/>
        <v>(0)</v>
      </c>
      <c r="AE84" s="2" t="str">
        <f t="shared" si="35"/>
        <v/>
      </c>
      <c r="AF84" s="2" t="str">
        <f t="shared" si="36"/>
        <v/>
      </c>
      <c r="AG84" s="2" t="str">
        <f t="shared" si="37"/>
        <v/>
      </c>
      <c r="AH84" s="2" t="str">
        <f t="shared" si="38"/>
        <v/>
      </c>
    </row>
    <row r="85" spans="2:34" x14ac:dyDescent="0.25">
      <c r="B85" s="2" t="s">
        <v>308</v>
      </c>
      <c r="C85" s="2" t="s">
        <v>157</v>
      </c>
      <c r="D85" s="2" t="s">
        <v>0</v>
      </c>
      <c r="E85" s="2" t="s">
        <v>130</v>
      </c>
      <c r="F85" s="2" t="s">
        <v>309</v>
      </c>
      <c r="G85" s="2" t="s">
        <v>310</v>
      </c>
      <c r="H85" s="2" t="s">
        <v>158</v>
      </c>
      <c r="I85" s="2" t="s">
        <v>41</v>
      </c>
      <c r="J85" s="2">
        <v>1</v>
      </c>
      <c r="K85" s="2" t="s">
        <v>81</v>
      </c>
      <c r="L85" s="2" t="s">
        <v>40</v>
      </c>
      <c r="M85" s="2" t="s">
        <v>5291</v>
      </c>
      <c r="N85" s="2" t="s">
        <v>5235</v>
      </c>
      <c r="O85" s="2" t="s">
        <v>5001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256</v>
      </c>
      <c r="T85" s="2" t="str">
        <f t="shared" si="24"/>
        <v>0100</v>
      </c>
      <c r="U85" s="2">
        <f t="shared" si="29"/>
        <v>64</v>
      </c>
      <c r="V85" s="2" t="str">
        <f t="shared" si="25"/>
        <v>040</v>
      </c>
      <c r="W85" s="2" t="str">
        <f t="shared" si="26"/>
        <v/>
      </c>
      <c r="X85" s="2" t="str">
        <f t="shared" si="30"/>
        <v/>
      </c>
      <c r="Y85" s="2" t="str">
        <f t="shared" si="27"/>
        <v/>
      </c>
      <c r="Z85" s="2" t="str">
        <f t="shared" si="28"/>
        <v>X</v>
      </c>
      <c r="AA85" s="2" t="str">
        <f t="shared" si="31"/>
        <v/>
      </c>
      <c r="AB85" s="2" t="str">
        <f t="shared" si="32"/>
        <v/>
      </c>
      <c r="AC85" s="2" t="str">
        <f t="shared" si="33"/>
        <v/>
      </c>
      <c r="AD85" s="2" t="str">
        <f t="shared" si="34"/>
        <v>(0)</v>
      </c>
      <c r="AE85" s="2" t="str">
        <f t="shared" si="35"/>
        <v/>
      </c>
      <c r="AF85" s="2" t="str">
        <f t="shared" si="36"/>
        <v/>
      </c>
      <c r="AG85" s="2" t="str">
        <f t="shared" si="37"/>
        <v/>
      </c>
      <c r="AH85" s="2" t="str">
        <f t="shared" si="38"/>
        <v/>
      </c>
    </row>
    <row r="86" spans="2:34" x14ac:dyDescent="0.25">
      <c r="B86" s="2" t="s">
        <v>308</v>
      </c>
      <c r="C86" s="2" t="s">
        <v>323</v>
      </c>
      <c r="D86" s="2" t="s">
        <v>0</v>
      </c>
      <c r="E86" s="2" t="s">
        <v>130</v>
      </c>
      <c r="F86" s="2" t="s">
        <v>309</v>
      </c>
      <c r="G86" s="2" t="s">
        <v>310</v>
      </c>
      <c r="H86" s="2" t="s">
        <v>324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5291</v>
      </c>
      <c r="N86" s="2" t="s">
        <v>5235</v>
      </c>
      <c r="O86" s="2" t="s">
        <v>5050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260</v>
      </c>
      <c r="T86" s="2" t="str">
        <f t="shared" si="24"/>
        <v>0104</v>
      </c>
      <c r="U86" s="2">
        <f t="shared" si="29"/>
        <v>65</v>
      </c>
      <c r="V86" s="2" t="str">
        <f t="shared" si="25"/>
        <v>041</v>
      </c>
      <c r="W86" s="2" t="str">
        <f t="shared" si="26"/>
        <v/>
      </c>
      <c r="X86" s="2" t="str">
        <f t="shared" si="30"/>
        <v/>
      </c>
      <c r="Y86" s="2" t="str">
        <f t="shared" si="27"/>
        <v/>
      </c>
      <c r="Z86" s="2" t="str">
        <f t="shared" si="28"/>
        <v>X</v>
      </c>
      <c r="AA86" s="2" t="str">
        <f t="shared" si="31"/>
        <v/>
      </c>
      <c r="AB86" s="2" t="str">
        <f t="shared" si="32"/>
        <v/>
      </c>
      <c r="AC86" s="2" t="str">
        <f t="shared" si="33"/>
        <v/>
      </c>
      <c r="AD86" s="2" t="str">
        <f t="shared" si="34"/>
        <v>(0)</v>
      </c>
      <c r="AE86" s="2" t="str">
        <f t="shared" si="35"/>
        <v/>
      </c>
      <c r="AF86" s="2" t="str">
        <f t="shared" si="36"/>
        <v/>
      </c>
      <c r="AG86" s="2" t="str">
        <f t="shared" si="37"/>
        <v/>
      </c>
      <c r="AH86" s="2" t="str">
        <f t="shared" si="38"/>
        <v/>
      </c>
    </row>
    <row r="87" spans="2:34" x14ac:dyDescent="0.25">
      <c r="B87" s="2" t="s">
        <v>308</v>
      </c>
      <c r="C87" s="2" t="s">
        <v>325</v>
      </c>
      <c r="D87" s="2" t="s">
        <v>0</v>
      </c>
      <c r="E87" s="2" t="s">
        <v>130</v>
      </c>
      <c r="F87" s="2" t="s">
        <v>309</v>
      </c>
      <c r="G87" s="2" t="s">
        <v>310</v>
      </c>
      <c r="H87" s="2" t="s">
        <v>326</v>
      </c>
      <c r="I87" s="2" t="s">
        <v>41</v>
      </c>
      <c r="J87" s="2">
        <v>3</v>
      </c>
      <c r="K87" s="2" t="s">
        <v>327</v>
      </c>
      <c r="L87" s="2" t="s">
        <v>40</v>
      </c>
      <c r="M87" s="2" t="s">
        <v>5291</v>
      </c>
      <c r="N87" s="2" t="s">
        <v>5235</v>
      </c>
      <c r="O87" s="2" t="s">
        <v>5051</v>
      </c>
      <c r="P87" s="2" t="s">
        <v>47</v>
      </c>
      <c r="Q87" s="2">
        <f>INDEX(Tables!$C$4:$C$28,MATCH($P87,Tables!$B$4:$B$28,0))</f>
        <v>8</v>
      </c>
      <c r="R87" s="2">
        <f>INDEX(Tables!$D$4:$D$28,MATCH($P87,Tables!$B$4:$B$28,0))</f>
        <v>1</v>
      </c>
      <c r="S87" s="2">
        <f>$S86+$R86+INDEX(Tables!$N$5:$Q$8,MATCH(MOD($S86+$R86,4),Tables!$M$5:$M$8,0),MATCH($R87,Tables!$N$4:$Q$4,0))</f>
        <v>264</v>
      </c>
      <c r="T87" s="2" t="str">
        <f t="shared" si="24"/>
        <v>0108</v>
      </c>
      <c r="U87" s="2">
        <f t="shared" si="29"/>
        <v>66</v>
      </c>
      <c r="V87" s="2" t="str">
        <f t="shared" si="25"/>
        <v>042</v>
      </c>
      <c r="W87" s="2" t="str">
        <f t="shared" si="26"/>
        <v/>
      </c>
      <c r="X87" s="2" t="str">
        <f t="shared" si="30"/>
        <v/>
      </c>
      <c r="Y87" s="2" t="str">
        <f t="shared" si="27"/>
        <v/>
      </c>
      <c r="Z87" s="2" t="str">
        <f t="shared" si="28"/>
        <v>X</v>
      </c>
      <c r="AA87" s="2" t="str">
        <f t="shared" si="31"/>
        <v/>
      </c>
      <c r="AB87" s="2" t="str">
        <f t="shared" si="32"/>
        <v/>
      </c>
      <c r="AC87" s="2" t="str">
        <f t="shared" si="33"/>
        <v/>
      </c>
      <c r="AD87" s="2" t="str">
        <f t="shared" si="34"/>
        <v>(2 downto 0)</v>
      </c>
      <c r="AE87" s="2" t="str">
        <f t="shared" si="35"/>
        <v/>
      </c>
      <c r="AF87" s="2" t="str">
        <f t="shared" si="36"/>
        <v/>
      </c>
      <c r="AG87" s="2" t="str">
        <f t="shared" si="37"/>
        <v/>
      </c>
      <c r="AH87" s="2" t="str">
        <f t="shared" si="38"/>
        <v/>
      </c>
    </row>
    <row r="88" spans="2:34" x14ac:dyDescent="0.25">
      <c r="B88" s="2" t="s">
        <v>308</v>
      </c>
      <c r="C88" s="2" t="s">
        <v>328</v>
      </c>
      <c r="D88" s="2" t="s">
        <v>0</v>
      </c>
      <c r="E88" s="2" t="s">
        <v>130</v>
      </c>
      <c r="F88" s="2" t="s">
        <v>309</v>
      </c>
      <c r="G88" s="2" t="s">
        <v>310</v>
      </c>
      <c r="H88" s="2" t="s">
        <v>329</v>
      </c>
      <c r="I88" s="2" t="s">
        <v>41</v>
      </c>
      <c r="J88" s="2">
        <v>2</v>
      </c>
      <c r="K88" s="2" t="s">
        <v>132</v>
      </c>
      <c r="L88" s="2" t="s">
        <v>40</v>
      </c>
      <c r="M88" s="2" t="s">
        <v>5291</v>
      </c>
      <c r="N88" s="2" t="s">
        <v>5235</v>
      </c>
      <c r="O88" s="2" t="s">
        <v>5052</v>
      </c>
      <c r="P88" s="2" t="s">
        <v>47</v>
      </c>
      <c r="Q88" s="2">
        <f>INDEX(Tables!$C$4:$C$28,MATCH($P88,Tables!$B$4:$B$28,0))</f>
        <v>8</v>
      </c>
      <c r="R88" s="2">
        <f>INDEX(Tables!$D$4:$D$28,MATCH($P88,Tables!$B$4:$B$28,0))</f>
        <v>1</v>
      </c>
      <c r="S88" s="2">
        <f>$S87+$R87+INDEX(Tables!$N$5:$Q$8,MATCH(MOD($S87+$R87,4),Tables!$M$5:$M$8,0),MATCH($R88,Tables!$N$4:$Q$4,0))</f>
        <v>265</v>
      </c>
      <c r="T88" s="2" t="str">
        <f t="shared" si="24"/>
        <v>0109</v>
      </c>
      <c r="U88" s="2">
        <f t="shared" si="29"/>
        <v>66</v>
      </c>
      <c r="V88" s="2" t="str">
        <f t="shared" si="25"/>
        <v>042</v>
      </c>
      <c r="W88" s="2" t="str">
        <f t="shared" si="26"/>
        <v/>
      </c>
      <c r="X88" s="2" t="str">
        <f t="shared" si="30"/>
        <v/>
      </c>
      <c r="Y88" s="2" t="str">
        <f t="shared" si="27"/>
        <v>X</v>
      </c>
      <c r="Z88" s="2" t="str">
        <f t="shared" si="28"/>
        <v/>
      </c>
      <c r="AA88" s="2" t="str">
        <f t="shared" si="31"/>
        <v/>
      </c>
      <c r="AB88" s="2" t="str">
        <f t="shared" si="32"/>
        <v/>
      </c>
      <c r="AC88" s="2" t="str">
        <f t="shared" si="33"/>
        <v>(9 downto 8)</v>
      </c>
      <c r="AD88" s="2" t="str">
        <f t="shared" si="34"/>
        <v/>
      </c>
      <c r="AE88" s="2" t="str">
        <f t="shared" si="35"/>
        <v/>
      </c>
      <c r="AF88" s="2" t="str">
        <f t="shared" si="36"/>
        <v/>
      </c>
      <c r="AG88" s="2" t="str">
        <f t="shared" si="37"/>
        <v/>
      </c>
      <c r="AH88" s="2" t="str">
        <f t="shared" si="38"/>
        <v/>
      </c>
    </row>
    <row r="89" spans="2:34" x14ac:dyDescent="0.25">
      <c r="B89" s="2" t="s">
        <v>308</v>
      </c>
      <c r="C89" s="2" t="s">
        <v>330</v>
      </c>
      <c r="D89" s="2" t="s">
        <v>0</v>
      </c>
      <c r="E89" s="2" t="s">
        <v>130</v>
      </c>
      <c r="F89" s="2" t="s">
        <v>309</v>
      </c>
      <c r="G89" s="2" t="s">
        <v>310</v>
      </c>
      <c r="H89" s="2" t="s">
        <v>331</v>
      </c>
      <c r="I89" s="2" t="s">
        <v>41</v>
      </c>
      <c r="J89" s="2">
        <v>2</v>
      </c>
      <c r="K89" s="2" t="s">
        <v>132</v>
      </c>
      <c r="L89" s="2" t="s">
        <v>40</v>
      </c>
      <c r="M89" s="2" t="s">
        <v>5291</v>
      </c>
      <c r="N89" s="2" t="s">
        <v>5235</v>
      </c>
      <c r="O89" s="2" t="s">
        <v>5053</v>
      </c>
      <c r="P89" s="2" t="s">
        <v>47</v>
      </c>
      <c r="Q89" s="2">
        <f>INDEX(Tables!$C$4:$C$28,MATCH($P89,Tables!$B$4:$B$28,0))</f>
        <v>8</v>
      </c>
      <c r="R89" s="2">
        <f>INDEX(Tables!$D$4:$D$28,MATCH($P89,Tables!$B$4:$B$28,0))</f>
        <v>1</v>
      </c>
      <c r="S89" s="2">
        <f>$S88+$R88+INDEX(Tables!$N$5:$Q$8,MATCH(MOD($S88+$R88,4),Tables!$M$5:$M$8,0),MATCH($R89,Tables!$N$4:$Q$4,0))</f>
        <v>266</v>
      </c>
      <c r="T89" s="2" t="str">
        <f t="shared" si="24"/>
        <v>010A</v>
      </c>
      <c r="U89" s="2">
        <f t="shared" si="29"/>
        <v>66</v>
      </c>
      <c r="V89" s="2" t="str">
        <f t="shared" si="25"/>
        <v>042</v>
      </c>
      <c r="W89" s="2" t="str">
        <f t="shared" si="26"/>
        <v/>
      </c>
      <c r="X89" s="2" t="str">
        <f t="shared" si="30"/>
        <v>X</v>
      </c>
      <c r="Y89" s="2" t="str">
        <f t="shared" si="27"/>
        <v/>
      </c>
      <c r="Z89" s="2" t="str">
        <f t="shared" si="28"/>
        <v/>
      </c>
      <c r="AA89" s="2" t="str">
        <f t="shared" si="31"/>
        <v/>
      </c>
      <c r="AB89" s="2" t="str">
        <f t="shared" si="32"/>
        <v>(17 downto 16)</v>
      </c>
      <c r="AC89" s="2" t="str">
        <f t="shared" si="33"/>
        <v/>
      </c>
      <c r="AD89" s="2" t="str">
        <f t="shared" si="34"/>
        <v/>
      </c>
      <c r="AE89" s="2" t="str">
        <f t="shared" si="35"/>
        <v/>
      </c>
      <c r="AF89" s="2" t="str">
        <f t="shared" si="36"/>
        <v/>
      </c>
      <c r="AG89" s="2" t="str">
        <f t="shared" si="37"/>
        <v/>
      </c>
      <c r="AH89" s="2" t="str">
        <f t="shared" si="38"/>
        <v/>
      </c>
    </row>
    <row r="90" spans="2:34" x14ac:dyDescent="0.25">
      <c r="B90" s="2" t="s">
        <v>308</v>
      </c>
      <c r="C90" s="2" t="s">
        <v>332</v>
      </c>
      <c r="D90" s="2" t="s">
        <v>0</v>
      </c>
      <c r="E90" s="2" t="s">
        <v>130</v>
      </c>
      <c r="F90" s="2" t="s">
        <v>309</v>
      </c>
      <c r="G90" s="2" t="s">
        <v>310</v>
      </c>
      <c r="H90" s="2" t="s">
        <v>333</v>
      </c>
      <c r="I90" s="2" t="s">
        <v>41</v>
      </c>
      <c r="J90" s="2">
        <v>4</v>
      </c>
      <c r="K90" s="2" t="s">
        <v>132</v>
      </c>
      <c r="L90" s="2" t="s">
        <v>40</v>
      </c>
      <c r="M90" s="2" t="s">
        <v>5291</v>
      </c>
      <c r="N90" s="2" t="s">
        <v>5235</v>
      </c>
      <c r="O90" s="2" t="s">
        <v>5054</v>
      </c>
      <c r="P90" s="2" t="s">
        <v>47</v>
      </c>
      <c r="Q90" s="2">
        <f>INDEX(Tables!$C$4:$C$28,MATCH($P90,Tables!$B$4:$B$28,0))</f>
        <v>8</v>
      </c>
      <c r="R90" s="2">
        <f>INDEX(Tables!$D$4:$D$28,MATCH($P90,Tables!$B$4:$B$28,0))</f>
        <v>1</v>
      </c>
      <c r="S90" s="2">
        <f>$S89+$R89+INDEX(Tables!$N$5:$Q$8,MATCH(MOD($S89+$R89,4),Tables!$M$5:$M$8,0),MATCH($R90,Tables!$N$4:$Q$4,0))</f>
        <v>267</v>
      </c>
      <c r="T90" s="2" t="str">
        <f t="shared" si="24"/>
        <v>010B</v>
      </c>
      <c r="U90" s="2">
        <f t="shared" si="29"/>
        <v>66</v>
      </c>
      <c r="V90" s="2" t="str">
        <f t="shared" si="25"/>
        <v>042</v>
      </c>
      <c r="W90" s="2" t="str">
        <f t="shared" si="26"/>
        <v>X</v>
      </c>
      <c r="X90" s="2" t="str">
        <f t="shared" si="30"/>
        <v/>
      </c>
      <c r="Y90" s="2" t="str">
        <f t="shared" si="27"/>
        <v/>
      </c>
      <c r="Z90" s="2" t="str">
        <f t="shared" si="28"/>
        <v/>
      </c>
      <c r="AA90" s="2" t="str">
        <f t="shared" si="31"/>
        <v>(27 downto 24)</v>
      </c>
      <c r="AB90" s="2" t="str">
        <f t="shared" si="32"/>
        <v/>
      </c>
      <c r="AC90" s="2" t="str">
        <f t="shared" si="33"/>
        <v/>
      </c>
      <c r="AD90" s="2" t="str">
        <f t="shared" si="34"/>
        <v/>
      </c>
      <c r="AE90" s="2" t="str">
        <f t="shared" si="35"/>
        <v/>
      </c>
      <c r="AF90" s="2" t="str">
        <f t="shared" si="36"/>
        <v/>
      </c>
      <c r="AG90" s="2" t="str">
        <f t="shared" si="37"/>
        <v/>
      </c>
      <c r="AH90" s="2" t="str">
        <f t="shared" si="38"/>
        <v/>
      </c>
    </row>
    <row r="91" spans="2:34" x14ac:dyDescent="0.25">
      <c r="B91" s="2" t="s">
        <v>308</v>
      </c>
      <c r="C91" s="2" t="s">
        <v>334</v>
      </c>
      <c r="D91" s="2" t="s">
        <v>0</v>
      </c>
      <c r="E91" s="2" t="s">
        <v>130</v>
      </c>
      <c r="F91" s="2" t="s">
        <v>309</v>
      </c>
      <c r="G91" s="2" t="s">
        <v>310</v>
      </c>
      <c r="H91" s="2" t="s">
        <v>335</v>
      </c>
      <c r="I91" s="2" t="s">
        <v>41</v>
      </c>
      <c r="J91" s="2">
        <v>4</v>
      </c>
      <c r="K91" s="2" t="s">
        <v>132</v>
      </c>
      <c r="L91" s="2" t="s">
        <v>40</v>
      </c>
      <c r="M91" s="2" t="s">
        <v>5291</v>
      </c>
      <c r="N91" s="2" t="s">
        <v>5235</v>
      </c>
      <c r="O91" s="2" t="s">
        <v>5055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$S90+$R90+INDEX(Tables!$N$5:$Q$8,MATCH(MOD($S90+$R90,4),Tables!$M$5:$M$8,0),MATCH($R91,Tables!$N$4:$Q$4,0))</f>
        <v>268</v>
      </c>
      <c r="T91" s="2" t="str">
        <f t="shared" si="24"/>
        <v>010C</v>
      </c>
      <c r="U91" s="2">
        <f t="shared" si="29"/>
        <v>67</v>
      </c>
      <c r="V91" s="2" t="str">
        <f t="shared" si="25"/>
        <v>043</v>
      </c>
      <c r="W91" s="2" t="str">
        <f t="shared" si="26"/>
        <v/>
      </c>
      <c r="X91" s="2" t="str">
        <f t="shared" si="30"/>
        <v/>
      </c>
      <c r="Y91" s="2" t="str">
        <f t="shared" si="27"/>
        <v/>
      </c>
      <c r="Z91" s="2" t="str">
        <f t="shared" si="28"/>
        <v>X</v>
      </c>
      <c r="AA91" s="2" t="str">
        <f t="shared" si="31"/>
        <v/>
      </c>
      <c r="AB91" s="2" t="str">
        <f t="shared" si="32"/>
        <v/>
      </c>
      <c r="AC91" s="2" t="str">
        <f t="shared" si="33"/>
        <v/>
      </c>
      <c r="AD91" s="2" t="str">
        <f t="shared" si="34"/>
        <v>(3 downto 0)</v>
      </c>
      <c r="AE91" s="2" t="str">
        <f t="shared" si="35"/>
        <v/>
      </c>
      <c r="AF91" s="2" t="str">
        <f t="shared" si="36"/>
        <v/>
      </c>
      <c r="AG91" s="2" t="str">
        <f t="shared" si="37"/>
        <v/>
      </c>
      <c r="AH91" s="2" t="str">
        <f t="shared" si="38"/>
        <v/>
      </c>
    </row>
    <row r="92" spans="2:34" x14ac:dyDescent="0.25">
      <c r="B92" s="2" t="s">
        <v>308</v>
      </c>
      <c r="C92" s="2" t="s">
        <v>336</v>
      </c>
      <c r="D92" s="2" t="s">
        <v>0</v>
      </c>
      <c r="E92" s="2" t="s">
        <v>130</v>
      </c>
      <c r="F92" s="2" t="s">
        <v>309</v>
      </c>
      <c r="G92" s="2" t="s">
        <v>310</v>
      </c>
      <c r="H92" s="2" t="s">
        <v>337</v>
      </c>
      <c r="I92" s="2" t="s">
        <v>41</v>
      </c>
      <c r="J92" s="2">
        <v>8</v>
      </c>
      <c r="K92" s="2" t="s">
        <v>338</v>
      </c>
      <c r="L92" s="2" t="s">
        <v>40</v>
      </c>
      <c r="M92" s="2" t="s">
        <v>5291</v>
      </c>
      <c r="N92" s="2" t="s">
        <v>5235</v>
      </c>
      <c r="O92" s="2" t="s">
        <v>5056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f>$S91+$R91+INDEX(Tables!$N$5:$Q$8,MATCH(MOD($S91+$R91,4),Tables!$M$5:$M$8,0),MATCH($R92,Tables!$N$4:$Q$4,0))</f>
        <v>269</v>
      </c>
      <c r="T92" s="2" t="str">
        <f t="shared" si="24"/>
        <v>010D</v>
      </c>
      <c r="U92" s="2">
        <f t="shared" si="29"/>
        <v>67</v>
      </c>
      <c r="V92" s="2" t="str">
        <f t="shared" si="25"/>
        <v>043</v>
      </c>
      <c r="W92" s="2" t="str">
        <f t="shared" si="26"/>
        <v/>
      </c>
      <c r="X92" s="2" t="str">
        <f t="shared" si="30"/>
        <v/>
      </c>
      <c r="Y92" s="2" t="str">
        <f t="shared" si="27"/>
        <v>X</v>
      </c>
      <c r="Z92" s="2" t="str">
        <f t="shared" si="28"/>
        <v/>
      </c>
      <c r="AA92" s="2" t="str">
        <f t="shared" si="31"/>
        <v/>
      </c>
      <c r="AB92" s="2" t="str">
        <f t="shared" si="32"/>
        <v/>
      </c>
      <c r="AC92" s="2" t="str">
        <f t="shared" si="33"/>
        <v>(15 downto 8)</v>
      </c>
      <c r="AD92" s="2" t="str">
        <f t="shared" si="34"/>
        <v/>
      </c>
      <c r="AE92" s="2" t="str">
        <f t="shared" si="35"/>
        <v/>
      </c>
      <c r="AF92" s="2" t="str">
        <f t="shared" si="36"/>
        <v/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339</v>
      </c>
      <c r="C93" s="2" t="s">
        <v>340</v>
      </c>
      <c r="D93" s="2" t="s">
        <v>0</v>
      </c>
      <c r="E93" s="2" t="s">
        <v>130</v>
      </c>
      <c r="F93" s="2" t="s">
        <v>341</v>
      </c>
      <c r="G93" s="2" t="s">
        <v>342</v>
      </c>
      <c r="H93" s="2" t="s">
        <v>343</v>
      </c>
      <c r="I93" s="2" t="s">
        <v>41</v>
      </c>
      <c r="J93" s="2">
        <v>1</v>
      </c>
      <c r="K93" s="2" t="s">
        <v>81</v>
      </c>
      <c r="L93" s="2" t="s">
        <v>40</v>
      </c>
      <c r="M93" s="2" t="s">
        <v>5291</v>
      </c>
      <c r="N93" s="2" t="s">
        <v>5236</v>
      </c>
      <c r="O93" s="2" t="s">
        <v>5057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272</v>
      </c>
      <c r="T93" s="2" t="str">
        <f t="shared" si="24"/>
        <v>0110</v>
      </c>
      <c r="U93" s="2">
        <f t="shared" si="29"/>
        <v>68</v>
      </c>
      <c r="V93" s="2" t="str">
        <f t="shared" si="25"/>
        <v>044</v>
      </c>
      <c r="W93" s="2" t="str">
        <f t="shared" si="26"/>
        <v/>
      </c>
      <c r="X93" s="2" t="str">
        <f t="shared" si="30"/>
        <v/>
      </c>
      <c r="Y93" s="2" t="str">
        <f t="shared" si="27"/>
        <v/>
      </c>
      <c r="Z93" s="2" t="str">
        <f t="shared" si="28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/>
      </c>
      <c r="AD93" s="2" t="str">
        <f t="shared" si="34"/>
        <v>(0)</v>
      </c>
      <c r="AE93" s="2" t="str">
        <f t="shared" si="35"/>
        <v/>
      </c>
      <c r="AF93" s="2" t="str">
        <f t="shared" si="36"/>
        <v/>
      </c>
      <c r="AG93" s="2" t="str">
        <f t="shared" si="37"/>
        <v/>
      </c>
      <c r="AH93" s="2" t="str">
        <f t="shared" si="38"/>
        <v/>
      </c>
    </row>
    <row r="94" spans="2:34" x14ac:dyDescent="0.25">
      <c r="B94" s="2" t="s">
        <v>339</v>
      </c>
      <c r="C94" s="2" t="s">
        <v>344</v>
      </c>
      <c r="D94" s="2" t="s">
        <v>0</v>
      </c>
      <c r="E94" s="2" t="s">
        <v>130</v>
      </c>
      <c r="F94" s="2" t="s">
        <v>341</v>
      </c>
      <c r="G94" s="2" t="s">
        <v>342</v>
      </c>
      <c r="H94" s="2" t="s">
        <v>345</v>
      </c>
      <c r="I94" s="2" t="s">
        <v>41</v>
      </c>
      <c r="J94" s="2">
        <v>1</v>
      </c>
      <c r="K94" s="2" t="s">
        <v>81</v>
      </c>
      <c r="L94" s="2" t="s">
        <v>40</v>
      </c>
      <c r="M94" s="2" t="s">
        <v>5291</v>
      </c>
      <c r="N94" s="2" t="s">
        <v>5236</v>
      </c>
      <c r="O94" s="2" t="s">
        <v>5058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276</v>
      </c>
      <c r="T94" s="2" t="str">
        <f t="shared" si="24"/>
        <v>0114</v>
      </c>
      <c r="U94" s="2">
        <f t="shared" si="29"/>
        <v>69</v>
      </c>
      <c r="V94" s="2" t="str">
        <f t="shared" si="25"/>
        <v>045</v>
      </c>
      <c r="W94" s="2" t="str">
        <f t="shared" si="26"/>
        <v/>
      </c>
      <c r="X94" s="2" t="str">
        <f t="shared" si="30"/>
        <v/>
      </c>
      <c r="Y94" s="2" t="str">
        <f t="shared" si="27"/>
        <v/>
      </c>
      <c r="Z94" s="2" t="str">
        <f t="shared" si="28"/>
        <v>X</v>
      </c>
      <c r="AA94" s="2" t="str">
        <f t="shared" si="31"/>
        <v/>
      </c>
      <c r="AB94" s="2" t="str">
        <f t="shared" si="32"/>
        <v/>
      </c>
      <c r="AC94" s="2" t="str">
        <f t="shared" si="33"/>
        <v/>
      </c>
      <c r="AD94" s="2" t="str">
        <f t="shared" si="34"/>
        <v>(0)</v>
      </c>
      <c r="AE94" s="2" t="str">
        <f t="shared" si="35"/>
        <v/>
      </c>
      <c r="AF94" s="2" t="str">
        <f t="shared" si="36"/>
        <v/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339</v>
      </c>
      <c r="C95" s="2" t="s">
        <v>346</v>
      </c>
      <c r="D95" s="2" t="s">
        <v>0</v>
      </c>
      <c r="E95" s="2" t="s">
        <v>130</v>
      </c>
      <c r="F95" s="2" t="s">
        <v>341</v>
      </c>
      <c r="G95" s="2" t="s">
        <v>342</v>
      </c>
      <c r="H95" s="2" t="s">
        <v>347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5291</v>
      </c>
      <c r="N95" s="2" t="s">
        <v>5236</v>
      </c>
      <c r="O95" s="2" t="s">
        <v>5059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280</v>
      </c>
      <c r="T95" s="2" t="str">
        <f t="shared" si="24"/>
        <v>0118</v>
      </c>
      <c r="U95" s="2">
        <f t="shared" si="29"/>
        <v>70</v>
      </c>
      <c r="V95" s="2" t="str">
        <f t="shared" si="25"/>
        <v>046</v>
      </c>
      <c r="W95" s="2" t="str">
        <f t="shared" si="26"/>
        <v/>
      </c>
      <c r="X95" s="2" t="str">
        <f t="shared" si="30"/>
        <v/>
      </c>
      <c r="Y95" s="2" t="str">
        <f t="shared" si="27"/>
        <v/>
      </c>
      <c r="Z95" s="2" t="str">
        <f t="shared" si="28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/>
      </c>
      <c r="AD95" s="2" t="str">
        <f t="shared" si="34"/>
        <v>(0)</v>
      </c>
      <c r="AE95" s="2" t="str">
        <f t="shared" si="35"/>
        <v/>
      </c>
      <c r="AF95" s="2" t="str">
        <f t="shared" si="36"/>
        <v/>
      </c>
      <c r="AG95" s="2" t="str">
        <f t="shared" si="37"/>
        <v/>
      </c>
      <c r="AH95" s="2" t="str">
        <f t="shared" si="38"/>
        <v/>
      </c>
    </row>
    <row r="96" spans="2:34" x14ac:dyDescent="0.25">
      <c r="B96" s="2" t="s">
        <v>339</v>
      </c>
      <c r="C96" s="2" t="s">
        <v>348</v>
      </c>
      <c r="D96" s="2" t="s">
        <v>0</v>
      </c>
      <c r="E96" s="2" t="s">
        <v>130</v>
      </c>
      <c r="F96" s="2" t="s">
        <v>341</v>
      </c>
      <c r="G96" s="2" t="s">
        <v>342</v>
      </c>
      <c r="H96" s="2" t="s">
        <v>349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5291</v>
      </c>
      <c r="N96" s="2" t="s">
        <v>5236</v>
      </c>
      <c r="O96" s="2" t="s">
        <v>5060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284</v>
      </c>
      <c r="T96" s="2" t="str">
        <f t="shared" si="24"/>
        <v>011C</v>
      </c>
      <c r="U96" s="2">
        <f t="shared" si="29"/>
        <v>71</v>
      </c>
      <c r="V96" s="2" t="str">
        <f t="shared" si="25"/>
        <v>047</v>
      </c>
      <c r="W96" s="2" t="str">
        <f t="shared" si="26"/>
        <v/>
      </c>
      <c r="X96" s="2" t="str">
        <f t="shared" si="30"/>
        <v/>
      </c>
      <c r="Y96" s="2" t="str">
        <f t="shared" si="27"/>
        <v/>
      </c>
      <c r="Z96" s="2" t="str">
        <f t="shared" si="28"/>
        <v>X</v>
      </c>
      <c r="AA96" s="2" t="str">
        <f t="shared" si="31"/>
        <v/>
      </c>
      <c r="AB96" s="2" t="str">
        <f t="shared" si="32"/>
        <v/>
      </c>
      <c r="AC96" s="2" t="str">
        <f t="shared" si="33"/>
        <v/>
      </c>
      <c r="AD96" s="2" t="str">
        <f t="shared" si="34"/>
        <v>(0)</v>
      </c>
      <c r="AE96" s="2" t="str">
        <f t="shared" si="35"/>
        <v/>
      </c>
      <c r="AF96" s="2" t="str">
        <f t="shared" si="36"/>
        <v/>
      </c>
      <c r="AG96" s="2" t="str">
        <f t="shared" si="37"/>
        <v/>
      </c>
      <c r="AH96" s="2" t="str">
        <f t="shared" si="38"/>
        <v/>
      </c>
    </row>
    <row r="97" spans="2:34" x14ac:dyDescent="0.25">
      <c r="B97" s="2" t="s">
        <v>339</v>
      </c>
      <c r="C97" s="2" t="s">
        <v>350</v>
      </c>
      <c r="D97" s="2" t="s">
        <v>0</v>
      </c>
      <c r="E97" s="2" t="s">
        <v>130</v>
      </c>
      <c r="F97" s="2" t="s">
        <v>341</v>
      </c>
      <c r="G97" s="2" t="s">
        <v>342</v>
      </c>
      <c r="H97" s="2" t="s">
        <v>351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5291</v>
      </c>
      <c r="N97" s="2" t="s">
        <v>5236</v>
      </c>
      <c r="O97" s="2" t="s">
        <v>5061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288</v>
      </c>
      <c r="T97" s="2" t="str">
        <f t="shared" si="24"/>
        <v>0120</v>
      </c>
      <c r="U97" s="2">
        <f t="shared" si="29"/>
        <v>72</v>
      </c>
      <c r="V97" s="2" t="str">
        <f t="shared" si="25"/>
        <v>048</v>
      </c>
      <c r="W97" s="2" t="str">
        <f t="shared" si="26"/>
        <v/>
      </c>
      <c r="X97" s="2" t="str">
        <f t="shared" si="30"/>
        <v/>
      </c>
      <c r="Y97" s="2" t="str">
        <f t="shared" si="27"/>
        <v/>
      </c>
      <c r="Z97" s="2" t="str">
        <f t="shared" si="28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/>
      </c>
      <c r="AD97" s="2" t="str">
        <f t="shared" si="34"/>
        <v>(0)</v>
      </c>
      <c r="AE97" s="2" t="str">
        <f t="shared" si="35"/>
        <v/>
      </c>
      <c r="AF97" s="2" t="str">
        <f t="shared" si="36"/>
        <v/>
      </c>
      <c r="AG97" s="2" t="str">
        <f t="shared" si="37"/>
        <v/>
      </c>
      <c r="AH97" s="2" t="str">
        <f t="shared" si="38"/>
        <v/>
      </c>
    </row>
    <row r="98" spans="2:34" x14ac:dyDescent="0.25">
      <c r="B98" s="2" t="s">
        <v>339</v>
      </c>
      <c r="C98" s="2" t="s">
        <v>352</v>
      </c>
      <c r="D98" s="2" t="s">
        <v>0</v>
      </c>
      <c r="E98" s="2" t="s">
        <v>130</v>
      </c>
      <c r="F98" s="2" t="s">
        <v>341</v>
      </c>
      <c r="G98" s="2" t="s">
        <v>342</v>
      </c>
      <c r="H98" s="2" t="s">
        <v>353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5291</v>
      </c>
      <c r="N98" s="2" t="s">
        <v>5236</v>
      </c>
      <c r="O98" s="2" t="s">
        <v>5062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292</v>
      </c>
      <c r="T98" s="2" t="str">
        <f t="shared" si="24"/>
        <v>0124</v>
      </c>
      <c r="U98" s="2">
        <f t="shared" si="29"/>
        <v>73</v>
      </c>
      <c r="V98" s="2" t="str">
        <f t="shared" si="25"/>
        <v>049</v>
      </c>
      <c r="W98" s="2" t="str">
        <f t="shared" si="26"/>
        <v/>
      </c>
      <c r="X98" s="2" t="str">
        <f t="shared" si="30"/>
        <v/>
      </c>
      <c r="Y98" s="2" t="str">
        <f t="shared" si="27"/>
        <v/>
      </c>
      <c r="Z98" s="2" t="str">
        <f t="shared" si="28"/>
        <v>X</v>
      </c>
      <c r="AA98" s="2" t="str">
        <f t="shared" si="31"/>
        <v/>
      </c>
      <c r="AB98" s="2" t="str">
        <f t="shared" si="32"/>
        <v/>
      </c>
      <c r="AC98" s="2" t="str">
        <f t="shared" si="33"/>
        <v/>
      </c>
      <c r="AD98" s="2" t="str">
        <f t="shared" si="34"/>
        <v>(0)</v>
      </c>
      <c r="AE98" s="2" t="str">
        <f t="shared" si="35"/>
        <v/>
      </c>
      <c r="AF98" s="2" t="str">
        <f t="shared" si="36"/>
        <v/>
      </c>
      <c r="AG98" s="2" t="str">
        <f t="shared" si="37"/>
        <v/>
      </c>
      <c r="AH98" s="2" t="str">
        <f t="shared" si="38"/>
        <v/>
      </c>
    </row>
    <row r="99" spans="2:34" x14ac:dyDescent="0.25">
      <c r="B99" s="2" t="s">
        <v>339</v>
      </c>
      <c r="C99" s="2" t="s">
        <v>354</v>
      </c>
      <c r="D99" s="2" t="s">
        <v>0</v>
      </c>
      <c r="E99" s="2" t="s">
        <v>130</v>
      </c>
      <c r="F99" s="2" t="s">
        <v>341</v>
      </c>
      <c r="G99" s="2" t="s">
        <v>342</v>
      </c>
      <c r="H99" s="2" t="s">
        <v>355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5291</v>
      </c>
      <c r="N99" s="2" t="s">
        <v>5236</v>
      </c>
      <c r="O99" s="2" t="s">
        <v>5063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296</v>
      </c>
      <c r="T99" s="2" t="str">
        <f t="shared" si="24"/>
        <v>0128</v>
      </c>
      <c r="U99" s="2">
        <f t="shared" si="29"/>
        <v>74</v>
      </c>
      <c r="V99" s="2" t="str">
        <f t="shared" si="25"/>
        <v>04A</v>
      </c>
      <c r="W99" s="2" t="str">
        <f t="shared" si="26"/>
        <v/>
      </c>
      <c r="X99" s="2" t="str">
        <f t="shared" si="30"/>
        <v/>
      </c>
      <c r="Y99" s="2" t="str">
        <f t="shared" si="27"/>
        <v/>
      </c>
      <c r="Z99" s="2" t="str">
        <f t="shared" si="28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/>
      </c>
      <c r="AD99" s="2" t="str">
        <f t="shared" si="34"/>
        <v>(0)</v>
      </c>
      <c r="AE99" s="2" t="str">
        <f t="shared" si="35"/>
        <v/>
      </c>
      <c r="AF99" s="2" t="str">
        <f t="shared" si="36"/>
        <v/>
      </c>
      <c r="AG99" s="2" t="str">
        <f t="shared" si="37"/>
        <v/>
      </c>
      <c r="AH99" s="2" t="str">
        <f t="shared" si="38"/>
        <v/>
      </c>
    </row>
    <row r="100" spans="2:34" x14ac:dyDescent="0.25">
      <c r="B100" s="2" t="s">
        <v>339</v>
      </c>
      <c r="C100" s="2" t="s">
        <v>356</v>
      </c>
      <c r="D100" s="2" t="s">
        <v>0</v>
      </c>
      <c r="E100" s="2" t="s">
        <v>130</v>
      </c>
      <c r="F100" s="2" t="s">
        <v>341</v>
      </c>
      <c r="G100" s="2" t="s">
        <v>342</v>
      </c>
      <c r="H100" s="2" t="s">
        <v>357</v>
      </c>
      <c r="I100" s="2" t="s">
        <v>41</v>
      </c>
      <c r="J100" s="2">
        <v>1</v>
      </c>
      <c r="K100" s="24" t="s">
        <v>81</v>
      </c>
      <c r="L100" s="2" t="s">
        <v>40</v>
      </c>
      <c r="M100" s="2" t="s">
        <v>5291</v>
      </c>
      <c r="N100" s="2" t="s">
        <v>5236</v>
      </c>
      <c r="O100" s="2" t="s">
        <v>5064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300</v>
      </c>
      <c r="T100" s="2" t="str">
        <f t="shared" si="24"/>
        <v>012C</v>
      </c>
      <c r="U100" s="2">
        <f t="shared" si="29"/>
        <v>75</v>
      </c>
      <c r="V100" s="2" t="str">
        <f t="shared" si="25"/>
        <v>04B</v>
      </c>
      <c r="W100" s="2" t="str">
        <f t="shared" si="26"/>
        <v/>
      </c>
      <c r="X100" s="2" t="str">
        <f t="shared" si="30"/>
        <v/>
      </c>
      <c r="Y100" s="2" t="str">
        <f t="shared" si="27"/>
        <v/>
      </c>
      <c r="Z100" s="2" t="str">
        <f t="shared" si="28"/>
        <v>X</v>
      </c>
      <c r="AA100" s="2" t="str">
        <f t="shared" si="31"/>
        <v/>
      </c>
      <c r="AB100" s="2" t="str">
        <f t="shared" si="32"/>
        <v/>
      </c>
      <c r="AC100" s="2" t="str">
        <f t="shared" si="33"/>
        <v/>
      </c>
      <c r="AD100" s="2" t="str">
        <f t="shared" si="34"/>
        <v>(0)</v>
      </c>
      <c r="AE100" s="2" t="str">
        <f t="shared" si="35"/>
        <v/>
      </c>
      <c r="AF100" s="2" t="str">
        <f t="shared" si="36"/>
        <v/>
      </c>
      <c r="AG100" s="2" t="str">
        <f t="shared" si="37"/>
        <v/>
      </c>
      <c r="AH100" s="2" t="str">
        <f t="shared" si="38"/>
        <v/>
      </c>
    </row>
    <row r="101" spans="2:34" x14ac:dyDescent="0.25">
      <c r="B101" s="2" t="s">
        <v>339</v>
      </c>
      <c r="C101" s="2" t="s">
        <v>358</v>
      </c>
      <c r="D101" s="2" t="s">
        <v>0</v>
      </c>
      <c r="E101" s="2" t="s">
        <v>130</v>
      </c>
      <c r="F101" s="2" t="s">
        <v>341</v>
      </c>
      <c r="G101" s="2" t="s">
        <v>342</v>
      </c>
      <c r="H101" s="2" t="s">
        <v>359</v>
      </c>
      <c r="I101" s="2" t="s">
        <v>41</v>
      </c>
      <c r="J101" s="2">
        <v>1</v>
      </c>
      <c r="K101" s="2" t="s">
        <v>131</v>
      </c>
      <c r="L101" s="2" t="s">
        <v>40</v>
      </c>
      <c r="M101" s="2" t="s">
        <v>5291</v>
      </c>
      <c r="N101" s="2" t="s">
        <v>5236</v>
      </c>
      <c r="O101" s="2" t="s">
        <v>5065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304</v>
      </c>
      <c r="T101" s="2" t="str">
        <f t="shared" si="24"/>
        <v>0130</v>
      </c>
      <c r="U101" s="2">
        <f t="shared" si="29"/>
        <v>76</v>
      </c>
      <c r="V101" s="2" t="str">
        <f t="shared" si="25"/>
        <v>04C</v>
      </c>
      <c r="W101" s="2" t="str">
        <f t="shared" si="26"/>
        <v/>
      </c>
      <c r="X101" s="2" t="str">
        <f t="shared" si="30"/>
        <v/>
      </c>
      <c r="Y101" s="2" t="str">
        <f t="shared" si="27"/>
        <v/>
      </c>
      <c r="Z101" s="2" t="str">
        <f t="shared" si="28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/>
      </c>
      <c r="AD101" s="2" t="str">
        <f t="shared" si="34"/>
        <v>(0)</v>
      </c>
      <c r="AE101" s="2" t="str">
        <f t="shared" si="35"/>
        <v/>
      </c>
      <c r="AF101" s="2" t="str">
        <f t="shared" si="36"/>
        <v/>
      </c>
      <c r="AG101" s="2" t="str">
        <f t="shared" si="37"/>
        <v/>
      </c>
      <c r="AH101" s="2" t="str">
        <f t="shared" si="38"/>
        <v/>
      </c>
    </row>
    <row r="102" spans="2:34" ht="14.25" customHeight="1" x14ac:dyDescent="0.25">
      <c r="B102" s="2" t="s">
        <v>339</v>
      </c>
      <c r="C102" s="2" t="s">
        <v>360</v>
      </c>
      <c r="D102" s="2" t="s">
        <v>0</v>
      </c>
      <c r="E102" s="2" t="s">
        <v>130</v>
      </c>
      <c r="F102" s="2" t="s">
        <v>341</v>
      </c>
      <c r="G102" s="2" t="s">
        <v>342</v>
      </c>
      <c r="H102" s="2" t="s">
        <v>361</v>
      </c>
      <c r="I102" s="2" t="s">
        <v>41</v>
      </c>
      <c r="J102" s="2">
        <v>1</v>
      </c>
      <c r="K102" s="2" t="s">
        <v>131</v>
      </c>
      <c r="L102" s="2" t="s">
        <v>40</v>
      </c>
      <c r="M102" s="2" t="s">
        <v>5291</v>
      </c>
      <c r="N102" s="2" t="s">
        <v>5236</v>
      </c>
      <c r="O102" s="2" t="s">
        <v>5066</v>
      </c>
      <c r="P102" s="2" t="s">
        <v>4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308</v>
      </c>
      <c r="T102" s="2" t="str">
        <f t="shared" si="24"/>
        <v>0134</v>
      </c>
      <c r="U102" s="2">
        <f t="shared" si="29"/>
        <v>77</v>
      </c>
      <c r="V102" s="2" t="str">
        <f t="shared" si="25"/>
        <v>04D</v>
      </c>
      <c r="W102" s="2" t="str">
        <f t="shared" si="26"/>
        <v/>
      </c>
      <c r="X102" s="2" t="str">
        <f t="shared" si="30"/>
        <v/>
      </c>
      <c r="Y102" s="2" t="str">
        <f t="shared" si="27"/>
        <v/>
      </c>
      <c r="Z102" s="2" t="str">
        <f t="shared" si="28"/>
        <v>X</v>
      </c>
      <c r="AA102" s="2" t="str">
        <f t="shared" si="31"/>
        <v/>
      </c>
      <c r="AB102" s="2" t="str">
        <f t="shared" si="32"/>
        <v/>
      </c>
      <c r="AC102" s="2" t="str">
        <f t="shared" si="33"/>
        <v/>
      </c>
      <c r="AD102" s="2" t="str">
        <f t="shared" si="34"/>
        <v>(0)</v>
      </c>
      <c r="AE102" s="2" t="str">
        <f t="shared" si="35"/>
        <v/>
      </c>
      <c r="AF102" s="2" t="str">
        <f t="shared" si="36"/>
        <v/>
      </c>
      <c r="AG102" s="2" t="str">
        <f t="shared" si="37"/>
        <v/>
      </c>
      <c r="AH102" s="2" t="str">
        <f t="shared" si="38"/>
        <v/>
      </c>
    </row>
    <row r="103" spans="2:34" x14ac:dyDescent="0.25">
      <c r="B103" s="2" t="s">
        <v>339</v>
      </c>
      <c r="C103" s="2" t="s">
        <v>362</v>
      </c>
      <c r="D103" s="2" t="s">
        <v>0</v>
      </c>
      <c r="E103" s="2" t="s">
        <v>130</v>
      </c>
      <c r="F103" s="2" t="s">
        <v>341</v>
      </c>
      <c r="G103" s="2" t="s">
        <v>342</v>
      </c>
      <c r="H103" s="2" t="s">
        <v>363</v>
      </c>
      <c r="I103" s="2" t="s">
        <v>41</v>
      </c>
      <c r="J103" s="2">
        <v>1</v>
      </c>
      <c r="K103" s="2" t="s">
        <v>131</v>
      </c>
      <c r="L103" s="2" t="s">
        <v>40</v>
      </c>
      <c r="M103" s="2" t="s">
        <v>5291</v>
      </c>
      <c r="N103" s="2" t="s">
        <v>5236</v>
      </c>
      <c r="O103" s="2" t="s">
        <v>5067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312</v>
      </c>
      <c r="T103" s="2" t="str">
        <f t="shared" si="24"/>
        <v>0138</v>
      </c>
      <c r="U103" s="2">
        <f t="shared" si="29"/>
        <v>78</v>
      </c>
      <c r="V103" s="2" t="str">
        <f t="shared" si="25"/>
        <v>04E</v>
      </c>
      <c r="W103" s="2" t="str">
        <f t="shared" si="26"/>
        <v/>
      </c>
      <c r="X103" s="2" t="str">
        <f t="shared" si="30"/>
        <v/>
      </c>
      <c r="Y103" s="2" t="str">
        <f t="shared" si="27"/>
        <v/>
      </c>
      <c r="Z103" s="2" t="str">
        <f t="shared" si="28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/>
      </c>
      <c r="AD103" s="2" t="str">
        <f t="shared" si="34"/>
        <v>(0)</v>
      </c>
      <c r="AE103" s="2" t="str">
        <f t="shared" si="35"/>
        <v/>
      </c>
      <c r="AF103" s="2" t="str">
        <f t="shared" si="36"/>
        <v/>
      </c>
      <c r="AG103" s="2" t="str">
        <f t="shared" si="37"/>
        <v/>
      </c>
      <c r="AH103" s="2" t="str">
        <f t="shared" si="38"/>
        <v/>
      </c>
    </row>
    <row r="104" spans="2:34" x14ac:dyDescent="0.25">
      <c r="B104" s="2" t="s">
        <v>339</v>
      </c>
      <c r="C104" s="2" t="s">
        <v>364</v>
      </c>
      <c r="D104" s="2" t="s">
        <v>0</v>
      </c>
      <c r="E104" s="2" t="s">
        <v>130</v>
      </c>
      <c r="F104" s="2" t="s">
        <v>341</v>
      </c>
      <c r="G104" s="2" t="s">
        <v>342</v>
      </c>
      <c r="H104" s="2" t="s">
        <v>365</v>
      </c>
      <c r="I104" s="2" t="s">
        <v>41</v>
      </c>
      <c r="J104" s="2">
        <v>1</v>
      </c>
      <c r="K104" s="2" t="s">
        <v>131</v>
      </c>
      <c r="L104" s="2" t="s">
        <v>40</v>
      </c>
      <c r="M104" s="2" t="s">
        <v>5291</v>
      </c>
      <c r="N104" s="2" t="s">
        <v>5236</v>
      </c>
      <c r="O104" s="2" t="s">
        <v>5068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316</v>
      </c>
      <c r="T104" s="2" t="str">
        <f t="shared" si="24"/>
        <v>013C</v>
      </c>
      <c r="U104" s="2">
        <f t="shared" si="29"/>
        <v>79</v>
      </c>
      <c r="V104" s="2" t="str">
        <f t="shared" si="25"/>
        <v>04F</v>
      </c>
      <c r="W104" s="2" t="str">
        <f t="shared" si="26"/>
        <v/>
      </c>
      <c r="X104" s="2" t="str">
        <f t="shared" si="30"/>
        <v/>
      </c>
      <c r="Y104" s="2" t="str">
        <f t="shared" si="27"/>
        <v/>
      </c>
      <c r="Z104" s="2" t="str">
        <f t="shared" si="28"/>
        <v>X</v>
      </c>
      <c r="AA104" s="2" t="str">
        <f t="shared" si="31"/>
        <v/>
      </c>
      <c r="AB104" s="2" t="str">
        <f t="shared" si="32"/>
        <v/>
      </c>
      <c r="AC104" s="2" t="str">
        <f t="shared" si="33"/>
        <v/>
      </c>
      <c r="AD104" s="2" t="str">
        <f t="shared" si="34"/>
        <v>(0)</v>
      </c>
      <c r="AE104" s="2" t="str">
        <f t="shared" si="35"/>
        <v/>
      </c>
      <c r="AF104" s="2" t="str">
        <f t="shared" si="36"/>
        <v/>
      </c>
      <c r="AG104" s="2" t="str">
        <f t="shared" si="37"/>
        <v/>
      </c>
      <c r="AH104" s="2" t="str">
        <f t="shared" si="38"/>
        <v/>
      </c>
    </row>
    <row r="105" spans="2:34" x14ac:dyDescent="0.25">
      <c r="B105" s="2" t="s">
        <v>339</v>
      </c>
      <c r="C105" s="2" t="s">
        <v>366</v>
      </c>
      <c r="D105" s="2" t="s">
        <v>0</v>
      </c>
      <c r="E105" s="2" t="s">
        <v>130</v>
      </c>
      <c r="F105" s="2" t="s">
        <v>341</v>
      </c>
      <c r="G105" s="2" t="s">
        <v>342</v>
      </c>
      <c r="H105" s="2" t="s">
        <v>367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5291</v>
      </c>
      <c r="N105" s="2" t="s">
        <v>5236</v>
      </c>
      <c r="O105" s="2" t="s">
        <v>5069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320</v>
      </c>
      <c r="T105" s="2" t="str">
        <f t="shared" si="24"/>
        <v>0140</v>
      </c>
      <c r="U105" s="2">
        <f t="shared" si="29"/>
        <v>80</v>
      </c>
      <c r="V105" s="2" t="str">
        <f t="shared" si="25"/>
        <v>050</v>
      </c>
      <c r="W105" s="2" t="str">
        <f t="shared" si="26"/>
        <v/>
      </c>
      <c r="X105" s="2" t="str">
        <f t="shared" si="30"/>
        <v/>
      </c>
      <c r="Y105" s="2" t="str">
        <f t="shared" si="27"/>
        <v/>
      </c>
      <c r="Z105" s="2" t="str">
        <f t="shared" si="28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/>
      </c>
      <c r="AD105" s="2" t="str">
        <f t="shared" si="34"/>
        <v>(0)</v>
      </c>
      <c r="AE105" s="2" t="str">
        <f t="shared" si="35"/>
        <v/>
      </c>
      <c r="AF105" s="2" t="str">
        <f t="shared" si="36"/>
        <v/>
      </c>
      <c r="AG105" s="2" t="str">
        <f t="shared" si="37"/>
        <v/>
      </c>
      <c r="AH105" s="2" t="str">
        <f t="shared" si="38"/>
        <v/>
      </c>
    </row>
    <row r="106" spans="2:34" x14ac:dyDescent="0.25">
      <c r="B106" s="2" t="s">
        <v>339</v>
      </c>
      <c r="C106" s="2" t="s">
        <v>368</v>
      </c>
      <c r="D106" s="2" t="s">
        <v>0</v>
      </c>
      <c r="E106" s="2" t="s">
        <v>130</v>
      </c>
      <c r="F106" s="2" t="s">
        <v>341</v>
      </c>
      <c r="G106" s="2" t="s">
        <v>342</v>
      </c>
      <c r="H106" s="2" t="s">
        <v>369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5291</v>
      </c>
      <c r="N106" s="2" t="s">
        <v>5236</v>
      </c>
      <c r="O106" s="2" t="s">
        <v>5070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324</v>
      </c>
      <c r="T106" s="2" t="str">
        <f t="shared" si="24"/>
        <v>0144</v>
      </c>
      <c r="U106" s="2">
        <f t="shared" si="29"/>
        <v>81</v>
      </c>
      <c r="V106" s="2" t="str">
        <f t="shared" si="25"/>
        <v>051</v>
      </c>
      <c r="W106" s="2" t="str">
        <f t="shared" si="26"/>
        <v/>
      </c>
      <c r="X106" s="2" t="str">
        <f t="shared" si="30"/>
        <v/>
      </c>
      <c r="Y106" s="2" t="str">
        <f t="shared" si="27"/>
        <v/>
      </c>
      <c r="Z106" s="2" t="str">
        <f t="shared" si="28"/>
        <v>X</v>
      </c>
      <c r="AA106" s="2" t="str">
        <f t="shared" si="31"/>
        <v/>
      </c>
      <c r="AB106" s="2" t="str">
        <f t="shared" si="32"/>
        <v/>
      </c>
      <c r="AC106" s="2" t="str">
        <f t="shared" si="33"/>
        <v/>
      </c>
      <c r="AD106" s="2" t="str">
        <f t="shared" si="34"/>
        <v>(0)</v>
      </c>
      <c r="AE106" s="2" t="str">
        <f t="shared" si="35"/>
        <v/>
      </c>
      <c r="AF106" s="2" t="str">
        <f t="shared" si="36"/>
        <v/>
      </c>
      <c r="AG106" s="2" t="str">
        <f t="shared" si="37"/>
        <v/>
      </c>
      <c r="AH106" s="2" t="str">
        <f t="shared" si="38"/>
        <v/>
      </c>
    </row>
    <row r="107" spans="2:34" x14ac:dyDescent="0.25">
      <c r="B107" s="2" t="s">
        <v>339</v>
      </c>
      <c r="C107" s="2" t="s">
        <v>370</v>
      </c>
      <c r="D107" s="2" t="s">
        <v>0</v>
      </c>
      <c r="E107" s="2" t="s">
        <v>130</v>
      </c>
      <c r="F107" s="2" t="s">
        <v>341</v>
      </c>
      <c r="G107" s="2" t="s">
        <v>342</v>
      </c>
      <c r="H107" s="2" t="s">
        <v>371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5291</v>
      </c>
      <c r="N107" s="2" t="s">
        <v>5236</v>
      </c>
      <c r="O107" s="2" t="s">
        <v>5071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328</v>
      </c>
      <c r="T107" s="2" t="str">
        <f t="shared" si="24"/>
        <v>0148</v>
      </c>
      <c r="U107" s="2">
        <f t="shared" si="29"/>
        <v>82</v>
      </c>
      <c r="V107" s="2" t="str">
        <f t="shared" si="25"/>
        <v>052</v>
      </c>
      <c r="W107" s="2" t="str">
        <f t="shared" si="26"/>
        <v/>
      </c>
      <c r="X107" s="2" t="str">
        <f t="shared" si="30"/>
        <v/>
      </c>
      <c r="Y107" s="2" t="str">
        <f t="shared" si="27"/>
        <v/>
      </c>
      <c r="Z107" s="2" t="str">
        <f t="shared" si="28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/>
      </c>
      <c r="AD107" s="2" t="str">
        <f t="shared" si="34"/>
        <v>(0)</v>
      </c>
      <c r="AE107" s="2" t="str">
        <f t="shared" si="35"/>
        <v/>
      </c>
      <c r="AF107" s="2" t="str">
        <f t="shared" si="36"/>
        <v/>
      </c>
      <c r="AG107" s="2" t="str">
        <f t="shared" si="37"/>
        <v/>
      </c>
      <c r="AH107" s="2" t="str">
        <f t="shared" si="38"/>
        <v/>
      </c>
    </row>
    <row r="108" spans="2:34" x14ac:dyDescent="0.25">
      <c r="B108" s="2" t="s">
        <v>339</v>
      </c>
      <c r="C108" s="2" t="s">
        <v>372</v>
      </c>
      <c r="D108" s="2" t="s">
        <v>0</v>
      </c>
      <c r="E108" s="2" t="s">
        <v>130</v>
      </c>
      <c r="F108" s="2" t="s">
        <v>341</v>
      </c>
      <c r="G108" s="2" t="s">
        <v>342</v>
      </c>
      <c r="H108" s="2" t="s">
        <v>373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5291</v>
      </c>
      <c r="N108" s="2" t="s">
        <v>5236</v>
      </c>
      <c r="O108" s="2" t="s">
        <v>5072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332</v>
      </c>
      <c r="T108" s="2" t="str">
        <f t="shared" si="24"/>
        <v>014C</v>
      </c>
      <c r="U108" s="2">
        <f t="shared" si="29"/>
        <v>83</v>
      </c>
      <c r="V108" s="2" t="str">
        <f t="shared" si="25"/>
        <v>053</v>
      </c>
      <c r="W108" s="2" t="str">
        <f t="shared" si="26"/>
        <v/>
      </c>
      <c r="X108" s="2" t="str">
        <f t="shared" si="30"/>
        <v/>
      </c>
      <c r="Y108" s="2" t="str">
        <f t="shared" si="27"/>
        <v/>
      </c>
      <c r="Z108" s="2" t="str">
        <f t="shared" si="28"/>
        <v>X</v>
      </c>
      <c r="AA108" s="2" t="str">
        <f t="shared" si="31"/>
        <v/>
      </c>
      <c r="AB108" s="2" t="str">
        <f t="shared" si="32"/>
        <v/>
      </c>
      <c r="AC108" s="2" t="str">
        <f t="shared" si="33"/>
        <v/>
      </c>
      <c r="AD108" s="2" t="str">
        <f t="shared" si="34"/>
        <v>(0)</v>
      </c>
      <c r="AE108" s="2" t="str">
        <f t="shared" si="35"/>
        <v/>
      </c>
      <c r="AF108" s="2" t="str">
        <f t="shared" si="36"/>
        <v/>
      </c>
      <c r="AG108" s="2" t="str">
        <f t="shared" si="37"/>
        <v/>
      </c>
      <c r="AH108" s="2" t="str">
        <f t="shared" si="38"/>
        <v/>
      </c>
    </row>
    <row r="109" spans="2:34" x14ac:dyDescent="0.25">
      <c r="B109" s="2" t="s">
        <v>339</v>
      </c>
      <c r="C109" s="2" t="s">
        <v>146</v>
      </c>
      <c r="D109" s="2" t="s">
        <v>0</v>
      </c>
      <c r="E109" s="2" t="s">
        <v>130</v>
      </c>
      <c r="F109" s="2" t="s">
        <v>341</v>
      </c>
      <c r="G109" s="2" t="s">
        <v>342</v>
      </c>
      <c r="H109" s="2" t="s">
        <v>149</v>
      </c>
      <c r="I109" s="2" t="s">
        <v>41</v>
      </c>
      <c r="J109" s="2">
        <v>2</v>
      </c>
      <c r="K109" s="2" t="s">
        <v>132</v>
      </c>
      <c r="L109" s="2" t="s">
        <v>40</v>
      </c>
      <c r="M109" s="2" t="s">
        <v>5291</v>
      </c>
      <c r="N109" s="2" t="s">
        <v>5236</v>
      </c>
      <c r="O109" s="2" t="s">
        <v>4987</v>
      </c>
      <c r="P109" s="2" t="s">
        <v>47</v>
      </c>
      <c r="Q109" s="2">
        <f>INDEX(Tables!$C$4:$C$28,MATCH($P109,Tables!$B$4:$B$28,0))</f>
        <v>8</v>
      </c>
      <c r="R109" s="2">
        <f>INDEX(Tables!$D$4:$D$28,MATCH($P109,Tables!$B$4:$B$28,0))</f>
        <v>1</v>
      </c>
      <c r="S109" s="2">
        <f>$S108+$R108+INDEX(Tables!$N$5:$Q$8,MATCH(MOD($S108+$R108,4),Tables!$M$5:$M$8,0),MATCH($R109,Tables!$N$4:$Q$4,0))</f>
        <v>336</v>
      </c>
      <c r="T109" s="2" t="str">
        <f t="shared" si="24"/>
        <v>0150</v>
      </c>
      <c r="U109" s="2">
        <f t="shared" si="29"/>
        <v>84</v>
      </c>
      <c r="V109" s="2" t="str">
        <f t="shared" si="25"/>
        <v>054</v>
      </c>
      <c r="W109" s="2" t="str">
        <f t="shared" si="26"/>
        <v/>
      </c>
      <c r="X109" s="2" t="str">
        <f t="shared" si="30"/>
        <v/>
      </c>
      <c r="Y109" s="2" t="str">
        <f t="shared" si="27"/>
        <v/>
      </c>
      <c r="Z109" s="2" t="str">
        <f t="shared" si="28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/>
      </c>
      <c r="AD109" s="2" t="str">
        <f t="shared" si="34"/>
        <v>(1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/>
      </c>
      <c r="AH109" s="2" t="str">
        <f t="shared" si="38"/>
        <v/>
      </c>
    </row>
    <row r="110" spans="2:34" x14ac:dyDescent="0.25">
      <c r="B110" s="2" t="s">
        <v>339</v>
      </c>
      <c r="C110" s="2" t="s">
        <v>374</v>
      </c>
      <c r="D110" s="2" t="s">
        <v>0</v>
      </c>
      <c r="E110" s="2" t="s">
        <v>130</v>
      </c>
      <c r="F110" s="2" t="s">
        <v>341</v>
      </c>
      <c r="G110" s="2" t="s">
        <v>342</v>
      </c>
      <c r="H110" s="2" t="s">
        <v>375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5291</v>
      </c>
      <c r="N110" s="2" t="s">
        <v>5236</v>
      </c>
      <c r="O110" s="2" t="s">
        <v>5073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340</v>
      </c>
      <c r="T110" s="2" t="str">
        <f t="shared" si="24"/>
        <v>0154</v>
      </c>
      <c r="U110" s="2">
        <f t="shared" si="29"/>
        <v>85</v>
      </c>
      <c r="V110" s="2" t="str">
        <f t="shared" si="25"/>
        <v>055</v>
      </c>
      <c r="W110" s="2" t="str">
        <f t="shared" si="26"/>
        <v/>
      </c>
      <c r="X110" s="2" t="str">
        <f t="shared" si="30"/>
        <v/>
      </c>
      <c r="Y110" s="2" t="str">
        <f t="shared" si="27"/>
        <v/>
      </c>
      <c r="Z110" s="2" t="str">
        <f t="shared" si="28"/>
        <v>X</v>
      </c>
      <c r="AA110" s="2" t="str">
        <f t="shared" si="31"/>
        <v/>
      </c>
      <c r="AB110" s="2" t="str">
        <f t="shared" si="32"/>
        <v/>
      </c>
      <c r="AC110" s="2" t="str">
        <f t="shared" si="33"/>
        <v/>
      </c>
      <c r="AD110" s="2" t="str">
        <f t="shared" si="34"/>
        <v>(0)</v>
      </c>
      <c r="AE110" s="2" t="str">
        <f t="shared" si="35"/>
        <v/>
      </c>
      <c r="AF110" s="2" t="str">
        <f t="shared" si="36"/>
        <v/>
      </c>
      <c r="AG110" s="2" t="str">
        <f t="shared" si="37"/>
        <v/>
      </c>
      <c r="AH110" s="2" t="str">
        <f t="shared" si="38"/>
        <v/>
      </c>
    </row>
    <row r="111" spans="2:34" x14ac:dyDescent="0.25">
      <c r="B111" s="2" t="s">
        <v>339</v>
      </c>
      <c r="C111" s="2" t="s">
        <v>376</v>
      </c>
      <c r="D111" s="2" t="s">
        <v>0</v>
      </c>
      <c r="E111" s="2" t="s">
        <v>130</v>
      </c>
      <c r="F111" s="2" t="s">
        <v>341</v>
      </c>
      <c r="G111" s="2" t="s">
        <v>342</v>
      </c>
      <c r="H111" s="2" t="s">
        <v>377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5291</v>
      </c>
      <c r="N111" s="2" t="s">
        <v>5236</v>
      </c>
      <c r="O111" s="2" t="s">
        <v>5074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344</v>
      </c>
      <c r="T111" s="2" t="str">
        <f t="shared" si="24"/>
        <v>0158</v>
      </c>
      <c r="U111" s="2">
        <f t="shared" si="29"/>
        <v>86</v>
      </c>
      <c r="V111" s="2" t="str">
        <f t="shared" si="25"/>
        <v>056</v>
      </c>
      <c r="W111" s="2" t="str">
        <f t="shared" si="26"/>
        <v/>
      </c>
      <c r="X111" s="2" t="str">
        <f t="shared" si="30"/>
        <v/>
      </c>
      <c r="Y111" s="2" t="str">
        <f t="shared" si="27"/>
        <v/>
      </c>
      <c r="Z111" s="2" t="str">
        <f t="shared" si="28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/>
      </c>
      <c r="AD111" s="2" t="str">
        <f t="shared" si="34"/>
        <v>(0)</v>
      </c>
      <c r="AE111" s="2" t="str">
        <f t="shared" si="35"/>
        <v/>
      </c>
      <c r="AF111" s="2" t="str">
        <f t="shared" si="36"/>
        <v/>
      </c>
      <c r="AG111" s="2" t="str">
        <f t="shared" si="37"/>
        <v/>
      </c>
      <c r="AH111" s="2" t="str">
        <f t="shared" si="38"/>
        <v/>
      </c>
    </row>
    <row r="112" spans="2:34" x14ac:dyDescent="0.25">
      <c r="B112" s="2" t="s">
        <v>339</v>
      </c>
      <c r="C112" s="2" t="s">
        <v>378</v>
      </c>
      <c r="D112" s="2" t="s">
        <v>0</v>
      </c>
      <c r="E112" s="2" t="s">
        <v>130</v>
      </c>
      <c r="F112" s="2" t="s">
        <v>341</v>
      </c>
      <c r="G112" s="2" t="s">
        <v>342</v>
      </c>
      <c r="H112" s="2" t="s">
        <v>379</v>
      </c>
      <c r="I112" s="2" t="s">
        <v>41</v>
      </c>
      <c r="J112" s="2">
        <v>1</v>
      </c>
      <c r="K112" s="2" t="s">
        <v>81</v>
      </c>
      <c r="L112" s="2" t="s">
        <v>40</v>
      </c>
      <c r="M112" s="2" t="s">
        <v>5291</v>
      </c>
      <c r="N112" s="2" t="s">
        <v>5236</v>
      </c>
      <c r="O112" s="2" t="s">
        <v>5075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348</v>
      </c>
      <c r="T112" s="2" t="str">
        <f t="shared" si="24"/>
        <v>015C</v>
      </c>
      <c r="U112" s="2">
        <f t="shared" si="29"/>
        <v>87</v>
      </c>
      <c r="V112" s="2" t="str">
        <f t="shared" si="25"/>
        <v>057</v>
      </c>
      <c r="W112" s="2" t="str">
        <f t="shared" si="26"/>
        <v/>
      </c>
      <c r="X112" s="2" t="str">
        <f t="shared" si="30"/>
        <v/>
      </c>
      <c r="Y112" s="2" t="str">
        <f t="shared" si="27"/>
        <v/>
      </c>
      <c r="Z112" s="2" t="str">
        <f t="shared" si="28"/>
        <v>X</v>
      </c>
      <c r="AA112" s="2" t="str">
        <f t="shared" si="31"/>
        <v/>
      </c>
      <c r="AB112" s="2" t="str">
        <f t="shared" si="32"/>
        <v/>
      </c>
      <c r="AC112" s="2" t="str">
        <f t="shared" si="33"/>
        <v/>
      </c>
      <c r="AD112" s="2" t="str">
        <f t="shared" si="34"/>
        <v>(0)</v>
      </c>
      <c r="AE112" s="2" t="str">
        <f t="shared" si="35"/>
        <v/>
      </c>
      <c r="AF112" s="2" t="str">
        <f t="shared" si="36"/>
        <v/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339</v>
      </c>
      <c r="C113" s="2" t="s">
        <v>380</v>
      </c>
      <c r="D113" s="2" t="s">
        <v>0</v>
      </c>
      <c r="E113" s="2" t="s">
        <v>130</v>
      </c>
      <c r="F113" s="2" t="s">
        <v>341</v>
      </c>
      <c r="G113" s="2" t="s">
        <v>342</v>
      </c>
      <c r="H113" s="2" t="s">
        <v>381</v>
      </c>
      <c r="I113" s="2" t="s">
        <v>41</v>
      </c>
      <c r="J113" s="2">
        <v>1</v>
      </c>
      <c r="K113" s="2" t="s">
        <v>81</v>
      </c>
      <c r="L113" s="2" t="s">
        <v>40</v>
      </c>
      <c r="M113" s="2" t="s">
        <v>5291</v>
      </c>
      <c r="N113" s="2" t="s">
        <v>5236</v>
      </c>
      <c r="O113" s="2" t="s">
        <v>5076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352</v>
      </c>
      <c r="T113" s="2" t="str">
        <f t="shared" si="24"/>
        <v>0160</v>
      </c>
      <c r="U113" s="2">
        <f t="shared" si="29"/>
        <v>88</v>
      </c>
      <c r="V113" s="2" t="str">
        <f t="shared" si="25"/>
        <v>058</v>
      </c>
      <c r="W113" s="2" t="str">
        <f t="shared" si="26"/>
        <v/>
      </c>
      <c r="X113" s="2" t="str">
        <f t="shared" si="30"/>
        <v/>
      </c>
      <c r="Y113" s="2" t="str">
        <f t="shared" si="27"/>
        <v/>
      </c>
      <c r="Z113" s="2" t="str">
        <f t="shared" si="28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/>
      </c>
      <c r="AD113" s="2" t="str">
        <f t="shared" si="34"/>
        <v>(0)</v>
      </c>
      <c r="AE113" s="2" t="str">
        <f t="shared" si="35"/>
        <v/>
      </c>
      <c r="AF113" s="2" t="str">
        <f t="shared" si="36"/>
        <v/>
      </c>
      <c r="AG113" s="2" t="str">
        <f t="shared" si="37"/>
        <v/>
      </c>
      <c r="AH113" s="2" t="str">
        <f t="shared" si="38"/>
        <v/>
      </c>
    </row>
    <row r="114" spans="2:34" x14ac:dyDescent="0.25">
      <c r="B114" s="2" t="s">
        <v>339</v>
      </c>
      <c r="C114" s="2" t="s">
        <v>157</v>
      </c>
      <c r="D114" s="2" t="s">
        <v>0</v>
      </c>
      <c r="E114" s="2" t="s">
        <v>130</v>
      </c>
      <c r="F114" s="2" t="s">
        <v>341</v>
      </c>
      <c r="G114" s="2" t="s">
        <v>342</v>
      </c>
      <c r="H114" s="2" t="s">
        <v>158</v>
      </c>
      <c r="I114" s="2" t="s">
        <v>41</v>
      </c>
      <c r="J114" s="2">
        <v>1</v>
      </c>
      <c r="K114" s="2" t="s">
        <v>81</v>
      </c>
      <c r="L114" s="2" t="s">
        <v>40</v>
      </c>
      <c r="M114" s="2" t="s">
        <v>5291</v>
      </c>
      <c r="N114" s="2" t="s">
        <v>5236</v>
      </c>
      <c r="O114" s="2" t="s">
        <v>5001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356</v>
      </c>
      <c r="T114" s="2" t="str">
        <f t="shared" si="24"/>
        <v>0164</v>
      </c>
      <c r="U114" s="2">
        <f t="shared" si="29"/>
        <v>89</v>
      </c>
      <c r="V114" s="2" t="str">
        <f t="shared" si="25"/>
        <v>059</v>
      </c>
      <c r="W114" s="2" t="str">
        <f t="shared" si="26"/>
        <v/>
      </c>
      <c r="X114" s="2" t="str">
        <f t="shared" si="30"/>
        <v/>
      </c>
      <c r="Y114" s="2" t="str">
        <f t="shared" si="27"/>
        <v/>
      </c>
      <c r="Z114" s="2" t="str">
        <f t="shared" si="28"/>
        <v>X</v>
      </c>
      <c r="AA114" s="2" t="str">
        <f t="shared" si="31"/>
        <v/>
      </c>
      <c r="AB114" s="2" t="str">
        <f t="shared" si="32"/>
        <v/>
      </c>
      <c r="AC114" s="2" t="str">
        <f t="shared" si="33"/>
        <v/>
      </c>
      <c r="AD114" s="2" t="str">
        <f t="shared" si="34"/>
        <v>(0)</v>
      </c>
      <c r="AE114" s="2" t="str">
        <f t="shared" si="35"/>
        <v/>
      </c>
      <c r="AF114" s="2" t="str">
        <f t="shared" si="36"/>
        <v/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339</v>
      </c>
      <c r="C115" s="2" t="s">
        <v>382</v>
      </c>
      <c r="D115" s="2" t="s">
        <v>0</v>
      </c>
      <c r="E115" s="2" t="s">
        <v>130</v>
      </c>
      <c r="F115" s="2" t="s">
        <v>341</v>
      </c>
      <c r="G115" s="2" t="s">
        <v>342</v>
      </c>
      <c r="H115" s="2" t="s">
        <v>383</v>
      </c>
      <c r="I115" s="2" t="s">
        <v>41</v>
      </c>
      <c r="J115" s="2">
        <v>1</v>
      </c>
      <c r="K115" s="2" t="s">
        <v>81</v>
      </c>
      <c r="L115" s="2" t="s">
        <v>40</v>
      </c>
      <c r="M115" s="2" t="s">
        <v>5291</v>
      </c>
      <c r="N115" s="2" t="s">
        <v>5236</v>
      </c>
      <c r="O115" s="2" t="s">
        <v>5077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360</v>
      </c>
      <c r="T115" s="2" t="str">
        <f t="shared" si="24"/>
        <v>0168</v>
      </c>
      <c r="U115" s="2">
        <f t="shared" si="29"/>
        <v>90</v>
      </c>
      <c r="V115" s="2" t="str">
        <f t="shared" si="25"/>
        <v>05A</v>
      </c>
      <c r="W115" s="2" t="str">
        <f t="shared" si="26"/>
        <v/>
      </c>
      <c r="X115" s="2" t="str">
        <f t="shared" si="30"/>
        <v/>
      </c>
      <c r="Y115" s="2" t="str">
        <f t="shared" si="27"/>
        <v/>
      </c>
      <c r="Z115" s="2" t="str">
        <f t="shared" si="28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/>
      </c>
      <c r="AD115" s="2" t="str">
        <f t="shared" si="34"/>
        <v>(0)</v>
      </c>
      <c r="AE115" s="2" t="str">
        <f t="shared" si="35"/>
        <v/>
      </c>
      <c r="AF115" s="2" t="str">
        <f t="shared" si="36"/>
        <v/>
      </c>
      <c r="AG115" s="2" t="str">
        <f t="shared" si="37"/>
        <v/>
      </c>
      <c r="AH115" s="2" t="str">
        <f t="shared" si="38"/>
        <v/>
      </c>
    </row>
    <row r="116" spans="2:34" x14ac:dyDescent="0.25">
      <c r="B116" s="2" t="s">
        <v>339</v>
      </c>
      <c r="C116" s="2" t="s">
        <v>384</v>
      </c>
      <c r="D116" s="2" t="s">
        <v>0</v>
      </c>
      <c r="E116" s="2" t="s">
        <v>130</v>
      </c>
      <c r="F116" s="2" t="s">
        <v>341</v>
      </c>
      <c r="G116" s="2" t="s">
        <v>342</v>
      </c>
      <c r="H116" s="2" t="s">
        <v>385</v>
      </c>
      <c r="I116" s="2" t="s">
        <v>41</v>
      </c>
      <c r="J116" s="2">
        <v>1</v>
      </c>
      <c r="K116" s="2" t="s">
        <v>81</v>
      </c>
      <c r="L116" s="2" t="s">
        <v>40</v>
      </c>
      <c r="M116" s="2" t="s">
        <v>5291</v>
      </c>
      <c r="N116" s="2" t="s">
        <v>5236</v>
      </c>
      <c r="O116" s="2" t="s">
        <v>5078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364</v>
      </c>
      <c r="T116" s="2" t="str">
        <f t="shared" si="24"/>
        <v>016C</v>
      </c>
      <c r="U116" s="2">
        <f t="shared" si="29"/>
        <v>91</v>
      </c>
      <c r="V116" s="2" t="str">
        <f t="shared" si="25"/>
        <v>05B</v>
      </c>
      <c r="W116" s="2" t="str">
        <f t="shared" si="26"/>
        <v/>
      </c>
      <c r="X116" s="2" t="str">
        <f t="shared" si="30"/>
        <v/>
      </c>
      <c r="Y116" s="2" t="str">
        <f t="shared" si="27"/>
        <v/>
      </c>
      <c r="Z116" s="2" t="str">
        <f t="shared" si="28"/>
        <v>X</v>
      </c>
      <c r="AA116" s="2" t="str">
        <f t="shared" si="31"/>
        <v/>
      </c>
      <c r="AB116" s="2" t="str">
        <f t="shared" si="32"/>
        <v/>
      </c>
      <c r="AC116" s="2" t="str">
        <f t="shared" si="33"/>
        <v/>
      </c>
      <c r="AD116" s="2" t="str">
        <f t="shared" si="34"/>
        <v>(0)</v>
      </c>
      <c r="AE116" s="2" t="str">
        <f t="shared" si="35"/>
        <v/>
      </c>
      <c r="AF116" s="2" t="str">
        <f t="shared" si="36"/>
        <v/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339</v>
      </c>
      <c r="C117" s="2" t="s">
        <v>386</v>
      </c>
      <c r="D117" s="2" t="s">
        <v>0</v>
      </c>
      <c r="E117" s="2" t="s">
        <v>130</v>
      </c>
      <c r="F117" s="2" t="s">
        <v>341</v>
      </c>
      <c r="G117" s="2" t="s">
        <v>342</v>
      </c>
      <c r="H117" s="2" t="s">
        <v>387</v>
      </c>
      <c r="I117" s="2" t="s">
        <v>41</v>
      </c>
      <c r="J117" s="2">
        <v>1</v>
      </c>
      <c r="K117" s="2" t="s">
        <v>81</v>
      </c>
      <c r="L117" s="2" t="s">
        <v>40</v>
      </c>
      <c r="M117" s="2" t="s">
        <v>5291</v>
      </c>
      <c r="N117" s="2" t="s">
        <v>5236</v>
      </c>
      <c r="O117" s="2" t="s">
        <v>5079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368</v>
      </c>
      <c r="T117" s="2" t="str">
        <f t="shared" si="24"/>
        <v>0170</v>
      </c>
      <c r="U117" s="2">
        <f t="shared" si="29"/>
        <v>92</v>
      </c>
      <c r="V117" s="2" t="str">
        <f t="shared" si="25"/>
        <v>05C</v>
      </c>
      <c r="W117" s="2" t="str">
        <f t="shared" si="26"/>
        <v/>
      </c>
      <c r="X117" s="2" t="str">
        <f t="shared" si="30"/>
        <v/>
      </c>
      <c r="Y117" s="2" t="str">
        <f t="shared" si="27"/>
        <v/>
      </c>
      <c r="Z117" s="2" t="str">
        <f t="shared" si="28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/>
      </c>
      <c r="AD117" s="2" t="str">
        <f t="shared" si="34"/>
        <v>(0)</v>
      </c>
      <c r="AE117" s="2" t="str">
        <f t="shared" si="35"/>
        <v/>
      </c>
      <c r="AF117" s="2" t="str">
        <f t="shared" si="36"/>
        <v/>
      </c>
      <c r="AG117" s="2" t="str">
        <f t="shared" si="37"/>
        <v/>
      </c>
      <c r="AH117" s="2" t="str">
        <f t="shared" si="38"/>
        <v/>
      </c>
    </row>
    <row r="118" spans="2:34" x14ac:dyDescent="0.25">
      <c r="B118" s="2" t="s">
        <v>339</v>
      </c>
      <c r="C118" s="2" t="s">
        <v>388</v>
      </c>
      <c r="D118" s="2" t="s">
        <v>0</v>
      </c>
      <c r="E118" s="2" t="s">
        <v>130</v>
      </c>
      <c r="F118" s="2" t="s">
        <v>341</v>
      </c>
      <c r="G118" s="2" t="s">
        <v>342</v>
      </c>
      <c r="H118" s="2" t="s">
        <v>389</v>
      </c>
      <c r="I118" s="2" t="s">
        <v>41</v>
      </c>
      <c r="J118" s="2">
        <v>1</v>
      </c>
      <c r="K118" s="2" t="s">
        <v>81</v>
      </c>
      <c r="L118" s="2" t="s">
        <v>40</v>
      </c>
      <c r="M118" s="2" t="s">
        <v>5291</v>
      </c>
      <c r="N118" s="2" t="s">
        <v>5236</v>
      </c>
      <c r="O118" s="2" t="s">
        <v>5080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372</v>
      </c>
      <c r="T118" s="2" t="str">
        <f t="shared" si="24"/>
        <v>0174</v>
      </c>
      <c r="U118" s="2">
        <f t="shared" si="29"/>
        <v>93</v>
      </c>
      <c r="V118" s="2" t="str">
        <f t="shared" si="25"/>
        <v>05D</v>
      </c>
      <c r="W118" s="2" t="str">
        <f t="shared" si="26"/>
        <v/>
      </c>
      <c r="X118" s="2" t="str">
        <f t="shared" si="30"/>
        <v/>
      </c>
      <c r="Y118" s="2" t="str">
        <f t="shared" si="27"/>
        <v/>
      </c>
      <c r="Z118" s="2" t="str">
        <f t="shared" si="28"/>
        <v>X</v>
      </c>
      <c r="AA118" s="2" t="str">
        <f t="shared" si="31"/>
        <v/>
      </c>
      <c r="AB118" s="2" t="str">
        <f t="shared" si="32"/>
        <v/>
      </c>
      <c r="AC118" s="2" t="str">
        <f t="shared" si="33"/>
        <v/>
      </c>
      <c r="AD118" s="2" t="str">
        <f t="shared" si="34"/>
        <v>(0)</v>
      </c>
      <c r="AE118" s="2" t="str">
        <f t="shared" si="35"/>
        <v/>
      </c>
      <c r="AF118" s="2" t="str">
        <f t="shared" si="36"/>
        <v/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339</v>
      </c>
      <c r="C119" s="2" t="s">
        <v>390</v>
      </c>
      <c r="D119" s="2" t="s">
        <v>0</v>
      </c>
      <c r="E119" s="2" t="s">
        <v>130</v>
      </c>
      <c r="F119" s="2" t="s">
        <v>341</v>
      </c>
      <c r="G119" s="2" t="s">
        <v>342</v>
      </c>
      <c r="H119" s="2" t="s">
        <v>391</v>
      </c>
      <c r="I119" s="2" t="s">
        <v>41</v>
      </c>
      <c r="J119" s="2">
        <v>1</v>
      </c>
      <c r="K119" s="2" t="s">
        <v>81</v>
      </c>
      <c r="L119" s="2" t="s">
        <v>40</v>
      </c>
      <c r="M119" s="2" t="s">
        <v>5291</v>
      </c>
      <c r="N119" s="2" t="s">
        <v>5236</v>
      </c>
      <c r="O119" s="2" t="s">
        <v>5081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376</v>
      </c>
      <c r="T119" s="2" t="str">
        <f t="shared" si="24"/>
        <v>0178</v>
      </c>
      <c r="U119" s="2">
        <f t="shared" si="29"/>
        <v>94</v>
      </c>
      <c r="V119" s="2" t="str">
        <f t="shared" si="25"/>
        <v>05E</v>
      </c>
      <c r="W119" s="2" t="str">
        <f t="shared" si="26"/>
        <v/>
      </c>
      <c r="X119" s="2" t="str">
        <f t="shared" si="30"/>
        <v/>
      </c>
      <c r="Y119" s="2" t="str">
        <f t="shared" si="27"/>
        <v/>
      </c>
      <c r="Z119" s="2" t="str">
        <f t="shared" si="28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/>
      </c>
      <c r="AD119" s="2" t="str">
        <f t="shared" si="34"/>
        <v>(0)</v>
      </c>
      <c r="AE119" s="2" t="str">
        <f t="shared" si="35"/>
        <v/>
      </c>
      <c r="AF119" s="2" t="str">
        <f t="shared" si="36"/>
        <v/>
      </c>
      <c r="AG119" s="2" t="str">
        <f t="shared" si="37"/>
        <v/>
      </c>
      <c r="AH119" s="2" t="str">
        <f t="shared" si="38"/>
        <v/>
      </c>
    </row>
    <row r="120" spans="2:34" x14ac:dyDescent="0.25">
      <c r="B120" s="2" t="s">
        <v>339</v>
      </c>
      <c r="C120" s="2" t="s">
        <v>392</v>
      </c>
      <c r="D120" s="2" t="s">
        <v>0</v>
      </c>
      <c r="E120" s="2" t="s">
        <v>130</v>
      </c>
      <c r="F120" s="2" t="s">
        <v>341</v>
      </c>
      <c r="G120" s="2" t="s">
        <v>342</v>
      </c>
      <c r="H120" s="2" t="s">
        <v>393</v>
      </c>
      <c r="I120" s="2" t="s">
        <v>41</v>
      </c>
      <c r="J120" s="2">
        <v>1</v>
      </c>
      <c r="K120" s="2" t="s">
        <v>81</v>
      </c>
      <c r="L120" s="2" t="s">
        <v>40</v>
      </c>
      <c r="M120" s="2" t="s">
        <v>5291</v>
      </c>
      <c r="N120" s="2" t="s">
        <v>5236</v>
      </c>
      <c r="O120" s="2" t="s">
        <v>5082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380</v>
      </c>
      <c r="T120" s="2" t="str">
        <f t="shared" si="24"/>
        <v>017C</v>
      </c>
      <c r="U120" s="2">
        <f t="shared" si="29"/>
        <v>95</v>
      </c>
      <c r="V120" s="2" t="str">
        <f t="shared" si="25"/>
        <v>05F</v>
      </c>
      <c r="W120" s="2" t="str">
        <f t="shared" si="26"/>
        <v/>
      </c>
      <c r="X120" s="2" t="str">
        <f t="shared" si="30"/>
        <v/>
      </c>
      <c r="Y120" s="2" t="str">
        <f t="shared" si="27"/>
        <v/>
      </c>
      <c r="Z120" s="2" t="str">
        <f t="shared" si="28"/>
        <v>X</v>
      </c>
      <c r="AA120" s="2" t="str">
        <f t="shared" si="31"/>
        <v/>
      </c>
      <c r="AB120" s="2" t="str">
        <f t="shared" si="32"/>
        <v/>
      </c>
      <c r="AC120" s="2" t="str">
        <f t="shared" si="33"/>
        <v/>
      </c>
      <c r="AD120" s="2" t="str">
        <f t="shared" si="34"/>
        <v>(0)</v>
      </c>
      <c r="AE120" s="2" t="str">
        <f t="shared" si="35"/>
        <v/>
      </c>
      <c r="AF120" s="2" t="str">
        <f t="shared" si="36"/>
        <v/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339</v>
      </c>
      <c r="C121" s="2" t="s">
        <v>394</v>
      </c>
      <c r="D121" s="2" t="s">
        <v>0</v>
      </c>
      <c r="E121" s="2" t="s">
        <v>130</v>
      </c>
      <c r="F121" s="2" t="s">
        <v>341</v>
      </c>
      <c r="G121" s="2" t="s">
        <v>342</v>
      </c>
      <c r="H121" s="2" t="s">
        <v>395</v>
      </c>
      <c r="I121" s="2" t="s">
        <v>41</v>
      </c>
      <c r="J121" s="2">
        <v>1</v>
      </c>
      <c r="K121" s="2" t="s">
        <v>81</v>
      </c>
      <c r="L121" s="2" t="s">
        <v>40</v>
      </c>
      <c r="M121" s="2" t="s">
        <v>5291</v>
      </c>
      <c r="N121" s="2" t="s">
        <v>5236</v>
      </c>
      <c r="O121" s="2" t="s">
        <v>5083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384</v>
      </c>
      <c r="T121" s="2" t="str">
        <f t="shared" si="24"/>
        <v>0180</v>
      </c>
      <c r="U121" s="2">
        <f t="shared" si="29"/>
        <v>96</v>
      </c>
      <c r="V121" s="2" t="str">
        <f t="shared" si="25"/>
        <v>060</v>
      </c>
      <c r="W121" s="2" t="str">
        <f t="shared" si="26"/>
        <v/>
      </c>
      <c r="X121" s="2" t="str">
        <f t="shared" si="30"/>
        <v/>
      </c>
      <c r="Y121" s="2" t="str">
        <f t="shared" si="27"/>
        <v/>
      </c>
      <c r="Z121" s="2" t="str">
        <f t="shared" si="28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/>
      </c>
      <c r="AD121" s="2" t="str">
        <f t="shared" si="34"/>
        <v>(0)</v>
      </c>
      <c r="AE121" s="2" t="str">
        <f t="shared" si="35"/>
        <v/>
      </c>
      <c r="AF121" s="2" t="str">
        <f t="shared" si="36"/>
        <v/>
      </c>
      <c r="AG121" s="2" t="str">
        <f t="shared" si="37"/>
        <v/>
      </c>
      <c r="AH121" s="2" t="str">
        <f t="shared" si="38"/>
        <v/>
      </c>
    </row>
    <row r="122" spans="2:34" x14ac:dyDescent="0.25">
      <c r="B122" s="2" t="s">
        <v>339</v>
      </c>
      <c r="C122" s="2" t="s">
        <v>396</v>
      </c>
      <c r="D122" s="2" t="s">
        <v>0</v>
      </c>
      <c r="E122" s="2" t="s">
        <v>130</v>
      </c>
      <c r="F122" s="2" t="s">
        <v>341</v>
      </c>
      <c r="G122" s="2" t="s">
        <v>342</v>
      </c>
      <c r="H122" s="2" t="s">
        <v>397</v>
      </c>
      <c r="I122" s="2" t="s">
        <v>41</v>
      </c>
      <c r="J122" s="2">
        <v>1</v>
      </c>
      <c r="K122" s="2" t="s">
        <v>81</v>
      </c>
      <c r="L122" s="2" t="s">
        <v>40</v>
      </c>
      <c r="M122" s="2" t="s">
        <v>5291</v>
      </c>
      <c r="N122" s="2" t="s">
        <v>5236</v>
      </c>
      <c r="O122" s="2" t="s">
        <v>5084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388</v>
      </c>
      <c r="T122" s="2" t="str">
        <f t="shared" si="24"/>
        <v>0184</v>
      </c>
      <c r="U122" s="2">
        <f t="shared" si="29"/>
        <v>97</v>
      </c>
      <c r="V122" s="2" t="str">
        <f t="shared" si="25"/>
        <v>061</v>
      </c>
      <c r="W122" s="2" t="str">
        <f t="shared" si="26"/>
        <v/>
      </c>
      <c r="X122" s="2" t="str">
        <f t="shared" si="30"/>
        <v/>
      </c>
      <c r="Y122" s="2" t="str">
        <f t="shared" si="27"/>
        <v/>
      </c>
      <c r="Z122" s="2" t="str">
        <f t="shared" si="28"/>
        <v>X</v>
      </c>
      <c r="AA122" s="2" t="str">
        <f t="shared" si="31"/>
        <v/>
      </c>
      <c r="AB122" s="2" t="str">
        <f t="shared" si="32"/>
        <v/>
      </c>
      <c r="AC122" s="2" t="str">
        <f t="shared" si="33"/>
        <v/>
      </c>
      <c r="AD122" s="2" t="str">
        <f t="shared" si="34"/>
        <v>(0)</v>
      </c>
      <c r="AE122" s="2" t="str">
        <f t="shared" si="35"/>
        <v/>
      </c>
      <c r="AF122" s="2" t="str">
        <f t="shared" si="36"/>
        <v/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339</v>
      </c>
      <c r="C123" s="2" t="s">
        <v>398</v>
      </c>
      <c r="D123" s="2" t="s">
        <v>0</v>
      </c>
      <c r="E123" s="2" t="s">
        <v>130</v>
      </c>
      <c r="F123" s="2" t="s">
        <v>341</v>
      </c>
      <c r="G123" s="2" t="s">
        <v>342</v>
      </c>
      <c r="H123" s="2" t="s">
        <v>399</v>
      </c>
      <c r="I123" s="2" t="s">
        <v>41</v>
      </c>
      <c r="J123" s="2">
        <v>1</v>
      </c>
      <c r="K123" s="2" t="s">
        <v>81</v>
      </c>
      <c r="L123" s="2" t="s">
        <v>40</v>
      </c>
      <c r="M123" s="2" t="s">
        <v>5291</v>
      </c>
      <c r="N123" s="2" t="s">
        <v>5236</v>
      </c>
      <c r="O123" s="2" t="s">
        <v>5085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392</v>
      </c>
      <c r="T123" s="2" t="str">
        <f t="shared" si="24"/>
        <v>0188</v>
      </c>
      <c r="U123" s="2">
        <f t="shared" si="29"/>
        <v>98</v>
      </c>
      <c r="V123" s="2" t="str">
        <f t="shared" si="25"/>
        <v>062</v>
      </c>
      <c r="W123" s="2" t="str">
        <f t="shared" si="26"/>
        <v/>
      </c>
      <c r="X123" s="2" t="str">
        <f t="shared" si="30"/>
        <v/>
      </c>
      <c r="Y123" s="2" t="str">
        <f t="shared" si="27"/>
        <v/>
      </c>
      <c r="Z123" s="2" t="str">
        <f t="shared" si="28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/>
      </c>
      <c r="AD123" s="2" t="str">
        <f t="shared" si="34"/>
        <v>(0)</v>
      </c>
      <c r="AE123" s="2" t="str">
        <f t="shared" si="35"/>
        <v/>
      </c>
      <c r="AF123" s="2" t="str">
        <f t="shared" si="36"/>
        <v/>
      </c>
      <c r="AG123" s="2" t="str">
        <f t="shared" si="37"/>
        <v/>
      </c>
      <c r="AH123" s="2" t="str">
        <f t="shared" si="38"/>
        <v/>
      </c>
    </row>
    <row r="124" spans="2:34" x14ac:dyDescent="0.25">
      <c r="B124" s="2" t="s">
        <v>400</v>
      </c>
      <c r="C124" s="2" t="s">
        <v>401</v>
      </c>
      <c r="D124" s="2" t="s">
        <v>0</v>
      </c>
      <c r="E124" s="2" t="s">
        <v>130</v>
      </c>
      <c r="F124" s="2" t="s">
        <v>402</v>
      </c>
      <c r="G124" s="2" t="s">
        <v>403</v>
      </c>
      <c r="H124" s="2" t="s">
        <v>404</v>
      </c>
      <c r="I124" s="2" t="s">
        <v>41</v>
      </c>
      <c r="J124" s="2">
        <v>1</v>
      </c>
      <c r="K124" s="2" t="s">
        <v>81</v>
      </c>
      <c r="L124" s="2" t="s">
        <v>40</v>
      </c>
      <c r="M124" s="2" t="s">
        <v>5291</v>
      </c>
      <c r="N124" s="2" t="s">
        <v>5237</v>
      </c>
      <c r="O124" s="2" t="s">
        <v>5086</v>
      </c>
      <c r="P124" s="2" t="s">
        <v>4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396</v>
      </c>
      <c r="T124" s="2" t="str">
        <f t="shared" si="24"/>
        <v>018C</v>
      </c>
      <c r="U124" s="2">
        <f t="shared" si="29"/>
        <v>99</v>
      </c>
      <c r="V124" s="2" t="str">
        <f t="shared" si="25"/>
        <v>063</v>
      </c>
      <c r="W124" s="2" t="str">
        <f t="shared" si="26"/>
        <v/>
      </c>
      <c r="X124" s="2" t="str">
        <f t="shared" si="30"/>
        <v/>
      </c>
      <c r="Y124" s="2" t="str">
        <f t="shared" si="27"/>
        <v/>
      </c>
      <c r="Z124" s="2" t="str">
        <f t="shared" si="28"/>
        <v>X</v>
      </c>
      <c r="AA124" s="2" t="str">
        <f t="shared" si="31"/>
        <v/>
      </c>
      <c r="AB124" s="2" t="str">
        <f t="shared" si="32"/>
        <v/>
      </c>
      <c r="AC124" s="2" t="str">
        <f t="shared" si="33"/>
        <v/>
      </c>
      <c r="AD124" s="2" t="str">
        <f t="shared" si="34"/>
        <v>(0)</v>
      </c>
      <c r="AE124" s="2" t="str">
        <f t="shared" si="35"/>
        <v/>
      </c>
      <c r="AF124" s="2" t="str">
        <f t="shared" si="36"/>
        <v/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400</v>
      </c>
      <c r="C125" s="2" t="s">
        <v>405</v>
      </c>
      <c r="D125" s="2" t="s">
        <v>0</v>
      </c>
      <c r="E125" s="2" t="s">
        <v>130</v>
      </c>
      <c r="F125" s="2" t="s">
        <v>402</v>
      </c>
      <c r="G125" s="2" t="s">
        <v>403</v>
      </c>
      <c r="H125" s="2" t="s">
        <v>406</v>
      </c>
      <c r="I125" s="2" t="s">
        <v>41</v>
      </c>
      <c r="J125" s="2">
        <v>1</v>
      </c>
      <c r="K125" s="2" t="s">
        <v>81</v>
      </c>
      <c r="L125" s="2" t="s">
        <v>40</v>
      </c>
      <c r="M125" s="2" t="s">
        <v>5291</v>
      </c>
      <c r="N125" s="2" t="s">
        <v>5237</v>
      </c>
      <c r="O125" s="2" t="s">
        <v>5087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400</v>
      </c>
      <c r="T125" s="2" t="str">
        <f t="shared" si="24"/>
        <v>0190</v>
      </c>
      <c r="U125" s="2">
        <f t="shared" si="29"/>
        <v>100</v>
      </c>
      <c r="V125" s="2" t="str">
        <f t="shared" si="25"/>
        <v>064</v>
      </c>
      <c r="W125" s="2" t="str">
        <f t="shared" si="26"/>
        <v/>
      </c>
      <c r="X125" s="2" t="str">
        <f t="shared" si="30"/>
        <v/>
      </c>
      <c r="Y125" s="2" t="str">
        <f t="shared" si="27"/>
        <v/>
      </c>
      <c r="Z125" s="2" t="str">
        <f t="shared" si="28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/>
      </c>
      <c r="AD125" s="2" t="str">
        <f t="shared" si="34"/>
        <v>(0)</v>
      </c>
      <c r="AE125" s="2" t="str">
        <f t="shared" si="35"/>
        <v/>
      </c>
      <c r="AF125" s="2" t="str">
        <f t="shared" si="36"/>
        <v/>
      </c>
      <c r="AG125" s="2" t="str">
        <f t="shared" si="37"/>
        <v/>
      </c>
      <c r="AH125" s="2" t="str">
        <f t="shared" si="38"/>
        <v/>
      </c>
    </row>
    <row r="126" spans="2:34" x14ac:dyDescent="0.25">
      <c r="B126" s="2" t="s">
        <v>400</v>
      </c>
      <c r="C126" s="2" t="s">
        <v>407</v>
      </c>
      <c r="D126" s="2" t="s">
        <v>0</v>
      </c>
      <c r="E126" s="2" t="s">
        <v>130</v>
      </c>
      <c r="F126" s="2" t="s">
        <v>402</v>
      </c>
      <c r="G126" s="2" t="s">
        <v>403</v>
      </c>
      <c r="H126" s="2" t="s">
        <v>408</v>
      </c>
      <c r="I126" s="2" t="s">
        <v>41</v>
      </c>
      <c r="J126" s="2">
        <v>1</v>
      </c>
      <c r="K126" s="2" t="s">
        <v>81</v>
      </c>
      <c r="L126" s="2" t="s">
        <v>40</v>
      </c>
      <c r="M126" s="2" t="s">
        <v>5291</v>
      </c>
      <c r="N126" s="2" t="s">
        <v>5237</v>
      </c>
      <c r="O126" s="2" t="s">
        <v>5088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404</v>
      </c>
      <c r="T126" s="2" t="str">
        <f t="shared" si="24"/>
        <v>0194</v>
      </c>
      <c r="U126" s="2">
        <f t="shared" si="29"/>
        <v>101</v>
      </c>
      <c r="V126" s="2" t="str">
        <f t="shared" si="25"/>
        <v>065</v>
      </c>
      <c r="W126" s="2" t="str">
        <f t="shared" si="26"/>
        <v/>
      </c>
      <c r="X126" s="2" t="str">
        <f t="shared" si="30"/>
        <v/>
      </c>
      <c r="Y126" s="2" t="str">
        <f t="shared" si="27"/>
        <v/>
      </c>
      <c r="Z126" s="2" t="str">
        <f t="shared" si="28"/>
        <v>X</v>
      </c>
      <c r="AA126" s="2" t="str">
        <f t="shared" si="31"/>
        <v/>
      </c>
      <c r="AB126" s="2" t="str">
        <f t="shared" si="32"/>
        <v/>
      </c>
      <c r="AC126" s="2" t="str">
        <f t="shared" si="33"/>
        <v/>
      </c>
      <c r="AD126" s="2" t="str">
        <f t="shared" si="34"/>
        <v>(0)</v>
      </c>
      <c r="AE126" s="2" t="str">
        <f t="shared" si="35"/>
        <v/>
      </c>
      <c r="AF126" s="2" t="str">
        <f t="shared" si="36"/>
        <v/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400</v>
      </c>
      <c r="C127" s="2" t="s">
        <v>409</v>
      </c>
      <c r="D127" s="2" t="s">
        <v>0</v>
      </c>
      <c r="E127" s="2" t="s">
        <v>130</v>
      </c>
      <c r="F127" s="2" t="s">
        <v>402</v>
      </c>
      <c r="G127" s="2" t="s">
        <v>403</v>
      </c>
      <c r="H127" s="2" t="s">
        <v>410</v>
      </c>
      <c r="I127" s="2" t="s">
        <v>41</v>
      </c>
      <c r="J127" s="2">
        <v>1</v>
      </c>
      <c r="K127" s="2" t="s">
        <v>81</v>
      </c>
      <c r="L127" s="2" t="s">
        <v>40</v>
      </c>
      <c r="M127" s="2" t="s">
        <v>5291</v>
      </c>
      <c r="N127" s="2" t="s">
        <v>5237</v>
      </c>
      <c r="O127" s="2" t="s">
        <v>5089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408</v>
      </c>
      <c r="T127" s="2" t="str">
        <f t="shared" si="24"/>
        <v>0198</v>
      </c>
      <c r="U127" s="2">
        <f t="shared" si="29"/>
        <v>102</v>
      </c>
      <c r="V127" s="2" t="str">
        <f t="shared" si="25"/>
        <v>066</v>
      </c>
      <c r="W127" s="2" t="str">
        <f t="shared" si="26"/>
        <v/>
      </c>
      <c r="X127" s="2" t="str">
        <f t="shared" si="30"/>
        <v/>
      </c>
      <c r="Y127" s="2" t="str">
        <f t="shared" si="27"/>
        <v/>
      </c>
      <c r="Z127" s="2" t="str">
        <f t="shared" si="28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/>
      </c>
      <c r="AD127" s="2" t="str">
        <f t="shared" si="34"/>
        <v>(0)</v>
      </c>
      <c r="AE127" s="2" t="str">
        <f t="shared" si="35"/>
        <v/>
      </c>
      <c r="AF127" s="2" t="str">
        <f t="shared" si="36"/>
        <v/>
      </c>
      <c r="AG127" s="2" t="str">
        <f t="shared" si="37"/>
        <v/>
      </c>
      <c r="AH127" s="2" t="str">
        <f t="shared" si="38"/>
        <v/>
      </c>
    </row>
    <row r="128" spans="2:34" x14ac:dyDescent="0.25">
      <c r="B128" s="2" t="s">
        <v>400</v>
      </c>
      <c r="C128" s="2" t="s">
        <v>411</v>
      </c>
      <c r="D128" s="2" t="s">
        <v>0</v>
      </c>
      <c r="E128" s="2" t="s">
        <v>130</v>
      </c>
      <c r="F128" s="2" t="s">
        <v>402</v>
      </c>
      <c r="G128" s="2" t="s">
        <v>403</v>
      </c>
      <c r="H128" s="2" t="s">
        <v>412</v>
      </c>
      <c r="I128" s="2" t="s">
        <v>41</v>
      </c>
      <c r="J128" s="2">
        <v>1</v>
      </c>
      <c r="K128" s="2" t="s">
        <v>81</v>
      </c>
      <c r="L128" s="2" t="s">
        <v>40</v>
      </c>
      <c r="M128" s="2" t="s">
        <v>5291</v>
      </c>
      <c r="N128" s="2" t="s">
        <v>5237</v>
      </c>
      <c r="O128" s="2" t="s">
        <v>5090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412</v>
      </c>
      <c r="T128" s="2" t="str">
        <f t="shared" si="24"/>
        <v>019C</v>
      </c>
      <c r="U128" s="2">
        <f t="shared" si="29"/>
        <v>103</v>
      </c>
      <c r="V128" s="2" t="str">
        <f t="shared" si="25"/>
        <v>067</v>
      </c>
      <c r="W128" s="2" t="str">
        <f t="shared" si="26"/>
        <v/>
      </c>
      <c r="X128" s="2" t="str">
        <f t="shared" si="30"/>
        <v/>
      </c>
      <c r="Y128" s="2" t="str">
        <f t="shared" si="27"/>
        <v/>
      </c>
      <c r="Z128" s="2" t="str">
        <f t="shared" si="28"/>
        <v>X</v>
      </c>
      <c r="AA128" s="2" t="str">
        <f t="shared" si="31"/>
        <v/>
      </c>
      <c r="AB128" s="2" t="str">
        <f t="shared" si="32"/>
        <v/>
      </c>
      <c r="AC128" s="2" t="str">
        <f t="shared" si="33"/>
        <v/>
      </c>
      <c r="AD128" s="2" t="str">
        <f t="shared" si="34"/>
        <v>(0)</v>
      </c>
      <c r="AE128" s="2" t="str">
        <f t="shared" si="35"/>
        <v/>
      </c>
      <c r="AF128" s="2" t="str">
        <f t="shared" si="36"/>
        <v/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400</v>
      </c>
      <c r="C129" s="2" t="s">
        <v>413</v>
      </c>
      <c r="D129" s="2" t="s">
        <v>0</v>
      </c>
      <c r="E129" s="2" t="s">
        <v>130</v>
      </c>
      <c r="F129" s="2" t="s">
        <v>402</v>
      </c>
      <c r="G129" s="2" t="s">
        <v>403</v>
      </c>
      <c r="H129" s="2" t="s">
        <v>414</v>
      </c>
      <c r="I129" s="2" t="s">
        <v>41</v>
      </c>
      <c r="J129" s="2">
        <v>1</v>
      </c>
      <c r="K129" s="2" t="s">
        <v>81</v>
      </c>
      <c r="L129" s="2" t="s">
        <v>40</v>
      </c>
      <c r="M129" s="2" t="s">
        <v>5291</v>
      </c>
      <c r="N129" s="2" t="s">
        <v>5237</v>
      </c>
      <c r="O129" s="2" t="s">
        <v>5091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416</v>
      </c>
      <c r="T129" s="2" t="str">
        <f t="shared" si="24"/>
        <v>01A0</v>
      </c>
      <c r="U129" s="2">
        <f t="shared" si="29"/>
        <v>104</v>
      </c>
      <c r="V129" s="2" t="str">
        <f t="shared" si="25"/>
        <v>068</v>
      </c>
      <c r="W129" s="2" t="str">
        <f t="shared" si="26"/>
        <v/>
      </c>
      <c r="X129" s="2" t="str">
        <f t="shared" si="30"/>
        <v/>
      </c>
      <c r="Y129" s="2" t="str">
        <f t="shared" si="27"/>
        <v/>
      </c>
      <c r="Z129" s="2" t="str">
        <f t="shared" si="28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/>
      </c>
      <c r="AD129" s="2" t="str">
        <f t="shared" si="34"/>
        <v>(0)</v>
      </c>
      <c r="AE129" s="2" t="str">
        <f t="shared" si="35"/>
        <v/>
      </c>
      <c r="AF129" s="2" t="str">
        <f t="shared" si="36"/>
        <v/>
      </c>
      <c r="AG129" s="2" t="str">
        <f t="shared" si="37"/>
        <v/>
      </c>
      <c r="AH129" s="2" t="str">
        <f t="shared" si="38"/>
        <v/>
      </c>
    </row>
    <row r="130" spans="2:34" x14ac:dyDescent="0.25">
      <c r="B130" s="2" t="s">
        <v>400</v>
      </c>
      <c r="C130" s="2" t="s">
        <v>415</v>
      </c>
      <c r="D130" s="2" t="s">
        <v>0</v>
      </c>
      <c r="E130" s="2" t="s">
        <v>130</v>
      </c>
      <c r="F130" s="2" t="s">
        <v>402</v>
      </c>
      <c r="G130" s="2" t="s">
        <v>403</v>
      </c>
      <c r="H130" s="2" t="s">
        <v>416</v>
      </c>
      <c r="I130" s="2" t="s">
        <v>41</v>
      </c>
      <c r="J130" s="2">
        <v>1</v>
      </c>
      <c r="K130" s="2" t="s">
        <v>81</v>
      </c>
      <c r="L130" s="2" t="s">
        <v>40</v>
      </c>
      <c r="M130" s="2" t="s">
        <v>5291</v>
      </c>
      <c r="N130" s="2" t="s">
        <v>5237</v>
      </c>
      <c r="O130" s="2" t="s">
        <v>5092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420</v>
      </c>
      <c r="T130" s="2" t="str">
        <f t="shared" si="24"/>
        <v>01A4</v>
      </c>
      <c r="U130" s="2">
        <f t="shared" si="29"/>
        <v>105</v>
      </c>
      <c r="V130" s="2" t="str">
        <f t="shared" si="25"/>
        <v>069</v>
      </c>
      <c r="W130" s="2" t="str">
        <f t="shared" si="26"/>
        <v/>
      </c>
      <c r="X130" s="2" t="str">
        <f t="shared" si="30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400</v>
      </c>
      <c r="C131" s="2" t="s">
        <v>417</v>
      </c>
      <c r="D131" s="2" t="s">
        <v>0</v>
      </c>
      <c r="E131" s="2" t="s">
        <v>130</v>
      </c>
      <c r="F131" s="2" t="s">
        <v>402</v>
      </c>
      <c r="G131" s="2" t="s">
        <v>403</v>
      </c>
      <c r="H131" s="2" t="s">
        <v>418</v>
      </c>
      <c r="I131" s="2" t="s">
        <v>41</v>
      </c>
      <c r="J131" s="2">
        <v>1</v>
      </c>
      <c r="K131" s="2" t="s">
        <v>81</v>
      </c>
      <c r="L131" s="2" t="s">
        <v>40</v>
      </c>
      <c r="M131" s="2" t="s">
        <v>5291</v>
      </c>
      <c r="N131" s="2" t="s">
        <v>5237</v>
      </c>
      <c r="O131" s="2" t="s">
        <v>5093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424</v>
      </c>
      <c r="T131" s="2" t="str">
        <f t="shared" si="24"/>
        <v>01A8</v>
      </c>
      <c r="U131" s="2">
        <f t="shared" si="29"/>
        <v>106</v>
      </c>
      <c r="V131" s="2" t="str">
        <f t="shared" si="25"/>
        <v>06A</v>
      </c>
      <c r="W131" s="2" t="str">
        <f t="shared" si="26"/>
        <v/>
      </c>
      <c r="X131" s="2" t="str">
        <f t="shared" si="30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25">
      <c r="B132" s="2" t="s">
        <v>400</v>
      </c>
      <c r="C132" s="2" t="s">
        <v>141</v>
      </c>
      <c r="D132" s="2" t="s">
        <v>0</v>
      </c>
      <c r="E132" s="2" t="s">
        <v>130</v>
      </c>
      <c r="F132" s="2" t="s">
        <v>402</v>
      </c>
      <c r="G132" s="2" t="s">
        <v>403</v>
      </c>
      <c r="H132" s="2" t="s">
        <v>142</v>
      </c>
      <c r="I132" s="2" t="s">
        <v>41</v>
      </c>
      <c r="J132" s="2">
        <v>24</v>
      </c>
      <c r="K132" s="2" t="s">
        <v>132</v>
      </c>
      <c r="L132" s="2" t="s">
        <v>40</v>
      </c>
      <c r="M132" s="2" t="s">
        <v>5291</v>
      </c>
      <c r="N132" s="2" t="s">
        <v>5237</v>
      </c>
      <c r="O132" s="2" t="s">
        <v>5033</v>
      </c>
      <c r="P132" s="2" t="s">
        <v>48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428</v>
      </c>
      <c r="T132" s="2" t="str">
        <f t="shared" si="24"/>
        <v>01AC</v>
      </c>
      <c r="U132" s="2">
        <f t="shared" si="29"/>
        <v>107</v>
      </c>
      <c r="V132" s="2" t="str">
        <f t="shared" si="25"/>
        <v>06B</v>
      </c>
      <c r="W132" s="2" t="str">
        <f t="shared" si="26"/>
        <v/>
      </c>
      <c r="X132" s="2" t="str">
        <f t="shared" si="30"/>
        <v>X</v>
      </c>
      <c r="Y132" s="2" t="str">
        <f t="shared" si="27"/>
        <v>X</v>
      </c>
      <c r="Z132" s="2" t="str">
        <f t="shared" si="28"/>
        <v>X</v>
      </c>
      <c r="AA132" s="2" t="str">
        <f t="shared" si="31"/>
        <v/>
      </c>
      <c r="AB132" s="2" t="str">
        <f t="shared" si="32"/>
        <v>(23 downto 16)</v>
      </c>
      <c r="AC132" s="2" t="str">
        <f t="shared" si="33"/>
        <v>(15 downto 8)</v>
      </c>
      <c r="AD132" s="2" t="str">
        <f t="shared" si="34"/>
        <v>(7 downto 0)</v>
      </c>
      <c r="AE132" s="2" t="str">
        <f t="shared" si="35"/>
        <v/>
      </c>
      <c r="AF132" s="2" t="str">
        <f t="shared" si="36"/>
        <v>(23 downto 16)</v>
      </c>
      <c r="AG132" s="2" t="str">
        <f t="shared" si="37"/>
        <v>(15 downto 8)</v>
      </c>
      <c r="AH132" s="2" t="str">
        <f t="shared" si="38"/>
        <v>(7 downto 0)</v>
      </c>
    </row>
    <row r="133" spans="2:34" x14ac:dyDescent="0.25">
      <c r="B133" s="2" t="s">
        <v>419</v>
      </c>
      <c r="C133" s="2" t="s">
        <v>146</v>
      </c>
      <c r="D133" s="2" t="s">
        <v>0</v>
      </c>
      <c r="E133" s="2" t="s">
        <v>130</v>
      </c>
      <c r="F133" s="2" t="s">
        <v>420</v>
      </c>
      <c r="G133" s="2" t="s">
        <v>421</v>
      </c>
      <c r="H133" s="2" t="s">
        <v>149</v>
      </c>
      <c r="I133" s="2" t="s">
        <v>41</v>
      </c>
      <c r="J133" s="2">
        <v>1</v>
      </c>
      <c r="K133" s="2" t="s">
        <v>81</v>
      </c>
      <c r="L133" s="2" t="s">
        <v>40</v>
      </c>
      <c r="M133" s="2" t="s">
        <v>5291</v>
      </c>
      <c r="N133" s="2" t="s">
        <v>5238</v>
      </c>
      <c r="O133" s="2" t="s">
        <v>4977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432</v>
      </c>
      <c r="T133" s="2" t="str">
        <f t="shared" ref="T133:T196" si="39">DEC2HEX($S133,4)</f>
        <v>01B0</v>
      </c>
      <c r="U133" s="2">
        <f t="shared" si="29"/>
        <v>108</v>
      </c>
      <c r="V133" s="2" t="str">
        <f t="shared" ref="V133:V196" si="40">DEC2HEX($U133,3)</f>
        <v>06C</v>
      </c>
      <c r="W133" s="2" t="str">
        <f t="shared" ref="W133:W196" si="41">IF(MOD($S133,4)=3,"X",IF(AND(MOD($S133,4)=2,$J133&gt;8),"X",IF(AND(MOD($S133,4)=1,$J133&gt;16),"X",IF(AND(MOD($S133,4)=0,$J133&gt;24),"X",""))))</f>
        <v/>
      </c>
      <c r="X133" s="2" t="str">
        <f t="shared" si="30"/>
        <v/>
      </c>
      <c r="Y133" s="2" t="str">
        <f t="shared" ref="Y133:Y196" si="42">IF(MOD($S133,4)=1,"X",IF(AND(MOD($S133,4)=0,$J133&gt;8),"X",""))</f>
        <v/>
      </c>
      <c r="Z133" s="2" t="str">
        <f t="shared" ref="Z133:Z196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25">
      <c r="B134" s="2" t="s">
        <v>419</v>
      </c>
      <c r="C134" s="2" t="s">
        <v>311</v>
      </c>
      <c r="D134" s="2" t="s">
        <v>0</v>
      </c>
      <c r="E134" s="2" t="s">
        <v>130</v>
      </c>
      <c r="F134" s="2" t="s">
        <v>420</v>
      </c>
      <c r="G134" s="2" t="s">
        <v>421</v>
      </c>
      <c r="H134" s="2" t="s">
        <v>312</v>
      </c>
      <c r="I134" s="2" t="s">
        <v>41</v>
      </c>
      <c r="J134" s="2">
        <v>1</v>
      </c>
      <c r="K134" s="2" t="s">
        <v>131</v>
      </c>
      <c r="L134" s="2" t="s">
        <v>40</v>
      </c>
      <c r="M134" s="2" t="s">
        <v>5291</v>
      </c>
      <c r="N134" s="2" t="s">
        <v>5238</v>
      </c>
      <c r="O134" s="2" t="s">
        <v>5044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436</v>
      </c>
      <c r="T134" s="2" t="str">
        <f t="shared" si="39"/>
        <v>01B4</v>
      </c>
      <c r="U134" s="2">
        <f t="shared" ref="U134:U197" si="44">ROUNDDOWN(S134/4,0)</f>
        <v>109</v>
      </c>
      <c r="V134" s="2" t="str">
        <f t="shared" si="40"/>
        <v>06D</v>
      </c>
      <c r="W134" s="2" t="str">
        <f t="shared" si="41"/>
        <v/>
      </c>
      <c r="X134" s="2" t="str">
        <f t="shared" ref="X134:X197" si="45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ref="AA134:AA197" si="46">IF(W134="","",CONCATENATE("(",IF(($J134-COUNTIF($X134:$Z134,"X")*8)=1,"24)",CONCATENATE(IF(($J134-COUNTIF($X134:$Z134,"X")*8)&gt;=8,32,($J134-COUNTIF($X134:$Z134,"X")*8)+24)-1," downto 24)"))))</f>
        <v/>
      </c>
      <c r="AB134" s="2" t="str">
        <f t="shared" ref="AB134:AB197" si="47">IF(X134="","",CONCATENATE("(",IF(($J134-COUNTIF($Y134:$Z134,"X")*8)=1,"16)",CONCATENATE(IF(($J134-COUNTIF($Y134:$Z134,"X")*8)&gt;=8,24,($J134-COUNTIF($Y134:$Z134,"X")*8)+16)-1," downto 16)"))))</f>
        <v/>
      </c>
      <c r="AC134" s="2" t="str">
        <f t="shared" ref="AC134:AC197" si="48">IF(Y134="","",CONCATENATE("(",IF(($J134-COUNTIF($Z134,"X")*8)=1,"8)",CONCATENATE(IF(($J134-COUNTIF($Z134,"X")*8)&gt;=8,16,($J134-COUNTIF($Z134,"X")*8)+8)-1," downto 8)"))))</f>
        <v/>
      </c>
      <c r="AD134" s="2" t="str">
        <f t="shared" ref="AD134:AD197" si="49">IF(Z134="","",CONCATENATE("(",IF($J134=1,"0)",CONCATENATE(IF($J134&gt;=8,8,$J134)-1," downto 0)"))))</f>
        <v>(0)</v>
      </c>
      <c r="AE134" s="2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2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2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/>
      </c>
      <c r="AH134" s="2" t="str">
        <f t="shared" ref="AH134:AH197" si="53">IF(Z134="","",IF($J134&lt;=8,"",CONCATENATE("(",IF($J134&gt;=8,7,$J134-1)," downto ",0,")")))</f>
        <v/>
      </c>
    </row>
    <row r="135" spans="2:34" x14ac:dyDescent="0.25">
      <c r="B135" s="2" t="s">
        <v>419</v>
      </c>
      <c r="C135" s="2" t="s">
        <v>313</v>
      </c>
      <c r="D135" s="2" t="s">
        <v>0</v>
      </c>
      <c r="E135" s="2" t="s">
        <v>130</v>
      </c>
      <c r="F135" s="2" t="s">
        <v>420</v>
      </c>
      <c r="G135" s="2" t="s">
        <v>421</v>
      </c>
      <c r="H135" s="2" t="s">
        <v>314</v>
      </c>
      <c r="I135" s="2" t="s">
        <v>41</v>
      </c>
      <c r="J135" s="2">
        <v>1</v>
      </c>
      <c r="K135" s="2" t="s">
        <v>81</v>
      </c>
      <c r="L135" s="2" t="s">
        <v>40</v>
      </c>
      <c r="M135" s="2" t="s">
        <v>5291</v>
      </c>
      <c r="N135" s="2" t="s">
        <v>5238</v>
      </c>
      <c r="O135" s="2" t="s">
        <v>5045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440</v>
      </c>
      <c r="T135" s="2" t="str">
        <f t="shared" si="39"/>
        <v>01B8</v>
      </c>
      <c r="U135" s="2">
        <f t="shared" si="44"/>
        <v>110</v>
      </c>
      <c r="V135" s="2" t="str">
        <f t="shared" si="40"/>
        <v>06E</v>
      </c>
      <c r="W135" s="2" t="str">
        <f t="shared" si="41"/>
        <v/>
      </c>
      <c r="X135" s="2" t="str">
        <f t="shared" si="45"/>
        <v/>
      </c>
      <c r="Y135" s="2" t="str">
        <f t="shared" si="42"/>
        <v/>
      </c>
      <c r="Z135" s="2" t="str">
        <f t="shared" si="43"/>
        <v>X</v>
      </c>
      <c r="AA135" s="2" t="str">
        <f t="shared" si="46"/>
        <v/>
      </c>
      <c r="AB135" s="2" t="str">
        <f t="shared" si="47"/>
        <v/>
      </c>
      <c r="AC135" s="2" t="str">
        <f t="shared" si="48"/>
        <v/>
      </c>
      <c r="AD135" s="2" t="str">
        <f t="shared" si="49"/>
        <v>(0)</v>
      </c>
      <c r="AE135" s="2" t="str">
        <f t="shared" si="50"/>
        <v/>
      </c>
      <c r="AF135" s="2" t="str">
        <f t="shared" si="51"/>
        <v/>
      </c>
      <c r="AG135" s="2" t="str">
        <f t="shared" si="52"/>
        <v/>
      </c>
      <c r="AH135" s="2" t="str">
        <f t="shared" si="53"/>
        <v/>
      </c>
    </row>
    <row r="136" spans="2:34" x14ac:dyDescent="0.25">
      <c r="B136" s="2" t="s">
        <v>419</v>
      </c>
      <c r="C136" s="2" t="s">
        <v>315</v>
      </c>
      <c r="D136" s="2" t="s">
        <v>0</v>
      </c>
      <c r="E136" s="2" t="s">
        <v>130</v>
      </c>
      <c r="F136" s="2" t="s">
        <v>420</v>
      </c>
      <c r="G136" s="2" t="s">
        <v>421</v>
      </c>
      <c r="H136" s="2" t="s">
        <v>316</v>
      </c>
      <c r="I136" s="2" t="s">
        <v>41</v>
      </c>
      <c r="J136" s="2">
        <v>1</v>
      </c>
      <c r="K136" s="2" t="s">
        <v>131</v>
      </c>
      <c r="L136" s="2" t="s">
        <v>40</v>
      </c>
      <c r="M136" s="2" t="s">
        <v>5291</v>
      </c>
      <c r="N136" s="2" t="s">
        <v>5238</v>
      </c>
      <c r="O136" s="2" t="s">
        <v>5046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444</v>
      </c>
      <c r="T136" s="2" t="str">
        <f t="shared" si="39"/>
        <v>01BC</v>
      </c>
      <c r="U136" s="2">
        <f t="shared" si="44"/>
        <v>111</v>
      </c>
      <c r="V136" s="2" t="str">
        <f t="shared" si="40"/>
        <v>06F</v>
      </c>
      <c r="W136" s="2" t="str">
        <f t="shared" si="41"/>
        <v/>
      </c>
      <c r="X136" s="2" t="str">
        <f t="shared" si="45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25">
      <c r="B137" s="2" t="s">
        <v>419</v>
      </c>
      <c r="C137" s="2" t="s">
        <v>317</v>
      </c>
      <c r="D137" s="2" t="s">
        <v>0</v>
      </c>
      <c r="E137" s="2" t="s">
        <v>130</v>
      </c>
      <c r="F137" s="2" t="s">
        <v>420</v>
      </c>
      <c r="G137" s="2" t="s">
        <v>421</v>
      </c>
      <c r="H137" s="2" t="s">
        <v>318</v>
      </c>
      <c r="I137" s="2" t="s">
        <v>41</v>
      </c>
      <c r="J137" s="2">
        <v>1</v>
      </c>
      <c r="K137" s="2" t="s">
        <v>81</v>
      </c>
      <c r="L137" s="2" t="s">
        <v>40</v>
      </c>
      <c r="M137" s="2" t="s">
        <v>5291</v>
      </c>
      <c r="N137" s="2" t="s">
        <v>5238</v>
      </c>
      <c r="O137" s="2" t="s">
        <v>5047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448</v>
      </c>
      <c r="T137" s="2" t="str">
        <f t="shared" si="39"/>
        <v>01C0</v>
      </c>
      <c r="U137" s="2">
        <f t="shared" si="44"/>
        <v>112</v>
      </c>
      <c r="V137" s="2" t="str">
        <f t="shared" si="40"/>
        <v>070</v>
      </c>
      <c r="W137" s="2" t="str">
        <f t="shared" si="41"/>
        <v/>
      </c>
      <c r="X137" s="2" t="str">
        <f t="shared" si="45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25">
      <c r="B138" s="2" t="s">
        <v>419</v>
      </c>
      <c r="C138" s="2" t="s">
        <v>319</v>
      </c>
      <c r="D138" s="2" t="s">
        <v>0</v>
      </c>
      <c r="E138" s="2" t="s">
        <v>130</v>
      </c>
      <c r="F138" s="2" t="s">
        <v>420</v>
      </c>
      <c r="G138" s="2" t="s">
        <v>421</v>
      </c>
      <c r="H138" s="2" t="s">
        <v>320</v>
      </c>
      <c r="I138" s="2" t="s">
        <v>41</v>
      </c>
      <c r="J138" s="2">
        <v>1</v>
      </c>
      <c r="K138" s="2" t="s">
        <v>131</v>
      </c>
      <c r="L138" s="2" t="s">
        <v>40</v>
      </c>
      <c r="M138" s="2" t="s">
        <v>5291</v>
      </c>
      <c r="N138" s="2" t="s">
        <v>5238</v>
      </c>
      <c r="O138" s="2" t="s">
        <v>5048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452</v>
      </c>
      <c r="T138" s="2" t="str">
        <f t="shared" si="39"/>
        <v>01C4</v>
      </c>
      <c r="U138" s="2">
        <f t="shared" si="44"/>
        <v>113</v>
      </c>
      <c r="V138" s="2" t="str">
        <f t="shared" si="40"/>
        <v>071</v>
      </c>
      <c r="W138" s="2" t="str">
        <f t="shared" si="41"/>
        <v/>
      </c>
      <c r="X138" s="2" t="str">
        <f t="shared" si="45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25">
      <c r="B139" s="2" t="s">
        <v>419</v>
      </c>
      <c r="C139" s="2" t="s">
        <v>321</v>
      </c>
      <c r="D139" s="2" t="s">
        <v>0</v>
      </c>
      <c r="E139" s="2" t="s">
        <v>130</v>
      </c>
      <c r="F139" s="2" t="s">
        <v>420</v>
      </c>
      <c r="G139" s="2" t="s">
        <v>421</v>
      </c>
      <c r="H139" s="2" t="s">
        <v>322</v>
      </c>
      <c r="I139" s="2" t="s">
        <v>41</v>
      </c>
      <c r="J139" s="2">
        <v>1</v>
      </c>
      <c r="K139" s="2" t="s">
        <v>131</v>
      </c>
      <c r="L139" s="2" t="s">
        <v>40</v>
      </c>
      <c r="M139" s="2" t="s">
        <v>5291</v>
      </c>
      <c r="N139" s="2" t="s">
        <v>5238</v>
      </c>
      <c r="O139" s="2" t="s">
        <v>5049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456</v>
      </c>
      <c r="T139" s="2" t="str">
        <f t="shared" si="39"/>
        <v>01C8</v>
      </c>
      <c r="U139" s="2">
        <f t="shared" si="44"/>
        <v>114</v>
      </c>
      <c r="V139" s="2" t="str">
        <f t="shared" si="40"/>
        <v>072</v>
      </c>
      <c r="W139" s="2" t="str">
        <f t="shared" si="41"/>
        <v/>
      </c>
      <c r="X139" s="2" t="str">
        <f t="shared" si="45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25">
      <c r="B140" s="2" t="s">
        <v>419</v>
      </c>
      <c r="C140" s="2" t="s">
        <v>157</v>
      </c>
      <c r="D140" s="2" t="s">
        <v>0</v>
      </c>
      <c r="E140" s="2" t="s">
        <v>130</v>
      </c>
      <c r="F140" s="2" t="s">
        <v>420</v>
      </c>
      <c r="G140" s="2" t="s">
        <v>421</v>
      </c>
      <c r="H140" s="2" t="s">
        <v>158</v>
      </c>
      <c r="I140" s="2" t="s">
        <v>41</v>
      </c>
      <c r="J140" s="2">
        <v>1</v>
      </c>
      <c r="K140" s="2" t="s">
        <v>81</v>
      </c>
      <c r="L140" s="2" t="s">
        <v>40</v>
      </c>
      <c r="M140" s="2" t="s">
        <v>5291</v>
      </c>
      <c r="N140" s="2" t="s">
        <v>5238</v>
      </c>
      <c r="O140" s="2" t="s">
        <v>5001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460</v>
      </c>
      <c r="T140" s="2" t="str">
        <f t="shared" si="39"/>
        <v>01CC</v>
      </c>
      <c r="U140" s="2">
        <f t="shared" si="44"/>
        <v>115</v>
      </c>
      <c r="V140" s="2" t="str">
        <f t="shared" si="40"/>
        <v>073</v>
      </c>
      <c r="W140" s="2" t="str">
        <f t="shared" si="41"/>
        <v/>
      </c>
      <c r="X140" s="2" t="str">
        <f t="shared" si="45"/>
        <v/>
      </c>
      <c r="Y140" s="2" t="str">
        <f t="shared" si="42"/>
        <v/>
      </c>
      <c r="Z140" s="2" t="str">
        <f t="shared" si="43"/>
        <v>X</v>
      </c>
      <c r="AA140" s="2" t="str">
        <f t="shared" si="46"/>
        <v/>
      </c>
      <c r="AB140" s="2" t="str">
        <f t="shared" si="47"/>
        <v/>
      </c>
      <c r="AC140" s="2" t="str">
        <f t="shared" si="48"/>
        <v/>
      </c>
      <c r="AD140" s="2" t="str">
        <f t="shared" si="49"/>
        <v>(0)</v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25">
      <c r="B141" s="2" t="s">
        <v>419</v>
      </c>
      <c r="C141" s="2" t="s">
        <v>323</v>
      </c>
      <c r="D141" s="2" t="s">
        <v>0</v>
      </c>
      <c r="E141" s="2" t="s">
        <v>130</v>
      </c>
      <c r="F141" s="2" t="s">
        <v>420</v>
      </c>
      <c r="G141" s="2" t="s">
        <v>421</v>
      </c>
      <c r="H141" s="2" t="s">
        <v>324</v>
      </c>
      <c r="I141" s="2" t="s">
        <v>41</v>
      </c>
      <c r="J141" s="2">
        <v>1</v>
      </c>
      <c r="K141" s="2" t="s">
        <v>81</v>
      </c>
      <c r="L141" s="2" t="s">
        <v>40</v>
      </c>
      <c r="M141" s="2" t="s">
        <v>5291</v>
      </c>
      <c r="N141" s="2" t="s">
        <v>5238</v>
      </c>
      <c r="O141" s="2" t="s">
        <v>5050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464</v>
      </c>
      <c r="T141" s="2" t="str">
        <f t="shared" si="39"/>
        <v>01D0</v>
      </c>
      <c r="U141" s="2">
        <f t="shared" si="44"/>
        <v>116</v>
      </c>
      <c r="V141" s="2" t="str">
        <f t="shared" si="40"/>
        <v>074</v>
      </c>
      <c r="W141" s="2" t="str">
        <f t="shared" si="41"/>
        <v/>
      </c>
      <c r="X141" s="2" t="str">
        <f t="shared" si="45"/>
        <v/>
      </c>
      <c r="Y141" s="2" t="str">
        <f t="shared" si="42"/>
        <v/>
      </c>
      <c r="Z141" s="2" t="str">
        <f t="shared" si="43"/>
        <v>X</v>
      </c>
      <c r="AA141" s="2" t="str">
        <f t="shared" si="46"/>
        <v/>
      </c>
      <c r="AB141" s="2" t="str">
        <f t="shared" si="47"/>
        <v/>
      </c>
      <c r="AC141" s="2" t="str">
        <f t="shared" si="48"/>
        <v/>
      </c>
      <c r="AD141" s="2" t="str">
        <f t="shared" si="49"/>
        <v>(0)</v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25">
      <c r="B142" s="2" t="s">
        <v>419</v>
      </c>
      <c r="C142" s="2" t="s">
        <v>325</v>
      </c>
      <c r="D142" s="2" t="s">
        <v>0</v>
      </c>
      <c r="E142" s="2" t="s">
        <v>130</v>
      </c>
      <c r="F142" s="2" t="s">
        <v>420</v>
      </c>
      <c r="G142" s="2" t="s">
        <v>421</v>
      </c>
      <c r="H142" s="2" t="s">
        <v>326</v>
      </c>
      <c r="I142" s="2" t="s">
        <v>41</v>
      </c>
      <c r="J142" s="2">
        <v>3</v>
      </c>
      <c r="K142" s="2" t="s">
        <v>327</v>
      </c>
      <c r="L142" s="2" t="s">
        <v>40</v>
      </c>
      <c r="M142" s="2" t="s">
        <v>5291</v>
      </c>
      <c r="N142" s="2" t="s">
        <v>5238</v>
      </c>
      <c r="O142" s="2" t="s">
        <v>5051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468</v>
      </c>
      <c r="T142" s="2" t="str">
        <f t="shared" si="39"/>
        <v>01D4</v>
      </c>
      <c r="U142" s="2">
        <f t="shared" si="44"/>
        <v>117</v>
      </c>
      <c r="V142" s="2" t="str">
        <f t="shared" si="40"/>
        <v>075</v>
      </c>
      <c r="W142" s="2" t="str">
        <f t="shared" si="41"/>
        <v/>
      </c>
      <c r="X142" s="2" t="str">
        <f t="shared" si="45"/>
        <v/>
      </c>
      <c r="Y142" s="2" t="str">
        <f t="shared" si="42"/>
        <v/>
      </c>
      <c r="Z142" s="2" t="str">
        <f t="shared" si="43"/>
        <v>X</v>
      </c>
      <c r="AA142" s="2" t="str">
        <f t="shared" si="46"/>
        <v/>
      </c>
      <c r="AB142" s="2" t="str">
        <f t="shared" si="47"/>
        <v/>
      </c>
      <c r="AC142" s="2" t="str">
        <f t="shared" si="48"/>
        <v/>
      </c>
      <c r="AD142" s="2" t="str">
        <f t="shared" si="49"/>
        <v>(2 downto 0)</v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25">
      <c r="B143" s="2" t="s">
        <v>419</v>
      </c>
      <c r="C143" s="2" t="s">
        <v>328</v>
      </c>
      <c r="D143" s="2" t="s">
        <v>0</v>
      </c>
      <c r="E143" s="2" t="s">
        <v>130</v>
      </c>
      <c r="F143" s="2" t="s">
        <v>420</v>
      </c>
      <c r="G143" s="2" t="s">
        <v>421</v>
      </c>
      <c r="H143" s="2" t="s">
        <v>329</v>
      </c>
      <c r="I143" s="2" t="s">
        <v>41</v>
      </c>
      <c r="J143" s="2">
        <v>2</v>
      </c>
      <c r="K143" s="2" t="s">
        <v>132</v>
      </c>
      <c r="L143" s="2" t="s">
        <v>40</v>
      </c>
      <c r="M143" s="2" t="s">
        <v>5291</v>
      </c>
      <c r="N143" s="2" t="s">
        <v>5238</v>
      </c>
      <c r="O143" s="2" t="s">
        <v>5052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469</v>
      </c>
      <c r="T143" s="2" t="str">
        <f t="shared" si="39"/>
        <v>01D5</v>
      </c>
      <c r="U143" s="2">
        <f t="shared" si="44"/>
        <v>117</v>
      </c>
      <c r="V143" s="2" t="str">
        <f t="shared" si="40"/>
        <v>075</v>
      </c>
      <c r="W143" s="2" t="str">
        <f t="shared" si="41"/>
        <v/>
      </c>
      <c r="X143" s="2" t="str">
        <f t="shared" si="45"/>
        <v/>
      </c>
      <c r="Y143" s="2" t="str">
        <f t="shared" si="42"/>
        <v>X</v>
      </c>
      <c r="Z143" s="2" t="str">
        <f t="shared" si="43"/>
        <v/>
      </c>
      <c r="AA143" s="2" t="str">
        <f t="shared" si="46"/>
        <v/>
      </c>
      <c r="AB143" s="2" t="str">
        <f t="shared" si="47"/>
        <v/>
      </c>
      <c r="AC143" s="2" t="str">
        <f t="shared" si="48"/>
        <v>(9 downto 8)</v>
      </c>
      <c r="AD143" s="2" t="str">
        <f t="shared" si="49"/>
        <v/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25">
      <c r="B144" s="2" t="s">
        <v>419</v>
      </c>
      <c r="C144" s="2" t="s">
        <v>330</v>
      </c>
      <c r="D144" s="2" t="s">
        <v>0</v>
      </c>
      <c r="E144" s="2" t="s">
        <v>130</v>
      </c>
      <c r="F144" s="2" t="s">
        <v>420</v>
      </c>
      <c r="G144" s="2" t="s">
        <v>421</v>
      </c>
      <c r="H144" s="2" t="s">
        <v>331</v>
      </c>
      <c r="I144" s="2" t="s">
        <v>41</v>
      </c>
      <c r="J144" s="2">
        <v>2</v>
      </c>
      <c r="K144" s="2" t="s">
        <v>132</v>
      </c>
      <c r="L144" s="2" t="s">
        <v>40</v>
      </c>
      <c r="M144" s="2" t="s">
        <v>5291</v>
      </c>
      <c r="N144" s="2" t="s">
        <v>5238</v>
      </c>
      <c r="O144" s="2" t="s">
        <v>5053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$S143+$R143+INDEX(Tables!$N$5:$Q$8,MATCH(MOD($S143+$R143,4),Tables!$M$5:$M$8,0),MATCH($R144,Tables!$N$4:$Q$4,0))</f>
        <v>470</v>
      </c>
      <c r="T144" s="2" t="str">
        <f t="shared" si="39"/>
        <v>01D6</v>
      </c>
      <c r="U144" s="2">
        <f t="shared" si="44"/>
        <v>117</v>
      </c>
      <c r="V144" s="2" t="str">
        <f t="shared" si="40"/>
        <v>075</v>
      </c>
      <c r="W144" s="2" t="str">
        <f t="shared" si="41"/>
        <v/>
      </c>
      <c r="X144" s="2" t="str">
        <f t="shared" si="45"/>
        <v>X</v>
      </c>
      <c r="Y144" s="2" t="str">
        <f t="shared" si="42"/>
        <v/>
      </c>
      <c r="Z144" s="2" t="str">
        <f t="shared" si="43"/>
        <v/>
      </c>
      <c r="AA144" s="2" t="str">
        <f t="shared" si="46"/>
        <v/>
      </c>
      <c r="AB144" s="2" t="str">
        <f t="shared" si="47"/>
        <v>(17 downto 16)</v>
      </c>
      <c r="AC144" s="2" t="str">
        <f t="shared" si="48"/>
        <v/>
      </c>
      <c r="AD144" s="2" t="str">
        <f t="shared" si="49"/>
        <v/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25">
      <c r="B145" s="2" t="s">
        <v>419</v>
      </c>
      <c r="C145" s="2" t="s">
        <v>332</v>
      </c>
      <c r="D145" s="2" t="s">
        <v>0</v>
      </c>
      <c r="E145" s="2" t="s">
        <v>130</v>
      </c>
      <c r="F145" s="2" t="s">
        <v>420</v>
      </c>
      <c r="G145" s="2" t="s">
        <v>421</v>
      </c>
      <c r="H145" s="2" t="s">
        <v>333</v>
      </c>
      <c r="I145" s="2" t="s">
        <v>41</v>
      </c>
      <c r="J145" s="2">
        <v>4</v>
      </c>
      <c r="K145" s="2" t="s">
        <v>132</v>
      </c>
      <c r="L145" s="2" t="s">
        <v>40</v>
      </c>
      <c r="M145" s="2" t="s">
        <v>5291</v>
      </c>
      <c r="N145" s="2" t="s">
        <v>5238</v>
      </c>
      <c r="O145" s="2" t="s">
        <v>5054</v>
      </c>
      <c r="P145" s="2" t="s">
        <v>47</v>
      </c>
      <c r="Q145" s="2">
        <f>INDEX(Tables!$C$4:$C$28,MATCH($P145,Tables!$B$4:$B$28,0))</f>
        <v>8</v>
      </c>
      <c r="R145" s="2">
        <f>INDEX(Tables!$D$4:$D$28,MATCH($P145,Tables!$B$4:$B$28,0))</f>
        <v>1</v>
      </c>
      <c r="S145" s="2">
        <f>$S144+$R144+INDEX(Tables!$N$5:$Q$8,MATCH(MOD($S144+$R144,4),Tables!$M$5:$M$8,0),MATCH($R145,Tables!$N$4:$Q$4,0))</f>
        <v>471</v>
      </c>
      <c r="T145" s="2" t="str">
        <f t="shared" si="39"/>
        <v>01D7</v>
      </c>
      <c r="U145" s="2">
        <f t="shared" si="44"/>
        <v>117</v>
      </c>
      <c r="V145" s="2" t="str">
        <f t="shared" si="40"/>
        <v>075</v>
      </c>
      <c r="W145" s="2" t="str">
        <f t="shared" si="41"/>
        <v>X</v>
      </c>
      <c r="X145" s="2" t="str">
        <f t="shared" si="45"/>
        <v/>
      </c>
      <c r="Y145" s="2" t="str">
        <f t="shared" si="42"/>
        <v/>
      </c>
      <c r="Z145" s="2" t="str">
        <f t="shared" si="43"/>
        <v/>
      </c>
      <c r="AA145" s="2" t="str">
        <f t="shared" si="46"/>
        <v>(27 downto 24)</v>
      </c>
      <c r="AB145" s="2" t="str">
        <f t="shared" si="47"/>
        <v/>
      </c>
      <c r="AC145" s="2" t="str">
        <f t="shared" si="48"/>
        <v/>
      </c>
      <c r="AD145" s="2" t="str">
        <f t="shared" si="49"/>
        <v/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25">
      <c r="B146" s="2" t="s">
        <v>419</v>
      </c>
      <c r="C146" s="2" t="s">
        <v>334</v>
      </c>
      <c r="D146" s="2" t="s">
        <v>0</v>
      </c>
      <c r="E146" s="2" t="s">
        <v>130</v>
      </c>
      <c r="F146" s="2" t="s">
        <v>420</v>
      </c>
      <c r="G146" s="2" t="s">
        <v>421</v>
      </c>
      <c r="H146" s="2" t="s">
        <v>335</v>
      </c>
      <c r="I146" s="2" t="s">
        <v>41</v>
      </c>
      <c r="J146" s="2">
        <v>4</v>
      </c>
      <c r="K146" s="2" t="s">
        <v>132</v>
      </c>
      <c r="L146" s="2" t="s">
        <v>40</v>
      </c>
      <c r="M146" s="2" t="s">
        <v>5291</v>
      </c>
      <c r="N146" s="2" t="s">
        <v>5238</v>
      </c>
      <c r="O146" s="2" t="s">
        <v>5055</v>
      </c>
      <c r="P146" s="2" t="s">
        <v>47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472</v>
      </c>
      <c r="T146" s="2" t="str">
        <f t="shared" si="39"/>
        <v>01D8</v>
      </c>
      <c r="U146" s="2">
        <f t="shared" si="44"/>
        <v>118</v>
      </c>
      <c r="V146" s="2" t="str">
        <f t="shared" si="40"/>
        <v>076</v>
      </c>
      <c r="W146" s="2" t="str">
        <f t="shared" si="41"/>
        <v/>
      </c>
      <c r="X146" s="2" t="str">
        <f t="shared" si="45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(3 downto 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25">
      <c r="B147" s="2" t="s">
        <v>419</v>
      </c>
      <c r="C147" s="2" t="s">
        <v>336</v>
      </c>
      <c r="D147" s="2" t="s">
        <v>0</v>
      </c>
      <c r="E147" s="2" t="s">
        <v>130</v>
      </c>
      <c r="F147" s="2" t="s">
        <v>420</v>
      </c>
      <c r="G147" s="2" t="s">
        <v>421</v>
      </c>
      <c r="H147" s="2" t="s">
        <v>337</v>
      </c>
      <c r="I147" s="2" t="s">
        <v>41</v>
      </c>
      <c r="J147" s="2">
        <v>8</v>
      </c>
      <c r="K147" s="2" t="s">
        <v>422</v>
      </c>
      <c r="L147" s="2" t="s">
        <v>40</v>
      </c>
      <c r="M147" s="2" t="s">
        <v>5291</v>
      </c>
      <c r="N147" s="2" t="s">
        <v>5238</v>
      </c>
      <c r="O147" s="2" t="s">
        <v>5056</v>
      </c>
      <c r="P147" s="2" t="s">
        <v>47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473</v>
      </c>
      <c r="T147" s="2" t="str">
        <f t="shared" si="39"/>
        <v>01D9</v>
      </c>
      <c r="U147" s="2">
        <f t="shared" si="44"/>
        <v>118</v>
      </c>
      <c r="V147" s="2" t="str">
        <f t="shared" si="40"/>
        <v>076</v>
      </c>
      <c r="W147" s="2" t="str">
        <f t="shared" si="41"/>
        <v/>
      </c>
      <c r="X147" s="2" t="str">
        <f t="shared" si="45"/>
        <v/>
      </c>
      <c r="Y147" s="2" t="str">
        <f t="shared" si="42"/>
        <v>X</v>
      </c>
      <c r="Z147" s="2" t="str">
        <f t="shared" si="43"/>
        <v/>
      </c>
      <c r="AA147" s="2" t="str">
        <f t="shared" si="46"/>
        <v/>
      </c>
      <c r="AB147" s="2" t="str">
        <f t="shared" si="47"/>
        <v/>
      </c>
      <c r="AC147" s="2" t="str">
        <f t="shared" si="48"/>
        <v>(15 downto 8)</v>
      </c>
      <c r="AD147" s="2" t="str">
        <f t="shared" si="49"/>
        <v/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25">
      <c r="B148" s="2" t="s">
        <v>423</v>
      </c>
      <c r="C148" s="2" t="s">
        <v>340</v>
      </c>
      <c r="D148" s="2" t="s">
        <v>0</v>
      </c>
      <c r="E148" s="2" t="s">
        <v>130</v>
      </c>
      <c r="F148" s="2" t="s">
        <v>424</v>
      </c>
      <c r="G148" s="2" t="s">
        <v>425</v>
      </c>
      <c r="H148" s="2" t="s">
        <v>343</v>
      </c>
      <c r="I148" s="2" t="s">
        <v>41</v>
      </c>
      <c r="J148" s="2">
        <v>1</v>
      </c>
      <c r="K148" s="2" t="s">
        <v>81</v>
      </c>
      <c r="L148" s="2" t="s">
        <v>40</v>
      </c>
      <c r="M148" s="2" t="s">
        <v>5291</v>
      </c>
      <c r="N148" s="2" t="s">
        <v>5239</v>
      </c>
      <c r="O148" s="2" t="s">
        <v>5057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476</v>
      </c>
      <c r="T148" s="2" t="str">
        <f t="shared" si="39"/>
        <v>01DC</v>
      </c>
      <c r="U148" s="2">
        <f t="shared" si="44"/>
        <v>119</v>
      </c>
      <c r="V148" s="2" t="str">
        <f t="shared" si="40"/>
        <v>077</v>
      </c>
      <c r="W148" s="2" t="str">
        <f t="shared" si="41"/>
        <v/>
      </c>
      <c r="X148" s="2" t="str">
        <f t="shared" si="45"/>
        <v/>
      </c>
      <c r="Y148" s="2" t="str">
        <f t="shared" si="42"/>
        <v/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/>
      </c>
      <c r="AD148" s="2" t="str">
        <f t="shared" si="49"/>
        <v>(0)</v>
      </c>
      <c r="AE148" s="2" t="str">
        <f t="shared" si="50"/>
        <v/>
      </c>
      <c r="AF148" s="2" t="str">
        <f t="shared" si="51"/>
        <v/>
      </c>
      <c r="AG148" s="2" t="str">
        <f t="shared" si="52"/>
        <v/>
      </c>
      <c r="AH148" s="2" t="str">
        <f t="shared" si="53"/>
        <v/>
      </c>
    </row>
    <row r="149" spans="2:34" x14ac:dyDescent="0.25">
      <c r="B149" s="2" t="s">
        <v>423</v>
      </c>
      <c r="C149" s="2" t="s">
        <v>344</v>
      </c>
      <c r="D149" s="2" t="s">
        <v>0</v>
      </c>
      <c r="E149" s="2" t="s">
        <v>130</v>
      </c>
      <c r="F149" s="2" t="s">
        <v>424</v>
      </c>
      <c r="G149" s="2" t="s">
        <v>425</v>
      </c>
      <c r="H149" s="2" t="s">
        <v>345</v>
      </c>
      <c r="I149" s="2" t="s">
        <v>41</v>
      </c>
      <c r="J149" s="2">
        <v>1</v>
      </c>
      <c r="K149" s="2" t="s">
        <v>81</v>
      </c>
      <c r="L149" s="2" t="s">
        <v>40</v>
      </c>
      <c r="M149" s="2" t="s">
        <v>5291</v>
      </c>
      <c r="N149" s="2" t="s">
        <v>5239</v>
      </c>
      <c r="O149" s="2" t="s">
        <v>5058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480</v>
      </c>
      <c r="T149" s="2" t="str">
        <f t="shared" si="39"/>
        <v>01E0</v>
      </c>
      <c r="U149" s="2">
        <f t="shared" si="44"/>
        <v>120</v>
      </c>
      <c r="V149" s="2" t="str">
        <f t="shared" si="40"/>
        <v>078</v>
      </c>
      <c r="W149" s="2" t="str">
        <f t="shared" si="41"/>
        <v/>
      </c>
      <c r="X149" s="2" t="str">
        <f t="shared" si="45"/>
        <v/>
      </c>
      <c r="Y149" s="2" t="str">
        <f t="shared" si="42"/>
        <v/>
      </c>
      <c r="Z149" s="2" t="str">
        <f t="shared" si="43"/>
        <v>X</v>
      </c>
      <c r="AA149" s="2" t="str">
        <f t="shared" si="46"/>
        <v/>
      </c>
      <c r="AB149" s="2" t="str">
        <f t="shared" si="47"/>
        <v/>
      </c>
      <c r="AC149" s="2" t="str">
        <f t="shared" si="48"/>
        <v/>
      </c>
      <c r="AD149" s="2" t="str">
        <f t="shared" si="49"/>
        <v>(0)</v>
      </c>
      <c r="AE149" s="2" t="str">
        <f t="shared" si="50"/>
        <v/>
      </c>
      <c r="AF149" s="2" t="str">
        <f t="shared" si="51"/>
        <v/>
      </c>
      <c r="AG149" s="2" t="str">
        <f t="shared" si="52"/>
        <v/>
      </c>
      <c r="AH149" s="2" t="str">
        <f t="shared" si="53"/>
        <v/>
      </c>
    </row>
    <row r="150" spans="2:34" x14ac:dyDescent="0.25">
      <c r="B150" s="2" t="s">
        <v>423</v>
      </c>
      <c r="C150" s="2" t="s">
        <v>346</v>
      </c>
      <c r="D150" s="2" t="s">
        <v>0</v>
      </c>
      <c r="E150" s="2" t="s">
        <v>130</v>
      </c>
      <c r="F150" s="2" t="s">
        <v>424</v>
      </c>
      <c r="G150" s="2" t="s">
        <v>425</v>
      </c>
      <c r="H150" s="2" t="s">
        <v>347</v>
      </c>
      <c r="I150" s="2" t="s">
        <v>41</v>
      </c>
      <c r="J150" s="2">
        <v>1</v>
      </c>
      <c r="K150" s="2" t="s">
        <v>81</v>
      </c>
      <c r="L150" s="2" t="s">
        <v>40</v>
      </c>
      <c r="M150" s="2" t="s">
        <v>5291</v>
      </c>
      <c r="N150" s="2" t="s">
        <v>5239</v>
      </c>
      <c r="O150" s="2" t="s">
        <v>5059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484</v>
      </c>
      <c r="T150" s="2" t="str">
        <f t="shared" si="39"/>
        <v>01E4</v>
      </c>
      <c r="U150" s="2">
        <f t="shared" si="44"/>
        <v>121</v>
      </c>
      <c r="V150" s="2" t="str">
        <f t="shared" si="40"/>
        <v>079</v>
      </c>
      <c r="W150" s="2" t="str">
        <f t="shared" si="41"/>
        <v/>
      </c>
      <c r="X150" s="2" t="str">
        <f t="shared" si="45"/>
        <v/>
      </c>
      <c r="Y150" s="2" t="str">
        <f t="shared" si="42"/>
        <v/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/>
      </c>
      <c r="AD150" s="2" t="str">
        <f t="shared" si="49"/>
        <v>(0)</v>
      </c>
      <c r="AE150" s="2" t="str">
        <f t="shared" si="50"/>
        <v/>
      </c>
      <c r="AF150" s="2" t="str">
        <f t="shared" si="51"/>
        <v/>
      </c>
      <c r="AG150" s="2" t="str">
        <f t="shared" si="52"/>
        <v/>
      </c>
      <c r="AH150" s="2" t="str">
        <f t="shared" si="53"/>
        <v/>
      </c>
    </row>
    <row r="151" spans="2:34" x14ac:dyDescent="0.25">
      <c r="B151" s="2" t="s">
        <v>423</v>
      </c>
      <c r="C151" s="2" t="s">
        <v>348</v>
      </c>
      <c r="D151" s="2" t="s">
        <v>0</v>
      </c>
      <c r="E151" s="2" t="s">
        <v>130</v>
      </c>
      <c r="F151" s="2" t="s">
        <v>424</v>
      </c>
      <c r="G151" s="2" t="s">
        <v>425</v>
      </c>
      <c r="H151" s="2" t="s">
        <v>349</v>
      </c>
      <c r="I151" s="2" t="s">
        <v>41</v>
      </c>
      <c r="J151" s="2">
        <v>1</v>
      </c>
      <c r="K151" s="2" t="s">
        <v>81</v>
      </c>
      <c r="L151" s="2" t="s">
        <v>40</v>
      </c>
      <c r="M151" s="2" t="s">
        <v>5291</v>
      </c>
      <c r="N151" s="2" t="s">
        <v>5239</v>
      </c>
      <c r="O151" s="2" t="s">
        <v>5060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488</v>
      </c>
      <c r="T151" s="2" t="str">
        <f t="shared" si="39"/>
        <v>01E8</v>
      </c>
      <c r="U151" s="2">
        <f t="shared" si="44"/>
        <v>122</v>
      </c>
      <c r="V151" s="2" t="str">
        <f t="shared" si="40"/>
        <v>07A</v>
      </c>
      <c r="W151" s="2" t="str">
        <f t="shared" si="41"/>
        <v/>
      </c>
      <c r="X151" s="2" t="str">
        <f t="shared" si="45"/>
        <v/>
      </c>
      <c r="Y151" s="2" t="str">
        <f t="shared" si="42"/>
        <v/>
      </c>
      <c r="Z151" s="2" t="str">
        <f t="shared" si="43"/>
        <v>X</v>
      </c>
      <c r="AA151" s="2" t="str">
        <f t="shared" si="46"/>
        <v/>
      </c>
      <c r="AB151" s="2" t="str">
        <f t="shared" si="47"/>
        <v/>
      </c>
      <c r="AC151" s="2" t="str">
        <f t="shared" si="48"/>
        <v/>
      </c>
      <c r="AD151" s="2" t="str">
        <f t="shared" si="49"/>
        <v>(0)</v>
      </c>
      <c r="AE151" s="2" t="str">
        <f t="shared" si="50"/>
        <v/>
      </c>
      <c r="AF151" s="2" t="str">
        <f t="shared" si="51"/>
        <v/>
      </c>
      <c r="AG151" s="2" t="str">
        <f t="shared" si="52"/>
        <v/>
      </c>
      <c r="AH151" s="2" t="str">
        <f t="shared" si="53"/>
        <v/>
      </c>
    </row>
    <row r="152" spans="2:34" x14ac:dyDescent="0.25">
      <c r="B152" s="2" t="s">
        <v>423</v>
      </c>
      <c r="C152" s="2" t="s">
        <v>350</v>
      </c>
      <c r="D152" s="2" t="s">
        <v>0</v>
      </c>
      <c r="E152" s="2" t="s">
        <v>130</v>
      </c>
      <c r="F152" s="2" t="s">
        <v>424</v>
      </c>
      <c r="G152" s="2" t="s">
        <v>425</v>
      </c>
      <c r="H152" s="2" t="s">
        <v>351</v>
      </c>
      <c r="I152" s="2" t="s">
        <v>41</v>
      </c>
      <c r="J152" s="2">
        <v>1</v>
      </c>
      <c r="K152" s="2" t="s">
        <v>81</v>
      </c>
      <c r="L152" s="2" t="s">
        <v>40</v>
      </c>
      <c r="M152" s="2" t="s">
        <v>5291</v>
      </c>
      <c r="N152" s="2" t="s">
        <v>5239</v>
      </c>
      <c r="O152" s="2" t="s">
        <v>5061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492</v>
      </c>
      <c r="T152" s="2" t="str">
        <f t="shared" si="39"/>
        <v>01EC</v>
      </c>
      <c r="U152" s="2">
        <f t="shared" si="44"/>
        <v>123</v>
      </c>
      <c r="V152" s="2" t="str">
        <f t="shared" si="40"/>
        <v>07B</v>
      </c>
      <c r="W152" s="2" t="str">
        <f t="shared" si="41"/>
        <v/>
      </c>
      <c r="X152" s="2" t="str">
        <f t="shared" si="45"/>
        <v/>
      </c>
      <c r="Y152" s="2" t="str">
        <f t="shared" si="42"/>
        <v/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/>
      </c>
      <c r="AD152" s="2" t="str">
        <f t="shared" si="49"/>
        <v>(0)</v>
      </c>
      <c r="AE152" s="2" t="str">
        <f t="shared" si="50"/>
        <v/>
      </c>
      <c r="AF152" s="2" t="str">
        <f t="shared" si="51"/>
        <v/>
      </c>
      <c r="AG152" s="2" t="str">
        <f t="shared" si="52"/>
        <v/>
      </c>
      <c r="AH152" s="2" t="str">
        <f t="shared" si="53"/>
        <v/>
      </c>
    </row>
    <row r="153" spans="2:34" x14ac:dyDescent="0.25">
      <c r="B153" s="2" t="s">
        <v>423</v>
      </c>
      <c r="C153" s="2" t="s">
        <v>352</v>
      </c>
      <c r="D153" s="2" t="s">
        <v>0</v>
      </c>
      <c r="E153" s="2" t="s">
        <v>130</v>
      </c>
      <c r="F153" s="2" t="s">
        <v>424</v>
      </c>
      <c r="G153" s="2" t="s">
        <v>425</v>
      </c>
      <c r="H153" s="2" t="s">
        <v>353</v>
      </c>
      <c r="I153" s="2" t="s">
        <v>41</v>
      </c>
      <c r="J153" s="2">
        <v>1</v>
      </c>
      <c r="K153" s="2" t="s">
        <v>81</v>
      </c>
      <c r="L153" s="2" t="s">
        <v>40</v>
      </c>
      <c r="M153" s="2" t="s">
        <v>5291</v>
      </c>
      <c r="N153" s="2" t="s">
        <v>5239</v>
      </c>
      <c r="O153" s="2" t="s">
        <v>5062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496</v>
      </c>
      <c r="T153" s="2" t="str">
        <f t="shared" si="39"/>
        <v>01F0</v>
      </c>
      <c r="U153" s="2">
        <f t="shared" si="44"/>
        <v>124</v>
      </c>
      <c r="V153" s="2" t="str">
        <f t="shared" si="40"/>
        <v>07C</v>
      </c>
      <c r="W153" s="2" t="str">
        <f t="shared" si="41"/>
        <v/>
      </c>
      <c r="X153" s="2" t="str">
        <f t="shared" si="45"/>
        <v/>
      </c>
      <c r="Y153" s="2" t="str">
        <f t="shared" si="42"/>
        <v/>
      </c>
      <c r="Z153" s="2" t="str">
        <f t="shared" si="43"/>
        <v>X</v>
      </c>
      <c r="AA153" s="2" t="str">
        <f t="shared" si="46"/>
        <v/>
      </c>
      <c r="AB153" s="2" t="str">
        <f t="shared" si="47"/>
        <v/>
      </c>
      <c r="AC153" s="2" t="str">
        <f t="shared" si="48"/>
        <v/>
      </c>
      <c r="AD153" s="2" t="str">
        <f t="shared" si="49"/>
        <v>(0)</v>
      </c>
      <c r="AE153" s="2" t="str">
        <f t="shared" si="50"/>
        <v/>
      </c>
      <c r="AF153" s="2" t="str">
        <f t="shared" si="51"/>
        <v/>
      </c>
      <c r="AG153" s="2" t="str">
        <f t="shared" si="52"/>
        <v/>
      </c>
      <c r="AH153" s="2" t="str">
        <f t="shared" si="53"/>
        <v/>
      </c>
    </row>
    <row r="154" spans="2:34" x14ac:dyDescent="0.25">
      <c r="B154" s="2" t="s">
        <v>423</v>
      </c>
      <c r="C154" s="2" t="s">
        <v>354</v>
      </c>
      <c r="D154" s="2" t="s">
        <v>0</v>
      </c>
      <c r="E154" s="2" t="s">
        <v>130</v>
      </c>
      <c r="F154" s="2" t="s">
        <v>424</v>
      </c>
      <c r="G154" s="2" t="s">
        <v>425</v>
      </c>
      <c r="H154" s="2" t="s">
        <v>355</v>
      </c>
      <c r="I154" s="2" t="s">
        <v>41</v>
      </c>
      <c r="J154" s="2">
        <v>1</v>
      </c>
      <c r="K154" s="2" t="s">
        <v>81</v>
      </c>
      <c r="L154" s="2" t="s">
        <v>40</v>
      </c>
      <c r="M154" s="2" t="s">
        <v>5291</v>
      </c>
      <c r="N154" s="2" t="s">
        <v>5239</v>
      </c>
      <c r="O154" s="2" t="s">
        <v>5063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500</v>
      </c>
      <c r="T154" s="2" t="str">
        <f t="shared" si="39"/>
        <v>01F4</v>
      </c>
      <c r="U154" s="2">
        <f t="shared" si="44"/>
        <v>125</v>
      </c>
      <c r="V154" s="2" t="str">
        <f t="shared" si="40"/>
        <v>07D</v>
      </c>
      <c r="W154" s="2" t="str">
        <f t="shared" si="41"/>
        <v/>
      </c>
      <c r="X154" s="2" t="str">
        <f t="shared" si="45"/>
        <v/>
      </c>
      <c r="Y154" s="2" t="str">
        <f t="shared" si="42"/>
        <v/>
      </c>
      <c r="Z154" s="2" t="str">
        <f t="shared" si="43"/>
        <v>X</v>
      </c>
      <c r="AA154" s="2" t="str">
        <f t="shared" si="46"/>
        <v/>
      </c>
      <c r="AB154" s="2" t="str">
        <f t="shared" si="47"/>
        <v/>
      </c>
      <c r="AC154" s="2" t="str">
        <f t="shared" si="48"/>
        <v/>
      </c>
      <c r="AD154" s="2" t="str">
        <f t="shared" si="49"/>
        <v>(0)</v>
      </c>
      <c r="AE154" s="2" t="str">
        <f t="shared" si="50"/>
        <v/>
      </c>
      <c r="AF154" s="2" t="str">
        <f t="shared" si="51"/>
        <v/>
      </c>
      <c r="AG154" s="2" t="str">
        <f t="shared" si="52"/>
        <v/>
      </c>
      <c r="AH154" s="2" t="str">
        <f t="shared" si="53"/>
        <v/>
      </c>
    </row>
    <row r="155" spans="2:34" x14ac:dyDescent="0.25">
      <c r="B155" s="2" t="s">
        <v>423</v>
      </c>
      <c r="C155" s="2" t="s">
        <v>356</v>
      </c>
      <c r="D155" s="2" t="s">
        <v>0</v>
      </c>
      <c r="E155" s="2" t="s">
        <v>130</v>
      </c>
      <c r="F155" s="2" t="s">
        <v>424</v>
      </c>
      <c r="G155" s="2" t="s">
        <v>425</v>
      </c>
      <c r="H155" s="2" t="s">
        <v>357</v>
      </c>
      <c r="I155" s="2" t="s">
        <v>41</v>
      </c>
      <c r="J155" s="2">
        <v>1</v>
      </c>
      <c r="K155" s="2" t="s">
        <v>81</v>
      </c>
      <c r="L155" s="2" t="s">
        <v>40</v>
      </c>
      <c r="M155" s="2" t="s">
        <v>5291</v>
      </c>
      <c r="N155" s="2" t="s">
        <v>5239</v>
      </c>
      <c r="O155" s="2" t="s">
        <v>5064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504</v>
      </c>
      <c r="T155" s="2" t="str">
        <f t="shared" si="39"/>
        <v>01F8</v>
      </c>
      <c r="U155" s="2">
        <f t="shared" si="44"/>
        <v>126</v>
      </c>
      <c r="V155" s="2" t="str">
        <f t="shared" si="40"/>
        <v>07E</v>
      </c>
      <c r="W155" s="2" t="str">
        <f t="shared" si="41"/>
        <v/>
      </c>
      <c r="X155" s="2" t="str">
        <f t="shared" si="45"/>
        <v/>
      </c>
      <c r="Y155" s="2" t="str">
        <f t="shared" si="42"/>
        <v/>
      </c>
      <c r="Z155" s="2" t="str">
        <f t="shared" si="43"/>
        <v>X</v>
      </c>
      <c r="AA155" s="2" t="str">
        <f t="shared" si="46"/>
        <v/>
      </c>
      <c r="AB155" s="2" t="str">
        <f t="shared" si="47"/>
        <v/>
      </c>
      <c r="AC155" s="2" t="str">
        <f t="shared" si="48"/>
        <v/>
      </c>
      <c r="AD155" s="2" t="str">
        <f t="shared" si="49"/>
        <v>(0)</v>
      </c>
      <c r="AE155" s="2" t="str">
        <f t="shared" si="50"/>
        <v/>
      </c>
      <c r="AF155" s="2" t="str">
        <f t="shared" si="51"/>
        <v/>
      </c>
      <c r="AG155" s="2" t="str">
        <f t="shared" si="52"/>
        <v/>
      </c>
      <c r="AH155" s="2" t="str">
        <f t="shared" si="53"/>
        <v/>
      </c>
    </row>
    <row r="156" spans="2:34" x14ac:dyDescent="0.25">
      <c r="B156" s="2" t="s">
        <v>423</v>
      </c>
      <c r="C156" s="2" t="s">
        <v>358</v>
      </c>
      <c r="D156" s="2" t="s">
        <v>0</v>
      </c>
      <c r="E156" s="2" t="s">
        <v>130</v>
      </c>
      <c r="F156" s="2" t="s">
        <v>424</v>
      </c>
      <c r="G156" s="2" t="s">
        <v>425</v>
      </c>
      <c r="H156" s="2" t="s">
        <v>359</v>
      </c>
      <c r="I156" s="2" t="s">
        <v>41</v>
      </c>
      <c r="J156" s="2">
        <v>1</v>
      </c>
      <c r="K156" s="2" t="s">
        <v>81</v>
      </c>
      <c r="L156" s="2" t="s">
        <v>40</v>
      </c>
      <c r="M156" s="2" t="s">
        <v>5291</v>
      </c>
      <c r="N156" s="2" t="s">
        <v>5239</v>
      </c>
      <c r="O156" s="2" t="s">
        <v>5065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508</v>
      </c>
      <c r="T156" s="2" t="str">
        <f t="shared" si="39"/>
        <v>01FC</v>
      </c>
      <c r="U156" s="2">
        <f t="shared" si="44"/>
        <v>127</v>
      </c>
      <c r="V156" s="2" t="str">
        <f t="shared" si="40"/>
        <v>07F</v>
      </c>
      <c r="W156" s="2" t="str">
        <f t="shared" si="41"/>
        <v/>
      </c>
      <c r="X156" s="2" t="str">
        <f t="shared" si="45"/>
        <v/>
      </c>
      <c r="Y156" s="2" t="str">
        <f t="shared" si="42"/>
        <v/>
      </c>
      <c r="Z156" s="2" t="str">
        <f t="shared" si="43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423</v>
      </c>
      <c r="C157" s="2" t="s">
        <v>360</v>
      </c>
      <c r="D157" s="2" t="s">
        <v>0</v>
      </c>
      <c r="E157" s="2" t="s">
        <v>130</v>
      </c>
      <c r="F157" s="2" t="s">
        <v>424</v>
      </c>
      <c r="G157" s="2" t="s">
        <v>425</v>
      </c>
      <c r="H157" s="2" t="s">
        <v>361</v>
      </c>
      <c r="I157" s="2" t="s">
        <v>41</v>
      </c>
      <c r="J157" s="2">
        <v>1</v>
      </c>
      <c r="K157" s="2" t="s">
        <v>81</v>
      </c>
      <c r="L157" s="2" t="s">
        <v>40</v>
      </c>
      <c r="M157" s="2" t="s">
        <v>5291</v>
      </c>
      <c r="N157" s="2" t="s">
        <v>5239</v>
      </c>
      <c r="O157" s="2" t="s">
        <v>5066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512</v>
      </c>
      <c r="T157" s="2" t="str">
        <f t="shared" si="39"/>
        <v>0200</v>
      </c>
      <c r="U157" s="2">
        <f t="shared" si="44"/>
        <v>128</v>
      </c>
      <c r="V157" s="2" t="str">
        <f t="shared" si="40"/>
        <v>080</v>
      </c>
      <c r="W157" s="2" t="str">
        <f t="shared" si="41"/>
        <v/>
      </c>
      <c r="X157" s="2" t="str">
        <f t="shared" si="45"/>
        <v/>
      </c>
      <c r="Y157" s="2" t="str">
        <f t="shared" si="42"/>
        <v/>
      </c>
      <c r="Z157" s="2" t="str">
        <f t="shared" si="43"/>
        <v>X</v>
      </c>
      <c r="AA157" s="2" t="str">
        <f t="shared" si="46"/>
        <v/>
      </c>
      <c r="AB157" s="2" t="str">
        <f t="shared" si="47"/>
        <v/>
      </c>
      <c r="AC157" s="2" t="str">
        <f t="shared" si="48"/>
        <v/>
      </c>
      <c r="AD157" s="2" t="str">
        <f t="shared" si="49"/>
        <v>(0)</v>
      </c>
      <c r="AE157" s="2" t="str">
        <f t="shared" si="50"/>
        <v/>
      </c>
      <c r="AF157" s="2" t="str">
        <f t="shared" si="51"/>
        <v/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423</v>
      </c>
      <c r="C158" s="2" t="s">
        <v>362</v>
      </c>
      <c r="D158" s="2" t="s">
        <v>0</v>
      </c>
      <c r="E158" s="2" t="s">
        <v>130</v>
      </c>
      <c r="F158" s="2" t="s">
        <v>424</v>
      </c>
      <c r="G158" s="2" t="s">
        <v>425</v>
      </c>
      <c r="H158" s="2" t="s">
        <v>363</v>
      </c>
      <c r="I158" s="2" t="s">
        <v>41</v>
      </c>
      <c r="J158" s="2">
        <v>1</v>
      </c>
      <c r="K158" s="2" t="s">
        <v>131</v>
      </c>
      <c r="L158" s="2" t="s">
        <v>40</v>
      </c>
      <c r="M158" s="2" t="s">
        <v>5291</v>
      </c>
      <c r="N158" s="2" t="s">
        <v>5239</v>
      </c>
      <c r="O158" s="2" t="s">
        <v>5067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516</v>
      </c>
      <c r="T158" s="2" t="str">
        <f t="shared" si="39"/>
        <v>0204</v>
      </c>
      <c r="U158" s="2">
        <f t="shared" si="44"/>
        <v>129</v>
      </c>
      <c r="V158" s="2" t="str">
        <f t="shared" si="40"/>
        <v>081</v>
      </c>
      <c r="W158" s="2" t="str">
        <f t="shared" si="41"/>
        <v/>
      </c>
      <c r="X158" s="2" t="str">
        <f t="shared" si="45"/>
        <v/>
      </c>
      <c r="Y158" s="2" t="str">
        <f t="shared" si="42"/>
        <v/>
      </c>
      <c r="Z158" s="2" t="str">
        <f t="shared" si="43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/>
      </c>
      <c r="AD158" s="2" t="str">
        <f t="shared" si="49"/>
        <v>(0)</v>
      </c>
      <c r="AE158" s="2" t="str">
        <f t="shared" si="50"/>
        <v/>
      </c>
      <c r="AF158" s="2" t="str">
        <f t="shared" si="51"/>
        <v/>
      </c>
      <c r="AG158" s="2" t="str">
        <f t="shared" si="52"/>
        <v/>
      </c>
      <c r="AH158" s="2" t="str">
        <f t="shared" si="53"/>
        <v/>
      </c>
    </row>
    <row r="159" spans="2:34" x14ac:dyDescent="0.25">
      <c r="B159" s="2" t="s">
        <v>423</v>
      </c>
      <c r="C159" s="2" t="s">
        <v>364</v>
      </c>
      <c r="D159" s="2" t="s">
        <v>0</v>
      </c>
      <c r="E159" s="2" t="s">
        <v>130</v>
      </c>
      <c r="F159" s="2" t="s">
        <v>424</v>
      </c>
      <c r="G159" s="2" t="s">
        <v>425</v>
      </c>
      <c r="H159" s="2" t="s">
        <v>365</v>
      </c>
      <c r="I159" s="2" t="s">
        <v>41</v>
      </c>
      <c r="J159" s="2">
        <v>1</v>
      </c>
      <c r="K159" s="2" t="s">
        <v>131</v>
      </c>
      <c r="L159" s="2" t="s">
        <v>40</v>
      </c>
      <c r="M159" s="2" t="s">
        <v>5291</v>
      </c>
      <c r="N159" s="2" t="s">
        <v>5239</v>
      </c>
      <c r="O159" s="2" t="s">
        <v>5068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520</v>
      </c>
      <c r="T159" s="2" t="str">
        <f t="shared" si="39"/>
        <v>0208</v>
      </c>
      <c r="U159" s="2">
        <f t="shared" si="44"/>
        <v>130</v>
      </c>
      <c r="V159" s="2" t="str">
        <f t="shared" si="40"/>
        <v>082</v>
      </c>
      <c r="W159" s="2" t="str">
        <f t="shared" si="41"/>
        <v/>
      </c>
      <c r="X159" s="2" t="str">
        <f t="shared" si="45"/>
        <v/>
      </c>
      <c r="Y159" s="2" t="str">
        <f t="shared" si="42"/>
        <v/>
      </c>
      <c r="Z159" s="2" t="str">
        <f t="shared" si="43"/>
        <v>X</v>
      </c>
      <c r="AA159" s="2" t="str">
        <f t="shared" si="46"/>
        <v/>
      </c>
      <c r="AB159" s="2" t="str">
        <f t="shared" si="47"/>
        <v/>
      </c>
      <c r="AC159" s="2" t="str">
        <f t="shared" si="48"/>
        <v/>
      </c>
      <c r="AD159" s="2" t="str">
        <f t="shared" si="49"/>
        <v>(0)</v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423</v>
      </c>
      <c r="C160" s="2" t="s">
        <v>366</v>
      </c>
      <c r="D160" s="2" t="s">
        <v>0</v>
      </c>
      <c r="E160" s="2" t="s">
        <v>130</v>
      </c>
      <c r="F160" s="2" t="s">
        <v>424</v>
      </c>
      <c r="G160" s="2" t="s">
        <v>425</v>
      </c>
      <c r="H160" s="2" t="s">
        <v>367</v>
      </c>
      <c r="I160" s="2" t="s">
        <v>41</v>
      </c>
      <c r="J160" s="2">
        <v>1</v>
      </c>
      <c r="K160" s="2" t="s">
        <v>131</v>
      </c>
      <c r="L160" s="2" t="s">
        <v>40</v>
      </c>
      <c r="M160" s="2" t="s">
        <v>5291</v>
      </c>
      <c r="N160" s="2" t="s">
        <v>5239</v>
      </c>
      <c r="O160" s="2" t="s">
        <v>5069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524</v>
      </c>
      <c r="T160" s="2" t="str">
        <f t="shared" si="39"/>
        <v>020C</v>
      </c>
      <c r="U160" s="2">
        <f t="shared" si="44"/>
        <v>131</v>
      </c>
      <c r="V160" s="2" t="str">
        <f t="shared" si="40"/>
        <v>083</v>
      </c>
      <c r="W160" s="2" t="str">
        <f t="shared" si="41"/>
        <v/>
      </c>
      <c r="X160" s="2" t="str">
        <f t="shared" si="45"/>
        <v/>
      </c>
      <c r="Y160" s="2" t="str">
        <f t="shared" si="42"/>
        <v/>
      </c>
      <c r="Z160" s="2" t="str">
        <f t="shared" si="43"/>
        <v>X</v>
      </c>
      <c r="AA160" s="2" t="str">
        <f t="shared" si="46"/>
        <v/>
      </c>
      <c r="AB160" s="2" t="str">
        <f t="shared" si="47"/>
        <v/>
      </c>
      <c r="AC160" s="2" t="str">
        <f t="shared" si="48"/>
        <v/>
      </c>
      <c r="AD160" s="2" t="str">
        <f t="shared" si="49"/>
        <v>(0)</v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423</v>
      </c>
      <c r="C161" s="2" t="s">
        <v>368</v>
      </c>
      <c r="D161" s="2" t="s">
        <v>0</v>
      </c>
      <c r="E161" s="2" t="s">
        <v>130</v>
      </c>
      <c r="F161" s="2" t="s">
        <v>424</v>
      </c>
      <c r="G161" s="2" t="s">
        <v>425</v>
      </c>
      <c r="H161" s="2" t="s">
        <v>369</v>
      </c>
      <c r="I161" s="2" t="s">
        <v>41</v>
      </c>
      <c r="J161" s="2">
        <v>1</v>
      </c>
      <c r="K161" s="2" t="s">
        <v>131</v>
      </c>
      <c r="L161" s="2" t="s">
        <v>40</v>
      </c>
      <c r="M161" s="2" t="s">
        <v>5291</v>
      </c>
      <c r="N161" s="2" t="s">
        <v>5239</v>
      </c>
      <c r="O161" s="2" t="s">
        <v>5070</v>
      </c>
      <c r="P161" s="2" t="s">
        <v>4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528</v>
      </c>
      <c r="T161" s="2" t="str">
        <f t="shared" si="39"/>
        <v>0210</v>
      </c>
      <c r="U161" s="2">
        <f t="shared" si="44"/>
        <v>132</v>
      </c>
      <c r="V161" s="2" t="str">
        <f t="shared" si="40"/>
        <v>084</v>
      </c>
      <c r="W161" s="2" t="str">
        <f t="shared" si="41"/>
        <v/>
      </c>
      <c r="X161" s="2" t="str">
        <f t="shared" si="45"/>
        <v/>
      </c>
      <c r="Y161" s="2" t="str">
        <f t="shared" si="42"/>
        <v/>
      </c>
      <c r="Z161" s="2" t="str">
        <f t="shared" si="43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423</v>
      </c>
      <c r="C162" s="2" t="s">
        <v>370</v>
      </c>
      <c r="D162" s="2" t="s">
        <v>0</v>
      </c>
      <c r="E162" s="2" t="s">
        <v>130</v>
      </c>
      <c r="F162" s="2" t="s">
        <v>424</v>
      </c>
      <c r="G162" s="2" t="s">
        <v>425</v>
      </c>
      <c r="H162" s="2" t="s">
        <v>371</v>
      </c>
      <c r="I162" s="2" t="s">
        <v>41</v>
      </c>
      <c r="J162" s="2">
        <v>1</v>
      </c>
      <c r="K162" s="2" t="s">
        <v>131</v>
      </c>
      <c r="L162" s="2" t="s">
        <v>40</v>
      </c>
      <c r="M162" s="2" t="s">
        <v>5291</v>
      </c>
      <c r="N162" s="2" t="s">
        <v>5239</v>
      </c>
      <c r="O162" s="2" t="s">
        <v>5071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532</v>
      </c>
      <c r="T162" s="2" t="str">
        <f t="shared" si="39"/>
        <v>0214</v>
      </c>
      <c r="U162" s="2">
        <f t="shared" si="44"/>
        <v>133</v>
      </c>
      <c r="V162" s="2" t="str">
        <f t="shared" si="40"/>
        <v>085</v>
      </c>
      <c r="W162" s="2" t="str">
        <f t="shared" si="41"/>
        <v/>
      </c>
      <c r="X162" s="2" t="str">
        <f t="shared" si="45"/>
        <v/>
      </c>
      <c r="Y162" s="2" t="str">
        <f t="shared" si="42"/>
        <v/>
      </c>
      <c r="Z162" s="2" t="str">
        <f t="shared" si="43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423</v>
      </c>
      <c r="C163" s="2" t="s">
        <v>372</v>
      </c>
      <c r="D163" s="2" t="s">
        <v>0</v>
      </c>
      <c r="E163" s="2" t="s">
        <v>130</v>
      </c>
      <c r="F163" s="2" t="s">
        <v>424</v>
      </c>
      <c r="G163" s="2" t="s">
        <v>425</v>
      </c>
      <c r="H163" s="2" t="s">
        <v>373</v>
      </c>
      <c r="I163" s="2" t="s">
        <v>41</v>
      </c>
      <c r="J163" s="2">
        <v>1</v>
      </c>
      <c r="K163" s="2" t="s">
        <v>131</v>
      </c>
      <c r="L163" s="2" t="s">
        <v>40</v>
      </c>
      <c r="M163" s="2" t="s">
        <v>5291</v>
      </c>
      <c r="N163" s="2" t="s">
        <v>5239</v>
      </c>
      <c r="O163" s="2" t="s">
        <v>5072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536</v>
      </c>
      <c r="T163" s="2" t="str">
        <f t="shared" si="39"/>
        <v>0218</v>
      </c>
      <c r="U163" s="2">
        <f t="shared" si="44"/>
        <v>134</v>
      </c>
      <c r="V163" s="2" t="str">
        <f t="shared" si="40"/>
        <v>086</v>
      </c>
      <c r="W163" s="2" t="str">
        <f t="shared" si="41"/>
        <v/>
      </c>
      <c r="X163" s="2" t="str">
        <f t="shared" si="45"/>
        <v/>
      </c>
      <c r="Y163" s="2" t="str">
        <f t="shared" si="42"/>
        <v/>
      </c>
      <c r="Z163" s="2" t="str">
        <f t="shared" si="43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423</v>
      </c>
      <c r="C164" s="2" t="s">
        <v>146</v>
      </c>
      <c r="D164" s="2" t="s">
        <v>0</v>
      </c>
      <c r="E164" s="2" t="s">
        <v>130</v>
      </c>
      <c r="F164" s="2" t="s">
        <v>424</v>
      </c>
      <c r="G164" s="2" t="s">
        <v>425</v>
      </c>
      <c r="H164" s="2" t="s">
        <v>149</v>
      </c>
      <c r="I164" s="2" t="s">
        <v>41</v>
      </c>
      <c r="J164" s="2">
        <v>2</v>
      </c>
      <c r="K164" s="2" t="s">
        <v>132</v>
      </c>
      <c r="L164" s="2" t="s">
        <v>40</v>
      </c>
      <c r="M164" s="2" t="s">
        <v>5291</v>
      </c>
      <c r="N164" s="2" t="s">
        <v>5239</v>
      </c>
      <c r="O164" s="2" t="s">
        <v>4987</v>
      </c>
      <c r="P164" s="2" t="s">
        <v>47</v>
      </c>
      <c r="Q164" s="2">
        <f>INDEX(Tables!$C$4:$C$28,MATCH($P164,Tables!$B$4:$B$28,0))</f>
        <v>8</v>
      </c>
      <c r="R164" s="2">
        <f>INDEX(Tables!$D$4:$D$28,MATCH($P164,Tables!$B$4:$B$28,0))</f>
        <v>1</v>
      </c>
      <c r="S164" s="2">
        <f>$S163+$R163+INDEX(Tables!$N$5:$Q$8,MATCH(MOD($S163+$R163,4),Tables!$M$5:$M$8,0),MATCH($R164,Tables!$N$4:$Q$4,0))</f>
        <v>540</v>
      </c>
      <c r="T164" s="2" t="str">
        <f t="shared" si="39"/>
        <v>021C</v>
      </c>
      <c r="U164" s="2">
        <f t="shared" si="44"/>
        <v>135</v>
      </c>
      <c r="V164" s="2" t="str">
        <f t="shared" si="40"/>
        <v>087</v>
      </c>
      <c r="W164" s="2" t="str">
        <f t="shared" si="41"/>
        <v/>
      </c>
      <c r="X164" s="2" t="str">
        <f t="shared" si="45"/>
        <v/>
      </c>
      <c r="Y164" s="2" t="str">
        <f t="shared" si="42"/>
        <v/>
      </c>
      <c r="Z164" s="2" t="str">
        <f t="shared" si="43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(1 downto 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423</v>
      </c>
      <c r="C165" s="2" t="s">
        <v>374</v>
      </c>
      <c r="D165" s="2" t="s">
        <v>0</v>
      </c>
      <c r="E165" s="2" t="s">
        <v>130</v>
      </c>
      <c r="F165" s="2" t="s">
        <v>424</v>
      </c>
      <c r="G165" s="2" t="s">
        <v>425</v>
      </c>
      <c r="H165" s="2" t="s">
        <v>375</v>
      </c>
      <c r="I165" s="2" t="s">
        <v>41</v>
      </c>
      <c r="J165" s="2">
        <v>1</v>
      </c>
      <c r="K165" s="2" t="s">
        <v>81</v>
      </c>
      <c r="L165" s="2" t="s">
        <v>40</v>
      </c>
      <c r="M165" s="2" t="s">
        <v>5291</v>
      </c>
      <c r="N165" s="2" t="s">
        <v>5239</v>
      </c>
      <c r="O165" s="2" t="s">
        <v>5073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544</v>
      </c>
      <c r="T165" s="2" t="str">
        <f t="shared" si="39"/>
        <v>0220</v>
      </c>
      <c r="U165" s="2">
        <f t="shared" si="44"/>
        <v>136</v>
      </c>
      <c r="V165" s="2" t="str">
        <f t="shared" si="40"/>
        <v>088</v>
      </c>
      <c r="W165" s="2" t="str">
        <f t="shared" si="41"/>
        <v/>
      </c>
      <c r="X165" s="2" t="str">
        <f t="shared" si="45"/>
        <v/>
      </c>
      <c r="Y165" s="2" t="str">
        <f t="shared" si="42"/>
        <v/>
      </c>
      <c r="Z165" s="2" t="str">
        <f t="shared" si="43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423</v>
      </c>
      <c r="C166" s="2" t="s">
        <v>376</v>
      </c>
      <c r="D166" s="2" t="s">
        <v>0</v>
      </c>
      <c r="E166" s="2" t="s">
        <v>130</v>
      </c>
      <c r="F166" s="2" t="s">
        <v>424</v>
      </c>
      <c r="G166" s="2" t="s">
        <v>425</v>
      </c>
      <c r="H166" s="2" t="s">
        <v>377</v>
      </c>
      <c r="I166" s="2" t="s">
        <v>41</v>
      </c>
      <c r="J166" s="2">
        <v>1</v>
      </c>
      <c r="K166" s="2" t="s">
        <v>81</v>
      </c>
      <c r="L166" s="2" t="s">
        <v>40</v>
      </c>
      <c r="M166" s="2" t="s">
        <v>5291</v>
      </c>
      <c r="N166" s="2" t="s">
        <v>5239</v>
      </c>
      <c r="O166" s="2" t="s">
        <v>5074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548</v>
      </c>
      <c r="T166" s="2" t="str">
        <f t="shared" si="39"/>
        <v>0224</v>
      </c>
      <c r="U166" s="2">
        <f t="shared" si="44"/>
        <v>137</v>
      </c>
      <c r="V166" s="2" t="str">
        <f t="shared" si="40"/>
        <v>089</v>
      </c>
      <c r="W166" s="2" t="str">
        <f t="shared" si="41"/>
        <v/>
      </c>
      <c r="X166" s="2" t="str">
        <f t="shared" si="45"/>
        <v/>
      </c>
      <c r="Y166" s="2" t="str">
        <f t="shared" si="42"/>
        <v/>
      </c>
      <c r="Z166" s="2" t="str">
        <f t="shared" si="43"/>
        <v>X</v>
      </c>
      <c r="AA166" s="2" t="str">
        <f t="shared" si="46"/>
        <v/>
      </c>
      <c r="AB166" s="2" t="str">
        <f t="shared" si="47"/>
        <v/>
      </c>
      <c r="AC166" s="2" t="str">
        <f t="shared" si="48"/>
        <v/>
      </c>
      <c r="AD166" s="2" t="str">
        <f t="shared" si="49"/>
        <v>(0)</v>
      </c>
      <c r="AE166" s="2" t="str">
        <f t="shared" si="50"/>
        <v/>
      </c>
      <c r="AF166" s="2" t="str">
        <f t="shared" si="51"/>
        <v/>
      </c>
      <c r="AG166" s="2" t="str">
        <f t="shared" si="52"/>
        <v/>
      </c>
      <c r="AH166" s="2" t="str">
        <f t="shared" si="53"/>
        <v/>
      </c>
    </row>
    <row r="167" spans="2:34" x14ac:dyDescent="0.25">
      <c r="B167" s="2" t="s">
        <v>423</v>
      </c>
      <c r="C167" s="2" t="s">
        <v>378</v>
      </c>
      <c r="D167" s="2" t="s">
        <v>0</v>
      </c>
      <c r="E167" s="2" t="s">
        <v>130</v>
      </c>
      <c r="F167" s="2" t="s">
        <v>424</v>
      </c>
      <c r="G167" s="2" t="s">
        <v>425</v>
      </c>
      <c r="H167" s="2" t="s">
        <v>379</v>
      </c>
      <c r="I167" s="2" t="s">
        <v>41</v>
      </c>
      <c r="J167" s="2">
        <v>1</v>
      </c>
      <c r="K167" s="2" t="s">
        <v>81</v>
      </c>
      <c r="L167" s="2" t="s">
        <v>40</v>
      </c>
      <c r="M167" s="2" t="s">
        <v>5291</v>
      </c>
      <c r="N167" s="2" t="s">
        <v>5239</v>
      </c>
      <c r="O167" s="2" t="s">
        <v>5075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552</v>
      </c>
      <c r="T167" s="2" t="str">
        <f t="shared" si="39"/>
        <v>0228</v>
      </c>
      <c r="U167" s="2">
        <f t="shared" si="44"/>
        <v>138</v>
      </c>
      <c r="V167" s="2" t="str">
        <f t="shared" si="40"/>
        <v>08A</v>
      </c>
      <c r="W167" s="2" t="str">
        <f t="shared" si="41"/>
        <v/>
      </c>
      <c r="X167" s="2" t="str">
        <f t="shared" si="45"/>
        <v/>
      </c>
      <c r="Y167" s="2" t="str">
        <f t="shared" si="42"/>
        <v/>
      </c>
      <c r="Z167" s="2" t="str">
        <f t="shared" si="43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423</v>
      </c>
      <c r="C168" s="2" t="s">
        <v>380</v>
      </c>
      <c r="D168" s="2" t="s">
        <v>0</v>
      </c>
      <c r="E168" s="2" t="s">
        <v>130</v>
      </c>
      <c r="F168" s="2" t="s">
        <v>424</v>
      </c>
      <c r="G168" s="2" t="s">
        <v>425</v>
      </c>
      <c r="H168" s="2" t="s">
        <v>381</v>
      </c>
      <c r="I168" s="2" t="s">
        <v>41</v>
      </c>
      <c r="J168" s="2">
        <v>1</v>
      </c>
      <c r="K168" s="2" t="s">
        <v>81</v>
      </c>
      <c r="L168" s="2" t="s">
        <v>40</v>
      </c>
      <c r="M168" s="2" t="s">
        <v>5291</v>
      </c>
      <c r="N168" s="2" t="s">
        <v>5239</v>
      </c>
      <c r="O168" s="2" t="s">
        <v>5076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556</v>
      </c>
      <c r="T168" s="2" t="str">
        <f t="shared" si="39"/>
        <v>022C</v>
      </c>
      <c r="U168" s="2">
        <f t="shared" si="44"/>
        <v>139</v>
      </c>
      <c r="V168" s="2" t="str">
        <f t="shared" si="40"/>
        <v>08B</v>
      </c>
      <c r="W168" s="2" t="str">
        <f t="shared" si="41"/>
        <v/>
      </c>
      <c r="X168" s="2" t="str">
        <f t="shared" si="45"/>
        <v/>
      </c>
      <c r="Y168" s="2" t="str">
        <f t="shared" si="42"/>
        <v/>
      </c>
      <c r="Z168" s="2" t="str">
        <f t="shared" si="43"/>
        <v>X</v>
      </c>
      <c r="AA168" s="2" t="str">
        <f t="shared" si="46"/>
        <v/>
      </c>
      <c r="AB168" s="2" t="str">
        <f t="shared" si="47"/>
        <v/>
      </c>
      <c r="AC168" s="2" t="str">
        <f t="shared" si="48"/>
        <v/>
      </c>
      <c r="AD168" s="2" t="str">
        <f t="shared" si="49"/>
        <v>(0)</v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423</v>
      </c>
      <c r="C169" s="2" t="s">
        <v>157</v>
      </c>
      <c r="D169" s="2" t="s">
        <v>0</v>
      </c>
      <c r="E169" s="2" t="s">
        <v>130</v>
      </c>
      <c r="F169" s="2" t="s">
        <v>424</v>
      </c>
      <c r="G169" s="2" t="s">
        <v>425</v>
      </c>
      <c r="H169" s="2" t="s">
        <v>158</v>
      </c>
      <c r="I169" s="2" t="s">
        <v>41</v>
      </c>
      <c r="J169" s="2">
        <v>1</v>
      </c>
      <c r="K169" s="2" t="s">
        <v>81</v>
      </c>
      <c r="L169" s="2" t="s">
        <v>40</v>
      </c>
      <c r="M169" s="2" t="s">
        <v>5291</v>
      </c>
      <c r="N169" s="2" t="s">
        <v>5239</v>
      </c>
      <c r="O169" s="2" t="s">
        <v>5001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560</v>
      </c>
      <c r="T169" s="2" t="str">
        <f t="shared" si="39"/>
        <v>0230</v>
      </c>
      <c r="U169" s="2">
        <f t="shared" si="44"/>
        <v>140</v>
      </c>
      <c r="V169" s="2" t="str">
        <f t="shared" si="40"/>
        <v>08C</v>
      </c>
      <c r="W169" s="2" t="str">
        <f t="shared" si="41"/>
        <v/>
      </c>
      <c r="X169" s="2" t="str">
        <f t="shared" si="45"/>
        <v/>
      </c>
      <c r="Y169" s="2" t="str">
        <f t="shared" si="42"/>
        <v/>
      </c>
      <c r="Z169" s="2" t="str">
        <f t="shared" si="43"/>
        <v>X</v>
      </c>
      <c r="AA169" s="2" t="str">
        <f t="shared" si="46"/>
        <v/>
      </c>
      <c r="AB169" s="2" t="str">
        <f t="shared" si="47"/>
        <v/>
      </c>
      <c r="AC169" s="2" t="str">
        <f t="shared" si="48"/>
        <v/>
      </c>
      <c r="AD169" s="2" t="str">
        <f t="shared" si="49"/>
        <v>(0)</v>
      </c>
      <c r="AE169" s="2" t="str">
        <f t="shared" si="50"/>
        <v/>
      </c>
      <c r="AF169" s="2" t="str">
        <f t="shared" si="51"/>
        <v/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423</v>
      </c>
      <c r="C170" s="2" t="s">
        <v>382</v>
      </c>
      <c r="D170" s="2" t="s">
        <v>0</v>
      </c>
      <c r="E170" s="2" t="s">
        <v>130</v>
      </c>
      <c r="F170" s="2" t="s">
        <v>424</v>
      </c>
      <c r="G170" s="2" t="s">
        <v>425</v>
      </c>
      <c r="H170" s="2" t="s">
        <v>383</v>
      </c>
      <c r="I170" s="2" t="s">
        <v>41</v>
      </c>
      <c r="J170" s="2">
        <v>1</v>
      </c>
      <c r="K170" s="2" t="s">
        <v>81</v>
      </c>
      <c r="L170" s="2" t="s">
        <v>40</v>
      </c>
      <c r="M170" s="2" t="s">
        <v>5291</v>
      </c>
      <c r="N170" s="2" t="s">
        <v>5239</v>
      </c>
      <c r="O170" s="2" t="s">
        <v>5077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564</v>
      </c>
      <c r="T170" s="2" t="str">
        <f t="shared" si="39"/>
        <v>0234</v>
      </c>
      <c r="U170" s="2">
        <f t="shared" si="44"/>
        <v>141</v>
      </c>
      <c r="V170" s="2" t="str">
        <f t="shared" si="40"/>
        <v>08D</v>
      </c>
      <c r="W170" s="2" t="str">
        <f t="shared" si="41"/>
        <v/>
      </c>
      <c r="X170" s="2" t="str">
        <f t="shared" si="45"/>
        <v/>
      </c>
      <c r="Y170" s="2" t="str">
        <f t="shared" si="42"/>
        <v/>
      </c>
      <c r="Z170" s="2" t="str">
        <f t="shared" si="43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/>
      </c>
      <c r="AD170" s="2" t="str">
        <f t="shared" si="49"/>
        <v>(0)</v>
      </c>
      <c r="AE170" s="2" t="str">
        <f t="shared" si="50"/>
        <v/>
      </c>
      <c r="AF170" s="2" t="str">
        <f t="shared" si="51"/>
        <v/>
      </c>
      <c r="AG170" s="2" t="str">
        <f t="shared" si="52"/>
        <v/>
      </c>
      <c r="AH170" s="2" t="str">
        <f t="shared" si="53"/>
        <v/>
      </c>
    </row>
    <row r="171" spans="2:34" x14ac:dyDescent="0.25">
      <c r="B171" s="2" t="s">
        <v>423</v>
      </c>
      <c r="C171" s="2" t="s">
        <v>384</v>
      </c>
      <c r="D171" s="2" t="s">
        <v>0</v>
      </c>
      <c r="E171" s="2" t="s">
        <v>130</v>
      </c>
      <c r="F171" s="2" t="s">
        <v>424</v>
      </c>
      <c r="G171" s="2" t="s">
        <v>425</v>
      </c>
      <c r="H171" s="2" t="s">
        <v>385</v>
      </c>
      <c r="I171" s="2" t="s">
        <v>41</v>
      </c>
      <c r="J171" s="2">
        <v>1</v>
      </c>
      <c r="K171" s="2" t="s">
        <v>81</v>
      </c>
      <c r="L171" s="2" t="s">
        <v>40</v>
      </c>
      <c r="M171" s="2" t="s">
        <v>5291</v>
      </c>
      <c r="N171" s="2" t="s">
        <v>5239</v>
      </c>
      <c r="O171" s="2" t="s">
        <v>5078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568</v>
      </c>
      <c r="T171" s="2" t="str">
        <f t="shared" si="39"/>
        <v>0238</v>
      </c>
      <c r="U171" s="2">
        <f t="shared" si="44"/>
        <v>142</v>
      </c>
      <c r="V171" s="2" t="str">
        <f t="shared" si="40"/>
        <v>08E</v>
      </c>
      <c r="W171" s="2" t="str">
        <f t="shared" si="41"/>
        <v/>
      </c>
      <c r="X171" s="2" t="str">
        <f t="shared" si="45"/>
        <v/>
      </c>
      <c r="Y171" s="2" t="str">
        <f t="shared" si="42"/>
        <v/>
      </c>
      <c r="Z171" s="2" t="str">
        <f t="shared" si="43"/>
        <v>X</v>
      </c>
      <c r="AA171" s="2" t="str">
        <f t="shared" si="46"/>
        <v/>
      </c>
      <c r="AB171" s="2" t="str">
        <f t="shared" si="47"/>
        <v/>
      </c>
      <c r="AC171" s="2" t="str">
        <f t="shared" si="48"/>
        <v/>
      </c>
      <c r="AD171" s="2" t="str">
        <f t="shared" si="49"/>
        <v>(0)</v>
      </c>
      <c r="AE171" s="2" t="str">
        <f t="shared" si="50"/>
        <v/>
      </c>
      <c r="AF171" s="2" t="str">
        <f t="shared" si="51"/>
        <v/>
      </c>
      <c r="AG171" s="2" t="str">
        <f t="shared" si="52"/>
        <v/>
      </c>
      <c r="AH171" s="2" t="str">
        <f t="shared" si="53"/>
        <v/>
      </c>
    </row>
    <row r="172" spans="2:34" x14ac:dyDescent="0.25">
      <c r="B172" s="2" t="s">
        <v>423</v>
      </c>
      <c r="C172" s="2" t="s">
        <v>386</v>
      </c>
      <c r="D172" s="2" t="s">
        <v>0</v>
      </c>
      <c r="E172" s="2" t="s">
        <v>130</v>
      </c>
      <c r="F172" s="2" t="s">
        <v>424</v>
      </c>
      <c r="G172" s="2" t="s">
        <v>425</v>
      </c>
      <c r="H172" s="2" t="s">
        <v>387</v>
      </c>
      <c r="I172" s="2" t="s">
        <v>41</v>
      </c>
      <c r="J172" s="2">
        <v>1</v>
      </c>
      <c r="K172" s="2" t="s">
        <v>81</v>
      </c>
      <c r="L172" s="2" t="s">
        <v>40</v>
      </c>
      <c r="M172" s="2" t="s">
        <v>5291</v>
      </c>
      <c r="N172" s="2" t="s">
        <v>5239</v>
      </c>
      <c r="O172" s="2" t="s">
        <v>5079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572</v>
      </c>
      <c r="T172" s="2" t="str">
        <f t="shared" si="39"/>
        <v>023C</v>
      </c>
      <c r="U172" s="2">
        <f t="shared" si="44"/>
        <v>143</v>
      </c>
      <c r="V172" s="2" t="str">
        <f t="shared" si="40"/>
        <v>08F</v>
      </c>
      <c r="W172" s="2" t="str">
        <f t="shared" si="41"/>
        <v/>
      </c>
      <c r="X172" s="2" t="str">
        <f t="shared" si="45"/>
        <v/>
      </c>
      <c r="Y172" s="2" t="str">
        <f t="shared" si="42"/>
        <v/>
      </c>
      <c r="Z172" s="2" t="str">
        <f t="shared" si="43"/>
        <v>X</v>
      </c>
      <c r="AA172" s="2" t="str">
        <f t="shared" si="46"/>
        <v/>
      </c>
      <c r="AB172" s="2" t="str">
        <f t="shared" si="47"/>
        <v/>
      </c>
      <c r="AC172" s="2" t="str">
        <f t="shared" si="48"/>
        <v/>
      </c>
      <c r="AD172" s="2" t="str">
        <f t="shared" si="49"/>
        <v>(0)</v>
      </c>
      <c r="AE172" s="2" t="str">
        <f t="shared" si="50"/>
        <v/>
      </c>
      <c r="AF172" s="2" t="str">
        <f t="shared" si="51"/>
        <v/>
      </c>
      <c r="AG172" s="2" t="str">
        <f t="shared" si="52"/>
        <v/>
      </c>
      <c r="AH172" s="2" t="str">
        <f t="shared" si="53"/>
        <v/>
      </c>
    </row>
    <row r="173" spans="2:34" x14ac:dyDescent="0.25">
      <c r="B173" s="2" t="s">
        <v>423</v>
      </c>
      <c r="C173" s="2" t="s">
        <v>388</v>
      </c>
      <c r="D173" s="2" t="s">
        <v>0</v>
      </c>
      <c r="E173" s="2" t="s">
        <v>130</v>
      </c>
      <c r="F173" s="2" t="s">
        <v>424</v>
      </c>
      <c r="G173" s="2" t="s">
        <v>425</v>
      </c>
      <c r="H173" s="2" t="s">
        <v>389</v>
      </c>
      <c r="I173" s="2" t="s">
        <v>41</v>
      </c>
      <c r="J173" s="2">
        <v>1</v>
      </c>
      <c r="K173" s="2" t="s">
        <v>81</v>
      </c>
      <c r="L173" s="2" t="s">
        <v>40</v>
      </c>
      <c r="M173" s="2" t="s">
        <v>5291</v>
      </c>
      <c r="N173" s="2" t="s">
        <v>5239</v>
      </c>
      <c r="O173" s="2" t="s">
        <v>5080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576</v>
      </c>
      <c r="T173" s="2" t="str">
        <f t="shared" si="39"/>
        <v>0240</v>
      </c>
      <c r="U173" s="2">
        <f t="shared" si="44"/>
        <v>144</v>
      </c>
      <c r="V173" s="2" t="str">
        <f t="shared" si="40"/>
        <v>090</v>
      </c>
      <c r="W173" s="2" t="str">
        <f t="shared" si="41"/>
        <v/>
      </c>
      <c r="X173" s="2" t="str">
        <f t="shared" si="45"/>
        <v/>
      </c>
      <c r="Y173" s="2" t="str">
        <f t="shared" si="42"/>
        <v/>
      </c>
      <c r="Z173" s="2" t="str">
        <f t="shared" si="43"/>
        <v>X</v>
      </c>
      <c r="AA173" s="2" t="str">
        <f t="shared" si="46"/>
        <v/>
      </c>
      <c r="AB173" s="2" t="str">
        <f t="shared" si="47"/>
        <v/>
      </c>
      <c r="AC173" s="2" t="str">
        <f t="shared" si="48"/>
        <v/>
      </c>
      <c r="AD173" s="2" t="str">
        <f t="shared" si="49"/>
        <v>(0)</v>
      </c>
      <c r="AE173" s="2" t="str">
        <f t="shared" si="50"/>
        <v/>
      </c>
      <c r="AF173" s="2" t="str">
        <f t="shared" si="51"/>
        <v/>
      </c>
      <c r="AG173" s="2" t="str">
        <f t="shared" si="52"/>
        <v/>
      </c>
      <c r="AH173" s="2" t="str">
        <f t="shared" si="53"/>
        <v/>
      </c>
    </row>
    <row r="174" spans="2:34" x14ac:dyDescent="0.25">
      <c r="B174" s="2" t="s">
        <v>423</v>
      </c>
      <c r="C174" s="2" t="s">
        <v>390</v>
      </c>
      <c r="D174" s="2" t="s">
        <v>0</v>
      </c>
      <c r="E174" s="2" t="s">
        <v>130</v>
      </c>
      <c r="F174" s="2" t="s">
        <v>424</v>
      </c>
      <c r="G174" s="2" t="s">
        <v>425</v>
      </c>
      <c r="H174" s="2" t="s">
        <v>391</v>
      </c>
      <c r="I174" s="2" t="s">
        <v>41</v>
      </c>
      <c r="J174" s="2">
        <v>1</v>
      </c>
      <c r="K174" s="2" t="s">
        <v>81</v>
      </c>
      <c r="L174" s="2" t="s">
        <v>40</v>
      </c>
      <c r="M174" s="2" t="s">
        <v>5291</v>
      </c>
      <c r="N174" s="2" t="s">
        <v>5239</v>
      </c>
      <c r="O174" s="2" t="s">
        <v>5081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580</v>
      </c>
      <c r="T174" s="2" t="str">
        <f t="shared" si="39"/>
        <v>0244</v>
      </c>
      <c r="U174" s="2">
        <f t="shared" si="44"/>
        <v>145</v>
      </c>
      <c r="V174" s="2" t="str">
        <f t="shared" si="40"/>
        <v>091</v>
      </c>
      <c r="W174" s="2" t="str">
        <f t="shared" si="41"/>
        <v/>
      </c>
      <c r="X174" s="2" t="str">
        <f t="shared" si="45"/>
        <v/>
      </c>
      <c r="Y174" s="2" t="str">
        <f t="shared" si="42"/>
        <v/>
      </c>
      <c r="Z174" s="2" t="str">
        <f t="shared" si="43"/>
        <v>X</v>
      </c>
      <c r="AA174" s="2" t="str">
        <f t="shared" si="46"/>
        <v/>
      </c>
      <c r="AB174" s="2" t="str">
        <f t="shared" si="47"/>
        <v/>
      </c>
      <c r="AC174" s="2" t="str">
        <f t="shared" si="48"/>
        <v/>
      </c>
      <c r="AD174" s="2" t="str">
        <f t="shared" si="49"/>
        <v>(0)</v>
      </c>
      <c r="AE174" s="2" t="str">
        <f t="shared" si="50"/>
        <v/>
      </c>
      <c r="AF174" s="2" t="str">
        <f t="shared" si="51"/>
        <v/>
      </c>
      <c r="AG174" s="2" t="str">
        <f t="shared" si="52"/>
        <v/>
      </c>
      <c r="AH174" s="2" t="str">
        <f t="shared" si="53"/>
        <v/>
      </c>
    </row>
    <row r="175" spans="2:34" x14ac:dyDescent="0.25">
      <c r="B175" s="2" t="s">
        <v>423</v>
      </c>
      <c r="C175" s="2" t="s">
        <v>392</v>
      </c>
      <c r="D175" s="2" t="s">
        <v>0</v>
      </c>
      <c r="E175" s="2" t="s">
        <v>130</v>
      </c>
      <c r="F175" s="2" t="s">
        <v>424</v>
      </c>
      <c r="G175" s="2" t="s">
        <v>425</v>
      </c>
      <c r="H175" s="2" t="s">
        <v>393</v>
      </c>
      <c r="I175" s="2" t="s">
        <v>41</v>
      </c>
      <c r="J175" s="2">
        <v>1</v>
      </c>
      <c r="K175" s="2" t="s">
        <v>81</v>
      </c>
      <c r="L175" s="2" t="s">
        <v>40</v>
      </c>
      <c r="M175" s="2" t="s">
        <v>5291</v>
      </c>
      <c r="N175" s="2" t="s">
        <v>5239</v>
      </c>
      <c r="O175" s="2" t="s">
        <v>5082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584</v>
      </c>
      <c r="T175" s="2" t="str">
        <f t="shared" si="39"/>
        <v>0248</v>
      </c>
      <c r="U175" s="2">
        <f t="shared" si="44"/>
        <v>146</v>
      </c>
      <c r="V175" s="2" t="str">
        <f t="shared" si="40"/>
        <v>092</v>
      </c>
      <c r="W175" s="2" t="str">
        <f t="shared" si="41"/>
        <v/>
      </c>
      <c r="X175" s="2" t="str">
        <f t="shared" si="45"/>
        <v/>
      </c>
      <c r="Y175" s="2" t="str">
        <f t="shared" si="42"/>
        <v/>
      </c>
      <c r="Z175" s="2" t="str">
        <f t="shared" si="43"/>
        <v>X</v>
      </c>
      <c r="AA175" s="2" t="str">
        <f t="shared" si="46"/>
        <v/>
      </c>
      <c r="AB175" s="2" t="str">
        <f t="shared" si="47"/>
        <v/>
      </c>
      <c r="AC175" s="2" t="str">
        <f t="shared" si="48"/>
        <v/>
      </c>
      <c r="AD175" s="2" t="str">
        <f t="shared" si="49"/>
        <v>(0)</v>
      </c>
      <c r="AE175" s="2" t="str">
        <f t="shared" si="50"/>
        <v/>
      </c>
      <c r="AF175" s="2" t="str">
        <f t="shared" si="51"/>
        <v/>
      </c>
      <c r="AG175" s="2" t="str">
        <f t="shared" si="52"/>
        <v/>
      </c>
      <c r="AH175" s="2" t="str">
        <f t="shared" si="53"/>
        <v/>
      </c>
    </row>
    <row r="176" spans="2:34" x14ac:dyDescent="0.25">
      <c r="B176" s="2" t="s">
        <v>423</v>
      </c>
      <c r="C176" s="2" t="s">
        <v>394</v>
      </c>
      <c r="D176" s="2" t="s">
        <v>0</v>
      </c>
      <c r="E176" s="2" t="s">
        <v>130</v>
      </c>
      <c r="F176" s="2" t="s">
        <v>424</v>
      </c>
      <c r="G176" s="2" t="s">
        <v>425</v>
      </c>
      <c r="H176" s="2" t="s">
        <v>395</v>
      </c>
      <c r="I176" s="2" t="s">
        <v>41</v>
      </c>
      <c r="J176" s="2">
        <v>1</v>
      </c>
      <c r="K176" s="2" t="s">
        <v>81</v>
      </c>
      <c r="L176" s="2" t="s">
        <v>40</v>
      </c>
      <c r="M176" s="2" t="s">
        <v>5291</v>
      </c>
      <c r="N176" s="2" t="s">
        <v>5239</v>
      </c>
      <c r="O176" s="2" t="s">
        <v>5083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588</v>
      </c>
      <c r="T176" s="2" t="str">
        <f t="shared" si="39"/>
        <v>024C</v>
      </c>
      <c r="U176" s="2">
        <f t="shared" si="44"/>
        <v>147</v>
      </c>
      <c r="V176" s="2" t="str">
        <f t="shared" si="40"/>
        <v>093</v>
      </c>
      <c r="W176" s="2" t="str">
        <f t="shared" si="41"/>
        <v/>
      </c>
      <c r="X176" s="2" t="str">
        <f t="shared" si="45"/>
        <v/>
      </c>
      <c r="Y176" s="2" t="str">
        <f t="shared" si="42"/>
        <v/>
      </c>
      <c r="Z176" s="2" t="str">
        <f t="shared" si="43"/>
        <v>X</v>
      </c>
      <c r="AA176" s="2" t="str">
        <f t="shared" si="46"/>
        <v/>
      </c>
      <c r="AB176" s="2" t="str">
        <f t="shared" si="47"/>
        <v/>
      </c>
      <c r="AC176" s="2" t="str">
        <f t="shared" si="48"/>
        <v/>
      </c>
      <c r="AD176" s="2" t="str">
        <f t="shared" si="49"/>
        <v>(0)</v>
      </c>
      <c r="AE176" s="2" t="str">
        <f t="shared" si="50"/>
        <v/>
      </c>
      <c r="AF176" s="2" t="str">
        <f t="shared" si="51"/>
        <v/>
      </c>
      <c r="AG176" s="2" t="str">
        <f t="shared" si="52"/>
        <v/>
      </c>
      <c r="AH176" s="2" t="str">
        <f t="shared" si="53"/>
        <v/>
      </c>
    </row>
    <row r="177" spans="2:34" x14ac:dyDescent="0.25">
      <c r="B177" s="2" t="s">
        <v>423</v>
      </c>
      <c r="C177" s="2" t="s">
        <v>396</v>
      </c>
      <c r="D177" s="2" t="s">
        <v>0</v>
      </c>
      <c r="E177" s="2" t="s">
        <v>130</v>
      </c>
      <c r="F177" s="2" t="s">
        <v>424</v>
      </c>
      <c r="G177" s="2" t="s">
        <v>425</v>
      </c>
      <c r="H177" s="2" t="s">
        <v>397</v>
      </c>
      <c r="I177" s="2" t="s">
        <v>41</v>
      </c>
      <c r="J177" s="2">
        <v>1</v>
      </c>
      <c r="K177" s="2" t="s">
        <v>81</v>
      </c>
      <c r="L177" s="2" t="s">
        <v>40</v>
      </c>
      <c r="M177" s="2" t="s">
        <v>5291</v>
      </c>
      <c r="N177" s="2" t="s">
        <v>5239</v>
      </c>
      <c r="O177" s="2" t="s">
        <v>5084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592</v>
      </c>
      <c r="T177" s="2" t="str">
        <f t="shared" si="39"/>
        <v>0250</v>
      </c>
      <c r="U177" s="2">
        <f t="shared" si="44"/>
        <v>148</v>
      </c>
      <c r="V177" s="2" t="str">
        <f t="shared" si="40"/>
        <v>094</v>
      </c>
      <c r="W177" s="2" t="str">
        <f t="shared" si="41"/>
        <v/>
      </c>
      <c r="X177" s="2" t="str">
        <f t="shared" si="45"/>
        <v/>
      </c>
      <c r="Y177" s="2" t="str">
        <f t="shared" si="42"/>
        <v/>
      </c>
      <c r="Z177" s="2" t="str">
        <f t="shared" si="43"/>
        <v>X</v>
      </c>
      <c r="AA177" s="2" t="str">
        <f t="shared" si="46"/>
        <v/>
      </c>
      <c r="AB177" s="2" t="str">
        <f t="shared" si="47"/>
        <v/>
      </c>
      <c r="AC177" s="2" t="str">
        <f t="shared" si="48"/>
        <v/>
      </c>
      <c r="AD177" s="2" t="str">
        <f t="shared" si="49"/>
        <v>(0)</v>
      </c>
      <c r="AE177" s="2" t="str">
        <f t="shared" si="50"/>
        <v/>
      </c>
      <c r="AF177" s="2" t="str">
        <f t="shared" si="51"/>
        <v/>
      </c>
      <c r="AG177" s="2" t="str">
        <f t="shared" si="52"/>
        <v/>
      </c>
      <c r="AH177" s="2" t="str">
        <f t="shared" si="53"/>
        <v/>
      </c>
    </row>
    <row r="178" spans="2:34" x14ac:dyDescent="0.25">
      <c r="B178" s="2" t="s">
        <v>423</v>
      </c>
      <c r="C178" s="2" t="s">
        <v>398</v>
      </c>
      <c r="D178" s="2" t="s">
        <v>0</v>
      </c>
      <c r="E178" s="2" t="s">
        <v>130</v>
      </c>
      <c r="F178" s="2" t="s">
        <v>424</v>
      </c>
      <c r="G178" s="2" t="s">
        <v>425</v>
      </c>
      <c r="H178" s="2" t="s">
        <v>399</v>
      </c>
      <c r="I178" s="2" t="s">
        <v>41</v>
      </c>
      <c r="J178" s="2">
        <v>1</v>
      </c>
      <c r="K178" s="2" t="s">
        <v>81</v>
      </c>
      <c r="L178" s="2" t="s">
        <v>40</v>
      </c>
      <c r="M178" s="2" t="s">
        <v>5291</v>
      </c>
      <c r="N178" s="2" t="s">
        <v>5239</v>
      </c>
      <c r="O178" s="2" t="s">
        <v>5085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596</v>
      </c>
      <c r="T178" s="2" t="str">
        <f t="shared" si="39"/>
        <v>0254</v>
      </c>
      <c r="U178" s="2">
        <f t="shared" si="44"/>
        <v>149</v>
      </c>
      <c r="V178" s="2" t="str">
        <f t="shared" si="40"/>
        <v>095</v>
      </c>
      <c r="W178" s="2" t="str">
        <f t="shared" si="41"/>
        <v/>
      </c>
      <c r="X178" s="2" t="str">
        <f t="shared" si="45"/>
        <v/>
      </c>
      <c r="Y178" s="2" t="str">
        <f t="shared" si="42"/>
        <v/>
      </c>
      <c r="Z178" s="2" t="str">
        <f t="shared" si="43"/>
        <v>X</v>
      </c>
      <c r="AA178" s="2" t="str">
        <f t="shared" si="46"/>
        <v/>
      </c>
      <c r="AB178" s="2" t="str">
        <f t="shared" si="47"/>
        <v/>
      </c>
      <c r="AC178" s="2" t="str">
        <f t="shared" si="48"/>
        <v/>
      </c>
      <c r="AD178" s="2" t="str">
        <f t="shared" si="49"/>
        <v>(0)</v>
      </c>
      <c r="AE178" s="2" t="str">
        <f t="shared" si="50"/>
        <v/>
      </c>
      <c r="AF178" s="2" t="str">
        <f t="shared" si="51"/>
        <v/>
      </c>
      <c r="AG178" s="2" t="str">
        <f t="shared" si="52"/>
        <v/>
      </c>
      <c r="AH178" s="2" t="str">
        <f t="shared" si="53"/>
        <v/>
      </c>
    </row>
    <row r="179" spans="2:34" x14ac:dyDescent="0.25">
      <c r="B179" s="2" t="s">
        <v>426</v>
      </c>
      <c r="C179" s="2" t="s">
        <v>401</v>
      </c>
      <c r="D179" s="2" t="s">
        <v>0</v>
      </c>
      <c r="E179" s="2" t="s">
        <v>130</v>
      </c>
      <c r="F179" s="2" t="s">
        <v>427</v>
      </c>
      <c r="G179" s="2" t="s">
        <v>428</v>
      </c>
      <c r="H179" s="2" t="s">
        <v>404</v>
      </c>
      <c r="I179" s="2" t="s">
        <v>41</v>
      </c>
      <c r="J179" s="2">
        <v>1</v>
      </c>
      <c r="K179" s="2" t="s">
        <v>81</v>
      </c>
      <c r="L179" s="2" t="s">
        <v>40</v>
      </c>
      <c r="M179" s="2" t="s">
        <v>5291</v>
      </c>
      <c r="N179" s="2" t="s">
        <v>5240</v>
      </c>
      <c r="O179" s="2" t="s">
        <v>5086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600</v>
      </c>
      <c r="T179" s="2" t="str">
        <f t="shared" si="39"/>
        <v>0258</v>
      </c>
      <c r="U179" s="2">
        <f t="shared" si="44"/>
        <v>150</v>
      </c>
      <c r="V179" s="2" t="str">
        <f t="shared" si="40"/>
        <v>096</v>
      </c>
      <c r="W179" s="2" t="str">
        <f t="shared" si="41"/>
        <v/>
      </c>
      <c r="X179" s="2" t="str">
        <f t="shared" si="45"/>
        <v/>
      </c>
      <c r="Y179" s="2" t="str">
        <f t="shared" si="42"/>
        <v/>
      </c>
      <c r="Z179" s="2" t="str">
        <f t="shared" si="43"/>
        <v>X</v>
      </c>
      <c r="AA179" s="2" t="str">
        <f t="shared" si="46"/>
        <v/>
      </c>
      <c r="AB179" s="2" t="str">
        <f t="shared" si="47"/>
        <v/>
      </c>
      <c r="AC179" s="2" t="str">
        <f t="shared" si="48"/>
        <v/>
      </c>
      <c r="AD179" s="2" t="str">
        <f t="shared" si="49"/>
        <v>(0)</v>
      </c>
      <c r="AE179" s="2" t="str">
        <f t="shared" si="50"/>
        <v/>
      </c>
      <c r="AF179" s="2" t="str">
        <f t="shared" si="51"/>
        <v/>
      </c>
      <c r="AG179" s="2" t="str">
        <f t="shared" si="52"/>
        <v/>
      </c>
      <c r="AH179" s="2" t="str">
        <f t="shared" si="53"/>
        <v/>
      </c>
    </row>
    <row r="180" spans="2:34" x14ac:dyDescent="0.25">
      <c r="B180" s="2" t="s">
        <v>426</v>
      </c>
      <c r="C180" s="2" t="s">
        <v>405</v>
      </c>
      <c r="D180" s="2" t="s">
        <v>0</v>
      </c>
      <c r="E180" s="2" t="s">
        <v>130</v>
      </c>
      <c r="F180" s="2" t="s">
        <v>427</v>
      </c>
      <c r="G180" s="2" t="s">
        <v>428</v>
      </c>
      <c r="H180" s="2" t="s">
        <v>406</v>
      </c>
      <c r="I180" s="2" t="s">
        <v>41</v>
      </c>
      <c r="J180" s="2">
        <v>1</v>
      </c>
      <c r="K180" s="2" t="s">
        <v>81</v>
      </c>
      <c r="L180" s="2" t="s">
        <v>40</v>
      </c>
      <c r="M180" s="2" t="s">
        <v>5291</v>
      </c>
      <c r="N180" s="2" t="s">
        <v>5240</v>
      </c>
      <c r="O180" s="2" t="s">
        <v>5087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604</v>
      </c>
      <c r="T180" s="2" t="str">
        <f t="shared" si="39"/>
        <v>025C</v>
      </c>
      <c r="U180" s="2">
        <f t="shared" si="44"/>
        <v>151</v>
      </c>
      <c r="V180" s="2" t="str">
        <f t="shared" si="40"/>
        <v>097</v>
      </c>
      <c r="W180" s="2" t="str">
        <f t="shared" si="41"/>
        <v/>
      </c>
      <c r="X180" s="2" t="str">
        <f t="shared" si="45"/>
        <v/>
      </c>
      <c r="Y180" s="2" t="str">
        <f t="shared" si="42"/>
        <v/>
      </c>
      <c r="Z180" s="2" t="str">
        <f t="shared" si="43"/>
        <v>X</v>
      </c>
      <c r="AA180" s="2" t="str">
        <f t="shared" si="46"/>
        <v/>
      </c>
      <c r="AB180" s="2" t="str">
        <f t="shared" si="47"/>
        <v/>
      </c>
      <c r="AC180" s="2" t="str">
        <f t="shared" si="48"/>
        <v/>
      </c>
      <c r="AD180" s="2" t="str">
        <f t="shared" si="49"/>
        <v>(0)</v>
      </c>
      <c r="AE180" s="2" t="str">
        <f t="shared" si="50"/>
        <v/>
      </c>
      <c r="AF180" s="2" t="str">
        <f t="shared" si="51"/>
        <v/>
      </c>
      <c r="AG180" s="2" t="str">
        <f t="shared" si="52"/>
        <v/>
      </c>
      <c r="AH180" s="2" t="str">
        <f t="shared" si="53"/>
        <v/>
      </c>
    </row>
    <row r="181" spans="2:34" x14ac:dyDescent="0.25">
      <c r="B181" s="2" t="s">
        <v>426</v>
      </c>
      <c r="C181" s="2" t="s">
        <v>407</v>
      </c>
      <c r="D181" s="2" t="s">
        <v>0</v>
      </c>
      <c r="E181" s="2" t="s">
        <v>130</v>
      </c>
      <c r="F181" s="2" t="s">
        <v>427</v>
      </c>
      <c r="G181" s="2" t="s">
        <v>428</v>
      </c>
      <c r="H181" s="2" t="s">
        <v>408</v>
      </c>
      <c r="I181" s="2" t="s">
        <v>41</v>
      </c>
      <c r="J181" s="2">
        <v>1</v>
      </c>
      <c r="K181" s="2" t="s">
        <v>81</v>
      </c>
      <c r="L181" s="2" t="s">
        <v>40</v>
      </c>
      <c r="M181" s="2" t="s">
        <v>5291</v>
      </c>
      <c r="N181" s="2" t="s">
        <v>5240</v>
      </c>
      <c r="O181" s="2" t="s">
        <v>5088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608</v>
      </c>
      <c r="T181" s="2" t="str">
        <f t="shared" si="39"/>
        <v>0260</v>
      </c>
      <c r="U181" s="2">
        <f t="shared" si="44"/>
        <v>152</v>
      </c>
      <c r="V181" s="2" t="str">
        <f t="shared" si="40"/>
        <v>098</v>
      </c>
      <c r="W181" s="2" t="str">
        <f t="shared" si="41"/>
        <v/>
      </c>
      <c r="X181" s="2" t="str">
        <f t="shared" si="45"/>
        <v/>
      </c>
      <c r="Y181" s="2" t="str">
        <f t="shared" si="42"/>
        <v/>
      </c>
      <c r="Z181" s="2" t="str">
        <f t="shared" si="43"/>
        <v>X</v>
      </c>
      <c r="AA181" s="2" t="str">
        <f t="shared" si="46"/>
        <v/>
      </c>
      <c r="AB181" s="2" t="str">
        <f t="shared" si="47"/>
        <v/>
      </c>
      <c r="AC181" s="2" t="str">
        <f t="shared" si="48"/>
        <v/>
      </c>
      <c r="AD181" s="2" t="str">
        <f t="shared" si="49"/>
        <v>(0)</v>
      </c>
      <c r="AE181" s="2" t="str">
        <f t="shared" si="50"/>
        <v/>
      </c>
      <c r="AF181" s="2" t="str">
        <f t="shared" si="51"/>
        <v/>
      </c>
      <c r="AG181" s="2" t="str">
        <f t="shared" si="52"/>
        <v/>
      </c>
      <c r="AH181" s="2" t="str">
        <f t="shared" si="53"/>
        <v/>
      </c>
    </row>
    <row r="182" spans="2:34" x14ac:dyDescent="0.25">
      <c r="B182" s="2" t="s">
        <v>426</v>
      </c>
      <c r="C182" s="2" t="s">
        <v>409</v>
      </c>
      <c r="D182" s="2" t="s">
        <v>0</v>
      </c>
      <c r="E182" s="2" t="s">
        <v>130</v>
      </c>
      <c r="F182" s="2" t="s">
        <v>427</v>
      </c>
      <c r="G182" s="2" t="s">
        <v>428</v>
      </c>
      <c r="H182" s="2" t="s">
        <v>410</v>
      </c>
      <c r="I182" s="2" t="s">
        <v>41</v>
      </c>
      <c r="J182" s="2">
        <v>1</v>
      </c>
      <c r="K182" s="2" t="s">
        <v>81</v>
      </c>
      <c r="L182" s="2" t="s">
        <v>40</v>
      </c>
      <c r="M182" s="2" t="s">
        <v>5291</v>
      </c>
      <c r="N182" s="2" t="s">
        <v>5240</v>
      </c>
      <c r="O182" s="2" t="s">
        <v>5089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612</v>
      </c>
      <c r="T182" s="2" t="str">
        <f t="shared" si="39"/>
        <v>0264</v>
      </c>
      <c r="U182" s="2">
        <f t="shared" si="44"/>
        <v>153</v>
      </c>
      <c r="V182" s="2" t="str">
        <f t="shared" si="40"/>
        <v>099</v>
      </c>
      <c r="W182" s="2" t="str">
        <f t="shared" si="41"/>
        <v/>
      </c>
      <c r="X182" s="2" t="str">
        <f t="shared" si="45"/>
        <v/>
      </c>
      <c r="Y182" s="2" t="str">
        <f t="shared" si="42"/>
        <v/>
      </c>
      <c r="Z182" s="2" t="str">
        <f t="shared" si="43"/>
        <v>X</v>
      </c>
      <c r="AA182" s="2" t="str">
        <f t="shared" si="46"/>
        <v/>
      </c>
      <c r="AB182" s="2" t="str">
        <f t="shared" si="47"/>
        <v/>
      </c>
      <c r="AC182" s="2" t="str">
        <f t="shared" si="48"/>
        <v/>
      </c>
      <c r="AD182" s="2" t="str">
        <f t="shared" si="49"/>
        <v>(0)</v>
      </c>
      <c r="AE182" s="2" t="str">
        <f t="shared" si="50"/>
        <v/>
      </c>
      <c r="AF182" s="2" t="str">
        <f t="shared" si="51"/>
        <v/>
      </c>
      <c r="AG182" s="2" t="str">
        <f t="shared" si="52"/>
        <v/>
      </c>
      <c r="AH182" s="2" t="str">
        <f t="shared" si="53"/>
        <v/>
      </c>
    </row>
    <row r="183" spans="2:34" x14ac:dyDescent="0.25">
      <c r="B183" s="2" t="s">
        <v>426</v>
      </c>
      <c r="C183" s="2" t="s">
        <v>411</v>
      </c>
      <c r="D183" s="2" t="s">
        <v>0</v>
      </c>
      <c r="E183" s="2" t="s">
        <v>130</v>
      </c>
      <c r="F183" s="2" t="s">
        <v>427</v>
      </c>
      <c r="G183" s="2" t="s">
        <v>428</v>
      </c>
      <c r="H183" s="2" t="s">
        <v>412</v>
      </c>
      <c r="I183" s="2" t="s">
        <v>41</v>
      </c>
      <c r="J183" s="2">
        <v>1</v>
      </c>
      <c r="K183" s="2" t="s">
        <v>81</v>
      </c>
      <c r="L183" s="2" t="s">
        <v>40</v>
      </c>
      <c r="M183" s="2" t="s">
        <v>5291</v>
      </c>
      <c r="N183" s="2" t="s">
        <v>5240</v>
      </c>
      <c r="O183" s="2" t="s">
        <v>5090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616</v>
      </c>
      <c r="T183" s="2" t="str">
        <f t="shared" si="39"/>
        <v>0268</v>
      </c>
      <c r="U183" s="2">
        <f t="shared" si="44"/>
        <v>154</v>
      </c>
      <c r="V183" s="2" t="str">
        <f t="shared" si="40"/>
        <v>09A</v>
      </c>
      <c r="W183" s="2" t="str">
        <f t="shared" si="41"/>
        <v/>
      </c>
      <c r="X183" s="2" t="str">
        <f t="shared" si="45"/>
        <v/>
      </c>
      <c r="Y183" s="2" t="str">
        <f t="shared" si="42"/>
        <v/>
      </c>
      <c r="Z183" s="2" t="str">
        <f t="shared" si="43"/>
        <v>X</v>
      </c>
      <c r="AA183" s="2" t="str">
        <f t="shared" si="46"/>
        <v/>
      </c>
      <c r="AB183" s="2" t="str">
        <f t="shared" si="47"/>
        <v/>
      </c>
      <c r="AC183" s="2" t="str">
        <f t="shared" si="48"/>
        <v/>
      </c>
      <c r="AD183" s="2" t="str">
        <f t="shared" si="49"/>
        <v>(0)</v>
      </c>
      <c r="AE183" s="2" t="str">
        <f t="shared" si="50"/>
        <v/>
      </c>
      <c r="AF183" s="2" t="str">
        <f t="shared" si="51"/>
        <v/>
      </c>
      <c r="AG183" s="2" t="str">
        <f t="shared" si="52"/>
        <v/>
      </c>
      <c r="AH183" s="2" t="str">
        <f t="shared" si="53"/>
        <v/>
      </c>
    </row>
    <row r="184" spans="2:34" x14ac:dyDescent="0.25">
      <c r="B184" s="2" t="s">
        <v>426</v>
      </c>
      <c r="C184" s="2" t="s">
        <v>413</v>
      </c>
      <c r="D184" s="2" t="s">
        <v>0</v>
      </c>
      <c r="E184" s="2" t="s">
        <v>130</v>
      </c>
      <c r="F184" s="2" t="s">
        <v>427</v>
      </c>
      <c r="G184" s="2" t="s">
        <v>428</v>
      </c>
      <c r="H184" s="2" t="s">
        <v>414</v>
      </c>
      <c r="I184" s="2" t="s">
        <v>41</v>
      </c>
      <c r="J184" s="2">
        <v>1</v>
      </c>
      <c r="K184" s="2" t="s">
        <v>81</v>
      </c>
      <c r="L184" s="2" t="s">
        <v>40</v>
      </c>
      <c r="M184" s="2" t="s">
        <v>5291</v>
      </c>
      <c r="N184" s="2" t="s">
        <v>5240</v>
      </c>
      <c r="O184" s="2" t="s">
        <v>5091</v>
      </c>
      <c r="P184" s="2" t="s">
        <v>4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620</v>
      </c>
      <c r="T184" s="2" t="str">
        <f t="shared" si="39"/>
        <v>026C</v>
      </c>
      <c r="U184" s="2">
        <f t="shared" si="44"/>
        <v>155</v>
      </c>
      <c r="V184" s="2" t="str">
        <f t="shared" si="40"/>
        <v>09B</v>
      </c>
      <c r="W184" s="2" t="str">
        <f t="shared" si="41"/>
        <v/>
      </c>
      <c r="X184" s="2" t="str">
        <f t="shared" si="45"/>
        <v/>
      </c>
      <c r="Y184" s="2" t="str">
        <f t="shared" si="42"/>
        <v/>
      </c>
      <c r="Z184" s="2" t="str">
        <f t="shared" si="43"/>
        <v>X</v>
      </c>
      <c r="AA184" s="2" t="str">
        <f t="shared" si="46"/>
        <v/>
      </c>
      <c r="AB184" s="2" t="str">
        <f t="shared" si="47"/>
        <v/>
      </c>
      <c r="AC184" s="2" t="str">
        <f t="shared" si="48"/>
        <v/>
      </c>
      <c r="AD184" s="2" t="str">
        <f t="shared" si="49"/>
        <v>(0)</v>
      </c>
      <c r="AE184" s="2" t="str">
        <f t="shared" si="50"/>
        <v/>
      </c>
      <c r="AF184" s="2" t="str">
        <f t="shared" si="51"/>
        <v/>
      </c>
      <c r="AG184" s="2" t="str">
        <f t="shared" si="52"/>
        <v/>
      </c>
      <c r="AH184" s="2" t="str">
        <f t="shared" si="53"/>
        <v/>
      </c>
    </row>
    <row r="185" spans="2:34" x14ac:dyDescent="0.25">
      <c r="B185" s="2" t="s">
        <v>426</v>
      </c>
      <c r="C185" s="2" t="s">
        <v>415</v>
      </c>
      <c r="D185" s="2" t="s">
        <v>0</v>
      </c>
      <c r="E185" s="2" t="s">
        <v>130</v>
      </c>
      <c r="F185" s="2" t="s">
        <v>427</v>
      </c>
      <c r="G185" s="2" t="s">
        <v>428</v>
      </c>
      <c r="H185" s="2" t="s">
        <v>416</v>
      </c>
      <c r="I185" s="2" t="s">
        <v>41</v>
      </c>
      <c r="J185" s="2">
        <v>1</v>
      </c>
      <c r="K185" s="2" t="s">
        <v>81</v>
      </c>
      <c r="L185" s="2" t="s">
        <v>40</v>
      </c>
      <c r="M185" s="2" t="s">
        <v>5291</v>
      </c>
      <c r="N185" s="2" t="s">
        <v>5240</v>
      </c>
      <c r="O185" s="2" t="s">
        <v>5092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624</v>
      </c>
      <c r="T185" s="2" t="str">
        <f t="shared" si="39"/>
        <v>0270</v>
      </c>
      <c r="U185" s="2">
        <f t="shared" si="44"/>
        <v>156</v>
      </c>
      <c r="V185" s="2" t="str">
        <f t="shared" si="40"/>
        <v>09C</v>
      </c>
      <c r="W185" s="2" t="str">
        <f t="shared" si="41"/>
        <v/>
      </c>
      <c r="X185" s="2" t="str">
        <f t="shared" si="45"/>
        <v/>
      </c>
      <c r="Y185" s="2" t="str">
        <f t="shared" si="42"/>
        <v/>
      </c>
      <c r="Z185" s="2" t="str">
        <f t="shared" si="43"/>
        <v>X</v>
      </c>
      <c r="AA185" s="2" t="str">
        <f t="shared" si="46"/>
        <v/>
      </c>
      <c r="AB185" s="2" t="str">
        <f t="shared" si="47"/>
        <v/>
      </c>
      <c r="AC185" s="2" t="str">
        <f t="shared" si="48"/>
        <v/>
      </c>
      <c r="AD185" s="2" t="str">
        <f t="shared" si="49"/>
        <v>(0)</v>
      </c>
      <c r="AE185" s="2" t="str">
        <f t="shared" si="50"/>
        <v/>
      </c>
      <c r="AF185" s="2" t="str">
        <f t="shared" si="51"/>
        <v/>
      </c>
      <c r="AG185" s="2" t="str">
        <f t="shared" si="52"/>
        <v/>
      </c>
      <c r="AH185" s="2" t="str">
        <f t="shared" si="53"/>
        <v/>
      </c>
    </row>
    <row r="186" spans="2:34" x14ac:dyDescent="0.25">
      <c r="B186" s="2" t="s">
        <v>426</v>
      </c>
      <c r="C186" s="2" t="s">
        <v>417</v>
      </c>
      <c r="D186" s="2" t="s">
        <v>0</v>
      </c>
      <c r="E186" s="2" t="s">
        <v>130</v>
      </c>
      <c r="F186" s="2" t="s">
        <v>427</v>
      </c>
      <c r="G186" s="2" t="s">
        <v>428</v>
      </c>
      <c r="H186" s="2" t="s">
        <v>418</v>
      </c>
      <c r="I186" s="2" t="s">
        <v>41</v>
      </c>
      <c r="J186" s="2">
        <v>1</v>
      </c>
      <c r="K186" s="2" t="s">
        <v>81</v>
      </c>
      <c r="L186" s="2" t="s">
        <v>40</v>
      </c>
      <c r="M186" s="2" t="s">
        <v>5291</v>
      </c>
      <c r="N186" s="2" t="s">
        <v>5240</v>
      </c>
      <c r="O186" s="2" t="s">
        <v>5093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628</v>
      </c>
      <c r="T186" s="2" t="str">
        <f t="shared" si="39"/>
        <v>0274</v>
      </c>
      <c r="U186" s="2">
        <f t="shared" si="44"/>
        <v>157</v>
      </c>
      <c r="V186" s="2" t="str">
        <f t="shared" si="40"/>
        <v>09D</v>
      </c>
      <c r="W186" s="2" t="str">
        <f t="shared" si="41"/>
        <v/>
      </c>
      <c r="X186" s="2" t="str">
        <f t="shared" si="45"/>
        <v/>
      </c>
      <c r="Y186" s="2" t="str">
        <f t="shared" si="42"/>
        <v/>
      </c>
      <c r="Z186" s="2" t="str">
        <f t="shared" si="43"/>
        <v>X</v>
      </c>
      <c r="AA186" s="2" t="str">
        <f t="shared" si="46"/>
        <v/>
      </c>
      <c r="AB186" s="2" t="str">
        <f t="shared" si="47"/>
        <v/>
      </c>
      <c r="AC186" s="2" t="str">
        <f t="shared" si="48"/>
        <v/>
      </c>
      <c r="AD186" s="2" t="str">
        <f t="shared" si="49"/>
        <v>(0)</v>
      </c>
      <c r="AE186" s="2" t="str">
        <f t="shared" si="50"/>
        <v/>
      </c>
      <c r="AF186" s="2" t="str">
        <f t="shared" si="51"/>
        <v/>
      </c>
      <c r="AG186" s="2" t="str">
        <f t="shared" si="52"/>
        <v/>
      </c>
      <c r="AH186" s="2" t="str">
        <f t="shared" si="53"/>
        <v/>
      </c>
    </row>
    <row r="187" spans="2:34" x14ac:dyDescent="0.25">
      <c r="B187" s="2" t="s">
        <v>426</v>
      </c>
      <c r="C187" s="2" t="s">
        <v>141</v>
      </c>
      <c r="D187" s="2" t="s">
        <v>0</v>
      </c>
      <c r="E187" s="2" t="s">
        <v>130</v>
      </c>
      <c r="F187" s="2" t="s">
        <v>427</v>
      </c>
      <c r="G187" s="2" t="s">
        <v>428</v>
      </c>
      <c r="H187" s="2" t="s">
        <v>142</v>
      </c>
      <c r="I187" s="2" t="s">
        <v>41</v>
      </c>
      <c r="J187" s="2">
        <v>24</v>
      </c>
      <c r="K187" s="2" t="s">
        <v>132</v>
      </c>
      <c r="L187" s="2" t="s">
        <v>40</v>
      </c>
      <c r="M187" s="2" t="s">
        <v>5291</v>
      </c>
      <c r="N187" s="2" t="s">
        <v>5240</v>
      </c>
      <c r="O187" s="2" t="s">
        <v>5033</v>
      </c>
      <c r="P187" s="2" t="s">
        <v>48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632</v>
      </c>
      <c r="T187" s="2" t="str">
        <f t="shared" si="39"/>
        <v>0278</v>
      </c>
      <c r="U187" s="2">
        <f t="shared" si="44"/>
        <v>158</v>
      </c>
      <c r="V187" s="2" t="str">
        <f t="shared" si="40"/>
        <v>09E</v>
      </c>
      <c r="W187" s="2" t="str">
        <f t="shared" si="41"/>
        <v/>
      </c>
      <c r="X187" s="2" t="str">
        <f t="shared" si="45"/>
        <v>X</v>
      </c>
      <c r="Y187" s="2" t="str">
        <f t="shared" si="42"/>
        <v>X</v>
      </c>
      <c r="Z187" s="2" t="str">
        <f t="shared" si="43"/>
        <v>X</v>
      </c>
      <c r="AA187" s="2" t="str">
        <f t="shared" si="46"/>
        <v/>
      </c>
      <c r="AB187" s="2" t="str">
        <f t="shared" si="47"/>
        <v>(23 downto 16)</v>
      </c>
      <c r="AC187" s="2" t="str">
        <f t="shared" si="48"/>
        <v>(15 downto 8)</v>
      </c>
      <c r="AD187" s="2" t="str">
        <f t="shared" si="49"/>
        <v>(7 downto 0)</v>
      </c>
      <c r="AE187" s="2" t="str">
        <f t="shared" si="50"/>
        <v/>
      </c>
      <c r="AF187" s="2" t="str">
        <f t="shared" si="51"/>
        <v>(23 downto 16)</v>
      </c>
      <c r="AG187" s="2" t="str">
        <f t="shared" si="52"/>
        <v>(15 downto 8)</v>
      </c>
      <c r="AH187" s="2" t="str">
        <f t="shared" si="53"/>
        <v>(7 downto 0)</v>
      </c>
    </row>
    <row r="188" spans="2:34" x14ac:dyDescent="0.25">
      <c r="B188" s="2" t="s">
        <v>429</v>
      </c>
      <c r="C188" s="2" t="s">
        <v>141</v>
      </c>
      <c r="D188" s="2" t="s">
        <v>0</v>
      </c>
      <c r="E188" s="2" t="s">
        <v>130</v>
      </c>
      <c r="F188" s="2" t="s">
        <v>430</v>
      </c>
      <c r="G188" s="2" t="s">
        <v>431</v>
      </c>
      <c r="H188" s="2" t="s">
        <v>142</v>
      </c>
      <c r="I188" s="2" t="s">
        <v>41</v>
      </c>
      <c r="J188" s="2">
        <v>32</v>
      </c>
      <c r="K188" s="2" t="s">
        <v>132</v>
      </c>
      <c r="L188" s="2" t="s">
        <v>40</v>
      </c>
      <c r="M188" s="2" t="s">
        <v>5291</v>
      </c>
      <c r="N188" s="2" t="s">
        <v>5241</v>
      </c>
      <c r="O188" s="2" t="s">
        <v>5033</v>
      </c>
      <c r="P188" s="2" t="s">
        <v>48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636</v>
      </c>
      <c r="T188" s="2" t="str">
        <f t="shared" si="39"/>
        <v>027C</v>
      </c>
      <c r="U188" s="2">
        <f t="shared" si="44"/>
        <v>159</v>
      </c>
      <c r="V188" s="2" t="str">
        <f t="shared" si="40"/>
        <v>09F</v>
      </c>
      <c r="W188" s="2" t="str">
        <f t="shared" si="41"/>
        <v>X</v>
      </c>
      <c r="X188" s="2" t="str">
        <f t="shared" si="45"/>
        <v>X</v>
      </c>
      <c r="Y188" s="2" t="str">
        <f t="shared" si="42"/>
        <v>X</v>
      </c>
      <c r="Z188" s="2" t="str">
        <f t="shared" si="43"/>
        <v>X</v>
      </c>
      <c r="AA188" s="2" t="str">
        <f t="shared" si="46"/>
        <v>(31 downto 24)</v>
      </c>
      <c r="AB188" s="2" t="str">
        <f t="shared" si="47"/>
        <v>(23 downto 16)</v>
      </c>
      <c r="AC188" s="2" t="str">
        <f t="shared" si="48"/>
        <v>(15 downto 8)</v>
      </c>
      <c r="AD188" s="2" t="str">
        <f t="shared" si="49"/>
        <v>(7 downto 0)</v>
      </c>
      <c r="AE188" s="2" t="str">
        <f t="shared" si="50"/>
        <v>(31 downto 24)</v>
      </c>
      <c r="AF188" s="2" t="str">
        <f t="shared" si="51"/>
        <v>(23 downto 16)</v>
      </c>
      <c r="AG188" s="2" t="str">
        <f t="shared" si="52"/>
        <v>(15 downto 8)</v>
      </c>
      <c r="AH188" s="2" t="str">
        <f t="shared" si="53"/>
        <v>(7 downto 0)</v>
      </c>
    </row>
    <row r="189" spans="2:34" x14ac:dyDescent="0.25">
      <c r="B189" s="2" t="s">
        <v>432</v>
      </c>
      <c r="C189" s="2" t="s">
        <v>141</v>
      </c>
      <c r="D189" s="2" t="s">
        <v>0</v>
      </c>
      <c r="E189" s="2" t="s">
        <v>130</v>
      </c>
      <c r="F189" s="2" t="s">
        <v>433</v>
      </c>
      <c r="G189" s="2" t="s">
        <v>434</v>
      </c>
      <c r="H189" s="2" t="s">
        <v>142</v>
      </c>
      <c r="I189" s="2" t="s">
        <v>41</v>
      </c>
      <c r="J189" s="2">
        <v>32</v>
      </c>
      <c r="K189" s="2" t="s">
        <v>132</v>
      </c>
      <c r="L189" s="2" t="s">
        <v>40</v>
      </c>
      <c r="M189" s="2" t="s">
        <v>5291</v>
      </c>
      <c r="N189" s="2" t="s">
        <v>5242</v>
      </c>
      <c r="O189" s="2" t="s">
        <v>5033</v>
      </c>
      <c r="P189" s="2" t="s">
        <v>48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640</v>
      </c>
      <c r="T189" s="2" t="str">
        <f t="shared" si="39"/>
        <v>0280</v>
      </c>
      <c r="U189" s="2">
        <f t="shared" si="44"/>
        <v>160</v>
      </c>
      <c r="V189" s="2" t="str">
        <f t="shared" si="40"/>
        <v>0A0</v>
      </c>
      <c r="W189" s="2" t="str">
        <f t="shared" si="41"/>
        <v>X</v>
      </c>
      <c r="X189" s="2" t="str">
        <f t="shared" si="45"/>
        <v>X</v>
      </c>
      <c r="Y189" s="2" t="str">
        <f t="shared" si="42"/>
        <v>X</v>
      </c>
      <c r="Z189" s="2" t="str">
        <f t="shared" si="43"/>
        <v>X</v>
      </c>
      <c r="AA189" s="2" t="str">
        <f t="shared" si="46"/>
        <v>(31 downto 24)</v>
      </c>
      <c r="AB189" s="2" t="str">
        <f t="shared" si="47"/>
        <v>(23 downto 16)</v>
      </c>
      <c r="AC189" s="2" t="str">
        <f t="shared" si="48"/>
        <v>(15 downto 8)</v>
      </c>
      <c r="AD189" s="2" t="str">
        <f t="shared" si="49"/>
        <v>(7 downto 0)</v>
      </c>
      <c r="AE189" s="2" t="str">
        <f t="shared" si="50"/>
        <v>(31 downto 24)</v>
      </c>
      <c r="AF189" s="2" t="str">
        <f t="shared" si="51"/>
        <v>(23 downto 16)</v>
      </c>
      <c r="AG189" s="2" t="str">
        <f t="shared" si="52"/>
        <v>(15 downto 8)</v>
      </c>
      <c r="AH189" s="2" t="str">
        <f t="shared" si="53"/>
        <v>(7 downto 0)</v>
      </c>
    </row>
    <row r="190" spans="2:34" x14ac:dyDescent="0.25">
      <c r="B190" s="2" t="s">
        <v>435</v>
      </c>
      <c r="C190" s="2" t="s">
        <v>146</v>
      </c>
      <c r="D190" s="2" t="s">
        <v>0</v>
      </c>
      <c r="E190" s="2" t="s">
        <v>130</v>
      </c>
      <c r="F190" s="2" t="s">
        <v>436</v>
      </c>
      <c r="G190" s="2" t="s">
        <v>437</v>
      </c>
      <c r="H190" s="2" t="s">
        <v>149</v>
      </c>
      <c r="I190" s="2" t="s">
        <v>41</v>
      </c>
      <c r="J190" s="2">
        <v>2</v>
      </c>
      <c r="K190" s="2" t="s">
        <v>132</v>
      </c>
      <c r="L190" s="2" t="s">
        <v>40</v>
      </c>
      <c r="M190" s="2" t="s">
        <v>5291</v>
      </c>
      <c r="N190" s="2" t="s">
        <v>5243</v>
      </c>
      <c r="O190" s="2" t="s">
        <v>4987</v>
      </c>
      <c r="P190" s="2" t="s">
        <v>47</v>
      </c>
      <c r="Q190" s="2">
        <f>INDEX(Tables!$C$4:$C$28,MATCH($P190,Tables!$B$4:$B$28,0))</f>
        <v>8</v>
      </c>
      <c r="R190" s="2">
        <f>INDEX(Tables!$D$4:$D$28,MATCH($P190,Tables!$B$4:$B$28,0))</f>
        <v>1</v>
      </c>
      <c r="S190" s="2">
        <f>$S189+$R189+INDEX(Tables!$N$5:$Q$8,MATCH(MOD($S189+$R189,4),Tables!$M$5:$M$8,0),MATCH($R190,Tables!$N$4:$Q$4,0))</f>
        <v>644</v>
      </c>
      <c r="T190" s="2" t="str">
        <f t="shared" si="39"/>
        <v>0284</v>
      </c>
      <c r="U190" s="2">
        <f t="shared" si="44"/>
        <v>161</v>
      </c>
      <c r="V190" s="2" t="str">
        <f t="shared" si="40"/>
        <v>0A1</v>
      </c>
      <c r="W190" s="2" t="str">
        <f t="shared" si="41"/>
        <v/>
      </c>
      <c r="X190" s="2" t="str">
        <f t="shared" si="45"/>
        <v/>
      </c>
      <c r="Y190" s="2" t="str">
        <f t="shared" si="42"/>
        <v/>
      </c>
      <c r="Z190" s="2" t="str">
        <f t="shared" si="43"/>
        <v>X</v>
      </c>
      <c r="AA190" s="2" t="str">
        <f t="shared" si="46"/>
        <v/>
      </c>
      <c r="AB190" s="2" t="str">
        <f t="shared" si="47"/>
        <v/>
      </c>
      <c r="AC190" s="2" t="str">
        <f t="shared" si="48"/>
        <v/>
      </c>
      <c r="AD190" s="2" t="str">
        <f t="shared" si="49"/>
        <v>(1 downto 0)</v>
      </c>
      <c r="AE190" s="2" t="str">
        <f t="shared" si="50"/>
        <v/>
      </c>
      <c r="AF190" s="2" t="str">
        <f t="shared" si="51"/>
        <v/>
      </c>
      <c r="AG190" s="2" t="str">
        <f t="shared" si="52"/>
        <v/>
      </c>
      <c r="AH190" s="2" t="str">
        <f t="shared" si="53"/>
        <v/>
      </c>
    </row>
    <row r="191" spans="2:34" x14ac:dyDescent="0.25">
      <c r="B191" s="2" t="s">
        <v>435</v>
      </c>
      <c r="C191" s="2" t="s">
        <v>438</v>
      </c>
      <c r="D191" s="2" t="s">
        <v>0</v>
      </c>
      <c r="E191" s="2" t="s">
        <v>130</v>
      </c>
      <c r="F191" s="2" t="s">
        <v>436</v>
      </c>
      <c r="G191" s="2" t="s">
        <v>437</v>
      </c>
      <c r="H191" s="2" t="s">
        <v>439</v>
      </c>
      <c r="I191" s="2" t="s">
        <v>41</v>
      </c>
      <c r="J191" s="2">
        <v>1</v>
      </c>
      <c r="K191" s="2" t="s">
        <v>131</v>
      </c>
      <c r="L191" s="2" t="s">
        <v>40</v>
      </c>
      <c r="M191" s="2" t="s">
        <v>5291</v>
      </c>
      <c r="N191" s="2" t="s">
        <v>5243</v>
      </c>
      <c r="O191" s="2" t="s">
        <v>5094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648</v>
      </c>
      <c r="T191" s="2" t="str">
        <f t="shared" si="39"/>
        <v>0288</v>
      </c>
      <c r="U191" s="2">
        <f t="shared" si="44"/>
        <v>162</v>
      </c>
      <c r="V191" s="2" t="str">
        <f t="shared" si="40"/>
        <v>0A2</v>
      </c>
      <c r="W191" s="2" t="str">
        <f t="shared" si="41"/>
        <v/>
      </c>
      <c r="X191" s="2" t="str">
        <f t="shared" si="45"/>
        <v/>
      </c>
      <c r="Y191" s="2" t="str">
        <f t="shared" si="42"/>
        <v/>
      </c>
      <c r="Z191" s="2" t="str">
        <f t="shared" si="43"/>
        <v>X</v>
      </c>
      <c r="AA191" s="2" t="str">
        <f t="shared" si="46"/>
        <v/>
      </c>
      <c r="AB191" s="2" t="str">
        <f t="shared" si="47"/>
        <v/>
      </c>
      <c r="AC191" s="2" t="str">
        <f t="shared" si="48"/>
        <v/>
      </c>
      <c r="AD191" s="2" t="str">
        <f t="shared" si="49"/>
        <v>(0)</v>
      </c>
      <c r="AE191" s="2" t="str">
        <f t="shared" si="50"/>
        <v/>
      </c>
      <c r="AF191" s="2" t="str">
        <f t="shared" si="51"/>
        <v/>
      </c>
      <c r="AG191" s="2" t="str">
        <f t="shared" si="52"/>
        <v/>
      </c>
      <c r="AH191" s="2" t="str">
        <f t="shared" si="53"/>
        <v/>
      </c>
    </row>
    <row r="192" spans="2:34" x14ac:dyDescent="0.25">
      <c r="B192" s="2" t="s">
        <v>435</v>
      </c>
      <c r="C192" s="2" t="s">
        <v>440</v>
      </c>
      <c r="D192" s="2" t="s">
        <v>0</v>
      </c>
      <c r="E192" s="2" t="s">
        <v>130</v>
      </c>
      <c r="F192" s="2" t="s">
        <v>436</v>
      </c>
      <c r="G192" s="2" t="s">
        <v>437</v>
      </c>
      <c r="H192" s="2" t="s">
        <v>441</v>
      </c>
      <c r="I192" s="2" t="s">
        <v>41</v>
      </c>
      <c r="J192" s="2">
        <v>1</v>
      </c>
      <c r="K192" s="2" t="s">
        <v>81</v>
      </c>
      <c r="L192" s="2" t="s">
        <v>40</v>
      </c>
      <c r="M192" s="2" t="s">
        <v>5291</v>
      </c>
      <c r="N192" s="2" t="s">
        <v>5243</v>
      </c>
      <c r="O192" s="2" t="s">
        <v>5095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652</v>
      </c>
      <c r="T192" s="2" t="str">
        <f t="shared" si="39"/>
        <v>028C</v>
      </c>
      <c r="U192" s="2">
        <f t="shared" si="44"/>
        <v>163</v>
      </c>
      <c r="V192" s="2" t="str">
        <f t="shared" si="40"/>
        <v>0A3</v>
      </c>
      <c r="W192" s="2" t="str">
        <f t="shared" si="41"/>
        <v/>
      </c>
      <c r="X192" s="2" t="str">
        <f t="shared" si="45"/>
        <v/>
      </c>
      <c r="Y192" s="2" t="str">
        <f t="shared" si="42"/>
        <v/>
      </c>
      <c r="Z192" s="2" t="str">
        <f t="shared" si="43"/>
        <v>X</v>
      </c>
      <c r="AA192" s="2" t="str">
        <f t="shared" si="46"/>
        <v/>
      </c>
      <c r="AB192" s="2" t="str">
        <f t="shared" si="47"/>
        <v/>
      </c>
      <c r="AC192" s="2" t="str">
        <f t="shared" si="48"/>
        <v/>
      </c>
      <c r="AD192" s="2" t="str">
        <f t="shared" si="49"/>
        <v>(0)</v>
      </c>
      <c r="AE192" s="2" t="str">
        <f t="shared" si="50"/>
        <v/>
      </c>
      <c r="AF192" s="2" t="str">
        <f t="shared" si="51"/>
        <v/>
      </c>
      <c r="AG192" s="2" t="str">
        <f t="shared" si="52"/>
        <v/>
      </c>
      <c r="AH192" s="2" t="str">
        <f t="shared" si="53"/>
        <v/>
      </c>
    </row>
    <row r="193" spans="2:34" x14ac:dyDescent="0.25">
      <c r="B193" s="2" t="s">
        <v>435</v>
      </c>
      <c r="C193" s="2" t="s">
        <v>442</v>
      </c>
      <c r="D193" s="2" t="s">
        <v>0</v>
      </c>
      <c r="E193" s="2" t="s">
        <v>130</v>
      </c>
      <c r="F193" s="2" t="s">
        <v>436</v>
      </c>
      <c r="G193" s="2" t="s">
        <v>437</v>
      </c>
      <c r="H193" s="2" t="s">
        <v>443</v>
      </c>
      <c r="I193" s="2" t="s">
        <v>41</v>
      </c>
      <c r="J193" s="2">
        <v>1</v>
      </c>
      <c r="K193" s="2" t="s">
        <v>81</v>
      </c>
      <c r="L193" s="2" t="s">
        <v>40</v>
      </c>
      <c r="M193" s="2" t="s">
        <v>5291</v>
      </c>
      <c r="N193" s="2" t="s">
        <v>5243</v>
      </c>
      <c r="O193" s="2" t="s">
        <v>5096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656</v>
      </c>
      <c r="T193" s="2" t="str">
        <f t="shared" si="39"/>
        <v>0290</v>
      </c>
      <c r="U193" s="2">
        <f t="shared" si="44"/>
        <v>164</v>
      </c>
      <c r="V193" s="2" t="str">
        <f t="shared" si="40"/>
        <v>0A4</v>
      </c>
      <c r="W193" s="2" t="str">
        <f t="shared" si="41"/>
        <v/>
      </c>
      <c r="X193" s="2" t="str">
        <f t="shared" si="45"/>
        <v/>
      </c>
      <c r="Y193" s="2" t="str">
        <f t="shared" si="42"/>
        <v/>
      </c>
      <c r="Z193" s="2" t="str">
        <f t="shared" si="43"/>
        <v>X</v>
      </c>
      <c r="AA193" s="2" t="str">
        <f t="shared" si="46"/>
        <v/>
      </c>
      <c r="AB193" s="2" t="str">
        <f t="shared" si="47"/>
        <v/>
      </c>
      <c r="AC193" s="2" t="str">
        <f t="shared" si="48"/>
        <v/>
      </c>
      <c r="AD193" s="2" t="str">
        <f t="shared" si="49"/>
        <v>(0)</v>
      </c>
      <c r="AE193" s="2" t="str">
        <f t="shared" si="50"/>
        <v/>
      </c>
      <c r="AF193" s="2" t="str">
        <f t="shared" si="51"/>
        <v/>
      </c>
      <c r="AG193" s="2" t="str">
        <f t="shared" si="52"/>
        <v/>
      </c>
      <c r="AH193" s="2" t="str">
        <f t="shared" si="53"/>
        <v/>
      </c>
    </row>
    <row r="194" spans="2:34" x14ac:dyDescent="0.25">
      <c r="B194" s="2" t="s">
        <v>435</v>
      </c>
      <c r="C194" s="2" t="s">
        <v>444</v>
      </c>
      <c r="D194" s="2" t="s">
        <v>0</v>
      </c>
      <c r="E194" s="2" t="s">
        <v>130</v>
      </c>
      <c r="F194" s="2" t="s">
        <v>436</v>
      </c>
      <c r="G194" s="2" t="s">
        <v>437</v>
      </c>
      <c r="H194" s="2" t="s">
        <v>445</v>
      </c>
      <c r="I194" s="2" t="s">
        <v>41</v>
      </c>
      <c r="J194" s="2">
        <v>1</v>
      </c>
      <c r="K194" s="2" t="s">
        <v>81</v>
      </c>
      <c r="L194" s="2" t="s">
        <v>40</v>
      </c>
      <c r="M194" s="2" t="s">
        <v>5291</v>
      </c>
      <c r="N194" s="2" t="s">
        <v>5243</v>
      </c>
      <c r="O194" s="2" t="s">
        <v>5097</v>
      </c>
      <c r="P194" s="2" t="s">
        <v>4</v>
      </c>
      <c r="Q194" s="2">
        <f>INDEX(Tables!$C$4:$C$28,MATCH($P194,Tables!$B$4:$B$28,0))</f>
        <v>32</v>
      </c>
      <c r="R194" s="2">
        <f>INDEX(Tables!$D$4:$D$28,MATCH($P194,Tables!$B$4:$B$28,0))</f>
        <v>4</v>
      </c>
      <c r="S194" s="2">
        <f>$S193+$R193+INDEX(Tables!$N$5:$Q$8,MATCH(MOD($S193+$R193,4),Tables!$M$5:$M$8,0),MATCH($R194,Tables!$N$4:$Q$4,0))</f>
        <v>660</v>
      </c>
      <c r="T194" s="2" t="str">
        <f t="shared" si="39"/>
        <v>0294</v>
      </c>
      <c r="U194" s="2">
        <f t="shared" si="44"/>
        <v>165</v>
      </c>
      <c r="V194" s="2" t="str">
        <f t="shared" si="40"/>
        <v>0A5</v>
      </c>
      <c r="W194" s="2" t="str">
        <f t="shared" si="41"/>
        <v/>
      </c>
      <c r="X194" s="2" t="str">
        <f t="shared" si="45"/>
        <v/>
      </c>
      <c r="Y194" s="2" t="str">
        <f t="shared" si="42"/>
        <v/>
      </c>
      <c r="Z194" s="2" t="str">
        <f t="shared" si="43"/>
        <v>X</v>
      </c>
      <c r="AA194" s="2" t="str">
        <f t="shared" si="46"/>
        <v/>
      </c>
      <c r="AB194" s="2" t="str">
        <f t="shared" si="47"/>
        <v/>
      </c>
      <c r="AC194" s="2" t="str">
        <f t="shared" si="48"/>
        <v/>
      </c>
      <c r="AD194" s="2" t="str">
        <f t="shared" si="49"/>
        <v>(0)</v>
      </c>
      <c r="AE194" s="2" t="str">
        <f t="shared" si="50"/>
        <v/>
      </c>
      <c r="AF194" s="2" t="str">
        <f t="shared" si="51"/>
        <v/>
      </c>
      <c r="AG194" s="2" t="str">
        <f t="shared" si="52"/>
        <v/>
      </c>
      <c r="AH194" s="2" t="str">
        <f t="shared" si="53"/>
        <v/>
      </c>
    </row>
    <row r="195" spans="2:34" x14ac:dyDescent="0.25">
      <c r="B195" s="2" t="s">
        <v>435</v>
      </c>
      <c r="C195" s="2" t="s">
        <v>446</v>
      </c>
      <c r="D195" s="2" t="s">
        <v>0</v>
      </c>
      <c r="E195" s="2" t="s">
        <v>130</v>
      </c>
      <c r="F195" s="2" t="s">
        <v>436</v>
      </c>
      <c r="G195" s="2" t="s">
        <v>437</v>
      </c>
      <c r="H195" s="2" t="s">
        <v>447</v>
      </c>
      <c r="I195" s="2" t="s">
        <v>41</v>
      </c>
      <c r="J195" s="2">
        <v>1</v>
      </c>
      <c r="K195" s="2" t="s">
        <v>131</v>
      </c>
      <c r="L195" s="2" t="s">
        <v>40</v>
      </c>
      <c r="M195" s="2" t="s">
        <v>5291</v>
      </c>
      <c r="N195" s="2" t="s">
        <v>5243</v>
      </c>
      <c r="O195" s="2" t="s">
        <v>5098</v>
      </c>
      <c r="P195" s="2" t="s">
        <v>4</v>
      </c>
      <c r="Q195" s="2">
        <f>INDEX(Tables!$C$4:$C$28,MATCH($P195,Tables!$B$4:$B$28,0))</f>
        <v>32</v>
      </c>
      <c r="R195" s="2">
        <f>INDEX(Tables!$D$4:$D$28,MATCH($P195,Tables!$B$4:$B$28,0))</f>
        <v>4</v>
      </c>
      <c r="S195" s="2">
        <f>$S194+$R194+INDEX(Tables!$N$5:$Q$8,MATCH(MOD($S194+$R194,4),Tables!$M$5:$M$8,0),MATCH($R195,Tables!$N$4:$Q$4,0))</f>
        <v>664</v>
      </c>
      <c r="T195" s="2" t="str">
        <f t="shared" si="39"/>
        <v>0298</v>
      </c>
      <c r="U195" s="2">
        <f t="shared" si="44"/>
        <v>166</v>
      </c>
      <c r="V195" s="2" t="str">
        <f t="shared" si="40"/>
        <v>0A6</v>
      </c>
      <c r="W195" s="2" t="str">
        <f t="shared" si="41"/>
        <v/>
      </c>
      <c r="X195" s="2" t="str">
        <f t="shared" si="45"/>
        <v/>
      </c>
      <c r="Y195" s="2" t="str">
        <f t="shared" si="42"/>
        <v/>
      </c>
      <c r="Z195" s="2" t="str">
        <f t="shared" si="43"/>
        <v>X</v>
      </c>
      <c r="AA195" s="2" t="str">
        <f t="shared" si="46"/>
        <v/>
      </c>
      <c r="AB195" s="2" t="str">
        <f t="shared" si="47"/>
        <v/>
      </c>
      <c r="AC195" s="2" t="str">
        <f t="shared" si="48"/>
        <v/>
      </c>
      <c r="AD195" s="2" t="str">
        <f t="shared" si="49"/>
        <v>(0)</v>
      </c>
      <c r="AE195" s="2" t="str">
        <f t="shared" si="50"/>
        <v/>
      </c>
      <c r="AF195" s="2" t="str">
        <f t="shared" si="51"/>
        <v/>
      </c>
      <c r="AG195" s="2" t="str">
        <f t="shared" si="52"/>
        <v/>
      </c>
      <c r="AH195" s="2" t="str">
        <f t="shared" si="53"/>
        <v/>
      </c>
    </row>
    <row r="196" spans="2:34" x14ac:dyDescent="0.25">
      <c r="B196" s="2" t="s">
        <v>435</v>
      </c>
      <c r="C196" s="2" t="s">
        <v>448</v>
      </c>
      <c r="D196" s="2" t="s">
        <v>0</v>
      </c>
      <c r="E196" s="2" t="s">
        <v>130</v>
      </c>
      <c r="F196" s="2" t="s">
        <v>436</v>
      </c>
      <c r="G196" s="2" t="s">
        <v>437</v>
      </c>
      <c r="H196" s="2" t="s">
        <v>449</v>
      </c>
      <c r="I196" s="2" t="s">
        <v>41</v>
      </c>
      <c r="J196" s="2">
        <v>1</v>
      </c>
      <c r="K196" s="2" t="s">
        <v>81</v>
      </c>
      <c r="L196" s="2" t="s">
        <v>40</v>
      </c>
      <c r="M196" s="2" t="s">
        <v>5291</v>
      </c>
      <c r="N196" s="2" t="s">
        <v>5243</v>
      </c>
      <c r="O196" s="2" t="s">
        <v>5099</v>
      </c>
      <c r="P196" s="2" t="s">
        <v>4</v>
      </c>
      <c r="Q196" s="2">
        <f>INDEX(Tables!$C$4:$C$28,MATCH($P196,Tables!$B$4:$B$28,0))</f>
        <v>32</v>
      </c>
      <c r="R196" s="2">
        <f>INDEX(Tables!$D$4:$D$28,MATCH($P196,Tables!$B$4:$B$28,0))</f>
        <v>4</v>
      </c>
      <c r="S196" s="2">
        <f>$S195+$R195+INDEX(Tables!$N$5:$Q$8,MATCH(MOD($S195+$R195,4),Tables!$M$5:$M$8,0),MATCH($R196,Tables!$N$4:$Q$4,0))</f>
        <v>668</v>
      </c>
      <c r="T196" s="2" t="str">
        <f t="shared" si="39"/>
        <v>029C</v>
      </c>
      <c r="U196" s="2">
        <f t="shared" si="44"/>
        <v>167</v>
      </c>
      <c r="V196" s="2" t="str">
        <f t="shared" si="40"/>
        <v>0A7</v>
      </c>
      <c r="W196" s="2" t="str">
        <f t="shared" si="41"/>
        <v/>
      </c>
      <c r="X196" s="2" t="str">
        <f t="shared" si="45"/>
        <v/>
      </c>
      <c r="Y196" s="2" t="str">
        <f t="shared" si="42"/>
        <v/>
      </c>
      <c r="Z196" s="2" t="str">
        <f t="shared" si="43"/>
        <v>X</v>
      </c>
      <c r="AA196" s="2" t="str">
        <f t="shared" si="46"/>
        <v/>
      </c>
      <c r="AB196" s="2" t="str">
        <f t="shared" si="47"/>
        <v/>
      </c>
      <c r="AC196" s="2" t="str">
        <f t="shared" si="48"/>
        <v/>
      </c>
      <c r="AD196" s="2" t="str">
        <f t="shared" si="49"/>
        <v>(0)</v>
      </c>
      <c r="AE196" s="2" t="str">
        <f t="shared" si="50"/>
        <v/>
      </c>
      <c r="AF196" s="2" t="str">
        <f t="shared" si="51"/>
        <v/>
      </c>
      <c r="AG196" s="2" t="str">
        <f t="shared" si="52"/>
        <v/>
      </c>
      <c r="AH196" s="2" t="str">
        <f t="shared" si="53"/>
        <v/>
      </c>
    </row>
    <row r="197" spans="2:34" x14ac:dyDescent="0.25">
      <c r="B197" s="2" t="s">
        <v>435</v>
      </c>
      <c r="C197" s="2" t="s">
        <v>450</v>
      </c>
      <c r="D197" s="2" t="s">
        <v>0</v>
      </c>
      <c r="E197" s="2" t="s">
        <v>130</v>
      </c>
      <c r="F197" s="2" t="s">
        <v>436</v>
      </c>
      <c r="G197" s="2" t="s">
        <v>437</v>
      </c>
      <c r="H197" s="2" t="s">
        <v>451</v>
      </c>
      <c r="I197" s="2" t="s">
        <v>41</v>
      </c>
      <c r="J197" s="2">
        <v>1</v>
      </c>
      <c r="K197" s="2" t="s">
        <v>131</v>
      </c>
      <c r="L197" s="2" t="s">
        <v>40</v>
      </c>
      <c r="M197" s="2" t="s">
        <v>5291</v>
      </c>
      <c r="N197" s="2" t="s">
        <v>5243</v>
      </c>
      <c r="O197" s="2" t="s">
        <v>5100</v>
      </c>
      <c r="P197" s="2" t="s">
        <v>4</v>
      </c>
      <c r="Q197" s="2">
        <f>INDEX(Tables!$C$4:$C$28,MATCH($P197,Tables!$B$4:$B$28,0))</f>
        <v>32</v>
      </c>
      <c r="R197" s="2">
        <f>INDEX(Tables!$D$4:$D$28,MATCH($P197,Tables!$B$4:$B$28,0))</f>
        <v>4</v>
      </c>
      <c r="S197" s="2">
        <f>$S196+$R196+INDEX(Tables!$N$5:$Q$8,MATCH(MOD($S196+$R196,4),Tables!$M$5:$M$8,0),MATCH($R197,Tables!$N$4:$Q$4,0))</f>
        <v>672</v>
      </c>
      <c r="T197" s="2" t="str">
        <f t="shared" ref="T197:T260" si="54">DEC2HEX($S197,4)</f>
        <v>02A0</v>
      </c>
      <c r="U197" s="2">
        <f t="shared" si="44"/>
        <v>168</v>
      </c>
      <c r="V197" s="2" t="str">
        <f t="shared" ref="V197:V260" si="55">DEC2HEX($U197,3)</f>
        <v>0A8</v>
      </c>
      <c r="W197" s="2" t="str">
        <f t="shared" ref="W197:W260" si="56">IF(MOD($S197,4)=3,"X",IF(AND(MOD($S197,4)=2,$J197&gt;8),"X",IF(AND(MOD($S197,4)=1,$J197&gt;16),"X",IF(AND(MOD($S197,4)=0,$J197&gt;24),"X",""))))</f>
        <v/>
      </c>
      <c r="X197" s="2" t="str">
        <f t="shared" si="45"/>
        <v/>
      </c>
      <c r="Y197" s="2" t="str">
        <f t="shared" ref="Y197:Y260" si="57">IF(MOD($S197,4)=1,"X",IF(AND(MOD($S197,4)=0,$J197&gt;8),"X",""))</f>
        <v/>
      </c>
      <c r="Z197" s="2" t="str">
        <f t="shared" ref="Z197:Z260" si="58">IF(MOD($S197,4)=0,"X","")</f>
        <v>X</v>
      </c>
      <c r="AA197" s="2" t="str">
        <f t="shared" si="46"/>
        <v/>
      </c>
      <c r="AB197" s="2" t="str">
        <f t="shared" si="47"/>
        <v/>
      </c>
      <c r="AC197" s="2" t="str">
        <f t="shared" si="48"/>
        <v/>
      </c>
      <c r="AD197" s="2" t="str">
        <f t="shared" si="49"/>
        <v>(0)</v>
      </c>
      <c r="AE197" s="2" t="str">
        <f t="shared" si="50"/>
        <v/>
      </c>
      <c r="AF197" s="2" t="str">
        <f t="shared" si="51"/>
        <v/>
      </c>
      <c r="AG197" s="2" t="str">
        <f t="shared" si="52"/>
        <v/>
      </c>
      <c r="AH197" s="2" t="str">
        <f t="shared" si="53"/>
        <v/>
      </c>
    </row>
    <row r="198" spans="2:34" x14ac:dyDescent="0.25">
      <c r="B198" s="2" t="s">
        <v>435</v>
      </c>
      <c r="C198" s="2" t="s">
        <v>452</v>
      </c>
      <c r="D198" s="2" t="s">
        <v>0</v>
      </c>
      <c r="E198" s="2" t="s">
        <v>130</v>
      </c>
      <c r="F198" s="2" t="s">
        <v>436</v>
      </c>
      <c r="G198" s="2" t="s">
        <v>437</v>
      </c>
      <c r="H198" s="2" t="s">
        <v>453</v>
      </c>
      <c r="I198" s="2" t="s">
        <v>41</v>
      </c>
      <c r="J198" s="2">
        <v>1</v>
      </c>
      <c r="K198" s="2" t="s">
        <v>131</v>
      </c>
      <c r="L198" s="2" t="s">
        <v>40</v>
      </c>
      <c r="M198" s="2" t="s">
        <v>5291</v>
      </c>
      <c r="N198" s="2" t="s">
        <v>5243</v>
      </c>
      <c r="O198" s="2" t="s">
        <v>5101</v>
      </c>
      <c r="P198" s="2" t="s">
        <v>4</v>
      </c>
      <c r="Q198" s="2">
        <f>INDEX(Tables!$C$4:$C$28,MATCH($P198,Tables!$B$4:$B$28,0))</f>
        <v>32</v>
      </c>
      <c r="R198" s="2">
        <f>INDEX(Tables!$D$4:$D$28,MATCH($P198,Tables!$B$4:$B$28,0))</f>
        <v>4</v>
      </c>
      <c r="S198" s="2">
        <f>$S197+$R197+INDEX(Tables!$N$5:$Q$8,MATCH(MOD($S197+$R197,4),Tables!$M$5:$M$8,0),MATCH($R198,Tables!$N$4:$Q$4,0))</f>
        <v>676</v>
      </c>
      <c r="T198" s="2" t="str">
        <f t="shared" si="54"/>
        <v>02A4</v>
      </c>
      <c r="U198" s="2">
        <f t="shared" ref="U198:U261" si="59">ROUNDDOWN(S198/4,0)</f>
        <v>169</v>
      </c>
      <c r="V198" s="2" t="str">
        <f t="shared" si="55"/>
        <v>0A9</v>
      </c>
      <c r="W198" s="2" t="str">
        <f t="shared" si="56"/>
        <v/>
      </c>
      <c r="X198" s="2" t="str">
        <f t="shared" ref="X198:X261" si="60">IF(MOD($S198,4)=2,"X",IF(AND(MOD($S198,4)=1,$J198&gt;8),"X",IF(AND(MOD($S198,4)=0,$J198&gt;16),"X","")))</f>
        <v/>
      </c>
      <c r="Y198" s="2" t="str">
        <f t="shared" si="57"/>
        <v/>
      </c>
      <c r="Z198" s="2" t="str">
        <f t="shared" si="58"/>
        <v>X</v>
      </c>
      <c r="AA198" s="2" t="str">
        <f t="shared" ref="AA198:AA261" si="61">IF(W198="","",CONCATENATE("(",IF(($J198-COUNTIF($X198:$Z198,"X")*8)=1,"24)",CONCATENATE(IF(($J198-COUNTIF($X198:$Z198,"X")*8)&gt;=8,32,($J198-COUNTIF($X198:$Z198,"X")*8)+24)-1," downto 24)"))))</f>
        <v/>
      </c>
      <c r="AB198" s="2" t="str">
        <f t="shared" ref="AB198:AB261" si="62">IF(X198="","",CONCATENATE("(",IF(($J198-COUNTIF($Y198:$Z198,"X")*8)=1,"16)",CONCATENATE(IF(($J198-COUNTIF($Y198:$Z198,"X")*8)&gt;=8,24,($J198-COUNTIF($Y198:$Z198,"X")*8)+16)-1," downto 16)"))))</f>
        <v/>
      </c>
      <c r="AC198" s="2" t="str">
        <f t="shared" ref="AC198:AC261" si="63">IF(Y198="","",CONCATENATE("(",IF(($J198-COUNTIF($Z198,"X")*8)=1,"8)",CONCATENATE(IF(($J198-COUNTIF($Z198,"X")*8)&gt;=8,16,($J198-COUNTIF($Z198,"X")*8)+8)-1," downto 8)"))))</f>
        <v/>
      </c>
      <c r="AD198" s="2" t="str">
        <f t="shared" ref="AD198:AD261" si="64">IF(Z198="","",CONCATENATE("(",IF($J198=1,"0)",CONCATENATE(IF($J198&gt;=8,8,$J198)-1," downto 0)"))))</f>
        <v>(0)</v>
      </c>
      <c r="AE198" s="2" t="str">
        <f t="shared" ref="AE198:AE261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/>
      </c>
      <c r="AF198" s="2" t="str">
        <f t="shared" ref="AF198:AF261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/>
      </c>
      <c r="AG198" s="2" t="str">
        <f t="shared" ref="AG198:AG261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/>
      </c>
      <c r="AH198" s="2" t="str">
        <f t="shared" ref="AH198:AH261" si="68">IF(Z198="","",IF($J198&lt;=8,"",CONCATENATE("(",IF($J198&gt;=8,7,$J198-1)," downto ",0,")")))</f>
        <v/>
      </c>
    </row>
    <row r="199" spans="2:34" x14ac:dyDescent="0.25">
      <c r="B199" s="2" t="s">
        <v>435</v>
      </c>
      <c r="C199" s="2" t="s">
        <v>454</v>
      </c>
      <c r="D199" s="2" t="s">
        <v>0</v>
      </c>
      <c r="E199" s="2" t="s">
        <v>130</v>
      </c>
      <c r="F199" s="2" t="s">
        <v>436</v>
      </c>
      <c r="G199" s="2" t="s">
        <v>437</v>
      </c>
      <c r="H199" s="2" t="s">
        <v>455</v>
      </c>
      <c r="I199" s="2" t="s">
        <v>41</v>
      </c>
      <c r="J199" s="2">
        <v>1</v>
      </c>
      <c r="K199" s="2" t="s">
        <v>131</v>
      </c>
      <c r="L199" s="2" t="s">
        <v>40</v>
      </c>
      <c r="M199" s="2" t="s">
        <v>5291</v>
      </c>
      <c r="N199" s="2" t="s">
        <v>5243</v>
      </c>
      <c r="O199" s="2" t="s">
        <v>5102</v>
      </c>
      <c r="P199" s="2" t="s">
        <v>4</v>
      </c>
      <c r="Q199" s="2">
        <f>INDEX(Tables!$C$4:$C$28,MATCH($P199,Tables!$B$4:$B$28,0))</f>
        <v>32</v>
      </c>
      <c r="R199" s="2">
        <f>INDEX(Tables!$D$4:$D$28,MATCH($P199,Tables!$B$4:$B$28,0))</f>
        <v>4</v>
      </c>
      <c r="S199" s="2">
        <f>$S198+$R198+INDEX(Tables!$N$5:$Q$8,MATCH(MOD($S198+$R198,4),Tables!$M$5:$M$8,0),MATCH($R199,Tables!$N$4:$Q$4,0))</f>
        <v>680</v>
      </c>
      <c r="T199" s="2" t="str">
        <f t="shared" si="54"/>
        <v>02A8</v>
      </c>
      <c r="U199" s="2">
        <f t="shared" si="59"/>
        <v>170</v>
      </c>
      <c r="V199" s="2" t="str">
        <f t="shared" si="55"/>
        <v>0AA</v>
      </c>
      <c r="W199" s="2" t="str">
        <f t="shared" si="56"/>
        <v/>
      </c>
      <c r="X199" s="2" t="str">
        <f t="shared" si="60"/>
        <v/>
      </c>
      <c r="Y199" s="2" t="str">
        <f t="shared" si="57"/>
        <v/>
      </c>
      <c r="Z199" s="2" t="str">
        <f t="shared" si="58"/>
        <v>X</v>
      </c>
      <c r="AA199" s="2" t="str">
        <f t="shared" si="61"/>
        <v/>
      </c>
      <c r="AB199" s="2" t="str">
        <f t="shared" si="62"/>
        <v/>
      </c>
      <c r="AC199" s="2" t="str">
        <f t="shared" si="63"/>
        <v/>
      </c>
      <c r="AD199" s="2" t="str">
        <f t="shared" si="64"/>
        <v>(0)</v>
      </c>
      <c r="AE199" s="2" t="str">
        <f t="shared" si="65"/>
        <v/>
      </c>
      <c r="AF199" s="2" t="str">
        <f t="shared" si="66"/>
        <v/>
      </c>
      <c r="AG199" s="2" t="str">
        <f t="shared" si="67"/>
        <v/>
      </c>
      <c r="AH199" s="2" t="str">
        <f t="shared" si="68"/>
        <v/>
      </c>
    </row>
    <row r="200" spans="2:34" x14ac:dyDescent="0.25">
      <c r="B200" s="2" t="s">
        <v>435</v>
      </c>
      <c r="C200" s="2" t="s">
        <v>456</v>
      </c>
      <c r="D200" s="2" t="s">
        <v>0</v>
      </c>
      <c r="E200" s="2" t="s">
        <v>130</v>
      </c>
      <c r="F200" s="2" t="s">
        <v>436</v>
      </c>
      <c r="G200" s="2" t="s">
        <v>437</v>
      </c>
      <c r="H200" s="2" t="s">
        <v>457</v>
      </c>
      <c r="I200" s="2" t="s">
        <v>41</v>
      </c>
      <c r="J200" s="2">
        <v>1</v>
      </c>
      <c r="K200" s="2" t="s">
        <v>131</v>
      </c>
      <c r="L200" s="2" t="s">
        <v>40</v>
      </c>
      <c r="M200" s="2" t="s">
        <v>5291</v>
      </c>
      <c r="N200" s="2" t="s">
        <v>5243</v>
      </c>
      <c r="O200" s="2" t="s">
        <v>5103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684</v>
      </c>
      <c r="T200" s="2" t="str">
        <f t="shared" si="54"/>
        <v>02AC</v>
      </c>
      <c r="U200" s="2">
        <f t="shared" si="59"/>
        <v>171</v>
      </c>
      <c r="V200" s="2" t="str">
        <f t="shared" si="55"/>
        <v>0AB</v>
      </c>
      <c r="W200" s="2" t="str">
        <f t="shared" si="56"/>
        <v/>
      </c>
      <c r="X200" s="2" t="str">
        <f t="shared" si="60"/>
        <v/>
      </c>
      <c r="Y200" s="2" t="str">
        <f t="shared" si="57"/>
        <v/>
      </c>
      <c r="Z200" s="2" t="str">
        <f t="shared" si="58"/>
        <v>X</v>
      </c>
      <c r="AA200" s="2" t="str">
        <f t="shared" si="61"/>
        <v/>
      </c>
      <c r="AB200" s="2" t="str">
        <f t="shared" si="62"/>
        <v/>
      </c>
      <c r="AC200" s="2" t="str">
        <f t="shared" si="63"/>
        <v/>
      </c>
      <c r="AD200" s="2" t="str">
        <f t="shared" si="64"/>
        <v>(0)</v>
      </c>
      <c r="AE200" s="2" t="str">
        <f t="shared" si="65"/>
        <v/>
      </c>
      <c r="AF200" s="2" t="str">
        <f t="shared" si="66"/>
        <v/>
      </c>
      <c r="AG200" s="2" t="str">
        <f t="shared" si="67"/>
        <v/>
      </c>
      <c r="AH200" s="2" t="str">
        <f t="shared" si="68"/>
        <v/>
      </c>
    </row>
    <row r="201" spans="2:34" x14ac:dyDescent="0.25">
      <c r="B201" s="2" t="s">
        <v>435</v>
      </c>
      <c r="C201" s="2" t="s">
        <v>458</v>
      </c>
      <c r="D201" s="2" t="s">
        <v>0</v>
      </c>
      <c r="E201" s="2" t="s">
        <v>130</v>
      </c>
      <c r="F201" s="2" t="s">
        <v>436</v>
      </c>
      <c r="G201" s="2" t="s">
        <v>437</v>
      </c>
      <c r="H201" s="2" t="s">
        <v>459</v>
      </c>
      <c r="I201" s="2" t="s">
        <v>41</v>
      </c>
      <c r="J201" s="2">
        <v>1</v>
      </c>
      <c r="K201" s="2" t="s">
        <v>131</v>
      </c>
      <c r="L201" s="2" t="s">
        <v>40</v>
      </c>
      <c r="M201" s="2" t="s">
        <v>5291</v>
      </c>
      <c r="N201" s="2" t="s">
        <v>5243</v>
      </c>
      <c r="O201" s="2" t="s">
        <v>5104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688</v>
      </c>
      <c r="T201" s="2" t="str">
        <f t="shared" si="54"/>
        <v>02B0</v>
      </c>
      <c r="U201" s="2">
        <f t="shared" si="59"/>
        <v>172</v>
      </c>
      <c r="V201" s="2" t="str">
        <f t="shared" si="55"/>
        <v>0AC</v>
      </c>
      <c r="W201" s="2" t="str">
        <f t="shared" si="56"/>
        <v/>
      </c>
      <c r="X201" s="2" t="str">
        <f t="shared" si="60"/>
        <v/>
      </c>
      <c r="Y201" s="2" t="str">
        <f t="shared" si="57"/>
        <v/>
      </c>
      <c r="Z201" s="2" t="str">
        <f t="shared" si="58"/>
        <v>X</v>
      </c>
      <c r="AA201" s="2" t="str">
        <f t="shared" si="61"/>
        <v/>
      </c>
      <c r="AB201" s="2" t="str">
        <f t="shared" si="62"/>
        <v/>
      </c>
      <c r="AC201" s="2" t="str">
        <f t="shared" si="63"/>
        <v/>
      </c>
      <c r="AD201" s="2" t="str">
        <f t="shared" si="64"/>
        <v>(0)</v>
      </c>
      <c r="AE201" s="2" t="str">
        <f t="shared" si="65"/>
        <v/>
      </c>
      <c r="AF201" s="2" t="str">
        <f t="shared" si="66"/>
        <v/>
      </c>
      <c r="AG201" s="2" t="str">
        <f t="shared" si="67"/>
        <v/>
      </c>
      <c r="AH201" s="2" t="str">
        <f t="shared" si="68"/>
        <v/>
      </c>
    </row>
    <row r="202" spans="2:34" x14ac:dyDescent="0.25">
      <c r="B202" s="2" t="s">
        <v>435</v>
      </c>
      <c r="C202" s="2" t="s">
        <v>460</v>
      </c>
      <c r="D202" s="2" t="s">
        <v>0</v>
      </c>
      <c r="E202" s="2" t="s">
        <v>130</v>
      </c>
      <c r="F202" s="2" t="s">
        <v>436</v>
      </c>
      <c r="G202" s="2" t="s">
        <v>437</v>
      </c>
      <c r="H202" s="2" t="s">
        <v>461</v>
      </c>
      <c r="I202" s="2" t="s">
        <v>41</v>
      </c>
      <c r="J202" s="2">
        <v>1</v>
      </c>
      <c r="K202" s="2" t="s">
        <v>131</v>
      </c>
      <c r="L202" s="2" t="s">
        <v>40</v>
      </c>
      <c r="M202" s="2" t="s">
        <v>5291</v>
      </c>
      <c r="N202" s="2" t="s">
        <v>5243</v>
      </c>
      <c r="O202" s="2" t="s">
        <v>5105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692</v>
      </c>
      <c r="T202" s="2" t="str">
        <f t="shared" si="54"/>
        <v>02B4</v>
      </c>
      <c r="U202" s="2">
        <f t="shared" si="59"/>
        <v>173</v>
      </c>
      <c r="V202" s="2" t="str">
        <f t="shared" si="55"/>
        <v>0AD</v>
      </c>
      <c r="W202" s="2" t="str">
        <f t="shared" si="56"/>
        <v/>
      </c>
      <c r="X202" s="2" t="str">
        <f t="shared" si="60"/>
        <v/>
      </c>
      <c r="Y202" s="2" t="str">
        <f t="shared" si="57"/>
        <v/>
      </c>
      <c r="Z202" s="2" t="str">
        <f t="shared" si="58"/>
        <v>X</v>
      </c>
      <c r="AA202" s="2" t="str">
        <f t="shared" si="61"/>
        <v/>
      </c>
      <c r="AB202" s="2" t="str">
        <f t="shared" si="62"/>
        <v/>
      </c>
      <c r="AC202" s="2" t="str">
        <f t="shared" si="63"/>
        <v/>
      </c>
      <c r="AD202" s="2" t="str">
        <f t="shared" si="64"/>
        <v>(0)</v>
      </c>
      <c r="AE202" s="2" t="str">
        <f t="shared" si="65"/>
        <v/>
      </c>
      <c r="AF202" s="2" t="str">
        <f t="shared" si="66"/>
        <v/>
      </c>
      <c r="AG202" s="2" t="str">
        <f t="shared" si="67"/>
        <v/>
      </c>
      <c r="AH202" s="2" t="str">
        <f t="shared" si="68"/>
        <v/>
      </c>
    </row>
    <row r="203" spans="2:34" x14ac:dyDescent="0.25">
      <c r="B203" s="2" t="s">
        <v>435</v>
      </c>
      <c r="C203" s="2" t="s">
        <v>462</v>
      </c>
      <c r="D203" s="2" t="s">
        <v>0</v>
      </c>
      <c r="E203" s="2" t="s">
        <v>130</v>
      </c>
      <c r="F203" s="2" t="s">
        <v>436</v>
      </c>
      <c r="G203" s="2" t="s">
        <v>437</v>
      </c>
      <c r="H203" s="2" t="s">
        <v>463</v>
      </c>
      <c r="I203" s="2" t="s">
        <v>41</v>
      </c>
      <c r="J203" s="2">
        <v>1</v>
      </c>
      <c r="K203" s="2" t="s">
        <v>131</v>
      </c>
      <c r="L203" s="2" t="s">
        <v>40</v>
      </c>
      <c r="M203" s="2" t="s">
        <v>5291</v>
      </c>
      <c r="N203" s="2" t="s">
        <v>5243</v>
      </c>
      <c r="O203" s="2" t="s">
        <v>5106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696</v>
      </c>
      <c r="T203" s="2" t="str">
        <f t="shared" si="54"/>
        <v>02B8</v>
      </c>
      <c r="U203" s="2">
        <f t="shared" si="59"/>
        <v>174</v>
      </c>
      <c r="V203" s="2" t="str">
        <f t="shared" si="55"/>
        <v>0AE</v>
      </c>
      <c r="W203" s="2" t="str">
        <f t="shared" si="56"/>
        <v/>
      </c>
      <c r="X203" s="2" t="str">
        <f t="shared" si="60"/>
        <v/>
      </c>
      <c r="Y203" s="2" t="str">
        <f t="shared" si="57"/>
        <v/>
      </c>
      <c r="Z203" s="2" t="str">
        <f t="shared" si="58"/>
        <v>X</v>
      </c>
      <c r="AA203" s="2" t="str">
        <f t="shared" si="61"/>
        <v/>
      </c>
      <c r="AB203" s="2" t="str">
        <f t="shared" si="62"/>
        <v/>
      </c>
      <c r="AC203" s="2" t="str">
        <f t="shared" si="63"/>
        <v/>
      </c>
      <c r="AD203" s="2" t="str">
        <f t="shared" si="64"/>
        <v>(0)</v>
      </c>
      <c r="AE203" s="2" t="str">
        <f t="shared" si="65"/>
        <v/>
      </c>
      <c r="AF203" s="2" t="str">
        <f t="shared" si="66"/>
        <v/>
      </c>
      <c r="AG203" s="2" t="str">
        <f t="shared" si="67"/>
        <v/>
      </c>
      <c r="AH203" s="2" t="str">
        <f t="shared" si="68"/>
        <v/>
      </c>
    </row>
    <row r="204" spans="2:34" x14ac:dyDescent="0.25">
      <c r="B204" s="2" t="s">
        <v>435</v>
      </c>
      <c r="C204" s="2" t="s">
        <v>464</v>
      </c>
      <c r="D204" s="2" t="s">
        <v>0</v>
      </c>
      <c r="E204" s="2" t="s">
        <v>130</v>
      </c>
      <c r="F204" s="2" t="s">
        <v>436</v>
      </c>
      <c r="G204" s="2" t="s">
        <v>437</v>
      </c>
      <c r="H204" s="2" t="s">
        <v>465</v>
      </c>
      <c r="I204" s="2" t="s">
        <v>41</v>
      </c>
      <c r="J204" s="2">
        <v>1</v>
      </c>
      <c r="K204" s="2" t="s">
        <v>131</v>
      </c>
      <c r="L204" s="2" t="s">
        <v>40</v>
      </c>
      <c r="M204" s="2" t="s">
        <v>5291</v>
      </c>
      <c r="N204" s="2" t="s">
        <v>5243</v>
      </c>
      <c r="O204" s="2" t="s">
        <v>5107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700</v>
      </c>
      <c r="T204" s="2" t="str">
        <f t="shared" si="54"/>
        <v>02BC</v>
      </c>
      <c r="U204" s="2">
        <f t="shared" si="59"/>
        <v>175</v>
      </c>
      <c r="V204" s="2" t="str">
        <f t="shared" si="55"/>
        <v>0AF</v>
      </c>
      <c r="W204" s="2" t="str">
        <f t="shared" si="56"/>
        <v/>
      </c>
      <c r="X204" s="2" t="str">
        <f t="shared" si="60"/>
        <v/>
      </c>
      <c r="Y204" s="2" t="str">
        <f t="shared" si="57"/>
        <v/>
      </c>
      <c r="Z204" s="2" t="str">
        <f t="shared" si="58"/>
        <v>X</v>
      </c>
      <c r="AA204" s="2" t="str">
        <f t="shared" si="61"/>
        <v/>
      </c>
      <c r="AB204" s="2" t="str">
        <f t="shared" si="62"/>
        <v/>
      </c>
      <c r="AC204" s="2" t="str">
        <f t="shared" si="63"/>
        <v/>
      </c>
      <c r="AD204" s="2" t="str">
        <f t="shared" si="64"/>
        <v>(0)</v>
      </c>
      <c r="AE204" s="2" t="str">
        <f t="shared" si="65"/>
        <v/>
      </c>
      <c r="AF204" s="2" t="str">
        <f t="shared" si="66"/>
        <v/>
      </c>
      <c r="AG204" s="2" t="str">
        <f t="shared" si="67"/>
        <v/>
      </c>
      <c r="AH204" s="2" t="str">
        <f t="shared" si="68"/>
        <v/>
      </c>
    </row>
    <row r="205" spans="2:34" x14ac:dyDescent="0.25">
      <c r="B205" s="2" t="s">
        <v>435</v>
      </c>
      <c r="C205" s="2" t="s">
        <v>466</v>
      </c>
      <c r="D205" s="2" t="s">
        <v>0</v>
      </c>
      <c r="E205" s="2" t="s">
        <v>130</v>
      </c>
      <c r="F205" s="2" t="s">
        <v>436</v>
      </c>
      <c r="G205" s="2" t="s">
        <v>437</v>
      </c>
      <c r="H205" s="2" t="s">
        <v>467</v>
      </c>
      <c r="I205" s="2" t="s">
        <v>41</v>
      </c>
      <c r="J205" s="2">
        <v>1</v>
      </c>
      <c r="K205" s="2" t="s">
        <v>131</v>
      </c>
      <c r="L205" s="2" t="s">
        <v>40</v>
      </c>
      <c r="M205" s="2" t="s">
        <v>5291</v>
      </c>
      <c r="N205" s="2" t="s">
        <v>5243</v>
      </c>
      <c r="O205" s="2" t="s">
        <v>5108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704</v>
      </c>
      <c r="T205" s="2" t="str">
        <f t="shared" si="54"/>
        <v>02C0</v>
      </c>
      <c r="U205" s="2">
        <f t="shared" si="59"/>
        <v>176</v>
      </c>
      <c r="V205" s="2" t="str">
        <f t="shared" si="55"/>
        <v>0B0</v>
      </c>
      <c r="W205" s="2" t="str">
        <f t="shared" si="56"/>
        <v/>
      </c>
      <c r="X205" s="2" t="str">
        <f t="shared" si="60"/>
        <v/>
      </c>
      <c r="Y205" s="2" t="str">
        <f t="shared" si="57"/>
        <v/>
      </c>
      <c r="Z205" s="2" t="str">
        <f t="shared" si="58"/>
        <v>X</v>
      </c>
      <c r="AA205" s="2" t="str">
        <f t="shared" si="61"/>
        <v/>
      </c>
      <c r="AB205" s="2" t="str">
        <f t="shared" si="62"/>
        <v/>
      </c>
      <c r="AC205" s="2" t="str">
        <f t="shared" si="63"/>
        <v/>
      </c>
      <c r="AD205" s="2" t="str">
        <f t="shared" si="64"/>
        <v>(0)</v>
      </c>
      <c r="AE205" s="2" t="str">
        <f t="shared" si="65"/>
        <v/>
      </c>
      <c r="AF205" s="2" t="str">
        <f t="shared" si="66"/>
        <v/>
      </c>
      <c r="AG205" s="2" t="str">
        <f t="shared" si="67"/>
        <v/>
      </c>
      <c r="AH205" s="2" t="str">
        <f t="shared" si="68"/>
        <v/>
      </c>
    </row>
    <row r="206" spans="2:34" x14ac:dyDescent="0.25">
      <c r="B206" s="2" t="s">
        <v>435</v>
      </c>
      <c r="C206" s="2" t="s">
        <v>468</v>
      </c>
      <c r="D206" s="2" t="s">
        <v>0</v>
      </c>
      <c r="E206" s="2" t="s">
        <v>130</v>
      </c>
      <c r="F206" s="2" t="s">
        <v>436</v>
      </c>
      <c r="G206" s="2" t="s">
        <v>437</v>
      </c>
      <c r="H206" s="2" t="s">
        <v>469</v>
      </c>
      <c r="I206" s="2" t="s">
        <v>41</v>
      </c>
      <c r="J206" s="2">
        <v>1</v>
      </c>
      <c r="K206" s="2" t="s">
        <v>131</v>
      </c>
      <c r="L206" s="2" t="s">
        <v>40</v>
      </c>
      <c r="M206" s="2" t="s">
        <v>5291</v>
      </c>
      <c r="N206" s="2" t="s">
        <v>5243</v>
      </c>
      <c r="O206" s="2" t="s">
        <v>5109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708</v>
      </c>
      <c r="T206" s="2" t="str">
        <f t="shared" si="54"/>
        <v>02C4</v>
      </c>
      <c r="U206" s="2">
        <f t="shared" si="59"/>
        <v>177</v>
      </c>
      <c r="V206" s="2" t="str">
        <f t="shared" si="55"/>
        <v>0B1</v>
      </c>
      <c r="W206" s="2" t="str">
        <f t="shared" si="56"/>
        <v/>
      </c>
      <c r="X206" s="2" t="str">
        <f t="shared" si="60"/>
        <v/>
      </c>
      <c r="Y206" s="2" t="str">
        <f t="shared" si="57"/>
        <v/>
      </c>
      <c r="Z206" s="2" t="str">
        <f t="shared" si="58"/>
        <v>X</v>
      </c>
      <c r="AA206" s="2" t="str">
        <f t="shared" si="61"/>
        <v/>
      </c>
      <c r="AB206" s="2" t="str">
        <f t="shared" si="62"/>
        <v/>
      </c>
      <c r="AC206" s="2" t="str">
        <f t="shared" si="63"/>
        <v/>
      </c>
      <c r="AD206" s="2" t="str">
        <f t="shared" si="64"/>
        <v>(0)</v>
      </c>
      <c r="AE206" s="2" t="str">
        <f t="shared" si="65"/>
        <v/>
      </c>
      <c r="AF206" s="2" t="str">
        <f t="shared" si="66"/>
        <v/>
      </c>
      <c r="AG206" s="2" t="str">
        <f t="shared" si="67"/>
        <v/>
      </c>
      <c r="AH206" s="2" t="str">
        <f t="shared" si="68"/>
        <v/>
      </c>
    </row>
    <row r="207" spans="2:34" x14ac:dyDescent="0.25">
      <c r="B207" s="2" t="s">
        <v>435</v>
      </c>
      <c r="C207" s="2" t="s">
        <v>470</v>
      </c>
      <c r="D207" s="2" t="s">
        <v>0</v>
      </c>
      <c r="E207" s="2" t="s">
        <v>130</v>
      </c>
      <c r="F207" s="2" t="s">
        <v>436</v>
      </c>
      <c r="G207" s="2" t="s">
        <v>437</v>
      </c>
      <c r="H207" s="2" t="s">
        <v>471</v>
      </c>
      <c r="I207" s="2" t="s">
        <v>41</v>
      </c>
      <c r="J207" s="2">
        <v>1</v>
      </c>
      <c r="K207" s="2" t="s">
        <v>131</v>
      </c>
      <c r="L207" s="2" t="s">
        <v>40</v>
      </c>
      <c r="M207" s="2" t="s">
        <v>5291</v>
      </c>
      <c r="N207" s="2" t="s">
        <v>5243</v>
      </c>
      <c r="O207" s="2" t="s">
        <v>5110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712</v>
      </c>
      <c r="T207" s="2" t="str">
        <f t="shared" si="54"/>
        <v>02C8</v>
      </c>
      <c r="U207" s="2">
        <f t="shared" si="59"/>
        <v>178</v>
      </c>
      <c r="V207" s="2" t="str">
        <f t="shared" si="55"/>
        <v>0B2</v>
      </c>
      <c r="W207" s="2" t="str">
        <f t="shared" si="56"/>
        <v/>
      </c>
      <c r="X207" s="2" t="str">
        <f t="shared" si="60"/>
        <v/>
      </c>
      <c r="Y207" s="2" t="str">
        <f t="shared" si="57"/>
        <v/>
      </c>
      <c r="Z207" s="2" t="str">
        <f t="shared" si="58"/>
        <v>X</v>
      </c>
      <c r="AA207" s="2" t="str">
        <f t="shared" si="61"/>
        <v/>
      </c>
      <c r="AB207" s="2" t="str">
        <f t="shared" si="62"/>
        <v/>
      </c>
      <c r="AC207" s="2" t="str">
        <f t="shared" si="63"/>
        <v/>
      </c>
      <c r="AD207" s="2" t="str">
        <f t="shared" si="64"/>
        <v>(0)</v>
      </c>
      <c r="AE207" s="2" t="str">
        <f t="shared" si="65"/>
        <v/>
      </c>
      <c r="AF207" s="2" t="str">
        <f t="shared" si="66"/>
        <v/>
      </c>
      <c r="AG207" s="2" t="str">
        <f t="shared" si="67"/>
        <v/>
      </c>
      <c r="AH207" s="2" t="str">
        <f t="shared" si="68"/>
        <v/>
      </c>
    </row>
    <row r="208" spans="2:34" x14ac:dyDescent="0.25">
      <c r="B208" s="2" t="s">
        <v>435</v>
      </c>
      <c r="C208" s="2" t="s">
        <v>472</v>
      </c>
      <c r="D208" s="2" t="s">
        <v>0</v>
      </c>
      <c r="E208" s="2" t="s">
        <v>130</v>
      </c>
      <c r="F208" s="2" t="s">
        <v>436</v>
      </c>
      <c r="G208" s="2" t="s">
        <v>437</v>
      </c>
      <c r="H208" s="2" t="s">
        <v>473</v>
      </c>
      <c r="I208" s="2" t="s">
        <v>41</v>
      </c>
      <c r="J208" s="2">
        <v>1</v>
      </c>
      <c r="K208" s="2" t="s">
        <v>131</v>
      </c>
      <c r="L208" s="2" t="s">
        <v>40</v>
      </c>
      <c r="M208" s="2" t="s">
        <v>5291</v>
      </c>
      <c r="N208" s="2" t="s">
        <v>5243</v>
      </c>
      <c r="O208" s="2" t="s">
        <v>5111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716</v>
      </c>
      <c r="T208" s="2" t="str">
        <f t="shared" si="54"/>
        <v>02CC</v>
      </c>
      <c r="U208" s="2">
        <f t="shared" si="59"/>
        <v>179</v>
      </c>
      <c r="V208" s="2" t="str">
        <f t="shared" si="55"/>
        <v>0B3</v>
      </c>
      <c r="W208" s="2" t="str">
        <f t="shared" si="56"/>
        <v/>
      </c>
      <c r="X208" s="2" t="str">
        <f t="shared" si="60"/>
        <v/>
      </c>
      <c r="Y208" s="2" t="str">
        <f t="shared" si="57"/>
        <v/>
      </c>
      <c r="Z208" s="2" t="str">
        <f t="shared" si="58"/>
        <v>X</v>
      </c>
      <c r="AA208" s="2" t="str">
        <f t="shared" si="61"/>
        <v/>
      </c>
      <c r="AB208" s="2" t="str">
        <f t="shared" si="62"/>
        <v/>
      </c>
      <c r="AC208" s="2" t="str">
        <f t="shared" si="63"/>
        <v/>
      </c>
      <c r="AD208" s="2" t="str">
        <f t="shared" si="64"/>
        <v>(0)</v>
      </c>
      <c r="AE208" s="2" t="str">
        <f t="shared" si="65"/>
        <v/>
      </c>
      <c r="AF208" s="2" t="str">
        <f t="shared" si="66"/>
        <v/>
      </c>
      <c r="AG208" s="2" t="str">
        <f t="shared" si="67"/>
        <v/>
      </c>
      <c r="AH208" s="2" t="str">
        <f t="shared" si="68"/>
        <v/>
      </c>
    </row>
    <row r="209" spans="2:34" x14ac:dyDescent="0.25">
      <c r="B209" s="2" t="s">
        <v>435</v>
      </c>
      <c r="C209" s="2" t="s">
        <v>474</v>
      </c>
      <c r="D209" s="2" t="s">
        <v>0</v>
      </c>
      <c r="E209" s="2" t="s">
        <v>130</v>
      </c>
      <c r="F209" s="2" t="s">
        <v>436</v>
      </c>
      <c r="G209" s="2" t="s">
        <v>437</v>
      </c>
      <c r="H209" s="2" t="s">
        <v>475</v>
      </c>
      <c r="I209" s="2" t="s">
        <v>41</v>
      </c>
      <c r="J209" s="2">
        <v>1</v>
      </c>
      <c r="K209" s="2" t="s">
        <v>131</v>
      </c>
      <c r="L209" s="2" t="s">
        <v>40</v>
      </c>
      <c r="M209" s="2" t="s">
        <v>5291</v>
      </c>
      <c r="N209" s="2" t="s">
        <v>5243</v>
      </c>
      <c r="O209" s="2" t="s">
        <v>5112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720</v>
      </c>
      <c r="T209" s="2" t="str">
        <f t="shared" si="54"/>
        <v>02D0</v>
      </c>
      <c r="U209" s="2">
        <f t="shared" si="59"/>
        <v>180</v>
      </c>
      <c r="V209" s="2" t="str">
        <f t="shared" si="55"/>
        <v>0B4</v>
      </c>
      <c r="W209" s="2" t="str">
        <f t="shared" si="56"/>
        <v/>
      </c>
      <c r="X209" s="2" t="str">
        <f t="shared" si="60"/>
        <v/>
      </c>
      <c r="Y209" s="2" t="str">
        <f t="shared" si="57"/>
        <v/>
      </c>
      <c r="Z209" s="2" t="str">
        <f t="shared" si="58"/>
        <v>X</v>
      </c>
      <c r="AA209" s="2" t="str">
        <f t="shared" si="61"/>
        <v/>
      </c>
      <c r="AB209" s="2" t="str">
        <f t="shared" si="62"/>
        <v/>
      </c>
      <c r="AC209" s="2" t="str">
        <f t="shared" si="63"/>
        <v/>
      </c>
      <c r="AD209" s="2" t="str">
        <f t="shared" si="64"/>
        <v>(0)</v>
      </c>
      <c r="AE209" s="2" t="str">
        <f t="shared" si="65"/>
        <v/>
      </c>
      <c r="AF209" s="2" t="str">
        <f t="shared" si="66"/>
        <v/>
      </c>
      <c r="AG209" s="2" t="str">
        <f t="shared" si="67"/>
        <v/>
      </c>
      <c r="AH209" s="2" t="str">
        <f t="shared" si="68"/>
        <v/>
      </c>
    </row>
    <row r="210" spans="2:34" x14ac:dyDescent="0.25">
      <c r="B210" s="2" t="s">
        <v>435</v>
      </c>
      <c r="C210" s="2" t="s">
        <v>476</v>
      </c>
      <c r="D210" s="2" t="s">
        <v>0</v>
      </c>
      <c r="E210" s="2" t="s">
        <v>130</v>
      </c>
      <c r="F210" s="2" t="s">
        <v>436</v>
      </c>
      <c r="G210" s="2" t="s">
        <v>437</v>
      </c>
      <c r="H210" s="2" t="s">
        <v>477</v>
      </c>
      <c r="I210" s="2" t="s">
        <v>41</v>
      </c>
      <c r="J210" s="2">
        <v>1</v>
      </c>
      <c r="K210" s="2" t="s">
        <v>131</v>
      </c>
      <c r="L210" s="2" t="s">
        <v>40</v>
      </c>
      <c r="M210" s="2" t="s">
        <v>5291</v>
      </c>
      <c r="N210" s="2" t="s">
        <v>5243</v>
      </c>
      <c r="O210" s="2" t="s">
        <v>5113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724</v>
      </c>
      <c r="T210" s="2" t="str">
        <f t="shared" si="54"/>
        <v>02D4</v>
      </c>
      <c r="U210" s="2">
        <f t="shared" si="59"/>
        <v>181</v>
      </c>
      <c r="V210" s="2" t="str">
        <f t="shared" si="55"/>
        <v>0B5</v>
      </c>
      <c r="W210" s="2" t="str">
        <f t="shared" si="56"/>
        <v/>
      </c>
      <c r="X210" s="2" t="str">
        <f t="shared" si="60"/>
        <v/>
      </c>
      <c r="Y210" s="2" t="str">
        <f t="shared" si="57"/>
        <v/>
      </c>
      <c r="Z210" s="2" t="str">
        <f t="shared" si="58"/>
        <v>X</v>
      </c>
      <c r="AA210" s="2" t="str">
        <f t="shared" si="61"/>
        <v/>
      </c>
      <c r="AB210" s="2" t="str">
        <f t="shared" si="62"/>
        <v/>
      </c>
      <c r="AC210" s="2" t="str">
        <f t="shared" si="63"/>
        <v/>
      </c>
      <c r="AD210" s="2" t="str">
        <f t="shared" si="64"/>
        <v>(0)</v>
      </c>
      <c r="AE210" s="2" t="str">
        <f t="shared" si="65"/>
        <v/>
      </c>
      <c r="AF210" s="2" t="str">
        <f t="shared" si="66"/>
        <v/>
      </c>
      <c r="AG210" s="2" t="str">
        <f t="shared" si="67"/>
        <v/>
      </c>
      <c r="AH210" s="2" t="str">
        <f t="shared" si="68"/>
        <v/>
      </c>
    </row>
    <row r="211" spans="2:34" x14ac:dyDescent="0.25">
      <c r="B211" s="2" t="s">
        <v>435</v>
      </c>
      <c r="C211" s="2" t="s">
        <v>478</v>
      </c>
      <c r="D211" s="2" t="s">
        <v>0</v>
      </c>
      <c r="E211" s="2" t="s">
        <v>130</v>
      </c>
      <c r="F211" s="2" t="s">
        <v>436</v>
      </c>
      <c r="G211" s="2" t="s">
        <v>437</v>
      </c>
      <c r="H211" s="2" t="s">
        <v>479</v>
      </c>
      <c r="I211" s="2" t="s">
        <v>41</v>
      </c>
      <c r="J211" s="2">
        <v>1</v>
      </c>
      <c r="K211" s="2" t="s">
        <v>131</v>
      </c>
      <c r="L211" s="2" t="s">
        <v>40</v>
      </c>
      <c r="M211" s="2" t="s">
        <v>5291</v>
      </c>
      <c r="N211" s="2" t="s">
        <v>5243</v>
      </c>
      <c r="O211" s="2" t="s">
        <v>5114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728</v>
      </c>
      <c r="T211" s="2" t="str">
        <f t="shared" si="54"/>
        <v>02D8</v>
      </c>
      <c r="U211" s="2">
        <f t="shared" si="59"/>
        <v>182</v>
      </c>
      <c r="V211" s="2" t="str">
        <f t="shared" si="55"/>
        <v>0B6</v>
      </c>
      <c r="W211" s="2" t="str">
        <f t="shared" si="56"/>
        <v/>
      </c>
      <c r="X211" s="2" t="str">
        <f t="shared" si="60"/>
        <v/>
      </c>
      <c r="Y211" s="2" t="str">
        <f t="shared" si="57"/>
        <v/>
      </c>
      <c r="Z211" s="2" t="str">
        <f t="shared" si="58"/>
        <v>X</v>
      </c>
      <c r="AA211" s="2" t="str">
        <f t="shared" si="61"/>
        <v/>
      </c>
      <c r="AB211" s="2" t="str">
        <f t="shared" si="62"/>
        <v/>
      </c>
      <c r="AC211" s="2" t="str">
        <f t="shared" si="63"/>
        <v/>
      </c>
      <c r="AD211" s="2" t="str">
        <f t="shared" si="64"/>
        <v>(0)</v>
      </c>
      <c r="AE211" s="2" t="str">
        <f t="shared" si="65"/>
        <v/>
      </c>
      <c r="AF211" s="2" t="str">
        <f t="shared" si="66"/>
        <v/>
      </c>
      <c r="AG211" s="2" t="str">
        <f t="shared" si="67"/>
        <v/>
      </c>
      <c r="AH211" s="2" t="str">
        <f t="shared" si="68"/>
        <v/>
      </c>
    </row>
    <row r="212" spans="2:34" x14ac:dyDescent="0.25">
      <c r="B212" s="2" t="s">
        <v>435</v>
      </c>
      <c r="C212" s="2" t="s">
        <v>480</v>
      </c>
      <c r="D212" s="2" t="s">
        <v>0</v>
      </c>
      <c r="E212" s="2" t="s">
        <v>130</v>
      </c>
      <c r="F212" s="2" t="s">
        <v>436</v>
      </c>
      <c r="G212" s="2" t="s">
        <v>437</v>
      </c>
      <c r="H212" s="2" t="s">
        <v>481</v>
      </c>
      <c r="I212" s="2" t="s">
        <v>41</v>
      </c>
      <c r="J212" s="2">
        <v>1</v>
      </c>
      <c r="K212" s="2" t="s">
        <v>131</v>
      </c>
      <c r="L212" s="2" t="s">
        <v>40</v>
      </c>
      <c r="M212" s="2" t="s">
        <v>5291</v>
      </c>
      <c r="N212" s="2" t="s">
        <v>5243</v>
      </c>
      <c r="O212" s="2" t="s">
        <v>5115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732</v>
      </c>
      <c r="T212" s="2" t="str">
        <f t="shared" si="54"/>
        <v>02DC</v>
      </c>
      <c r="U212" s="2">
        <f t="shared" si="59"/>
        <v>183</v>
      </c>
      <c r="V212" s="2" t="str">
        <f t="shared" si="55"/>
        <v>0B7</v>
      </c>
      <c r="W212" s="2" t="str">
        <f t="shared" si="56"/>
        <v/>
      </c>
      <c r="X212" s="2" t="str">
        <f t="shared" si="60"/>
        <v/>
      </c>
      <c r="Y212" s="2" t="str">
        <f t="shared" si="57"/>
        <v/>
      </c>
      <c r="Z212" s="2" t="str">
        <f t="shared" si="58"/>
        <v>X</v>
      </c>
      <c r="AA212" s="2" t="str">
        <f t="shared" si="61"/>
        <v/>
      </c>
      <c r="AB212" s="2" t="str">
        <f t="shared" si="62"/>
        <v/>
      </c>
      <c r="AC212" s="2" t="str">
        <f t="shared" si="63"/>
        <v/>
      </c>
      <c r="AD212" s="2" t="str">
        <f t="shared" si="64"/>
        <v>(0)</v>
      </c>
      <c r="AE212" s="2" t="str">
        <f t="shared" si="65"/>
        <v/>
      </c>
      <c r="AF212" s="2" t="str">
        <f t="shared" si="66"/>
        <v/>
      </c>
      <c r="AG212" s="2" t="str">
        <f t="shared" si="67"/>
        <v/>
      </c>
      <c r="AH212" s="2" t="str">
        <f t="shared" si="68"/>
        <v/>
      </c>
    </row>
    <row r="213" spans="2:34" x14ac:dyDescent="0.25">
      <c r="B213" s="2" t="s">
        <v>435</v>
      </c>
      <c r="C213" s="2" t="s">
        <v>157</v>
      </c>
      <c r="D213" s="2" t="s">
        <v>0</v>
      </c>
      <c r="E213" s="2" t="s">
        <v>130</v>
      </c>
      <c r="F213" s="2" t="s">
        <v>436</v>
      </c>
      <c r="G213" s="2" t="s">
        <v>437</v>
      </c>
      <c r="H213" s="2" t="s">
        <v>158</v>
      </c>
      <c r="I213" s="2" t="s">
        <v>41</v>
      </c>
      <c r="J213" s="2">
        <v>1</v>
      </c>
      <c r="K213" s="2" t="s">
        <v>81</v>
      </c>
      <c r="L213" s="2" t="s">
        <v>40</v>
      </c>
      <c r="M213" s="2" t="s">
        <v>5291</v>
      </c>
      <c r="N213" s="2" t="s">
        <v>5243</v>
      </c>
      <c r="O213" s="2" t="s">
        <v>5001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736</v>
      </c>
      <c r="T213" s="2" t="str">
        <f t="shared" si="54"/>
        <v>02E0</v>
      </c>
      <c r="U213" s="2">
        <f t="shared" si="59"/>
        <v>184</v>
      </c>
      <c r="V213" s="2" t="str">
        <f t="shared" si="55"/>
        <v>0B8</v>
      </c>
      <c r="W213" s="2" t="str">
        <f t="shared" si="56"/>
        <v/>
      </c>
      <c r="X213" s="2" t="str">
        <f t="shared" si="60"/>
        <v/>
      </c>
      <c r="Y213" s="2" t="str">
        <f t="shared" si="57"/>
        <v/>
      </c>
      <c r="Z213" s="2" t="str">
        <f t="shared" si="58"/>
        <v>X</v>
      </c>
      <c r="AA213" s="2" t="str">
        <f t="shared" si="61"/>
        <v/>
      </c>
      <c r="AB213" s="2" t="str">
        <f t="shared" si="62"/>
        <v/>
      </c>
      <c r="AC213" s="2" t="str">
        <f t="shared" si="63"/>
        <v/>
      </c>
      <c r="AD213" s="2" t="str">
        <f t="shared" si="64"/>
        <v>(0)</v>
      </c>
      <c r="AE213" s="2" t="str">
        <f t="shared" si="65"/>
        <v/>
      </c>
      <c r="AF213" s="2" t="str">
        <f t="shared" si="66"/>
        <v/>
      </c>
      <c r="AG213" s="2" t="str">
        <f t="shared" si="67"/>
        <v/>
      </c>
      <c r="AH213" s="2" t="str">
        <f t="shared" si="68"/>
        <v/>
      </c>
    </row>
    <row r="214" spans="2:34" x14ac:dyDescent="0.25">
      <c r="B214" s="2" t="s">
        <v>435</v>
      </c>
      <c r="C214" s="2" t="s">
        <v>482</v>
      </c>
      <c r="D214" s="2" t="s">
        <v>0</v>
      </c>
      <c r="E214" s="2" t="s">
        <v>130</v>
      </c>
      <c r="F214" s="2" t="s">
        <v>436</v>
      </c>
      <c r="G214" s="2" t="s">
        <v>437</v>
      </c>
      <c r="H214" s="2" t="s">
        <v>483</v>
      </c>
      <c r="I214" s="2" t="s">
        <v>41</v>
      </c>
      <c r="J214" s="2">
        <v>7</v>
      </c>
      <c r="K214" s="2" t="s">
        <v>484</v>
      </c>
      <c r="L214" s="2" t="s">
        <v>40</v>
      </c>
      <c r="M214" s="2" t="s">
        <v>5291</v>
      </c>
      <c r="N214" s="2" t="s">
        <v>5243</v>
      </c>
      <c r="O214" s="2" t="s">
        <v>5116</v>
      </c>
      <c r="P214" s="2" t="s">
        <v>47</v>
      </c>
      <c r="Q214" s="2">
        <f>INDEX(Tables!$C$4:$C$28,MATCH($P214,Tables!$B$4:$B$28,0))</f>
        <v>8</v>
      </c>
      <c r="R214" s="2">
        <f>INDEX(Tables!$D$4:$D$28,MATCH($P214,Tables!$B$4:$B$28,0))</f>
        <v>1</v>
      </c>
      <c r="S214" s="2">
        <f>$S213+$R213+INDEX(Tables!$N$5:$Q$8,MATCH(MOD($S213+$R213,4),Tables!$M$5:$M$8,0),MATCH($R214,Tables!$N$4:$Q$4,0))</f>
        <v>740</v>
      </c>
      <c r="T214" s="2" t="str">
        <f t="shared" si="54"/>
        <v>02E4</v>
      </c>
      <c r="U214" s="2">
        <f t="shared" si="59"/>
        <v>185</v>
      </c>
      <c r="V214" s="2" t="str">
        <f t="shared" si="55"/>
        <v>0B9</v>
      </c>
      <c r="W214" s="2" t="str">
        <f t="shared" si="56"/>
        <v/>
      </c>
      <c r="X214" s="2" t="str">
        <f t="shared" si="60"/>
        <v/>
      </c>
      <c r="Y214" s="2" t="str">
        <f t="shared" si="57"/>
        <v/>
      </c>
      <c r="Z214" s="2" t="str">
        <f t="shared" si="58"/>
        <v>X</v>
      </c>
      <c r="AA214" s="2" t="str">
        <f t="shared" si="61"/>
        <v/>
      </c>
      <c r="AB214" s="2" t="str">
        <f t="shared" si="62"/>
        <v/>
      </c>
      <c r="AC214" s="2" t="str">
        <f t="shared" si="63"/>
        <v/>
      </c>
      <c r="AD214" s="2" t="str">
        <f t="shared" si="64"/>
        <v>(6 downto 0)</v>
      </c>
      <c r="AE214" s="2" t="str">
        <f t="shared" si="65"/>
        <v/>
      </c>
      <c r="AF214" s="2" t="str">
        <f t="shared" si="66"/>
        <v/>
      </c>
      <c r="AG214" s="2" t="str">
        <f t="shared" si="67"/>
        <v/>
      </c>
      <c r="AH214" s="2" t="str">
        <f t="shared" si="68"/>
        <v/>
      </c>
    </row>
    <row r="215" spans="2:34" x14ac:dyDescent="0.25">
      <c r="B215" s="2" t="s">
        <v>485</v>
      </c>
      <c r="C215" s="2" t="s">
        <v>486</v>
      </c>
      <c r="D215" s="2" t="s">
        <v>0</v>
      </c>
      <c r="E215" s="2" t="s">
        <v>130</v>
      </c>
      <c r="F215" s="2" t="s">
        <v>487</v>
      </c>
      <c r="G215" s="2" t="s">
        <v>488</v>
      </c>
      <c r="H215" s="2" t="s">
        <v>489</v>
      </c>
      <c r="I215" s="2" t="s">
        <v>41</v>
      </c>
      <c r="J215" s="2">
        <v>8</v>
      </c>
      <c r="K215" s="2" t="s">
        <v>490</v>
      </c>
      <c r="L215" s="2" t="s">
        <v>40</v>
      </c>
      <c r="M215" s="2" t="s">
        <v>5291</v>
      </c>
      <c r="N215" s="2" t="s">
        <v>5244</v>
      </c>
      <c r="O215" s="2" t="s">
        <v>5117</v>
      </c>
      <c r="P215" s="2" t="s">
        <v>47</v>
      </c>
      <c r="Q215" s="2">
        <f>INDEX(Tables!$C$4:$C$28,MATCH($P215,Tables!$B$4:$B$28,0))</f>
        <v>8</v>
      </c>
      <c r="R215" s="2">
        <f>INDEX(Tables!$D$4:$D$28,MATCH($P215,Tables!$B$4:$B$28,0))</f>
        <v>1</v>
      </c>
      <c r="S215" s="2">
        <f>$S214+$R214+INDEX(Tables!$N$5:$Q$8,MATCH(MOD($S214+$R214,4),Tables!$M$5:$M$8,0),MATCH($R215,Tables!$N$4:$Q$4,0))</f>
        <v>741</v>
      </c>
      <c r="T215" s="2" t="str">
        <f t="shared" si="54"/>
        <v>02E5</v>
      </c>
      <c r="U215" s="2">
        <f t="shared" si="59"/>
        <v>185</v>
      </c>
      <c r="V215" s="2" t="str">
        <f t="shared" si="55"/>
        <v>0B9</v>
      </c>
      <c r="W215" s="2" t="str">
        <f t="shared" si="56"/>
        <v/>
      </c>
      <c r="X215" s="2" t="str">
        <f t="shared" si="60"/>
        <v/>
      </c>
      <c r="Y215" s="2" t="str">
        <f t="shared" si="57"/>
        <v>X</v>
      </c>
      <c r="Z215" s="2" t="str">
        <f t="shared" si="58"/>
        <v/>
      </c>
      <c r="AA215" s="2" t="str">
        <f t="shared" si="61"/>
        <v/>
      </c>
      <c r="AB215" s="2" t="str">
        <f t="shared" si="62"/>
        <v/>
      </c>
      <c r="AC215" s="2" t="str">
        <f t="shared" si="63"/>
        <v>(15 downto 8)</v>
      </c>
      <c r="AD215" s="2" t="str">
        <f t="shared" si="64"/>
        <v/>
      </c>
      <c r="AE215" s="2" t="str">
        <f t="shared" si="65"/>
        <v/>
      </c>
      <c r="AF215" s="2" t="str">
        <f t="shared" si="66"/>
        <v/>
      </c>
      <c r="AG215" s="2" t="str">
        <f t="shared" si="67"/>
        <v/>
      </c>
      <c r="AH215" s="2" t="str">
        <f t="shared" si="68"/>
        <v/>
      </c>
    </row>
    <row r="216" spans="2:34" x14ac:dyDescent="0.25">
      <c r="B216" s="2" t="s">
        <v>485</v>
      </c>
      <c r="C216" s="2" t="s">
        <v>491</v>
      </c>
      <c r="D216" s="2" t="s">
        <v>0</v>
      </c>
      <c r="E216" s="2" t="s">
        <v>130</v>
      </c>
      <c r="F216" s="2" t="s">
        <v>487</v>
      </c>
      <c r="G216" s="2" t="s">
        <v>488</v>
      </c>
      <c r="H216" s="2" t="s">
        <v>492</v>
      </c>
      <c r="I216" s="2" t="s">
        <v>41</v>
      </c>
      <c r="J216" s="2">
        <v>8</v>
      </c>
      <c r="K216" s="2" t="s">
        <v>493</v>
      </c>
      <c r="L216" s="2" t="s">
        <v>40</v>
      </c>
      <c r="M216" s="2" t="s">
        <v>5291</v>
      </c>
      <c r="N216" s="2" t="s">
        <v>5244</v>
      </c>
      <c r="O216" s="2" t="s">
        <v>5118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$S215+$R215+INDEX(Tables!$N$5:$Q$8,MATCH(MOD($S215+$R215,4),Tables!$M$5:$M$8,0),MATCH($R216,Tables!$N$4:$Q$4,0))</f>
        <v>742</v>
      </c>
      <c r="T216" s="2" t="str">
        <f t="shared" si="54"/>
        <v>02E6</v>
      </c>
      <c r="U216" s="2">
        <f t="shared" si="59"/>
        <v>185</v>
      </c>
      <c r="V216" s="2" t="str">
        <f t="shared" si="55"/>
        <v>0B9</v>
      </c>
      <c r="W216" s="2" t="str">
        <f t="shared" si="56"/>
        <v/>
      </c>
      <c r="X216" s="2" t="str">
        <f t="shared" si="60"/>
        <v>X</v>
      </c>
      <c r="Y216" s="2" t="str">
        <f t="shared" si="57"/>
        <v/>
      </c>
      <c r="Z216" s="2" t="str">
        <f t="shared" si="58"/>
        <v/>
      </c>
      <c r="AA216" s="2" t="str">
        <f t="shared" si="61"/>
        <v/>
      </c>
      <c r="AB216" s="2" t="str">
        <f t="shared" si="62"/>
        <v>(23 downto 16)</v>
      </c>
      <c r="AC216" s="2" t="str">
        <f t="shared" si="63"/>
        <v/>
      </c>
      <c r="AD216" s="2" t="str">
        <f t="shared" si="64"/>
        <v/>
      </c>
      <c r="AE216" s="2" t="str">
        <f t="shared" si="65"/>
        <v/>
      </c>
      <c r="AF216" s="2" t="str">
        <f t="shared" si="66"/>
        <v/>
      </c>
      <c r="AG216" s="2" t="str">
        <f t="shared" si="67"/>
        <v/>
      </c>
      <c r="AH216" s="2" t="str">
        <f t="shared" si="68"/>
        <v/>
      </c>
    </row>
    <row r="217" spans="2:34" x14ac:dyDescent="0.25">
      <c r="B217" s="2" t="s">
        <v>485</v>
      </c>
      <c r="C217" s="2" t="s">
        <v>494</v>
      </c>
      <c r="D217" s="2" t="s">
        <v>0</v>
      </c>
      <c r="E217" s="2" t="s">
        <v>130</v>
      </c>
      <c r="F217" s="2" t="s">
        <v>487</v>
      </c>
      <c r="G217" s="2" t="s">
        <v>488</v>
      </c>
      <c r="H217" s="2" t="s">
        <v>495</v>
      </c>
      <c r="I217" s="2" t="s">
        <v>41</v>
      </c>
      <c r="J217" s="2">
        <v>8</v>
      </c>
      <c r="K217" s="2" t="s">
        <v>281</v>
      </c>
      <c r="L217" s="2" t="s">
        <v>40</v>
      </c>
      <c r="M217" s="2" t="s">
        <v>5291</v>
      </c>
      <c r="N217" s="2" t="s">
        <v>5244</v>
      </c>
      <c r="O217" s="2" t="s">
        <v>5119</v>
      </c>
      <c r="P217" s="2" t="s">
        <v>47</v>
      </c>
      <c r="Q217" s="2">
        <f>INDEX(Tables!$C$4:$C$28,MATCH($P217,Tables!$B$4:$B$28,0))</f>
        <v>8</v>
      </c>
      <c r="R217" s="2">
        <f>INDEX(Tables!$D$4:$D$28,MATCH($P217,Tables!$B$4:$B$28,0))</f>
        <v>1</v>
      </c>
      <c r="S217" s="2">
        <f>$S216+$R216+INDEX(Tables!$N$5:$Q$8,MATCH(MOD($S216+$R216,4),Tables!$M$5:$M$8,0),MATCH($R217,Tables!$N$4:$Q$4,0))</f>
        <v>743</v>
      </c>
      <c r="T217" s="2" t="str">
        <f t="shared" si="54"/>
        <v>02E7</v>
      </c>
      <c r="U217" s="2">
        <f t="shared" si="59"/>
        <v>185</v>
      </c>
      <c r="V217" s="2" t="str">
        <f t="shared" si="55"/>
        <v>0B9</v>
      </c>
      <c r="W217" s="2" t="str">
        <f t="shared" si="56"/>
        <v>X</v>
      </c>
      <c r="X217" s="2" t="str">
        <f t="shared" si="60"/>
        <v/>
      </c>
      <c r="Y217" s="2" t="str">
        <f t="shared" si="57"/>
        <v/>
      </c>
      <c r="Z217" s="2" t="str">
        <f t="shared" si="58"/>
        <v/>
      </c>
      <c r="AA217" s="2" t="str">
        <f t="shared" si="61"/>
        <v>(31 downto 24)</v>
      </c>
      <c r="AB217" s="2" t="str">
        <f t="shared" si="62"/>
        <v/>
      </c>
      <c r="AC217" s="2" t="str">
        <f t="shared" si="63"/>
        <v/>
      </c>
      <c r="AD217" s="2" t="str">
        <f t="shared" si="64"/>
        <v/>
      </c>
      <c r="AE217" s="2" t="str">
        <f t="shared" si="65"/>
        <v/>
      </c>
      <c r="AF217" s="2" t="str">
        <f t="shared" si="66"/>
        <v/>
      </c>
      <c r="AG217" s="2" t="str">
        <f t="shared" si="67"/>
        <v/>
      </c>
      <c r="AH217" s="2" t="str">
        <f t="shared" si="68"/>
        <v/>
      </c>
    </row>
    <row r="218" spans="2:34" x14ac:dyDescent="0.25">
      <c r="B218" s="2" t="s">
        <v>485</v>
      </c>
      <c r="C218" s="2" t="s">
        <v>496</v>
      </c>
      <c r="D218" s="2" t="s">
        <v>0</v>
      </c>
      <c r="E218" s="2" t="s">
        <v>130</v>
      </c>
      <c r="F218" s="2" t="s">
        <v>487</v>
      </c>
      <c r="G218" s="2" t="s">
        <v>488</v>
      </c>
      <c r="H218" s="2" t="s">
        <v>497</v>
      </c>
      <c r="I218" s="2" t="s">
        <v>41</v>
      </c>
      <c r="J218" s="2">
        <v>8</v>
      </c>
      <c r="K218" s="2" t="s">
        <v>498</v>
      </c>
      <c r="L218" s="2" t="s">
        <v>40</v>
      </c>
      <c r="M218" s="2" t="s">
        <v>5291</v>
      </c>
      <c r="N218" s="2" t="s">
        <v>5244</v>
      </c>
      <c r="O218" s="2" t="s">
        <v>5120</v>
      </c>
      <c r="P218" s="2" t="s">
        <v>47</v>
      </c>
      <c r="Q218" s="2">
        <f>INDEX(Tables!$C$4:$C$28,MATCH($P218,Tables!$B$4:$B$28,0))</f>
        <v>8</v>
      </c>
      <c r="R218" s="2">
        <f>INDEX(Tables!$D$4:$D$28,MATCH($P218,Tables!$B$4:$B$28,0))</f>
        <v>1</v>
      </c>
      <c r="S218" s="2">
        <f>$S217+$R217+INDEX(Tables!$N$5:$Q$8,MATCH(MOD($S217+$R217,4),Tables!$M$5:$M$8,0),MATCH($R218,Tables!$N$4:$Q$4,0))</f>
        <v>744</v>
      </c>
      <c r="T218" s="2" t="str">
        <f t="shared" si="54"/>
        <v>02E8</v>
      </c>
      <c r="U218" s="2">
        <f t="shared" si="59"/>
        <v>186</v>
      </c>
      <c r="V218" s="2" t="str">
        <f t="shared" si="55"/>
        <v>0BA</v>
      </c>
      <c r="W218" s="2" t="str">
        <f t="shared" si="56"/>
        <v/>
      </c>
      <c r="X218" s="2" t="str">
        <f t="shared" si="60"/>
        <v/>
      </c>
      <c r="Y218" s="2" t="str">
        <f t="shared" si="57"/>
        <v/>
      </c>
      <c r="Z218" s="2" t="str">
        <f t="shared" si="58"/>
        <v>X</v>
      </c>
      <c r="AA218" s="2" t="str">
        <f t="shared" si="61"/>
        <v/>
      </c>
      <c r="AB218" s="2" t="str">
        <f t="shared" si="62"/>
        <v/>
      </c>
      <c r="AC218" s="2" t="str">
        <f t="shared" si="63"/>
        <v/>
      </c>
      <c r="AD218" s="2" t="str">
        <f t="shared" si="64"/>
        <v>(7 downto 0)</v>
      </c>
      <c r="AE218" s="2" t="str">
        <f t="shared" si="65"/>
        <v/>
      </c>
      <c r="AF218" s="2" t="str">
        <f t="shared" si="66"/>
        <v/>
      </c>
      <c r="AG218" s="2" t="str">
        <f t="shared" si="67"/>
        <v/>
      </c>
      <c r="AH218" s="2" t="str">
        <f t="shared" si="68"/>
        <v/>
      </c>
    </row>
    <row r="219" spans="2:34" x14ac:dyDescent="0.25">
      <c r="B219" s="2" t="s">
        <v>499</v>
      </c>
      <c r="C219" s="2" t="s">
        <v>500</v>
      </c>
      <c r="D219" s="2" t="s">
        <v>0</v>
      </c>
      <c r="E219" s="2" t="s">
        <v>130</v>
      </c>
      <c r="F219" s="2" t="s">
        <v>501</v>
      </c>
      <c r="G219" s="2" t="s">
        <v>502</v>
      </c>
      <c r="H219" s="2" t="s">
        <v>503</v>
      </c>
      <c r="I219" s="2" t="s">
        <v>41</v>
      </c>
      <c r="J219" s="2">
        <v>8</v>
      </c>
      <c r="K219" s="2" t="s">
        <v>281</v>
      </c>
      <c r="L219" s="2" t="s">
        <v>40</v>
      </c>
      <c r="M219" s="2" t="s">
        <v>5291</v>
      </c>
      <c r="N219" s="2" t="s">
        <v>5245</v>
      </c>
      <c r="O219" s="2" t="s">
        <v>5121</v>
      </c>
      <c r="P219" s="2" t="s">
        <v>47</v>
      </c>
      <c r="Q219" s="2">
        <f>INDEX(Tables!$C$4:$C$28,MATCH($P219,Tables!$B$4:$B$28,0))</f>
        <v>8</v>
      </c>
      <c r="R219" s="2">
        <f>INDEX(Tables!$D$4:$D$28,MATCH($P219,Tables!$B$4:$B$28,0))</f>
        <v>1</v>
      </c>
      <c r="S219" s="2">
        <f>$S218+$R218+INDEX(Tables!$N$5:$Q$8,MATCH(MOD($S218+$R218,4),Tables!$M$5:$M$8,0),MATCH($R219,Tables!$N$4:$Q$4,0))</f>
        <v>745</v>
      </c>
      <c r="T219" s="2" t="str">
        <f t="shared" si="54"/>
        <v>02E9</v>
      </c>
      <c r="U219" s="2">
        <f t="shared" si="59"/>
        <v>186</v>
      </c>
      <c r="V219" s="2" t="str">
        <f t="shared" si="55"/>
        <v>0BA</v>
      </c>
      <c r="W219" s="2" t="str">
        <f t="shared" si="56"/>
        <v/>
      </c>
      <c r="X219" s="2" t="str">
        <f t="shared" si="60"/>
        <v/>
      </c>
      <c r="Y219" s="2" t="str">
        <f t="shared" si="57"/>
        <v>X</v>
      </c>
      <c r="Z219" s="2" t="str">
        <f t="shared" si="58"/>
        <v/>
      </c>
      <c r="AA219" s="2" t="str">
        <f t="shared" si="61"/>
        <v/>
      </c>
      <c r="AB219" s="2" t="str">
        <f t="shared" si="62"/>
        <v/>
      </c>
      <c r="AC219" s="2" t="str">
        <f t="shared" si="63"/>
        <v>(15 downto 8)</v>
      </c>
      <c r="AD219" s="2" t="str">
        <f t="shared" si="64"/>
        <v/>
      </c>
      <c r="AE219" s="2" t="str">
        <f t="shared" si="65"/>
        <v/>
      </c>
      <c r="AF219" s="2" t="str">
        <f t="shared" si="66"/>
        <v/>
      </c>
      <c r="AG219" s="2" t="str">
        <f t="shared" si="67"/>
        <v/>
      </c>
      <c r="AH219" s="2" t="str">
        <f t="shared" si="68"/>
        <v/>
      </c>
    </row>
    <row r="220" spans="2:34" x14ac:dyDescent="0.25">
      <c r="B220" s="2" t="s">
        <v>499</v>
      </c>
      <c r="C220" s="2" t="s">
        <v>504</v>
      </c>
      <c r="D220" s="2" t="s">
        <v>0</v>
      </c>
      <c r="E220" s="2" t="s">
        <v>130</v>
      </c>
      <c r="F220" s="2" t="s">
        <v>501</v>
      </c>
      <c r="G220" s="2" t="s">
        <v>502</v>
      </c>
      <c r="H220" s="2" t="s">
        <v>505</v>
      </c>
      <c r="I220" s="2" t="s">
        <v>41</v>
      </c>
      <c r="J220" s="2">
        <v>8</v>
      </c>
      <c r="K220" s="2" t="s">
        <v>281</v>
      </c>
      <c r="L220" s="2" t="s">
        <v>40</v>
      </c>
      <c r="M220" s="2" t="s">
        <v>5291</v>
      </c>
      <c r="N220" s="2" t="s">
        <v>5245</v>
      </c>
      <c r="O220" s="2" t="s">
        <v>5122</v>
      </c>
      <c r="P220" s="2" t="s">
        <v>47</v>
      </c>
      <c r="Q220" s="2">
        <f>INDEX(Tables!$C$4:$C$28,MATCH($P220,Tables!$B$4:$B$28,0))</f>
        <v>8</v>
      </c>
      <c r="R220" s="2">
        <f>INDEX(Tables!$D$4:$D$28,MATCH($P220,Tables!$B$4:$B$28,0))</f>
        <v>1</v>
      </c>
      <c r="S220" s="2">
        <f>$S219+$R219+INDEX(Tables!$N$5:$Q$8,MATCH(MOD($S219+$R219,4),Tables!$M$5:$M$8,0),MATCH($R220,Tables!$N$4:$Q$4,0))</f>
        <v>746</v>
      </c>
      <c r="T220" s="2" t="str">
        <f t="shared" si="54"/>
        <v>02EA</v>
      </c>
      <c r="U220" s="2">
        <f t="shared" si="59"/>
        <v>186</v>
      </c>
      <c r="V220" s="2" t="str">
        <f t="shared" si="55"/>
        <v>0BA</v>
      </c>
      <c r="W220" s="2" t="str">
        <f t="shared" si="56"/>
        <v/>
      </c>
      <c r="X220" s="2" t="str">
        <f t="shared" si="60"/>
        <v>X</v>
      </c>
      <c r="Y220" s="2" t="str">
        <f t="shared" si="57"/>
        <v/>
      </c>
      <c r="Z220" s="2" t="str">
        <f t="shared" si="58"/>
        <v/>
      </c>
      <c r="AA220" s="2" t="str">
        <f t="shared" si="61"/>
        <v/>
      </c>
      <c r="AB220" s="2" t="str">
        <f t="shared" si="62"/>
        <v>(23 downto 16)</v>
      </c>
      <c r="AC220" s="2" t="str">
        <f t="shared" si="63"/>
        <v/>
      </c>
      <c r="AD220" s="2" t="str">
        <f t="shared" si="64"/>
        <v/>
      </c>
      <c r="AE220" s="2" t="str">
        <f t="shared" si="65"/>
        <v/>
      </c>
      <c r="AF220" s="2" t="str">
        <f t="shared" si="66"/>
        <v/>
      </c>
      <c r="AG220" s="2" t="str">
        <f t="shared" si="67"/>
        <v/>
      </c>
      <c r="AH220" s="2" t="str">
        <f t="shared" si="68"/>
        <v/>
      </c>
    </row>
    <row r="221" spans="2:34" x14ac:dyDescent="0.25">
      <c r="B221" s="2" t="s">
        <v>499</v>
      </c>
      <c r="C221" s="2" t="s">
        <v>506</v>
      </c>
      <c r="D221" s="2" t="s">
        <v>0</v>
      </c>
      <c r="E221" s="2" t="s">
        <v>130</v>
      </c>
      <c r="F221" s="2" t="s">
        <v>501</v>
      </c>
      <c r="G221" s="2" t="s">
        <v>502</v>
      </c>
      <c r="H221" s="2" t="s">
        <v>507</v>
      </c>
      <c r="I221" s="2" t="s">
        <v>41</v>
      </c>
      <c r="J221" s="2">
        <v>8</v>
      </c>
      <c r="K221" s="2" t="s">
        <v>281</v>
      </c>
      <c r="L221" s="2" t="s">
        <v>40</v>
      </c>
      <c r="M221" s="2" t="s">
        <v>5291</v>
      </c>
      <c r="N221" s="2" t="s">
        <v>5245</v>
      </c>
      <c r="O221" s="2" t="s">
        <v>5123</v>
      </c>
      <c r="P221" s="2" t="s">
        <v>47</v>
      </c>
      <c r="Q221" s="2">
        <f>INDEX(Tables!$C$4:$C$28,MATCH($P221,Tables!$B$4:$B$28,0))</f>
        <v>8</v>
      </c>
      <c r="R221" s="2">
        <f>INDEX(Tables!$D$4:$D$28,MATCH($P221,Tables!$B$4:$B$28,0))</f>
        <v>1</v>
      </c>
      <c r="S221" s="2">
        <f>$S220+$R220+INDEX(Tables!$N$5:$Q$8,MATCH(MOD($S220+$R220,4),Tables!$M$5:$M$8,0),MATCH($R221,Tables!$N$4:$Q$4,0))</f>
        <v>747</v>
      </c>
      <c r="T221" s="2" t="str">
        <f t="shared" si="54"/>
        <v>02EB</v>
      </c>
      <c r="U221" s="2">
        <f t="shared" si="59"/>
        <v>186</v>
      </c>
      <c r="V221" s="2" t="str">
        <f t="shared" si="55"/>
        <v>0BA</v>
      </c>
      <c r="W221" s="2" t="str">
        <f t="shared" si="56"/>
        <v>X</v>
      </c>
      <c r="X221" s="2" t="str">
        <f t="shared" si="60"/>
        <v/>
      </c>
      <c r="Y221" s="2" t="str">
        <f t="shared" si="57"/>
        <v/>
      </c>
      <c r="Z221" s="2" t="str">
        <f t="shared" si="58"/>
        <v/>
      </c>
      <c r="AA221" s="2" t="str">
        <f t="shared" si="61"/>
        <v>(31 downto 24)</v>
      </c>
      <c r="AB221" s="2" t="str">
        <f t="shared" si="62"/>
        <v/>
      </c>
      <c r="AC221" s="2" t="str">
        <f t="shared" si="63"/>
        <v/>
      </c>
      <c r="AD221" s="2" t="str">
        <f t="shared" si="64"/>
        <v/>
      </c>
      <c r="AE221" s="2" t="str">
        <f t="shared" si="65"/>
        <v/>
      </c>
      <c r="AF221" s="2" t="str">
        <f t="shared" si="66"/>
        <v/>
      </c>
      <c r="AG221" s="2" t="str">
        <f t="shared" si="67"/>
        <v/>
      </c>
      <c r="AH221" s="2" t="str">
        <f t="shared" si="68"/>
        <v/>
      </c>
    </row>
    <row r="222" spans="2:34" x14ac:dyDescent="0.25">
      <c r="B222" s="2" t="s">
        <v>499</v>
      </c>
      <c r="C222" s="2" t="s">
        <v>508</v>
      </c>
      <c r="D222" s="2" t="s">
        <v>0</v>
      </c>
      <c r="E222" s="2" t="s">
        <v>130</v>
      </c>
      <c r="F222" s="2" t="s">
        <v>501</v>
      </c>
      <c r="G222" s="2" t="s">
        <v>502</v>
      </c>
      <c r="H222" s="2" t="s">
        <v>509</v>
      </c>
      <c r="I222" s="2" t="s">
        <v>41</v>
      </c>
      <c r="J222" s="2">
        <v>8</v>
      </c>
      <c r="K222" s="2" t="s">
        <v>281</v>
      </c>
      <c r="L222" s="2" t="s">
        <v>40</v>
      </c>
      <c r="M222" s="2" t="s">
        <v>5291</v>
      </c>
      <c r="N222" s="2" t="s">
        <v>5245</v>
      </c>
      <c r="O222" s="2" t="s">
        <v>5124</v>
      </c>
      <c r="P222" s="2" t="s">
        <v>47</v>
      </c>
      <c r="Q222" s="2">
        <f>INDEX(Tables!$C$4:$C$28,MATCH($P222,Tables!$B$4:$B$28,0))</f>
        <v>8</v>
      </c>
      <c r="R222" s="2">
        <f>INDEX(Tables!$D$4:$D$28,MATCH($P222,Tables!$B$4:$B$28,0))</f>
        <v>1</v>
      </c>
      <c r="S222" s="2">
        <f>$S221+$R221+INDEX(Tables!$N$5:$Q$8,MATCH(MOD($S221+$R221,4),Tables!$M$5:$M$8,0),MATCH($R222,Tables!$N$4:$Q$4,0))</f>
        <v>748</v>
      </c>
      <c r="T222" s="2" t="str">
        <f t="shared" si="54"/>
        <v>02EC</v>
      </c>
      <c r="U222" s="2">
        <f t="shared" si="59"/>
        <v>187</v>
      </c>
      <c r="V222" s="2" t="str">
        <f t="shared" si="55"/>
        <v>0BB</v>
      </c>
      <c r="W222" s="2" t="str">
        <f t="shared" si="56"/>
        <v/>
      </c>
      <c r="X222" s="2" t="str">
        <f t="shared" si="60"/>
        <v/>
      </c>
      <c r="Y222" s="2" t="str">
        <f t="shared" si="57"/>
        <v/>
      </c>
      <c r="Z222" s="2" t="str">
        <f t="shared" si="58"/>
        <v>X</v>
      </c>
      <c r="AA222" s="2" t="str">
        <f t="shared" si="61"/>
        <v/>
      </c>
      <c r="AB222" s="2" t="str">
        <f t="shared" si="62"/>
        <v/>
      </c>
      <c r="AC222" s="2" t="str">
        <f t="shared" si="63"/>
        <v/>
      </c>
      <c r="AD222" s="2" t="str">
        <f t="shared" si="64"/>
        <v>(7 downto 0)</v>
      </c>
      <c r="AE222" s="2" t="str">
        <f t="shared" si="65"/>
        <v/>
      </c>
      <c r="AF222" s="2" t="str">
        <f t="shared" si="66"/>
        <v/>
      </c>
      <c r="AG222" s="2" t="str">
        <f t="shared" si="67"/>
        <v/>
      </c>
      <c r="AH222" s="2" t="str">
        <f t="shared" si="68"/>
        <v/>
      </c>
    </row>
    <row r="223" spans="2:34" x14ac:dyDescent="0.25">
      <c r="B223" s="2" t="s">
        <v>510</v>
      </c>
      <c r="C223" s="2" t="s">
        <v>511</v>
      </c>
      <c r="D223" s="2" t="s">
        <v>0</v>
      </c>
      <c r="E223" s="2" t="s">
        <v>130</v>
      </c>
      <c r="F223" s="2" t="s">
        <v>512</v>
      </c>
      <c r="G223" s="2" t="s">
        <v>513</v>
      </c>
      <c r="H223" s="2" t="s">
        <v>514</v>
      </c>
      <c r="I223" s="2" t="s">
        <v>41</v>
      </c>
      <c r="J223" s="2">
        <v>8</v>
      </c>
      <c r="K223" s="2" t="s">
        <v>281</v>
      </c>
      <c r="L223" s="2" t="s">
        <v>40</v>
      </c>
      <c r="M223" s="2" t="s">
        <v>5291</v>
      </c>
      <c r="N223" s="2" t="s">
        <v>5246</v>
      </c>
      <c r="O223" s="2" t="s">
        <v>5125</v>
      </c>
      <c r="P223" s="2" t="s">
        <v>47</v>
      </c>
      <c r="Q223" s="2">
        <f>INDEX(Tables!$C$4:$C$28,MATCH($P223,Tables!$B$4:$B$28,0))</f>
        <v>8</v>
      </c>
      <c r="R223" s="2">
        <f>INDEX(Tables!$D$4:$D$28,MATCH($P223,Tables!$B$4:$B$28,0))</f>
        <v>1</v>
      </c>
      <c r="S223" s="2">
        <f>$S222+$R222+INDEX(Tables!$N$5:$Q$8,MATCH(MOD($S222+$R222,4),Tables!$M$5:$M$8,0),MATCH($R223,Tables!$N$4:$Q$4,0))</f>
        <v>749</v>
      </c>
      <c r="T223" s="2" t="str">
        <f t="shared" si="54"/>
        <v>02ED</v>
      </c>
      <c r="U223" s="2">
        <f t="shared" si="59"/>
        <v>187</v>
      </c>
      <c r="V223" s="2" t="str">
        <f t="shared" si="55"/>
        <v>0BB</v>
      </c>
      <c r="W223" s="2" t="str">
        <f t="shared" si="56"/>
        <v/>
      </c>
      <c r="X223" s="2" t="str">
        <f t="shared" si="60"/>
        <v/>
      </c>
      <c r="Y223" s="2" t="str">
        <f t="shared" si="57"/>
        <v>X</v>
      </c>
      <c r="Z223" s="2" t="str">
        <f t="shared" si="58"/>
        <v/>
      </c>
      <c r="AA223" s="2" t="str">
        <f t="shared" si="61"/>
        <v/>
      </c>
      <c r="AB223" s="2" t="str">
        <f t="shared" si="62"/>
        <v/>
      </c>
      <c r="AC223" s="2" t="str">
        <f t="shared" si="63"/>
        <v>(15 downto 8)</v>
      </c>
      <c r="AD223" s="2" t="str">
        <f t="shared" si="64"/>
        <v/>
      </c>
      <c r="AE223" s="2" t="str">
        <f t="shared" si="65"/>
        <v/>
      </c>
      <c r="AF223" s="2" t="str">
        <f t="shared" si="66"/>
        <v/>
      </c>
      <c r="AG223" s="2" t="str">
        <f t="shared" si="67"/>
        <v/>
      </c>
      <c r="AH223" s="2" t="str">
        <f t="shared" si="68"/>
        <v/>
      </c>
    </row>
    <row r="224" spans="2:34" x14ac:dyDescent="0.25">
      <c r="B224" s="2" t="s">
        <v>510</v>
      </c>
      <c r="C224" s="2" t="s">
        <v>515</v>
      </c>
      <c r="D224" s="2" t="s">
        <v>0</v>
      </c>
      <c r="E224" s="2" t="s">
        <v>130</v>
      </c>
      <c r="F224" s="2" t="s">
        <v>512</v>
      </c>
      <c r="G224" s="2" t="s">
        <v>513</v>
      </c>
      <c r="H224" s="2" t="s">
        <v>516</v>
      </c>
      <c r="I224" s="2" t="s">
        <v>41</v>
      </c>
      <c r="J224" s="2">
        <v>8</v>
      </c>
      <c r="K224" s="2" t="s">
        <v>281</v>
      </c>
      <c r="L224" s="2" t="s">
        <v>40</v>
      </c>
      <c r="M224" s="2" t="s">
        <v>5291</v>
      </c>
      <c r="N224" s="2" t="s">
        <v>5246</v>
      </c>
      <c r="O224" s="2" t="s">
        <v>5126</v>
      </c>
      <c r="P224" s="2" t="s">
        <v>47</v>
      </c>
      <c r="Q224" s="2">
        <f>INDEX(Tables!$C$4:$C$28,MATCH($P224,Tables!$B$4:$B$28,0))</f>
        <v>8</v>
      </c>
      <c r="R224" s="2">
        <f>INDEX(Tables!$D$4:$D$28,MATCH($P224,Tables!$B$4:$B$28,0))</f>
        <v>1</v>
      </c>
      <c r="S224" s="2">
        <f>$S223+$R223+INDEX(Tables!$N$5:$Q$8,MATCH(MOD($S223+$R223,4),Tables!$M$5:$M$8,0),MATCH($R224,Tables!$N$4:$Q$4,0))</f>
        <v>750</v>
      </c>
      <c r="T224" s="2" t="str">
        <f t="shared" si="54"/>
        <v>02EE</v>
      </c>
      <c r="U224" s="2">
        <f t="shared" si="59"/>
        <v>187</v>
      </c>
      <c r="V224" s="2" t="str">
        <f t="shared" si="55"/>
        <v>0BB</v>
      </c>
      <c r="W224" s="2" t="str">
        <f t="shared" si="56"/>
        <v/>
      </c>
      <c r="X224" s="2" t="str">
        <f t="shared" si="60"/>
        <v>X</v>
      </c>
      <c r="Y224" s="2" t="str">
        <f t="shared" si="57"/>
        <v/>
      </c>
      <c r="Z224" s="2" t="str">
        <f t="shared" si="58"/>
        <v/>
      </c>
      <c r="AA224" s="2" t="str">
        <f t="shared" si="61"/>
        <v/>
      </c>
      <c r="AB224" s="2" t="str">
        <f t="shared" si="62"/>
        <v>(23 downto 16)</v>
      </c>
      <c r="AC224" s="2" t="str">
        <f t="shared" si="63"/>
        <v/>
      </c>
      <c r="AD224" s="2" t="str">
        <f t="shared" si="64"/>
        <v/>
      </c>
      <c r="AE224" s="2" t="str">
        <f t="shared" si="65"/>
        <v/>
      </c>
      <c r="AF224" s="2" t="str">
        <f t="shared" si="66"/>
        <v/>
      </c>
      <c r="AG224" s="2" t="str">
        <f t="shared" si="67"/>
        <v/>
      </c>
      <c r="AH224" s="2" t="str">
        <f t="shared" si="68"/>
        <v/>
      </c>
    </row>
    <row r="225" spans="2:34" x14ac:dyDescent="0.25">
      <c r="B225" s="2" t="s">
        <v>510</v>
      </c>
      <c r="C225" s="2" t="s">
        <v>517</v>
      </c>
      <c r="D225" s="2" t="s">
        <v>0</v>
      </c>
      <c r="E225" s="2" t="s">
        <v>130</v>
      </c>
      <c r="F225" s="2" t="s">
        <v>512</v>
      </c>
      <c r="G225" s="2" t="s">
        <v>513</v>
      </c>
      <c r="H225" s="2" t="s">
        <v>518</v>
      </c>
      <c r="I225" s="2" t="s">
        <v>41</v>
      </c>
      <c r="J225" s="2">
        <v>8</v>
      </c>
      <c r="K225" s="2" t="s">
        <v>281</v>
      </c>
      <c r="L225" s="2" t="s">
        <v>40</v>
      </c>
      <c r="M225" s="2" t="s">
        <v>5291</v>
      </c>
      <c r="N225" s="2" t="s">
        <v>5246</v>
      </c>
      <c r="O225" s="2" t="s">
        <v>5127</v>
      </c>
      <c r="P225" s="2" t="s">
        <v>47</v>
      </c>
      <c r="Q225" s="2">
        <f>INDEX(Tables!$C$4:$C$28,MATCH($P225,Tables!$B$4:$B$28,0))</f>
        <v>8</v>
      </c>
      <c r="R225" s="2">
        <f>INDEX(Tables!$D$4:$D$28,MATCH($P225,Tables!$B$4:$B$28,0))</f>
        <v>1</v>
      </c>
      <c r="S225" s="2">
        <f>$S224+$R224+INDEX(Tables!$N$5:$Q$8,MATCH(MOD($S224+$R224,4),Tables!$M$5:$M$8,0),MATCH($R225,Tables!$N$4:$Q$4,0))</f>
        <v>751</v>
      </c>
      <c r="T225" s="2" t="str">
        <f t="shared" si="54"/>
        <v>02EF</v>
      </c>
      <c r="U225" s="2">
        <f t="shared" si="59"/>
        <v>187</v>
      </c>
      <c r="V225" s="2" t="str">
        <f t="shared" si="55"/>
        <v>0BB</v>
      </c>
      <c r="W225" s="2" t="str">
        <f t="shared" si="56"/>
        <v>X</v>
      </c>
      <c r="X225" s="2" t="str">
        <f t="shared" si="60"/>
        <v/>
      </c>
      <c r="Y225" s="2" t="str">
        <f t="shared" si="57"/>
        <v/>
      </c>
      <c r="Z225" s="2" t="str">
        <f t="shared" si="58"/>
        <v/>
      </c>
      <c r="AA225" s="2" t="str">
        <f t="shared" si="61"/>
        <v>(31 downto 24)</v>
      </c>
      <c r="AB225" s="2" t="str">
        <f t="shared" si="62"/>
        <v/>
      </c>
      <c r="AC225" s="2" t="str">
        <f t="shared" si="63"/>
        <v/>
      </c>
      <c r="AD225" s="2" t="str">
        <f t="shared" si="64"/>
        <v/>
      </c>
      <c r="AE225" s="2" t="str">
        <f t="shared" si="65"/>
        <v/>
      </c>
      <c r="AF225" s="2" t="str">
        <f t="shared" si="66"/>
        <v/>
      </c>
      <c r="AG225" s="2" t="str">
        <f t="shared" si="67"/>
        <v/>
      </c>
      <c r="AH225" s="2" t="str">
        <f t="shared" si="68"/>
        <v/>
      </c>
    </row>
    <row r="226" spans="2:34" x14ac:dyDescent="0.25">
      <c r="B226" s="2" t="s">
        <v>510</v>
      </c>
      <c r="C226" s="2" t="s">
        <v>519</v>
      </c>
      <c r="D226" s="2" t="s">
        <v>0</v>
      </c>
      <c r="E226" s="2" t="s">
        <v>130</v>
      </c>
      <c r="F226" s="2" t="s">
        <v>512</v>
      </c>
      <c r="G226" s="2" t="s">
        <v>513</v>
      </c>
      <c r="H226" s="2" t="s">
        <v>520</v>
      </c>
      <c r="I226" s="2" t="s">
        <v>41</v>
      </c>
      <c r="J226" s="2">
        <v>8</v>
      </c>
      <c r="K226" s="2" t="s">
        <v>281</v>
      </c>
      <c r="L226" s="2" t="s">
        <v>40</v>
      </c>
      <c r="M226" s="2" t="s">
        <v>5291</v>
      </c>
      <c r="N226" s="2" t="s">
        <v>5246</v>
      </c>
      <c r="O226" s="2" t="s">
        <v>5128</v>
      </c>
      <c r="P226" s="2" t="s">
        <v>47</v>
      </c>
      <c r="Q226" s="2">
        <f>INDEX(Tables!$C$4:$C$28,MATCH($P226,Tables!$B$4:$B$28,0))</f>
        <v>8</v>
      </c>
      <c r="R226" s="2">
        <f>INDEX(Tables!$D$4:$D$28,MATCH($P226,Tables!$B$4:$B$28,0))</f>
        <v>1</v>
      </c>
      <c r="S226" s="2">
        <f>$S225+$R225+INDEX(Tables!$N$5:$Q$8,MATCH(MOD($S225+$R225,4),Tables!$M$5:$M$8,0),MATCH($R226,Tables!$N$4:$Q$4,0))</f>
        <v>752</v>
      </c>
      <c r="T226" s="2" t="str">
        <f t="shared" si="54"/>
        <v>02F0</v>
      </c>
      <c r="U226" s="2">
        <f t="shared" si="59"/>
        <v>188</v>
      </c>
      <c r="V226" s="2" t="str">
        <f t="shared" si="55"/>
        <v>0BC</v>
      </c>
      <c r="W226" s="2" t="str">
        <f t="shared" si="56"/>
        <v/>
      </c>
      <c r="X226" s="2" t="str">
        <f t="shared" si="60"/>
        <v/>
      </c>
      <c r="Y226" s="2" t="str">
        <f t="shared" si="57"/>
        <v/>
      </c>
      <c r="Z226" s="2" t="str">
        <f t="shared" si="58"/>
        <v>X</v>
      </c>
      <c r="AA226" s="2" t="str">
        <f t="shared" si="61"/>
        <v/>
      </c>
      <c r="AB226" s="2" t="str">
        <f t="shared" si="62"/>
        <v/>
      </c>
      <c r="AC226" s="2" t="str">
        <f t="shared" si="63"/>
        <v/>
      </c>
      <c r="AD226" s="2" t="str">
        <f t="shared" si="64"/>
        <v>(7 downto 0)</v>
      </c>
      <c r="AE226" s="2" t="str">
        <f t="shared" si="65"/>
        <v/>
      </c>
      <c r="AF226" s="2" t="str">
        <f t="shared" si="66"/>
        <v/>
      </c>
      <c r="AG226" s="2" t="str">
        <f t="shared" si="67"/>
        <v/>
      </c>
      <c r="AH226" s="2" t="str">
        <f t="shared" si="68"/>
        <v/>
      </c>
    </row>
    <row r="227" spans="2:34" x14ac:dyDescent="0.25">
      <c r="B227" s="2" t="s">
        <v>521</v>
      </c>
      <c r="C227" s="2" t="s">
        <v>522</v>
      </c>
      <c r="D227" s="2" t="s">
        <v>0</v>
      </c>
      <c r="E227" s="2" t="s">
        <v>130</v>
      </c>
      <c r="F227" s="2" t="s">
        <v>523</v>
      </c>
      <c r="G227" s="2" t="s">
        <v>524</v>
      </c>
      <c r="H227" s="2" t="s">
        <v>525</v>
      </c>
      <c r="I227" s="2" t="s">
        <v>41</v>
      </c>
      <c r="J227" s="2">
        <v>8</v>
      </c>
      <c r="K227" s="2" t="s">
        <v>281</v>
      </c>
      <c r="L227" s="2" t="s">
        <v>40</v>
      </c>
      <c r="M227" s="2" t="s">
        <v>5291</v>
      </c>
      <c r="N227" s="2" t="s">
        <v>5247</v>
      </c>
      <c r="O227" s="2" t="s">
        <v>5129</v>
      </c>
      <c r="P227" s="2" t="s">
        <v>47</v>
      </c>
      <c r="Q227" s="2">
        <f>INDEX(Tables!$C$4:$C$28,MATCH($P227,Tables!$B$4:$B$28,0))</f>
        <v>8</v>
      </c>
      <c r="R227" s="2">
        <f>INDEX(Tables!$D$4:$D$28,MATCH($P227,Tables!$B$4:$B$28,0))</f>
        <v>1</v>
      </c>
      <c r="S227" s="2">
        <f>$S226+$R226+INDEX(Tables!$N$5:$Q$8,MATCH(MOD($S226+$R226,4),Tables!$M$5:$M$8,0),MATCH($R227,Tables!$N$4:$Q$4,0))</f>
        <v>753</v>
      </c>
      <c r="T227" s="2" t="str">
        <f t="shared" si="54"/>
        <v>02F1</v>
      </c>
      <c r="U227" s="2">
        <f t="shared" si="59"/>
        <v>188</v>
      </c>
      <c r="V227" s="2" t="str">
        <f t="shared" si="55"/>
        <v>0BC</v>
      </c>
      <c r="W227" s="2" t="str">
        <f t="shared" si="56"/>
        <v/>
      </c>
      <c r="X227" s="2" t="str">
        <f t="shared" si="60"/>
        <v/>
      </c>
      <c r="Y227" s="2" t="str">
        <f t="shared" si="57"/>
        <v>X</v>
      </c>
      <c r="Z227" s="2" t="str">
        <f t="shared" si="58"/>
        <v/>
      </c>
      <c r="AA227" s="2" t="str">
        <f t="shared" si="61"/>
        <v/>
      </c>
      <c r="AB227" s="2" t="str">
        <f t="shared" si="62"/>
        <v/>
      </c>
      <c r="AC227" s="2" t="str">
        <f t="shared" si="63"/>
        <v>(15 downto 8)</v>
      </c>
      <c r="AD227" s="2" t="str">
        <f t="shared" si="64"/>
        <v/>
      </c>
      <c r="AE227" s="2" t="str">
        <f t="shared" si="65"/>
        <v/>
      </c>
      <c r="AF227" s="2" t="str">
        <f t="shared" si="66"/>
        <v/>
      </c>
      <c r="AG227" s="2" t="str">
        <f t="shared" si="67"/>
        <v/>
      </c>
      <c r="AH227" s="2" t="str">
        <f t="shared" si="68"/>
        <v/>
      </c>
    </row>
    <row r="228" spans="2:34" x14ac:dyDescent="0.25">
      <c r="B228" s="2" t="s">
        <v>521</v>
      </c>
      <c r="C228" s="2" t="s">
        <v>526</v>
      </c>
      <c r="D228" s="2" t="s">
        <v>0</v>
      </c>
      <c r="E228" s="2" t="s">
        <v>130</v>
      </c>
      <c r="F228" s="2" t="s">
        <v>523</v>
      </c>
      <c r="G228" s="2" t="s">
        <v>524</v>
      </c>
      <c r="H228" s="2" t="s">
        <v>527</v>
      </c>
      <c r="I228" s="2" t="s">
        <v>41</v>
      </c>
      <c r="J228" s="2">
        <v>8</v>
      </c>
      <c r="K228" s="2" t="s">
        <v>281</v>
      </c>
      <c r="L228" s="2" t="s">
        <v>40</v>
      </c>
      <c r="M228" s="2" t="s">
        <v>5291</v>
      </c>
      <c r="N228" s="2" t="s">
        <v>5247</v>
      </c>
      <c r="O228" s="2" t="s">
        <v>5130</v>
      </c>
      <c r="P228" s="2" t="s">
        <v>47</v>
      </c>
      <c r="Q228" s="2">
        <f>INDEX(Tables!$C$4:$C$28,MATCH($P228,Tables!$B$4:$B$28,0))</f>
        <v>8</v>
      </c>
      <c r="R228" s="2">
        <f>INDEX(Tables!$D$4:$D$28,MATCH($P228,Tables!$B$4:$B$28,0))</f>
        <v>1</v>
      </c>
      <c r="S228" s="2">
        <f>$S227+$R227+INDEX(Tables!$N$5:$Q$8,MATCH(MOD($S227+$R227,4),Tables!$M$5:$M$8,0),MATCH($R228,Tables!$N$4:$Q$4,0))</f>
        <v>754</v>
      </c>
      <c r="T228" s="2" t="str">
        <f t="shared" si="54"/>
        <v>02F2</v>
      </c>
      <c r="U228" s="2">
        <f t="shared" si="59"/>
        <v>188</v>
      </c>
      <c r="V228" s="2" t="str">
        <f t="shared" si="55"/>
        <v>0BC</v>
      </c>
      <c r="W228" s="2" t="str">
        <f t="shared" si="56"/>
        <v/>
      </c>
      <c r="X228" s="2" t="str">
        <f t="shared" si="60"/>
        <v>X</v>
      </c>
      <c r="Y228" s="2" t="str">
        <f t="shared" si="57"/>
        <v/>
      </c>
      <c r="Z228" s="2" t="str">
        <f t="shared" si="58"/>
        <v/>
      </c>
      <c r="AA228" s="2" t="str">
        <f t="shared" si="61"/>
        <v/>
      </c>
      <c r="AB228" s="2" t="str">
        <f t="shared" si="62"/>
        <v>(23 downto 16)</v>
      </c>
      <c r="AC228" s="2" t="str">
        <f t="shared" si="63"/>
        <v/>
      </c>
      <c r="AD228" s="2" t="str">
        <f t="shared" si="64"/>
        <v/>
      </c>
      <c r="AE228" s="2" t="str">
        <f t="shared" si="65"/>
        <v/>
      </c>
      <c r="AF228" s="2" t="str">
        <f t="shared" si="66"/>
        <v/>
      </c>
      <c r="AG228" s="2" t="str">
        <f t="shared" si="67"/>
        <v/>
      </c>
      <c r="AH228" s="2" t="str">
        <f t="shared" si="68"/>
        <v/>
      </c>
    </row>
    <row r="229" spans="2:34" x14ac:dyDescent="0.25">
      <c r="B229" s="2" t="s">
        <v>521</v>
      </c>
      <c r="C229" s="2" t="s">
        <v>528</v>
      </c>
      <c r="D229" s="2" t="s">
        <v>0</v>
      </c>
      <c r="E229" s="2" t="s">
        <v>130</v>
      </c>
      <c r="F229" s="2" t="s">
        <v>523</v>
      </c>
      <c r="G229" s="2" t="s">
        <v>524</v>
      </c>
      <c r="H229" s="2" t="s">
        <v>529</v>
      </c>
      <c r="I229" s="2" t="s">
        <v>41</v>
      </c>
      <c r="J229" s="2">
        <v>1</v>
      </c>
      <c r="K229" s="2" t="s">
        <v>81</v>
      </c>
      <c r="L229" s="2" t="s">
        <v>40</v>
      </c>
      <c r="M229" s="2" t="s">
        <v>5291</v>
      </c>
      <c r="N229" s="2" t="s">
        <v>5247</v>
      </c>
      <c r="O229" s="2" t="s">
        <v>5131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756</v>
      </c>
      <c r="T229" s="2" t="str">
        <f t="shared" si="54"/>
        <v>02F4</v>
      </c>
      <c r="U229" s="2">
        <f t="shared" si="59"/>
        <v>189</v>
      </c>
      <c r="V229" s="2" t="str">
        <f t="shared" si="55"/>
        <v>0BD</v>
      </c>
      <c r="W229" s="2" t="str">
        <f t="shared" si="56"/>
        <v/>
      </c>
      <c r="X229" s="2" t="str">
        <f t="shared" si="60"/>
        <v/>
      </c>
      <c r="Y229" s="2" t="str">
        <f t="shared" si="57"/>
        <v/>
      </c>
      <c r="Z229" s="2" t="str">
        <f t="shared" si="58"/>
        <v>X</v>
      </c>
      <c r="AA229" s="2" t="str">
        <f t="shared" si="61"/>
        <v/>
      </c>
      <c r="AB229" s="2" t="str">
        <f t="shared" si="62"/>
        <v/>
      </c>
      <c r="AC229" s="2" t="str">
        <f t="shared" si="63"/>
        <v/>
      </c>
      <c r="AD229" s="2" t="str">
        <f t="shared" si="64"/>
        <v>(0)</v>
      </c>
      <c r="AE229" s="2" t="str">
        <f t="shared" si="65"/>
        <v/>
      </c>
      <c r="AF229" s="2" t="str">
        <f t="shared" si="66"/>
        <v/>
      </c>
      <c r="AG229" s="2" t="str">
        <f t="shared" si="67"/>
        <v/>
      </c>
      <c r="AH229" s="2" t="str">
        <f t="shared" si="68"/>
        <v/>
      </c>
    </row>
    <row r="230" spans="2:34" x14ac:dyDescent="0.25">
      <c r="B230" s="2" t="s">
        <v>521</v>
      </c>
      <c r="C230" s="2" t="s">
        <v>141</v>
      </c>
      <c r="D230" s="2" t="s">
        <v>0</v>
      </c>
      <c r="E230" s="2" t="s">
        <v>130</v>
      </c>
      <c r="F230" s="2" t="s">
        <v>523</v>
      </c>
      <c r="G230" s="2" t="s">
        <v>524</v>
      </c>
      <c r="H230" s="2" t="s">
        <v>142</v>
      </c>
      <c r="I230" s="2" t="s">
        <v>41</v>
      </c>
      <c r="J230" s="2">
        <v>1</v>
      </c>
      <c r="K230" s="2" t="s">
        <v>81</v>
      </c>
      <c r="L230" s="2" t="s">
        <v>40</v>
      </c>
      <c r="M230" s="2" t="s">
        <v>5291</v>
      </c>
      <c r="N230" s="2" t="s">
        <v>5247</v>
      </c>
      <c r="O230" s="2" t="s">
        <v>5132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760</v>
      </c>
      <c r="T230" s="2" t="str">
        <f t="shared" si="54"/>
        <v>02F8</v>
      </c>
      <c r="U230" s="2">
        <f t="shared" si="59"/>
        <v>190</v>
      </c>
      <c r="V230" s="2" t="str">
        <f t="shared" si="55"/>
        <v>0BE</v>
      </c>
      <c r="W230" s="2" t="str">
        <f t="shared" si="56"/>
        <v/>
      </c>
      <c r="X230" s="2" t="str">
        <f t="shared" si="60"/>
        <v/>
      </c>
      <c r="Y230" s="2" t="str">
        <f t="shared" si="57"/>
        <v/>
      </c>
      <c r="Z230" s="2" t="str">
        <f t="shared" si="58"/>
        <v>X</v>
      </c>
      <c r="AA230" s="2" t="str">
        <f t="shared" si="61"/>
        <v/>
      </c>
      <c r="AB230" s="2" t="str">
        <f t="shared" si="62"/>
        <v/>
      </c>
      <c r="AC230" s="2" t="str">
        <f t="shared" si="63"/>
        <v/>
      </c>
      <c r="AD230" s="2" t="str">
        <f t="shared" si="64"/>
        <v>(0)</v>
      </c>
      <c r="AE230" s="2" t="str">
        <f t="shared" si="65"/>
        <v/>
      </c>
      <c r="AF230" s="2" t="str">
        <f t="shared" si="66"/>
        <v/>
      </c>
      <c r="AG230" s="2" t="str">
        <f t="shared" si="67"/>
        <v/>
      </c>
      <c r="AH230" s="2" t="str">
        <f t="shared" si="68"/>
        <v/>
      </c>
    </row>
    <row r="231" spans="2:34" x14ac:dyDescent="0.25">
      <c r="B231" s="2" t="s">
        <v>521</v>
      </c>
      <c r="C231" s="2" t="s">
        <v>530</v>
      </c>
      <c r="D231" s="2" t="s">
        <v>0</v>
      </c>
      <c r="E231" s="2" t="s">
        <v>130</v>
      </c>
      <c r="F231" s="2" t="s">
        <v>523</v>
      </c>
      <c r="G231" s="2" t="s">
        <v>524</v>
      </c>
      <c r="H231" s="2" t="s">
        <v>531</v>
      </c>
      <c r="I231" s="2" t="s">
        <v>41</v>
      </c>
      <c r="J231" s="2">
        <v>14</v>
      </c>
      <c r="K231" s="2" t="s">
        <v>132</v>
      </c>
      <c r="L231" s="2" t="s">
        <v>40</v>
      </c>
      <c r="M231" s="2" t="s">
        <v>5291</v>
      </c>
      <c r="N231" s="2" t="s">
        <v>5247</v>
      </c>
      <c r="O231" s="2" t="s">
        <v>5133</v>
      </c>
      <c r="P231" s="2" t="s">
        <v>49</v>
      </c>
      <c r="Q231" s="2">
        <f>INDEX(Tables!$C$4:$C$28,MATCH($P231,Tables!$B$4:$B$28,0))</f>
        <v>16</v>
      </c>
      <c r="R231" s="2">
        <f>INDEX(Tables!$D$4:$D$28,MATCH($P231,Tables!$B$4:$B$28,0))</f>
        <v>2</v>
      </c>
      <c r="S231" s="2">
        <f>$S230+$R230+INDEX(Tables!$N$5:$Q$8,MATCH(MOD($S230+$R230,4),Tables!$M$5:$M$8,0),MATCH($R231,Tables!$N$4:$Q$4,0))</f>
        <v>764</v>
      </c>
      <c r="T231" s="2" t="str">
        <f t="shared" si="54"/>
        <v>02FC</v>
      </c>
      <c r="U231" s="2">
        <f t="shared" si="59"/>
        <v>191</v>
      </c>
      <c r="V231" s="2" t="str">
        <f t="shared" si="55"/>
        <v>0BF</v>
      </c>
      <c r="W231" s="2" t="str">
        <f t="shared" si="56"/>
        <v/>
      </c>
      <c r="X231" s="2" t="str">
        <f t="shared" si="60"/>
        <v/>
      </c>
      <c r="Y231" s="2" t="str">
        <f t="shared" si="57"/>
        <v>X</v>
      </c>
      <c r="Z231" s="2" t="str">
        <f t="shared" si="58"/>
        <v>X</v>
      </c>
      <c r="AA231" s="2" t="str">
        <f t="shared" si="61"/>
        <v/>
      </c>
      <c r="AB231" s="2" t="str">
        <f t="shared" si="62"/>
        <v/>
      </c>
      <c r="AC231" s="2" t="str">
        <f t="shared" si="63"/>
        <v>(13 downto 8)</v>
      </c>
      <c r="AD231" s="2" t="str">
        <f t="shared" si="64"/>
        <v>(7 downto 0)</v>
      </c>
      <c r="AE231" s="2" t="str">
        <f t="shared" si="65"/>
        <v/>
      </c>
      <c r="AF231" s="2" t="str">
        <f t="shared" si="66"/>
        <v/>
      </c>
      <c r="AG231" s="2" t="str">
        <f t="shared" si="67"/>
        <v>(13 downto 8)</v>
      </c>
      <c r="AH231" s="2" t="str">
        <f t="shared" si="68"/>
        <v>(7 downto 0)</v>
      </c>
    </row>
    <row r="232" spans="2:34" x14ac:dyDescent="0.25">
      <c r="B232" s="2" t="s">
        <v>532</v>
      </c>
      <c r="C232" s="2" t="s">
        <v>533</v>
      </c>
      <c r="D232" s="2" t="s">
        <v>0</v>
      </c>
      <c r="E232" s="2" t="s">
        <v>130</v>
      </c>
      <c r="F232" s="2" t="s">
        <v>534</v>
      </c>
      <c r="G232" s="2" t="s">
        <v>535</v>
      </c>
      <c r="H232" s="2" t="s">
        <v>536</v>
      </c>
      <c r="I232" s="2" t="s">
        <v>41</v>
      </c>
      <c r="J232" s="2">
        <v>1</v>
      </c>
      <c r="K232" s="2" t="s">
        <v>81</v>
      </c>
      <c r="L232" s="2" t="s">
        <v>40</v>
      </c>
      <c r="M232" s="2" t="s">
        <v>5291</v>
      </c>
      <c r="N232" s="2" t="s">
        <v>5248</v>
      </c>
      <c r="O232" s="2" t="s">
        <v>5134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768</v>
      </c>
      <c r="T232" s="2" t="str">
        <f t="shared" si="54"/>
        <v>0300</v>
      </c>
      <c r="U232" s="2">
        <f t="shared" si="59"/>
        <v>192</v>
      </c>
      <c r="V232" s="2" t="str">
        <f t="shared" si="55"/>
        <v>0C0</v>
      </c>
      <c r="W232" s="2" t="str">
        <f t="shared" si="56"/>
        <v/>
      </c>
      <c r="X232" s="2" t="str">
        <f t="shared" si="60"/>
        <v/>
      </c>
      <c r="Y232" s="2" t="str">
        <f t="shared" si="57"/>
        <v/>
      </c>
      <c r="Z232" s="2" t="str">
        <f t="shared" si="58"/>
        <v>X</v>
      </c>
      <c r="AA232" s="2" t="str">
        <f t="shared" si="61"/>
        <v/>
      </c>
      <c r="AB232" s="2" t="str">
        <f t="shared" si="62"/>
        <v/>
      </c>
      <c r="AC232" s="2" t="str">
        <f t="shared" si="63"/>
        <v/>
      </c>
      <c r="AD232" s="2" t="str">
        <f t="shared" si="64"/>
        <v>(0)</v>
      </c>
      <c r="AE232" s="2" t="str">
        <f t="shared" si="65"/>
        <v/>
      </c>
      <c r="AF232" s="2" t="str">
        <f t="shared" si="66"/>
        <v/>
      </c>
      <c r="AG232" s="2" t="str">
        <f t="shared" si="67"/>
        <v/>
      </c>
      <c r="AH232" s="2" t="str">
        <f t="shared" si="68"/>
        <v/>
      </c>
    </row>
    <row r="233" spans="2:34" x14ac:dyDescent="0.25">
      <c r="B233" s="2" t="s">
        <v>532</v>
      </c>
      <c r="C233" s="2" t="s">
        <v>146</v>
      </c>
      <c r="D233" s="2" t="s">
        <v>0</v>
      </c>
      <c r="E233" s="2" t="s">
        <v>130</v>
      </c>
      <c r="F233" s="2" t="s">
        <v>534</v>
      </c>
      <c r="G233" s="2" t="s">
        <v>535</v>
      </c>
      <c r="H233" s="2" t="s">
        <v>149</v>
      </c>
      <c r="I233" s="2" t="s">
        <v>41</v>
      </c>
      <c r="J233" s="2">
        <v>1</v>
      </c>
      <c r="K233" s="2" t="s">
        <v>81</v>
      </c>
      <c r="L233" s="2" t="s">
        <v>40</v>
      </c>
      <c r="M233" s="2" t="s">
        <v>5291</v>
      </c>
      <c r="N233" s="2" t="s">
        <v>5248</v>
      </c>
      <c r="O233" s="2" t="s">
        <v>4977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772</v>
      </c>
      <c r="T233" s="2" t="str">
        <f t="shared" si="54"/>
        <v>0304</v>
      </c>
      <c r="U233" s="2">
        <f t="shared" si="59"/>
        <v>193</v>
      </c>
      <c r="V233" s="2" t="str">
        <f t="shared" si="55"/>
        <v>0C1</v>
      </c>
      <c r="W233" s="2" t="str">
        <f t="shared" si="56"/>
        <v/>
      </c>
      <c r="X233" s="2" t="str">
        <f t="shared" si="60"/>
        <v/>
      </c>
      <c r="Y233" s="2" t="str">
        <f t="shared" si="57"/>
        <v/>
      </c>
      <c r="Z233" s="2" t="str">
        <f t="shared" si="58"/>
        <v>X</v>
      </c>
      <c r="AA233" s="2" t="str">
        <f t="shared" si="61"/>
        <v/>
      </c>
      <c r="AB233" s="2" t="str">
        <f t="shared" si="62"/>
        <v/>
      </c>
      <c r="AC233" s="2" t="str">
        <f t="shared" si="63"/>
        <v/>
      </c>
      <c r="AD233" s="2" t="str">
        <f t="shared" si="64"/>
        <v>(0)</v>
      </c>
      <c r="AE233" s="2" t="str">
        <f t="shared" si="65"/>
        <v/>
      </c>
      <c r="AF233" s="2" t="str">
        <f t="shared" si="66"/>
        <v/>
      </c>
      <c r="AG233" s="2" t="str">
        <f t="shared" si="67"/>
        <v/>
      </c>
      <c r="AH233" s="2" t="str">
        <f t="shared" si="68"/>
        <v/>
      </c>
    </row>
    <row r="234" spans="2:34" x14ac:dyDescent="0.25">
      <c r="B234" s="2" t="s">
        <v>532</v>
      </c>
      <c r="C234" s="2" t="s">
        <v>537</v>
      </c>
      <c r="D234" s="2" t="s">
        <v>0</v>
      </c>
      <c r="E234" s="2" t="s">
        <v>130</v>
      </c>
      <c r="F234" s="2" t="s">
        <v>534</v>
      </c>
      <c r="G234" s="2" t="s">
        <v>535</v>
      </c>
      <c r="H234" s="2" t="s">
        <v>538</v>
      </c>
      <c r="I234" s="2" t="s">
        <v>41</v>
      </c>
      <c r="J234" s="2">
        <v>14</v>
      </c>
      <c r="K234" s="2" t="s">
        <v>132</v>
      </c>
      <c r="L234" s="2" t="s">
        <v>40</v>
      </c>
      <c r="M234" s="2" t="s">
        <v>5291</v>
      </c>
      <c r="N234" s="2" t="s">
        <v>5248</v>
      </c>
      <c r="O234" s="2" t="s">
        <v>5135</v>
      </c>
      <c r="P234" s="2" t="s">
        <v>49</v>
      </c>
      <c r="Q234" s="2">
        <f>INDEX(Tables!$C$4:$C$28,MATCH($P234,Tables!$B$4:$B$28,0))</f>
        <v>16</v>
      </c>
      <c r="R234" s="2">
        <f>INDEX(Tables!$D$4:$D$28,MATCH($P234,Tables!$B$4:$B$28,0))</f>
        <v>2</v>
      </c>
      <c r="S234" s="2">
        <f>$S233+$R233+INDEX(Tables!$N$5:$Q$8,MATCH(MOD($S233+$R233,4),Tables!$M$5:$M$8,0),MATCH($R234,Tables!$N$4:$Q$4,0))</f>
        <v>776</v>
      </c>
      <c r="T234" s="2" t="str">
        <f t="shared" si="54"/>
        <v>0308</v>
      </c>
      <c r="U234" s="2">
        <f t="shared" si="59"/>
        <v>194</v>
      </c>
      <c r="V234" s="2" t="str">
        <f t="shared" si="55"/>
        <v>0C2</v>
      </c>
      <c r="W234" s="2" t="str">
        <f t="shared" si="56"/>
        <v/>
      </c>
      <c r="X234" s="2" t="str">
        <f t="shared" si="60"/>
        <v/>
      </c>
      <c r="Y234" s="2" t="str">
        <f t="shared" si="57"/>
        <v>X</v>
      </c>
      <c r="Z234" s="2" t="str">
        <f t="shared" si="58"/>
        <v>X</v>
      </c>
      <c r="AA234" s="2" t="str">
        <f t="shared" si="61"/>
        <v/>
      </c>
      <c r="AB234" s="2" t="str">
        <f t="shared" si="62"/>
        <v/>
      </c>
      <c r="AC234" s="2" t="str">
        <f t="shared" si="63"/>
        <v>(13 downto 8)</v>
      </c>
      <c r="AD234" s="2" t="str">
        <f t="shared" si="64"/>
        <v>(7 downto 0)</v>
      </c>
      <c r="AE234" s="2" t="str">
        <f t="shared" si="65"/>
        <v/>
      </c>
      <c r="AF234" s="2" t="str">
        <f t="shared" si="66"/>
        <v/>
      </c>
      <c r="AG234" s="2" t="str">
        <f t="shared" si="67"/>
        <v>(13 downto 8)</v>
      </c>
      <c r="AH234" s="2" t="str">
        <f t="shared" si="68"/>
        <v>(7 downto 0)</v>
      </c>
    </row>
    <row r="235" spans="2:34" x14ac:dyDescent="0.25">
      <c r="B235" s="2" t="s">
        <v>532</v>
      </c>
      <c r="C235" s="2" t="s">
        <v>157</v>
      </c>
      <c r="D235" s="2" t="s">
        <v>0</v>
      </c>
      <c r="E235" s="2" t="s">
        <v>130</v>
      </c>
      <c r="F235" s="2" t="s">
        <v>534</v>
      </c>
      <c r="G235" s="2" t="s">
        <v>535</v>
      </c>
      <c r="H235" s="2" t="s">
        <v>158</v>
      </c>
      <c r="I235" s="2" t="s">
        <v>41</v>
      </c>
      <c r="J235" s="2">
        <v>16</v>
      </c>
      <c r="K235" s="2" t="s">
        <v>132</v>
      </c>
      <c r="L235" s="2" t="s">
        <v>40</v>
      </c>
      <c r="M235" s="2" t="s">
        <v>5291</v>
      </c>
      <c r="N235" s="2" t="s">
        <v>5248</v>
      </c>
      <c r="O235" s="2" t="s">
        <v>5032</v>
      </c>
      <c r="P235" s="2" t="s">
        <v>49</v>
      </c>
      <c r="Q235" s="2">
        <f>INDEX(Tables!$C$4:$C$28,MATCH($P235,Tables!$B$4:$B$28,0))</f>
        <v>16</v>
      </c>
      <c r="R235" s="2">
        <f>INDEX(Tables!$D$4:$D$28,MATCH($P235,Tables!$B$4:$B$28,0))</f>
        <v>2</v>
      </c>
      <c r="S235" s="2">
        <f>$S234+$R234+INDEX(Tables!$N$5:$Q$8,MATCH(MOD($S234+$R234,4),Tables!$M$5:$M$8,0),MATCH($R235,Tables!$N$4:$Q$4,0))</f>
        <v>778</v>
      </c>
      <c r="T235" s="2" t="str">
        <f t="shared" si="54"/>
        <v>030A</v>
      </c>
      <c r="U235" s="2">
        <f t="shared" si="59"/>
        <v>194</v>
      </c>
      <c r="V235" s="2" t="str">
        <f t="shared" si="55"/>
        <v>0C2</v>
      </c>
      <c r="W235" s="2" t="str">
        <f t="shared" si="56"/>
        <v>X</v>
      </c>
      <c r="X235" s="2" t="str">
        <f t="shared" si="60"/>
        <v>X</v>
      </c>
      <c r="Y235" s="2" t="str">
        <f t="shared" si="57"/>
        <v/>
      </c>
      <c r="Z235" s="2" t="str">
        <f t="shared" si="58"/>
        <v/>
      </c>
      <c r="AA235" s="2" t="str">
        <f t="shared" si="61"/>
        <v>(31 downto 24)</v>
      </c>
      <c r="AB235" s="2" t="str">
        <f t="shared" si="62"/>
        <v>(23 downto 16)</v>
      </c>
      <c r="AC235" s="2" t="str">
        <f t="shared" si="63"/>
        <v/>
      </c>
      <c r="AD235" s="2" t="str">
        <f t="shared" si="64"/>
        <v/>
      </c>
      <c r="AE235" s="2" t="str">
        <f t="shared" si="65"/>
        <v>(15 downto 8)</v>
      </c>
      <c r="AF235" s="2" t="str">
        <f t="shared" si="66"/>
        <v>(7 downto 0)</v>
      </c>
      <c r="AG235" s="2" t="str">
        <f t="shared" si="67"/>
        <v/>
      </c>
      <c r="AH235" s="2" t="str">
        <f t="shared" si="68"/>
        <v/>
      </c>
    </row>
    <row r="236" spans="2:34" x14ac:dyDescent="0.25">
      <c r="B236" s="2" t="s">
        <v>539</v>
      </c>
      <c r="C236" s="2" t="s">
        <v>141</v>
      </c>
      <c r="D236" s="2" t="s">
        <v>0</v>
      </c>
      <c r="E236" s="2" t="s">
        <v>130</v>
      </c>
      <c r="F236" s="2" t="s">
        <v>540</v>
      </c>
      <c r="G236" s="2" t="s">
        <v>541</v>
      </c>
      <c r="H236" s="2" t="s">
        <v>142</v>
      </c>
      <c r="I236" s="2" t="s">
        <v>41</v>
      </c>
      <c r="J236" s="2">
        <v>32</v>
      </c>
      <c r="K236" s="2" t="s">
        <v>132</v>
      </c>
      <c r="L236" s="2" t="s">
        <v>40</v>
      </c>
      <c r="M236" s="2" t="s">
        <v>5291</v>
      </c>
      <c r="N236" s="2" t="s">
        <v>5249</v>
      </c>
      <c r="O236" s="2" t="s">
        <v>5033</v>
      </c>
      <c r="P236" s="2" t="s">
        <v>48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780</v>
      </c>
      <c r="T236" s="2" t="str">
        <f t="shared" si="54"/>
        <v>030C</v>
      </c>
      <c r="U236" s="2">
        <f t="shared" si="59"/>
        <v>195</v>
      </c>
      <c r="V236" s="2" t="str">
        <f t="shared" si="55"/>
        <v>0C3</v>
      </c>
      <c r="W236" s="2" t="str">
        <f t="shared" si="56"/>
        <v>X</v>
      </c>
      <c r="X236" s="2" t="str">
        <f t="shared" si="60"/>
        <v>X</v>
      </c>
      <c r="Y236" s="2" t="str">
        <f t="shared" si="57"/>
        <v>X</v>
      </c>
      <c r="Z236" s="2" t="str">
        <f t="shared" si="58"/>
        <v>X</v>
      </c>
      <c r="AA236" s="2" t="str">
        <f t="shared" si="61"/>
        <v>(31 downto 24)</v>
      </c>
      <c r="AB236" s="2" t="str">
        <f t="shared" si="62"/>
        <v>(23 downto 16)</v>
      </c>
      <c r="AC236" s="2" t="str">
        <f t="shared" si="63"/>
        <v>(15 downto 8)</v>
      </c>
      <c r="AD236" s="2" t="str">
        <f t="shared" si="64"/>
        <v>(7 downto 0)</v>
      </c>
      <c r="AE236" s="2" t="str">
        <f t="shared" si="65"/>
        <v>(31 downto 24)</v>
      </c>
      <c r="AF236" s="2" t="str">
        <f t="shared" si="66"/>
        <v>(23 downto 16)</v>
      </c>
      <c r="AG236" s="2" t="str">
        <f t="shared" si="67"/>
        <v>(15 downto 8)</v>
      </c>
      <c r="AH236" s="2" t="str">
        <f t="shared" si="68"/>
        <v>(7 downto 0)</v>
      </c>
    </row>
    <row r="237" spans="2:34" x14ac:dyDescent="0.25">
      <c r="B237" s="2" t="s">
        <v>542</v>
      </c>
      <c r="C237" s="2" t="s">
        <v>141</v>
      </c>
      <c r="D237" s="2" t="s">
        <v>0</v>
      </c>
      <c r="E237" s="2" t="s">
        <v>130</v>
      </c>
      <c r="F237" s="2" t="s">
        <v>543</v>
      </c>
      <c r="G237" s="2" t="s">
        <v>544</v>
      </c>
      <c r="H237" s="2" t="s">
        <v>142</v>
      </c>
      <c r="I237" s="2" t="s">
        <v>41</v>
      </c>
      <c r="J237" s="2">
        <v>32</v>
      </c>
      <c r="K237" s="2" t="s">
        <v>132</v>
      </c>
      <c r="L237" s="2" t="s">
        <v>40</v>
      </c>
      <c r="M237" s="2" t="s">
        <v>5291</v>
      </c>
      <c r="N237" s="2" t="s">
        <v>5250</v>
      </c>
      <c r="O237" s="2" t="s">
        <v>5033</v>
      </c>
      <c r="P237" s="2" t="s">
        <v>48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784</v>
      </c>
      <c r="T237" s="2" t="str">
        <f t="shared" si="54"/>
        <v>0310</v>
      </c>
      <c r="U237" s="2">
        <f t="shared" si="59"/>
        <v>196</v>
      </c>
      <c r="V237" s="2" t="str">
        <f t="shared" si="55"/>
        <v>0C4</v>
      </c>
      <c r="W237" s="2" t="str">
        <f t="shared" si="56"/>
        <v>X</v>
      </c>
      <c r="X237" s="2" t="str">
        <f t="shared" si="60"/>
        <v>X</v>
      </c>
      <c r="Y237" s="2" t="str">
        <f t="shared" si="57"/>
        <v>X</v>
      </c>
      <c r="Z237" s="2" t="str">
        <f t="shared" si="58"/>
        <v>X</v>
      </c>
      <c r="AA237" s="2" t="str">
        <f t="shared" si="61"/>
        <v>(31 downto 24)</v>
      </c>
      <c r="AB237" s="2" t="str">
        <f t="shared" si="62"/>
        <v>(23 downto 16)</v>
      </c>
      <c r="AC237" s="2" t="str">
        <f t="shared" si="63"/>
        <v>(15 downto 8)</v>
      </c>
      <c r="AD237" s="2" t="str">
        <f t="shared" si="64"/>
        <v>(7 downto 0)</v>
      </c>
      <c r="AE237" s="2" t="str">
        <f t="shared" si="65"/>
        <v>(31 downto 24)</v>
      </c>
      <c r="AF237" s="2" t="str">
        <f t="shared" si="66"/>
        <v>(23 downto 16)</v>
      </c>
      <c r="AG237" s="2" t="str">
        <f t="shared" si="67"/>
        <v>(15 downto 8)</v>
      </c>
      <c r="AH237" s="2" t="str">
        <f t="shared" si="68"/>
        <v>(7 downto 0)</v>
      </c>
    </row>
    <row r="238" spans="2:34" x14ac:dyDescent="0.25">
      <c r="B238" s="2" t="s">
        <v>545</v>
      </c>
      <c r="C238" s="2" t="s">
        <v>146</v>
      </c>
      <c r="D238" s="2" t="s">
        <v>0</v>
      </c>
      <c r="E238" s="2" t="s">
        <v>130</v>
      </c>
      <c r="F238" s="2" t="s">
        <v>546</v>
      </c>
      <c r="G238" s="2" t="s">
        <v>547</v>
      </c>
      <c r="H238" s="2" t="s">
        <v>149</v>
      </c>
      <c r="I238" s="2" t="s">
        <v>41</v>
      </c>
      <c r="J238" s="2">
        <v>2</v>
      </c>
      <c r="K238" s="2" t="s">
        <v>132</v>
      </c>
      <c r="L238" s="2" t="s">
        <v>40</v>
      </c>
      <c r="M238" s="2" t="s">
        <v>5291</v>
      </c>
      <c r="N238" s="2" t="s">
        <v>5251</v>
      </c>
      <c r="O238" s="2" t="s">
        <v>4987</v>
      </c>
      <c r="P238" s="2" t="s">
        <v>47</v>
      </c>
      <c r="Q238" s="2">
        <f>INDEX(Tables!$C$4:$C$28,MATCH($P238,Tables!$B$4:$B$28,0))</f>
        <v>8</v>
      </c>
      <c r="R238" s="2">
        <f>INDEX(Tables!$D$4:$D$28,MATCH($P238,Tables!$B$4:$B$28,0))</f>
        <v>1</v>
      </c>
      <c r="S238" s="2">
        <f>$S237+$R237+INDEX(Tables!$N$5:$Q$8,MATCH(MOD($S237+$R237,4),Tables!$M$5:$M$8,0),MATCH($R238,Tables!$N$4:$Q$4,0))</f>
        <v>788</v>
      </c>
      <c r="T238" s="2" t="str">
        <f t="shared" si="54"/>
        <v>0314</v>
      </c>
      <c r="U238" s="2">
        <f t="shared" si="59"/>
        <v>197</v>
      </c>
      <c r="V238" s="2" t="str">
        <f t="shared" si="55"/>
        <v>0C5</v>
      </c>
      <c r="W238" s="2" t="str">
        <f t="shared" si="56"/>
        <v/>
      </c>
      <c r="X238" s="2" t="str">
        <f t="shared" si="60"/>
        <v/>
      </c>
      <c r="Y238" s="2" t="str">
        <f t="shared" si="57"/>
        <v/>
      </c>
      <c r="Z238" s="2" t="str">
        <f t="shared" si="58"/>
        <v>X</v>
      </c>
      <c r="AA238" s="2" t="str">
        <f t="shared" si="61"/>
        <v/>
      </c>
      <c r="AB238" s="2" t="str">
        <f t="shared" si="62"/>
        <v/>
      </c>
      <c r="AC238" s="2" t="str">
        <f t="shared" si="63"/>
        <v/>
      </c>
      <c r="AD238" s="2" t="str">
        <f t="shared" si="64"/>
        <v>(1 downto 0)</v>
      </c>
      <c r="AE238" s="2" t="str">
        <f t="shared" si="65"/>
        <v/>
      </c>
      <c r="AF238" s="2" t="str">
        <f t="shared" si="66"/>
        <v/>
      </c>
      <c r="AG238" s="2" t="str">
        <f t="shared" si="67"/>
        <v/>
      </c>
      <c r="AH238" s="2" t="str">
        <f t="shared" si="68"/>
        <v/>
      </c>
    </row>
    <row r="239" spans="2:34" x14ac:dyDescent="0.25">
      <c r="B239" s="2" t="s">
        <v>545</v>
      </c>
      <c r="C239" s="2" t="s">
        <v>548</v>
      </c>
      <c r="D239" s="2" t="s">
        <v>0</v>
      </c>
      <c r="E239" s="2" t="s">
        <v>130</v>
      </c>
      <c r="F239" s="2" t="s">
        <v>546</v>
      </c>
      <c r="G239" s="2" t="s">
        <v>547</v>
      </c>
      <c r="H239" s="2" t="s">
        <v>549</v>
      </c>
      <c r="I239" s="2" t="s">
        <v>41</v>
      </c>
      <c r="J239" s="2">
        <v>14</v>
      </c>
      <c r="K239" s="2" t="s">
        <v>550</v>
      </c>
      <c r="L239" s="2" t="s">
        <v>40</v>
      </c>
      <c r="M239" s="2" t="s">
        <v>5291</v>
      </c>
      <c r="N239" s="2" t="s">
        <v>5251</v>
      </c>
      <c r="O239" s="2" t="s">
        <v>5136</v>
      </c>
      <c r="P239" s="2" t="s">
        <v>49</v>
      </c>
      <c r="Q239" s="2">
        <f>INDEX(Tables!$C$4:$C$28,MATCH($P239,Tables!$B$4:$B$28,0))</f>
        <v>16</v>
      </c>
      <c r="R239" s="2">
        <f>INDEX(Tables!$D$4:$D$28,MATCH($P239,Tables!$B$4:$B$28,0))</f>
        <v>2</v>
      </c>
      <c r="S239" s="2">
        <f>$S238+$R238+INDEX(Tables!$N$5:$Q$8,MATCH(MOD($S238+$R238,4),Tables!$M$5:$M$8,0),MATCH($R239,Tables!$N$4:$Q$4,0))</f>
        <v>790</v>
      </c>
      <c r="T239" s="2" t="str">
        <f t="shared" si="54"/>
        <v>0316</v>
      </c>
      <c r="U239" s="2">
        <f t="shared" si="59"/>
        <v>197</v>
      </c>
      <c r="V239" s="2" t="str">
        <f t="shared" si="55"/>
        <v>0C5</v>
      </c>
      <c r="W239" s="2" t="str">
        <f t="shared" si="56"/>
        <v>X</v>
      </c>
      <c r="X239" s="2" t="str">
        <f t="shared" si="60"/>
        <v>X</v>
      </c>
      <c r="Y239" s="2" t="str">
        <f t="shared" si="57"/>
        <v/>
      </c>
      <c r="Z239" s="2" t="str">
        <f t="shared" si="58"/>
        <v/>
      </c>
      <c r="AA239" s="2" t="str">
        <f t="shared" si="61"/>
        <v>(29 downto 24)</v>
      </c>
      <c r="AB239" s="2" t="str">
        <f t="shared" si="62"/>
        <v>(23 downto 16)</v>
      </c>
      <c r="AC239" s="2" t="str">
        <f t="shared" si="63"/>
        <v/>
      </c>
      <c r="AD239" s="2" t="str">
        <f t="shared" si="64"/>
        <v/>
      </c>
      <c r="AE239" s="2" t="str">
        <f t="shared" si="65"/>
        <v>(13 downto 8)</v>
      </c>
      <c r="AF239" s="2" t="str">
        <f t="shared" si="66"/>
        <v>(7 downto 0)</v>
      </c>
      <c r="AG239" s="2" t="str">
        <f t="shared" si="67"/>
        <v/>
      </c>
      <c r="AH239" s="2" t="str">
        <f t="shared" si="68"/>
        <v/>
      </c>
    </row>
    <row r="240" spans="2:34" x14ac:dyDescent="0.25">
      <c r="B240" s="2" t="s">
        <v>545</v>
      </c>
      <c r="C240" s="2" t="s">
        <v>551</v>
      </c>
      <c r="D240" s="2" t="s">
        <v>0</v>
      </c>
      <c r="E240" s="2" t="s">
        <v>130</v>
      </c>
      <c r="F240" s="2" t="s">
        <v>546</v>
      </c>
      <c r="G240" s="2" t="s">
        <v>547</v>
      </c>
      <c r="H240" s="2" t="s">
        <v>552</v>
      </c>
      <c r="I240" s="2" t="s">
        <v>41</v>
      </c>
      <c r="J240" s="2">
        <v>1</v>
      </c>
      <c r="K240" s="2" t="s">
        <v>81</v>
      </c>
      <c r="L240" s="2" t="s">
        <v>40</v>
      </c>
      <c r="M240" s="2" t="s">
        <v>5291</v>
      </c>
      <c r="N240" s="2" t="s">
        <v>5251</v>
      </c>
      <c r="O240" s="2" t="s">
        <v>5137</v>
      </c>
      <c r="P240" s="2" t="s">
        <v>4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792</v>
      </c>
      <c r="T240" s="2" t="str">
        <f t="shared" si="54"/>
        <v>0318</v>
      </c>
      <c r="U240" s="2">
        <f t="shared" si="59"/>
        <v>198</v>
      </c>
      <c r="V240" s="2" t="str">
        <f t="shared" si="55"/>
        <v>0C6</v>
      </c>
      <c r="W240" s="2" t="str">
        <f t="shared" si="56"/>
        <v/>
      </c>
      <c r="X240" s="2" t="str">
        <f t="shared" si="60"/>
        <v/>
      </c>
      <c r="Y240" s="2" t="str">
        <f t="shared" si="57"/>
        <v/>
      </c>
      <c r="Z240" s="2" t="str">
        <f t="shared" si="58"/>
        <v>X</v>
      </c>
      <c r="AA240" s="2" t="str">
        <f t="shared" si="61"/>
        <v/>
      </c>
      <c r="AB240" s="2" t="str">
        <f t="shared" si="62"/>
        <v/>
      </c>
      <c r="AC240" s="2" t="str">
        <f t="shared" si="63"/>
        <v/>
      </c>
      <c r="AD240" s="2" t="str">
        <f t="shared" si="64"/>
        <v>(0)</v>
      </c>
      <c r="AE240" s="2" t="str">
        <f t="shared" si="65"/>
        <v/>
      </c>
      <c r="AF240" s="2" t="str">
        <f t="shared" si="66"/>
        <v/>
      </c>
      <c r="AG240" s="2" t="str">
        <f t="shared" si="67"/>
        <v/>
      </c>
      <c r="AH240" s="2" t="str">
        <f t="shared" si="68"/>
        <v/>
      </c>
    </row>
    <row r="241" spans="2:34" x14ac:dyDescent="0.25">
      <c r="B241" s="2" t="s">
        <v>545</v>
      </c>
      <c r="C241" s="2" t="s">
        <v>157</v>
      </c>
      <c r="D241" s="2" t="s">
        <v>0</v>
      </c>
      <c r="E241" s="2" t="s">
        <v>130</v>
      </c>
      <c r="F241" s="2" t="s">
        <v>546</v>
      </c>
      <c r="G241" s="2" t="s">
        <v>547</v>
      </c>
      <c r="H241" s="2" t="s">
        <v>158</v>
      </c>
      <c r="I241" s="2" t="s">
        <v>41</v>
      </c>
      <c r="J241" s="2">
        <v>1</v>
      </c>
      <c r="K241" s="2" t="s">
        <v>81</v>
      </c>
      <c r="L241" s="2" t="s">
        <v>40</v>
      </c>
      <c r="M241" s="2" t="s">
        <v>5291</v>
      </c>
      <c r="N241" s="2" t="s">
        <v>5251</v>
      </c>
      <c r="O241" s="2" t="s">
        <v>5001</v>
      </c>
      <c r="P241" s="2" t="s">
        <v>4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796</v>
      </c>
      <c r="T241" s="2" t="str">
        <f t="shared" si="54"/>
        <v>031C</v>
      </c>
      <c r="U241" s="2">
        <f t="shared" si="59"/>
        <v>199</v>
      </c>
      <c r="V241" s="2" t="str">
        <f t="shared" si="55"/>
        <v>0C7</v>
      </c>
      <c r="W241" s="2" t="str">
        <f t="shared" si="56"/>
        <v/>
      </c>
      <c r="X241" s="2" t="str">
        <f t="shared" si="60"/>
        <v/>
      </c>
      <c r="Y241" s="2" t="str">
        <f t="shared" si="57"/>
        <v/>
      </c>
      <c r="Z241" s="2" t="str">
        <f t="shared" si="58"/>
        <v>X</v>
      </c>
      <c r="AA241" s="2" t="str">
        <f t="shared" si="61"/>
        <v/>
      </c>
      <c r="AB241" s="2" t="str">
        <f t="shared" si="62"/>
        <v/>
      </c>
      <c r="AC241" s="2" t="str">
        <f t="shared" si="63"/>
        <v/>
      </c>
      <c r="AD241" s="2" t="str">
        <f t="shared" si="64"/>
        <v>(0)</v>
      </c>
      <c r="AE241" s="2" t="str">
        <f t="shared" si="65"/>
        <v/>
      </c>
      <c r="AF241" s="2" t="str">
        <f t="shared" si="66"/>
        <v/>
      </c>
      <c r="AG241" s="2" t="str">
        <f t="shared" si="67"/>
        <v/>
      </c>
      <c r="AH241" s="2" t="str">
        <f t="shared" si="68"/>
        <v/>
      </c>
    </row>
    <row r="242" spans="2:34" x14ac:dyDescent="0.25">
      <c r="B242" s="2" t="s">
        <v>545</v>
      </c>
      <c r="C242" s="2" t="s">
        <v>553</v>
      </c>
      <c r="D242" s="2" t="s">
        <v>0</v>
      </c>
      <c r="E242" s="2" t="s">
        <v>130</v>
      </c>
      <c r="F242" s="2" t="s">
        <v>546</v>
      </c>
      <c r="G242" s="2" t="s">
        <v>547</v>
      </c>
      <c r="H242" s="2" t="s">
        <v>554</v>
      </c>
      <c r="I242" s="2" t="s">
        <v>41</v>
      </c>
      <c r="J242" s="2">
        <v>14</v>
      </c>
      <c r="K242" s="2" t="s">
        <v>132</v>
      </c>
      <c r="L242" s="2" t="s">
        <v>40</v>
      </c>
      <c r="M242" s="2" t="s">
        <v>5291</v>
      </c>
      <c r="N242" s="2" t="s">
        <v>5251</v>
      </c>
      <c r="O242" s="2" t="s">
        <v>5138</v>
      </c>
      <c r="P242" s="2" t="s">
        <v>49</v>
      </c>
      <c r="Q242" s="2">
        <f>INDEX(Tables!$C$4:$C$28,MATCH($P242,Tables!$B$4:$B$28,0))</f>
        <v>16</v>
      </c>
      <c r="R242" s="2">
        <f>INDEX(Tables!$D$4:$D$28,MATCH($P242,Tables!$B$4:$B$28,0))</f>
        <v>2</v>
      </c>
      <c r="S242" s="2">
        <f>$S241+$R241+INDEX(Tables!$N$5:$Q$8,MATCH(MOD($S241+$R241,4),Tables!$M$5:$M$8,0),MATCH($R242,Tables!$N$4:$Q$4,0))</f>
        <v>800</v>
      </c>
      <c r="T242" s="2" t="str">
        <f t="shared" si="54"/>
        <v>0320</v>
      </c>
      <c r="U242" s="2">
        <f t="shared" si="59"/>
        <v>200</v>
      </c>
      <c r="V242" s="2" t="str">
        <f t="shared" si="55"/>
        <v>0C8</v>
      </c>
      <c r="W242" s="2" t="str">
        <f t="shared" si="56"/>
        <v/>
      </c>
      <c r="X242" s="2" t="str">
        <f t="shared" si="60"/>
        <v/>
      </c>
      <c r="Y242" s="2" t="str">
        <f t="shared" si="57"/>
        <v>X</v>
      </c>
      <c r="Z242" s="2" t="str">
        <f t="shared" si="58"/>
        <v>X</v>
      </c>
      <c r="AA242" s="2" t="str">
        <f t="shared" si="61"/>
        <v/>
      </c>
      <c r="AB242" s="2" t="str">
        <f t="shared" si="62"/>
        <v/>
      </c>
      <c r="AC242" s="2" t="str">
        <f t="shared" si="63"/>
        <v>(13 downto 8)</v>
      </c>
      <c r="AD242" s="2" t="str">
        <f t="shared" si="64"/>
        <v>(7 downto 0)</v>
      </c>
      <c r="AE242" s="2" t="str">
        <f t="shared" si="65"/>
        <v/>
      </c>
      <c r="AF242" s="2" t="str">
        <f t="shared" si="66"/>
        <v/>
      </c>
      <c r="AG242" s="2" t="str">
        <f t="shared" si="67"/>
        <v>(13 downto 8)</v>
      </c>
      <c r="AH242" s="2" t="str">
        <f t="shared" si="68"/>
        <v>(7 downto 0)</v>
      </c>
    </row>
    <row r="243" spans="2:34" x14ac:dyDescent="0.25">
      <c r="B243" s="2" t="s">
        <v>555</v>
      </c>
      <c r="C243" s="2" t="s">
        <v>556</v>
      </c>
      <c r="D243" s="2" t="s">
        <v>0</v>
      </c>
      <c r="E243" s="2" t="s">
        <v>130</v>
      </c>
      <c r="F243" s="2" t="s">
        <v>557</v>
      </c>
      <c r="G243" s="2" t="s">
        <v>558</v>
      </c>
      <c r="H243" s="2" t="s">
        <v>559</v>
      </c>
      <c r="I243" s="2" t="s">
        <v>41</v>
      </c>
      <c r="J243" s="2">
        <v>1</v>
      </c>
      <c r="K243" s="2" t="s">
        <v>131</v>
      </c>
      <c r="L243" s="2" t="s">
        <v>40</v>
      </c>
      <c r="M243" s="2" t="s">
        <v>5291</v>
      </c>
      <c r="N243" s="2" t="s">
        <v>5252</v>
      </c>
      <c r="O243" s="2" t="s">
        <v>5139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804</v>
      </c>
      <c r="T243" s="2" t="str">
        <f t="shared" si="54"/>
        <v>0324</v>
      </c>
      <c r="U243" s="2">
        <f t="shared" si="59"/>
        <v>201</v>
      </c>
      <c r="V243" s="2" t="str">
        <f t="shared" si="55"/>
        <v>0C9</v>
      </c>
      <c r="W243" s="2" t="str">
        <f t="shared" si="56"/>
        <v/>
      </c>
      <c r="X243" s="2" t="str">
        <f t="shared" si="60"/>
        <v/>
      </c>
      <c r="Y243" s="2" t="str">
        <f t="shared" si="57"/>
        <v/>
      </c>
      <c r="Z243" s="2" t="str">
        <f t="shared" si="58"/>
        <v>X</v>
      </c>
      <c r="AA243" s="2" t="str">
        <f t="shared" si="61"/>
        <v/>
      </c>
      <c r="AB243" s="2" t="str">
        <f t="shared" si="62"/>
        <v/>
      </c>
      <c r="AC243" s="2" t="str">
        <f t="shared" si="63"/>
        <v/>
      </c>
      <c r="AD243" s="2" t="str">
        <f t="shared" si="64"/>
        <v>(0)</v>
      </c>
      <c r="AE243" s="2" t="str">
        <f t="shared" si="65"/>
        <v/>
      </c>
      <c r="AF243" s="2" t="str">
        <f t="shared" si="66"/>
        <v/>
      </c>
      <c r="AG243" s="2" t="str">
        <f t="shared" si="67"/>
        <v/>
      </c>
      <c r="AH243" s="2" t="str">
        <f t="shared" si="68"/>
        <v/>
      </c>
    </row>
    <row r="244" spans="2:34" x14ac:dyDescent="0.25">
      <c r="B244" s="2" t="s">
        <v>555</v>
      </c>
      <c r="C244" s="2" t="s">
        <v>146</v>
      </c>
      <c r="D244" s="2" t="s">
        <v>0</v>
      </c>
      <c r="E244" s="2" t="s">
        <v>130</v>
      </c>
      <c r="F244" s="2" t="s">
        <v>557</v>
      </c>
      <c r="G244" s="2" t="s">
        <v>558</v>
      </c>
      <c r="H244" s="2" t="s">
        <v>149</v>
      </c>
      <c r="I244" s="2" t="s">
        <v>41</v>
      </c>
      <c r="J244" s="2">
        <v>1</v>
      </c>
      <c r="K244" s="2" t="s">
        <v>81</v>
      </c>
      <c r="L244" s="2" t="s">
        <v>40</v>
      </c>
      <c r="M244" s="2" t="s">
        <v>5291</v>
      </c>
      <c r="N244" s="2" t="s">
        <v>5252</v>
      </c>
      <c r="O244" s="2" t="s">
        <v>4977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808</v>
      </c>
      <c r="T244" s="2" t="str">
        <f t="shared" si="54"/>
        <v>0328</v>
      </c>
      <c r="U244" s="2">
        <f t="shared" si="59"/>
        <v>202</v>
      </c>
      <c r="V244" s="2" t="str">
        <f t="shared" si="55"/>
        <v>0CA</v>
      </c>
      <c r="W244" s="2" t="str">
        <f t="shared" si="56"/>
        <v/>
      </c>
      <c r="X244" s="2" t="str">
        <f t="shared" si="60"/>
        <v/>
      </c>
      <c r="Y244" s="2" t="str">
        <f t="shared" si="57"/>
        <v/>
      </c>
      <c r="Z244" s="2" t="str">
        <f t="shared" si="58"/>
        <v>X</v>
      </c>
      <c r="AA244" s="2" t="str">
        <f t="shared" si="61"/>
        <v/>
      </c>
      <c r="AB244" s="2" t="str">
        <f t="shared" si="62"/>
        <v/>
      </c>
      <c r="AC244" s="2" t="str">
        <f t="shared" si="63"/>
        <v/>
      </c>
      <c r="AD244" s="2" t="str">
        <f t="shared" si="64"/>
        <v>(0)</v>
      </c>
      <c r="AE244" s="2" t="str">
        <f t="shared" si="65"/>
        <v/>
      </c>
      <c r="AF244" s="2" t="str">
        <f t="shared" si="66"/>
        <v/>
      </c>
      <c r="AG244" s="2" t="str">
        <f t="shared" si="67"/>
        <v/>
      </c>
      <c r="AH244" s="2" t="str">
        <f t="shared" si="68"/>
        <v/>
      </c>
    </row>
    <row r="245" spans="2:34" x14ac:dyDescent="0.25">
      <c r="B245" s="2" t="s">
        <v>555</v>
      </c>
      <c r="C245" s="2" t="s">
        <v>560</v>
      </c>
      <c r="D245" s="2" t="s">
        <v>0</v>
      </c>
      <c r="E245" s="2" t="s">
        <v>130</v>
      </c>
      <c r="F245" s="2" t="s">
        <v>557</v>
      </c>
      <c r="G245" s="2" t="s">
        <v>558</v>
      </c>
      <c r="H245" s="2" t="s">
        <v>561</v>
      </c>
      <c r="I245" s="2" t="s">
        <v>41</v>
      </c>
      <c r="J245" s="2">
        <v>14</v>
      </c>
      <c r="K245" s="2" t="s">
        <v>550</v>
      </c>
      <c r="L245" s="2" t="s">
        <v>40</v>
      </c>
      <c r="M245" s="2" t="s">
        <v>5291</v>
      </c>
      <c r="N245" s="2" t="s">
        <v>5252</v>
      </c>
      <c r="O245" s="2" t="s">
        <v>5140</v>
      </c>
      <c r="P245" s="2" t="s">
        <v>49</v>
      </c>
      <c r="Q245" s="2">
        <f>INDEX(Tables!$C$4:$C$28,MATCH($P245,Tables!$B$4:$B$28,0))</f>
        <v>16</v>
      </c>
      <c r="R245" s="2">
        <f>INDEX(Tables!$D$4:$D$28,MATCH($P245,Tables!$B$4:$B$28,0))</f>
        <v>2</v>
      </c>
      <c r="S245" s="2">
        <f>$S244+$R244+INDEX(Tables!$N$5:$Q$8,MATCH(MOD($S244+$R244,4),Tables!$M$5:$M$8,0),MATCH($R245,Tables!$N$4:$Q$4,0))</f>
        <v>812</v>
      </c>
      <c r="T245" s="2" t="str">
        <f t="shared" si="54"/>
        <v>032C</v>
      </c>
      <c r="U245" s="2">
        <f t="shared" si="59"/>
        <v>203</v>
      </c>
      <c r="V245" s="2" t="str">
        <f t="shared" si="55"/>
        <v>0CB</v>
      </c>
      <c r="W245" s="2" t="str">
        <f t="shared" si="56"/>
        <v/>
      </c>
      <c r="X245" s="2" t="str">
        <f t="shared" si="60"/>
        <v/>
      </c>
      <c r="Y245" s="2" t="str">
        <f t="shared" si="57"/>
        <v>X</v>
      </c>
      <c r="Z245" s="2" t="str">
        <f t="shared" si="58"/>
        <v>X</v>
      </c>
      <c r="AA245" s="2" t="str">
        <f t="shared" si="61"/>
        <v/>
      </c>
      <c r="AB245" s="2" t="str">
        <f t="shared" si="62"/>
        <v/>
      </c>
      <c r="AC245" s="2" t="str">
        <f t="shared" si="63"/>
        <v>(13 downto 8)</v>
      </c>
      <c r="AD245" s="2" t="str">
        <f t="shared" si="64"/>
        <v>(7 downto 0)</v>
      </c>
      <c r="AE245" s="2" t="str">
        <f t="shared" si="65"/>
        <v/>
      </c>
      <c r="AF245" s="2" t="str">
        <f t="shared" si="66"/>
        <v/>
      </c>
      <c r="AG245" s="2" t="str">
        <f t="shared" si="67"/>
        <v>(13 downto 8)</v>
      </c>
      <c r="AH245" s="2" t="str">
        <f t="shared" si="68"/>
        <v>(7 downto 0)</v>
      </c>
    </row>
    <row r="246" spans="2:34" x14ac:dyDescent="0.25">
      <c r="B246" s="2" t="s">
        <v>555</v>
      </c>
      <c r="C246" s="2" t="s">
        <v>562</v>
      </c>
      <c r="D246" s="2" t="s">
        <v>0</v>
      </c>
      <c r="E246" s="2" t="s">
        <v>130</v>
      </c>
      <c r="F246" s="2" t="s">
        <v>557</v>
      </c>
      <c r="G246" s="2" t="s">
        <v>558</v>
      </c>
      <c r="H246" s="2" t="s">
        <v>563</v>
      </c>
      <c r="I246" s="2" t="s">
        <v>41</v>
      </c>
      <c r="J246" s="2">
        <v>1</v>
      </c>
      <c r="K246" s="2" t="s">
        <v>81</v>
      </c>
      <c r="L246" s="2" t="s">
        <v>40</v>
      </c>
      <c r="M246" s="2" t="s">
        <v>5291</v>
      </c>
      <c r="N246" s="2" t="s">
        <v>5252</v>
      </c>
      <c r="O246" s="2" t="s">
        <v>5141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816</v>
      </c>
      <c r="T246" s="2" t="str">
        <f t="shared" si="54"/>
        <v>0330</v>
      </c>
      <c r="U246" s="2">
        <f t="shared" si="59"/>
        <v>204</v>
      </c>
      <c r="V246" s="2" t="str">
        <f t="shared" si="55"/>
        <v>0CC</v>
      </c>
      <c r="W246" s="2" t="str">
        <f t="shared" si="56"/>
        <v/>
      </c>
      <c r="X246" s="2" t="str">
        <f t="shared" si="60"/>
        <v/>
      </c>
      <c r="Y246" s="2" t="str">
        <f t="shared" si="57"/>
        <v/>
      </c>
      <c r="Z246" s="2" t="str">
        <f t="shared" si="58"/>
        <v>X</v>
      </c>
      <c r="AA246" s="2" t="str">
        <f t="shared" si="61"/>
        <v/>
      </c>
      <c r="AB246" s="2" t="str">
        <f t="shared" si="62"/>
        <v/>
      </c>
      <c r="AC246" s="2" t="str">
        <f t="shared" si="63"/>
        <v/>
      </c>
      <c r="AD246" s="2" t="str">
        <f t="shared" si="64"/>
        <v>(0)</v>
      </c>
      <c r="AE246" s="2" t="str">
        <f t="shared" si="65"/>
        <v/>
      </c>
      <c r="AF246" s="2" t="str">
        <f t="shared" si="66"/>
        <v/>
      </c>
      <c r="AG246" s="2" t="str">
        <f t="shared" si="67"/>
        <v/>
      </c>
      <c r="AH246" s="2" t="str">
        <f t="shared" si="68"/>
        <v/>
      </c>
    </row>
    <row r="247" spans="2:34" x14ac:dyDescent="0.25">
      <c r="B247" s="2" t="s">
        <v>555</v>
      </c>
      <c r="C247" s="2" t="s">
        <v>157</v>
      </c>
      <c r="D247" s="2" t="s">
        <v>0</v>
      </c>
      <c r="E247" s="2" t="s">
        <v>130</v>
      </c>
      <c r="F247" s="2" t="s">
        <v>557</v>
      </c>
      <c r="G247" s="2" t="s">
        <v>558</v>
      </c>
      <c r="H247" s="2" t="s">
        <v>158</v>
      </c>
      <c r="I247" s="2" t="s">
        <v>41</v>
      </c>
      <c r="J247" s="2">
        <v>1</v>
      </c>
      <c r="K247" s="2" t="s">
        <v>81</v>
      </c>
      <c r="L247" s="2" t="s">
        <v>40</v>
      </c>
      <c r="M247" s="2" t="s">
        <v>5291</v>
      </c>
      <c r="N247" s="2" t="s">
        <v>5252</v>
      </c>
      <c r="O247" s="2" t="s">
        <v>5001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820</v>
      </c>
      <c r="T247" s="2" t="str">
        <f t="shared" si="54"/>
        <v>0334</v>
      </c>
      <c r="U247" s="2">
        <f t="shared" si="59"/>
        <v>205</v>
      </c>
      <c r="V247" s="2" t="str">
        <f t="shared" si="55"/>
        <v>0CD</v>
      </c>
      <c r="W247" s="2" t="str">
        <f t="shared" si="56"/>
        <v/>
      </c>
      <c r="X247" s="2" t="str">
        <f t="shared" si="60"/>
        <v/>
      </c>
      <c r="Y247" s="2" t="str">
        <f t="shared" si="57"/>
        <v/>
      </c>
      <c r="Z247" s="2" t="str">
        <f t="shared" si="58"/>
        <v>X</v>
      </c>
      <c r="AA247" s="2" t="str">
        <f t="shared" si="61"/>
        <v/>
      </c>
      <c r="AB247" s="2" t="str">
        <f t="shared" si="62"/>
        <v/>
      </c>
      <c r="AC247" s="2" t="str">
        <f t="shared" si="63"/>
        <v/>
      </c>
      <c r="AD247" s="2" t="str">
        <f t="shared" si="64"/>
        <v>(0)</v>
      </c>
      <c r="AE247" s="2" t="str">
        <f t="shared" si="65"/>
        <v/>
      </c>
      <c r="AF247" s="2" t="str">
        <f t="shared" si="66"/>
        <v/>
      </c>
      <c r="AG247" s="2" t="str">
        <f t="shared" si="67"/>
        <v/>
      </c>
      <c r="AH247" s="2" t="str">
        <f t="shared" si="68"/>
        <v/>
      </c>
    </row>
    <row r="248" spans="2:34" x14ac:dyDescent="0.25">
      <c r="B248" s="2" t="s">
        <v>555</v>
      </c>
      <c r="C248" s="2" t="s">
        <v>564</v>
      </c>
      <c r="D248" s="2" t="s">
        <v>0</v>
      </c>
      <c r="E248" s="2" t="s">
        <v>130</v>
      </c>
      <c r="F248" s="2" t="s">
        <v>557</v>
      </c>
      <c r="G248" s="2" t="s">
        <v>558</v>
      </c>
      <c r="H248" s="2" t="s">
        <v>565</v>
      </c>
      <c r="I248" s="2" t="s">
        <v>41</v>
      </c>
      <c r="J248" s="2">
        <v>14</v>
      </c>
      <c r="K248" s="2" t="s">
        <v>132</v>
      </c>
      <c r="L248" s="2" t="s">
        <v>40</v>
      </c>
      <c r="M248" s="2" t="s">
        <v>5291</v>
      </c>
      <c r="N248" s="2" t="s">
        <v>5252</v>
      </c>
      <c r="O248" s="2" t="s">
        <v>5142</v>
      </c>
      <c r="P248" s="2" t="s">
        <v>49</v>
      </c>
      <c r="Q248" s="2">
        <f>INDEX(Tables!$C$4:$C$28,MATCH($P248,Tables!$B$4:$B$28,0))</f>
        <v>16</v>
      </c>
      <c r="R248" s="2">
        <f>INDEX(Tables!$D$4:$D$28,MATCH($P248,Tables!$B$4:$B$28,0))</f>
        <v>2</v>
      </c>
      <c r="S248" s="2">
        <f>$S247+$R247+INDEX(Tables!$N$5:$Q$8,MATCH(MOD($S247+$R247,4),Tables!$M$5:$M$8,0),MATCH($R248,Tables!$N$4:$Q$4,0))</f>
        <v>824</v>
      </c>
      <c r="T248" s="2" t="str">
        <f t="shared" si="54"/>
        <v>0338</v>
      </c>
      <c r="U248" s="2">
        <f t="shared" si="59"/>
        <v>206</v>
      </c>
      <c r="V248" s="2" t="str">
        <f t="shared" si="55"/>
        <v>0CE</v>
      </c>
      <c r="W248" s="2" t="str">
        <f t="shared" si="56"/>
        <v/>
      </c>
      <c r="X248" s="2" t="str">
        <f t="shared" si="60"/>
        <v/>
      </c>
      <c r="Y248" s="2" t="str">
        <f t="shared" si="57"/>
        <v>X</v>
      </c>
      <c r="Z248" s="2" t="str">
        <f t="shared" si="58"/>
        <v>X</v>
      </c>
      <c r="AA248" s="2" t="str">
        <f t="shared" si="61"/>
        <v/>
      </c>
      <c r="AB248" s="2" t="str">
        <f t="shared" si="62"/>
        <v/>
      </c>
      <c r="AC248" s="2" t="str">
        <f t="shared" si="63"/>
        <v>(13 downto 8)</v>
      </c>
      <c r="AD248" s="2" t="str">
        <f t="shared" si="64"/>
        <v>(7 downto 0)</v>
      </c>
      <c r="AE248" s="2" t="str">
        <f t="shared" si="65"/>
        <v/>
      </c>
      <c r="AF248" s="2" t="str">
        <f t="shared" si="66"/>
        <v/>
      </c>
      <c r="AG248" s="2" t="str">
        <f t="shared" si="67"/>
        <v>(13 downto 8)</v>
      </c>
      <c r="AH248" s="2" t="str">
        <f t="shared" si="68"/>
        <v>(7 downto 0)</v>
      </c>
    </row>
    <row r="249" spans="2:34" x14ac:dyDescent="0.25">
      <c r="B249" s="2" t="s">
        <v>566</v>
      </c>
      <c r="C249" s="2" t="s">
        <v>567</v>
      </c>
      <c r="D249" s="2" t="s">
        <v>0</v>
      </c>
      <c r="E249" s="2" t="s">
        <v>130</v>
      </c>
      <c r="F249" s="2" t="s">
        <v>568</v>
      </c>
      <c r="G249" s="2" t="s">
        <v>569</v>
      </c>
      <c r="H249" s="2" t="s">
        <v>570</v>
      </c>
      <c r="I249" s="2" t="s">
        <v>41</v>
      </c>
      <c r="J249" s="2">
        <v>1</v>
      </c>
      <c r="K249" s="2" t="s">
        <v>81</v>
      </c>
      <c r="L249" s="2" t="s">
        <v>40</v>
      </c>
      <c r="M249" s="2" t="s">
        <v>5291</v>
      </c>
      <c r="N249" s="2" t="s">
        <v>5253</v>
      </c>
      <c r="O249" s="2" t="s">
        <v>5143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828</v>
      </c>
      <c r="T249" s="2" t="str">
        <f t="shared" si="54"/>
        <v>033C</v>
      </c>
      <c r="U249" s="2">
        <f t="shared" si="59"/>
        <v>207</v>
      </c>
      <c r="V249" s="2" t="str">
        <f t="shared" si="55"/>
        <v>0CF</v>
      </c>
      <c r="W249" s="2" t="str">
        <f t="shared" si="56"/>
        <v/>
      </c>
      <c r="X249" s="2" t="str">
        <f t="shared" si="60"/>
        <v/>
      </c>
      <c r="Y249" s="2" t="str">
        <f t="shared" si="57"/>
        <v/>
      </c>
      <c r="Z249" s="2" t="str">
        <f t="shared" si="58"/>
        <v>X</v>
      </c>
      <c r="AA249" s="2" t="str">
        <f t="shared" si="61"/>
        <v/>
      </c>
      <c r="AB249" s="2" t="str">
        <f t="shared" si="62"/>
        <v/>
      </c>
      <c r="AC249" s="2" t="str">
        <f t="shared" si="63"/>
        <v/>
      </c>
      <c r="AD249" s="2" t="str">
        <f t="shared" si="64"/>
        <v>(0)</v>
      </c>
      <c r="AE249" s="2" t="str">
        <f t="shared" si="65"/>
        <v/>
      </c>
      <c r="AF249" s="2" t="str">
        <f t="shared" si="66"/>
        <v/>
      </c>
      <c r="AG249" s="2" t="str">
        <f t="shared" si="67"/>
        <v/>
      </c>
      <c r="AH249" s="2" t="str">
        <f t="shared" si="68"/>
        <v/>
      </c>
    </row>
    <row r="250" spans="2:34" x14ac:dyDescent="0.25">
      <c r="B250" s="2" t="s">
        <v>566</v>
      </c>
      <c r="C250" s="2" t="s">
        <v>141</v>
      </c>
      <c r="D250" s="2" t="s">
        <v>0</v>
      </c>
      <c r="E250" s="2" t="s">
        <v>130</v>
      </c>
      <c r="F250" s="2" t="s">
        <v>568</v>
      </c>
      <c r="G250" s="2" t="s">
        <v>569</v>
      </c>
      <c r="H250" s="2" t="s">
        <v>142</v>
      </c>
      <c r="I250" s="2" t="s">
        <v>41</v>
      </c>
      <c r="J250" s="2">
        <v>1</v>
      </c>
      <c r="K250" s="2" t="s">
        <v>81</v>
      </c>
      <c r="L250" s="2" t="s">
        <v>40</v>
      </c>
      <c r="M250" s="2" t="s">
        <v>5291</v>
      </c>
      <c r="N250" s="2" t="s">
        <v>5253</v>
      </c>
      <c r="O250" s="2" t="s">
        <v>5132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832</v>
      </c>
      <c r="T250" s="2" t="str">
        <f t="shared" si="54"/>
        <v>0340</v>
      </c>
      <c r="U250" s="2">
        <f t="shared" si="59"/>
        <v>208</v>
      </c>
      <c r="V250" s="2" t="str">
        <f t="shared" si="55"/>
        <v>0D0</v>
      </c>
      <c r="W250" s="2" t="str">
        <f t="shared" si="56"/>
        <v/>
      </c>
      <c r="X250" s="2" t="str">
        <f t="shared" si="60"/>
        <v/>
      </c>
      <c r="Y250" s="2" t="str">
        <f t="shared" si="57"/>
        <v/>
      </c>
      <c r="Z250" s="2" t="str">
        <f t="shared" si="58"/>
        <v>X</v>
      </c>
      <c r="AA250" s="2" t="str">
        <f t="shared" si="61"/>
        <v/>
      </c>
      <c r="AB250" s="2" t="str">
        <f t="shared" si="62"/>
        <v/>
      </c>
      <c r="AC250" s="2" t="str">
        <f t="shared" si="63"/>
        <v/>
      </c>
      <c r="AD250" s="2" t="str">
        <f t="shared" si="64"/>
        <v>(0)</v>
      </c>
      <c r="AE250" s="2" t="str">
        <f t="shared" si="65"/>
        <v/>
      </c>
      <c r="AF250" s="2" t="str">
        <f t="shared" si="66"/>
        <v/>
      </c>
      <c r="AG250" s="2" t="str">
        <f t="shared" si="67"/>
        <v/>
      </c>
      <c r="AH250" s="2" t="str">
        <f t="shared" si="68"/>
        <v/>
      </c>
    </row>
    <row r="251" spans="2:34" x14ac:dyDescent="0.25">
      <c r="B251" s="2" t="s">
        <v>566</v>
      </c>
      <c r="C251" s="2" t="s">
        <v>571</v>
      </c>
      <c r="D251" s="2" t="s">
        <v>0</v>
      </c>
      <c r="E251" s="2" t="s">
        <v>130</v>
      </c>
      <c r="F251" s="2" t="s">
        <v>568</v>
      </c>
      <c r="G251" s="2" t="s">
        <v>569</v>
      </c>
      <c r="H251" s="2" t="s">
        <v>572</v>
      </c>
      <c r="I251" s="2" t="s">
        <v>41</v>
      </c>
      <c r="J251" s="2">
        <v>14</v>
      </c>
      <c r="K251" s="2" t="s">
        <v>573</v>
      </c>
      <c r="L251" s="2" t="s">
        <v>40</v>
      </c>
      <c r="M251" s="2" t="s">
        <v>5291</v>
      </c>
      <c r="N251" s="2" t="s">
        <v>5253</v>
      </c>
      <c r="O251" s="2" t="s">
        <v>5144</v>
      </c>
      <c r="P251" s="2" t="s">
        <v>49</v>
      </c>
      <c r="Q251" s="2">
        <f>INDEX(Tables!$C$4:$C$28,MATCH($P251,Tables!$B$4:$B$28,0))</f>
        <v>16</v>
      </c>
      <c r="R251" s="2">
        <f>INDEX(Tables!$D$4:$D$28,MATCH($P251,Tables!$B$4:$B$28,0))</f>
        <v>2</v>
      </c>
      <c r="S251" s="2">
        <f>$S250+$R250+INDEX(Tables!$N$5:$Q$8,MATCH(MOD($S250+$R250,4),Tables!$M$5:$M$8,0),MATCH($R251,Tables!$N$4:$Q$4,0))</f>
        <v>836</v>
      </c>
      <c r="T251" s="2" t="str">
        <f t="shared" si="54"/>
        <v>0344</v>
      </c>
      <c r="U251" s="2">
        <f t="shared" si="59"/>
        <v>209</v>
      </c>
      <c r="V251" s="2" t="str">
        <f t="shared" si="55"/>
        <v>0D1</v>
      </c>
      <c r="W251" s="2" t="str">
        <f t="shared" si="56"/>
        <v/>
      </c>
      <c r="X251" s="2" t="str">
        <f t="shared" si="60"/>
        <v/>
      </c>
      <c r="Y251" s="2" t="str">
        <f t="shared" si="57"/>
        <v>X</v>
      </c>
      <c r="Z251" s="2" t="str">
        <f t="shared" si="58"/>
        <v>X</v>
      </c>
      <c r="AA251" s="2" t="str">
        <f t="shared" si="61"/>
        <v/>
      </c>
      <c r="AB251" s="2" t="str">
        <f t="shared" si="62"/>
        <v/>
      </c>
      <c r="AC251" s="2" t="str">
        <f t="shared" si="63"/>
        <v>(13 downto 8)</v>
      </c>
      <c r="AD251" s="2" t="str">
        <f t="shared" si="64"/>
        <v>(7 downto 0)</v>
      </c>
      <c r="AE251" s="2" t="str">
        <f t="shared" si="65"/>
        <v/>
      </c>
      <c r="AF251" s="2" t="str">
        <f t="shared" si="66"/>
        <v/>
      </c>
      <c r="AG251" s="2" t="str">
        <f t="shared" si="67"/>
        <v>(13 downto 8)</v>
      </c>
      <c r="AH251" s="2" t="str">
        <f t="shared" si="68"/>
        <v>(7 downto 0)</v>
      </c>
    </row>
    <row r="252" spans="2:34" x14ac:dyDescent="0.25">
      <c r="B252" s="2" t="s">
        <v>566</v>
      </c>
      <c r="C252" s="2" t="s">
        <v>574</v>
      </c>
      <c r="D252" s="2" t="s">
        <v>0</v>
      </c>
      <c r="E252" s="2" t="s">
        <v>130</v>
      </c>
      <c r="F252" s="2" t="s">
        <v>568</v>
      </c>
      <c r="G252" s="2" t="s">
        <v>569</v>
      </c>
      <c r="H252" s="2" t="s">
        <v>575</v>
      </c>
      <c r="I252" s="2" t="s">
        <v>41</v>
      </c>
      <c r="J252" s="2">
        <v>16</v>
      </c>
      <c r="K252" s="2" t="s">
        <v>576</v>
      </c>
      <c r="L252" s="2" t="s">
        <v>40</v>
      </c>
      <c r="M252" s="2" t="s">
        <v>5291</v>
      </c>
      <c r="N252" s="2" t="s">
        <v>5253</v>
      </c>
      <c r="O252" s="2" t="s">
        <v>5145</v>
      </c>
      <c r="P252" s="2" t="s">
        <v>49</v>
      </c>
      <c r="Q252" s="2">
        <f>INDEX(Tables!$C$4:$C$28,MATCH($P252,Tables!$B$4:$B$28,0))</f>
        <v>16</v>
      </c>
      <c r="R252" s="2">
        <f>INDEX(Tables!$D$4:$D$28,MATCH($P252,Tables!$B$4:$B$28,0))</f>
        <v>2</v>
      </c>
      <c r="S252" s="2">
        <f>$S251+$R251+INDEX(Tables!$N$5:$Q$8,MATCH(MOD($S251+$R251,4),Tables!$M$5:$M$8,0),MATCH($R252,Tables!$N$4:$Q$4,0))</f>
        <v>838</v>
      </c>
      <c r="T252" s="2" t="str">
        <f t="shared" si="54"/>
        <v>0346</v>
      </c>
      <c r="U252" s="2">
        <f t="shared" si="59"/>
        <v>209</v>
      </c>
      <c r="V252" s="2" t="str">
        <f t="shared" si="55"/>
        <v>0D1</v>
      </c>
      <c r="W252" s="2" t="str">
        <f t="shared" si="56"/>
        <v>X</v>
      </c>
      <c r="X252" s="2" t="str">
        <f t="shared" si="60"/>
        <v>X</v>
      </c>
      <c r="Y252" s="2" t="str">
        <f t="shared" si="57"/>
        <v/>
      </c>
      <c r="Z252" s="2" t="str">
        <f t="shared" si="58"/>
        <v/>
      </c>
      <c r="AA252" s="2" t="str">
        <f t="shared" si="61"/>
        <v>(31 downto 24)</v>
      </c>
      <c r="AB252" s="2" t="str">
        <f t="shared" si="62"/>
        <v>(23 downto 16)</v>
      </c>
      <c r="AC252" s="2" t="str">
        <f t="shared" si="63"/>
        <v/>
      </c>
      <c r="AD252" s="2" t="str">
        <f t="shared" si="64"/>
        <v/>
      </c>
      <c r="AE252" s="2" t="str">
        <f t="shared" si="65"/>
        <v>(15 downto 8)</v>
      </c>
      <c r="AF252" s="2" t="str">
        <f t="shared" si="66"/>
        <v>(7 downto 0)</v>
      </c>
      <c r="AG252" s="2" t="str">
        <f t="shared" si="67"/>
        <v/>
      </c>
      <c r="AH252" s="2" t="str">
        <f t="shared" si="68"/>
        <v/>
      </c>
    </row>
    <row r="253" spans="2:34" x14ac:dyDescent="0.25">
      <c r="B253" s="2" t="s">
        <v>577</v>
      </c>
      <c r="C253" s="2" t="s">
        <v>578</v>
      </c>
      <c r="D253" s="2" t="s">
        <v>0</v>
      </c>
      <c r="E253" s="2" t="s">
        <v>130</v>
      </c>
      <c r="F253" s="2" t="s">
        <v>579</v>
      </c>
      <c r="G253" s="2" t="s">
        <v>580</v>
      </c>
      <c r="H253" s="2" t="s">
        <v>581</v>
      </c>
      <c r="I253" s="2" t="s">
        <v>41</v>
      </c>
      <c r="J253" s="2">
        <v>16</v>
      </c>
      <c r="K253" s="2" t="s">
        <v>582</v>
      </c>
      <c r="L253" s="2" t="s">
        <v>40</v>
      </c>
      <c r="M253" s="2" t="s">
        <v>5291</v>
      </c>
      <c r="N253" s="2" t="s">
        <v>5254</v>
      </c>
      <c r="O253" s="2" t="s">
        <v>5146</v>
      </c>
      <c r="P253" s="2" t="s">
        <v>49</v>
      </c>
      <c r="Q253" s="2">
        <f>INDEX(Tables!$C$4:$C$28,MATCH($P253,Tables!$B$4:$B$28,0))</f>
        <v>16</v>
      </c>
      <c r="R253" s="2">
        <f>INDEX(Tables!$D$4:$D$28,MATCH($P253,Tables!$B$4:$B$28,0))</f>
        <v>2</v>
      </c>
      <c r="S253" s="2">
        <f>$S252+$R252+INDEX(Tables!$N$5:$Q$8,MATCH(MOD($S252+$R252,4),Tables!$M$5:$M$8,0),MATCH($R253,Tables!$N$4:$Q$4,0))</f>
        <v>840</v>
      </c>
      <c r="T253" s="2" t="str">
        <f t="shared" si="54"/>
        <v>0348</v>
      </c>
      <c r="U253" s="2">
        <f t="shared" si="59"/>
        <v>210</v>
      </c>
      <c r="V253" s="2" t="str">
        <f t="shared" si="55"/>
        <v>0D2</v>
      </c>
      <c r="W253" s="2" t="str">
        <f t="shared" si="56"/>
        <v/>
      </c>
      <c r="X253" s="2" t="str">
        <f t="shared" si="60"/>
        <v/>
      </c>
      <c r="Y253" s="2" t="str">
        <f t="shared" si="57"/>
        <v>X</v>
      </c>
      <c r="Z253" s="2" t="str">
        <f t="shared" si="58"/>
        <v>X</v>
      </c>
      <c r="AA253" s="2" t="str">
        <f t="shared" si="61"/>
        <v/>
      </c>
      <c r="AB253" s="2" t="str">
        <f t="shared" si="62"/>
        <v/>
      </c>
      <c r="AC253" s="2" t="str">
        <f t="shared" si="63"/>
        <v>(15 downto 8)</v>
      </c>
      <c r="AD253" s="2" t="str">
        <f t="shared" si="64"/>
        <v>(7 downto 0)</v>
      </c>
      <c r="AE253" s="2" t="str">
        <f t="shared" si="65"/>
        <v/>
      </c>
      <c r="AF253" s="2" t="str">
        <f t="shared" si="66"/>
        <v/>
      </c>
      <c r="AG253" s="2" t="str">
        <f t="shared" si="67"/>
        <v>(15 downto 8)</v>
      </c>
      <c r="AH253" s="2" t="str">
        <f t="shared" si="68"/>
        <v>(7 downto 0)</v>
      </c>
    </row>
    <row r="254" spans="2:34" x14ac:dyDescent="0.25">
      <c r="B254" s="2" t="s">
        <v>577</v>
      </c>
      <c r="C254" s="2" t="s">
        <v>583</v>
      </c>
      <c r="D254" s="2" t="s">
        <v>0</v>
      </c>
      <c r="E254" s="2" t="s">
        <v>130</v>
      </c>
      <c r="F254" s="2" t="s">
        <v>579</v>
      </c>
      <c r="G254" s="2" t="s">
        <v>580</v>
      </c>
      <c r="H254" s="2" t="s">
        <v>584</v>
      </c>
      <c r="I254" s="2" t="s">
        <v>41</v>
      </c>
      <c r="J254" s="2">
        <v>1</v>
      </c>
      <c r="K254" s="2" t="s">
        <v>81</v>
      </c>
      <c r="L254" s="2" t="s">
        <v>40</v>
      </c>
      <c r="M254" s="2" t="s">
        <v>5291</v>
      </c>
      <c r="N254" s="2" t="s">
        <v>5254</v>
      </c>
      <c r="O254" s="2" t="s">
        <v>5147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844</v>
      </c>
      <c r="T254" s="2" t="str">
        <f t="shared" si="54"/>
        <v>034C</v>
      </c>
      <c r="U254" s="2">
        <f t="shared" si="59"/>
        <v>211</v>
      </c>
      <c r="V254" s="2" t="str">
        <f t="shared" si="55"/>
        <v>0D3</v>
      </c>
      <c r="W254" s="2" t="str">
        <f t="shared" si="56"/>
        <v/>
      </c>
      <c r="X254" s="2" t="str">
        <f t="shared" si="60"/>
        <v/>
      </c>
      <c r="Y254" s="2" t="str">
        <f t="shared" si="57"/>
        <v/>
      </c>
      <c r="Z254" s="2" t="str">
        <f t="shared" si="58"/>
        <v>X</v>
      </c>
      <c r="AA254" s="2" t="str">
        <f t="shared" si="61"/>
        <v/>
      </c>
      <c r="AB254" s="2" t="str">
        <f t="shared" si="62"/>
        <v/>
      </c>
      <c r="AC254" s="2" t="str">
        <f t="shared" si="63"/>
        <v/>
      </c>
      <c r="AD254" s="2" t="str">
        <f t="shared" si="64"/>
        <v>(0)</v>
      </c>
      <c r="AE254" s="2" t="str">
        <f t="shared" si="65"/>
        <v/>
      </c>
      <c r="AF254" s="2" t="str">
        <f t="shared" si="66"/>
        <v/>
      </c>
      <c r="AG254" s="2" t="str">
        <f t="shared" si="67"/>
        <v/>
      </c>
      <c r="AH254" s="2" t="str">
        <f t="shared" si="68"/>
        <v/>
      </c>
    </row>
    <row r="255" spans="2:34" x14ac:dyDescent="0.25">
      <c r="B255" s="2" t="s">
        <v>577</v>
      </c>
      <c r="C255" s="2" t="s">
        <v>141</v>
      </c>
      <c r="D255" s="2" t="s">
        <v>0</v>
      </c>
      <c r="E255" s="2" t="s">
        <v>130</v>
      </c>
      <c r="F255" s="2" t="s">
        <v>579</v>
      </c>
      <c r="G255" s="2" t="s">
        <v>580</v>
      </c>
      <c r="H255" s="2" t="s">
        <v>142</v>
      </c>
      <c r="I255" s="2" t="s">
        <v>41</v>
      </c>
      <c r="J255" s="2">
        <v>1</v>
      </c>
      <c r="K255" s="2" t="s">
        <v>81</v>
      </c>
      <c r="L255" s="2" t="s">
        <v>40</v>
      </c>
      <c r="M255" s="2" t="s">
        <v>5291</v>
      </c>
      <c r="N255" s="2" t="s">
        <v>5254</v>
      </c>
      <c r="O255" s="2" t="s">
        <v>5132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848</v>
      </c>
      <c r="T255" s="2" t="str">
        <f t="shared" si="54"/>
        <v>0350</v>
      </c>
      <c r="U255" s="2">
        <f t="shared" si="59"/>
        <v>212</v>
      </c>
      <c r="V255" s="2" t="str">
        <f t="shared" si="55"/>
        <v>0D4</v>
      </c>
      <c r="W255" s="2" t="str">
        <f t="shared" si="56"/>
        <v/>
      </c>
      <c r="X255" s="2" t="str">
        <f t="shared" si="60"/>
        <v/>
      </c>
      <c r="Y255" s="2" t="str">
        <f t="shared" si="57"/>
        <v/>
      </c>
      <c r="Z255" s="2" t="str">
        <f t="shared" si="58"/>
        <v>X</v>
      </c>
      <c r="AA255" s="2" t="str">
        <f t="shared" si="61"/>
        <v/>
      </c>
      <c r="AB255" s="2" t="str">
        <f t="shared" si="62"/>
        <v/>
      </c>
      <c r="AC255" s="2" t="str">
        <f t="shared" si="63"/>
        <v/>
      </c>
      <c r="AD255" s="2" t="str">
        <f t="shared" si="64"/>
        <v>(0)</v>
      </c>
      <c r="AE255" s="2" t="str">
        <f t="shared" si="65"/>
        <v/>
      </c>
      <c r="AF255" s="2" t="str">
        <f t="shared" si="66"/>
        <v/>
      </c>
      <c r="AG255" s="2" t="str">
        <f t="shared" si="67"/>
        <v/>
      </c>
      <c r="AH255" s="2" t="str">
        <f t="shared" si="68"/>
        <v/>
      </c>
    </row>
    <row r="256" spans="2:34" x14ac:dyDescent="0.25">
      <c r="B256" s="2" t="s">
        <v>577</v>
      </c>
      <c r="C256" s="2" t="s">
        <v>585</v>
      </c>
      <c r="D256" s="2" t="s">
        <v>0</v>
      </c>
      <c r="E256" s="2" t="s">
        <v>130</v>
      </c>
      <c r="F256" s="2" t="s">
        <v>579</v>
      </c>
      <c r="G256" s="2" t="s">
        <v>580</v>
      </c>
      <c r="H256" s="2" t="s">
        <v>586</v>
      </c>
      <c r="I256" s="2" t="s">
        <v>41</v>
      </c>
      <c r="J256" s="2">
        <v>14</v>
      </c>
      <c r="K256" s="2" t="s">
        <v>587</v>
      </c>
      <c r="L256" s="2" t="s">
        <v>40</v>
      </c>
      <c r="M256" s="2" t="s">
        <v>5291</v>
      </c>
      <c r="N256" s="2" t="s">
        <v>5254</v>
      </c>
      <c r="O256" s="2" t="s">
        <v>5148</v>
      </c>
      <c r="P256" s="2" t="s">
        <v>49</v>
      </c>
      <c r="Q256" s="2">
        <f>INDEX(Tables!$C$4:$C$28,MATCH($P256,Tables!$B$4:$B$28,0))</f>
        <v>16</v>
      </c>
      <c r="R256" s="2">
        <f>INDEX(Tables!$D$4:$D$28,MATCH($P256,Tables!$B$4:$B$28,0))</f>
        <v>2</v>
      </c>
      <c r="S256" s="2">
        <f>$S255+$R255+INDEX(Tables!$N$5:$Q$8,MATCH(MOD($S255+$R255,4),Tables!$M$5:$M$8,0),MATCH($R256,Tables!$N$4:$Q$4,0))</f>
        <v>852</v>
      </c>
      <c r="T256" s="2" t="str">
        <f t="shared" si="54"/>
        <v>0354</v>
      </c>
      <c r="U256" s="2">
        <f t="shared" si="59"/>
        <v>213</v>
      </c>
      <c r="V256" s="2" t="str">
        <f t="shared" si="55"/>
        <v>0D5</v>
      </c>
      <c r="W256" s="2" t="str">
        <f t="shared" si="56"/>
        <v/>
      </c>
      <c r="X256" s="2" t="str">
        <f t="shared" si="60"/>
        <v/>
      </c>
      <c r="Y256" s="2" t="str">
        <f t="shared" si="57"/>
        <v>X</v>
      </c>
      <c r="Z256" s="2" t="str">
        <f t="shared" si="58"/>
        <v>X</v>
      </c>
      <c r="AA256" s="2" t="str">
        <f t="shared" si="61"/>
        <v/>
      </c>
      <c r="AB256" s="2" t="str">
        <f t="shared" si="62"/>
        <v/>
      </c>
      <c r="AC256" s="2" t="str">
        <f t="shared" si="63"/>
        <v>(13 downto 8)</v>
      </c>
      <c r="AD256" s="2" t="str">
        <f t="shared" si="64"/>
        <v>(7 downto 0)</v>
      </c>
      <c r="AE256" s="2" t="str">
        <f t="shared" si="65"/>
        <v/>
      </c>
      <c r="AF256" s="2" t="str">
        <f t="shared" si="66"/>
        <v/>
      </c>
      <c r="AG256" s="2" t="str">
        <f t="shared" si="67"/>
        <v>(13 downto 8)</v>
      </c>
      <c r="AH256" s="2" t="str">
        <f t="shared" si="68"/>
        <v>(7 downto 0)</v>
      </c>
    </row>
    <row r="257" spans="2:34" x14ac:dyDescent="0.25">
      <c r="B257" s="2" t="s">
        <v>588</v>
      </c>
      <c r="C257" s="2" t="s">
        <v>146</v>
      </c>
      <c r="D257" s="2" t="s">
        <v>0</v>
      </c>
      <c r="E257" s="2" t="s">
        <v>130</v>
      </c>
      <c r="F257" s="2" t="s">
        <v>589</v>
      </c>
      <c r="G257" s="2" t="s">
        <v>590</v>
      </c>
      <c r="H257" s="2" t="s">
        <v>149</v>
      </c>
      <c r="I257" s="2" t="s">
        <v>41</v>
      </c>
      <c r="J257" s="2">
        <v>2</v>
      </c>
      <c r="K257" s="2" t="s">
        <v>132</v>
      </c>
      <c r="L257" s="2" t="s">
        <v>40</v>
      </c>
      <c r="M257" s="2" t="s">
        <v>5291</v>
      </c>
      <c r="N257" s="2" t="s">
        <v>5255</v>
      </c>
      <c r="O257" s="2" t="s">
        <v>4987</v>
      </c>
      <c r="P257" s="2" t="s">
        <v>47</v>
      </c>
      <c r="Q257" s="2">
        <f>INDEX(Tables!$C$4:$C$28,MATCH($P257,Tables!$B$4:$B$28,0))</f>
        <v>8</v>
      </c>
      <c r="R257" s="2">
        <f>INDEX(Tables!$D$4:$D$28,MATCH($P257,Tables!$B$4:$B$28,0))</f>
        <v>1</v>
      </c>
      <c r="S257" s="2">
        <f>$S256+$R256+INDEX(Tables!$N$5:$Q$8,MATCH(MOD($S256+$R256,4),Tables!$M$5:$M$8,0),MATCH($R257,Tables!$N$4:$Q$4,0))</f>
        <v>854</v>
      </c>
      <c r="T257" s="2" t="str">
        <f t="shared" si="54"/>
        <v>0356</v>
      </c>
      <c r="U257" s="2">
        <f t="shared" si="59"/>
        <v>213</v>
      </c>
      <c r="V257" s="2" t="str">
        <f t="shared" si="55"/>
        <v>0D5</v>
      </c>
      <c r="W257" s="2" t="str">
        <f t="shared" si="56"/>
        <v/>
      </c>
      <c r="X257" s="2" t="str">
        <f t="shared" si="60"/>
        <v>X</v>
      </c>
      <c r="Y257" s="2" t="str">
        <f t="shared" si="57"/>
        <v/>
      </c>
      <c r="Z257" s="2" t="str">
        <f t="shared" si="58"/>
        <v/>
      </c>
      <c r="AA257" s="2" t="str">
        <f t="shared" si="61"/>
        <v/>
      </c>
      <c r="AB257" s="2" t="str">
        <f t="shared" si="62"/>
        <v>(17 downto 16)</v>
      </c>
      <c r="AC257" s="2" t="str">
        <f t="shared" si="63"/>
        <v/>
      </c>
      <c r="AD257" s="2" t="str">
        <f t="shared" si="64"/>
        <v/>
      </c>
      <c r="AE257" s="2" t="str">
        <f t="shared" si="65"/>
        <v/>
      </c>
      <c r="AF257" s="2" t="str">
        <f t="shared" si="66"/>
        <v/>
      </c>
      <c r="AG257" s="2" t="str">
        <f t="shared" si="67"/>
        <v/>
      </c>
      <c r="AH257" s="2" t="str">
        <f t="shared" si="68"/>
        <v/>
      </c>
    </row>
    <row r="258" spans="2:34" x14ac:dyDescent="0.25">
      <c r="B258" s="2" t="s">
        <v>588</v>
      </c>
      <c r="C258" s="2" t="s">
        <v>591</v>
      </c>
      <c r="D258" s="2" t="s">
        <v>0</v>
      </c>
      <c r="E258" s="2" t="s">
        <v>130</v>
      </c>
      <c r="F258" s="2" t="s">
        <v>589</v>
      </c>
      <c r="G258" s="2" t="s">
        <v>590</v>
      </c>
      <c r="H258" s="2" t="s">
        <v>592</v>
      </c>
      <c r="I258" s="2" t="s">
        <v>41</v>
      </c>
      <c r="J258" s="2">
        <v>14</v>
      </c>
      <c r="K258" s="2" t="s">
        <v>132</v>
      </c>
      <c r="L258" s="2" t="s">
        <v>40</v>
      </c>
      <c r="M258" s="2" t="s">
        <v>5291</v>
      </c>
      <c r="N258" s="2" t="s">
        <v>5255</v>
      </c>
      <c r="O258" s="2" t="s">
        <v>5149</v>
      </c>
      <c r="P258" s="2" t="s">
        <v>49</v>
      </c>
      <c r="Q258" s="2">
        <f>INDEX(Tables!$C$4:$C$28,MATCH($P258,Tables!$B$4:$B$28,0))</f>
        <v>16</v>
      </c>
      <c r="R258" s="2">
        <f>INDEX(Tables!$D$4:$D$28,MATCH($P258,Tables!$B$4:$B$28,0))</f>
        <v>2</v>
      </c>
      <c r="S258" s="2">
        <f>$S257+$R257+INDEX(Tables!$N$5:$Q$8,MATCH(MOD($S257+$R257,4),Tables!$M$5:$M$8,0),MATCH($R258,Tables!$N$4:$Q$4,0))</f>
        <v>856</v>
      </c>
      <c r="T258" s="2" t="str">
        <f t="shared" si="54"/>
        <v>0358</v>
      </c>
      <c r="U258" s="2">
        <f t="shared" si="59"/>
        <v>214</v>
      </c>
      <c r="V258" s="2" t="str">
        <f t="shared" si="55"/>
        <v>0D6</v>
      </c>
      <c r="W258" s="2" t="str">
        <f t="shared" si="56"/>
        <v/>
      </c>
      <c r="X258" s="2" t="str">
        <f t="shared" si="60"/>
        <v/>
      </c>
      <c r="Y258" s="2" t="str">
        <f t="shared" si="57"/>
        <v>X</v>
      </c>
      <c r="Z258" s="2" t="str">
        <f t="shared" si="58"/>
        <v>X</v>
      </c>
      <c r="AA258" s="2" t="str">
        <f t="shared" si="61"/>
        <v/>
      </c>
      <c r="AB258" s="2" t="str">
        <f t="shared" si="62"/>
        <v/>
      </c>
      <c r="AC258" s="2" t="str">
        <f t="shared" si="63"/>
        <v>(13 downto 8)</v>
      </c>
      <c r="AD258" s="2" t="str">
        <f t="shared" si="64"/>
        <v>(7 downto 0)</v>
      </c>
      <c r="AE258" s="2" t="str">
        <f t="shared" si="65"/>
        <v/>
      </c>
      <c r="AF258" s="2" t="str">
        <f t="shared" si="66"/>
        <v/>
      </c>
      <c r="AG258" s="2" t="str">
        <f t="shared" si="67"/>
        <v>(13 downto 8)</v>
      </c>
      <c r="AH258" s="2" t="str">
        <f t="shared" si="68"/>
        <v>(7 downto 0)</v>
      </c>
    </row>
    <row r="259" spans="2:34" x14ac:dyDescent="0.25">
      <c r="B259" s="2" t="s">
        <v>588</v>
      </c>
      <c r="C259" s="2" t="s">
        <v>157</v>
      </c>
      <c r="D259" s="2" t="s">
        <v>0</v>
      </c>
      <c r="E259" s="2" t="s">
        <v>130</v>
      </c>
      <c r="F259" s="2" t="s">
        <v>589</v>
      </c>
      <c r="G259" s="2" t="s">
        <v>590</v>
      </c>
      <c r="H259" s="2" t="s">
        <v>158</v>
      </c>
      <c r="I259" s="2" t="s">
        <v>41</v>
      </c>
      <c r="J259" s="2">
        <v>2</v>
      </c>
      <c r="K259" s="2" t="s">
        <v>132</v>
      </c>
      <c r="L259" s="2" t="s">
        <v>40</v>
      </c>
      <c r="M259" s="2" t="s">
        <v>5291</v>
      </c>
      <c r="N259" s="2" t="s">
        <v>5255</v>
      </c>
      <c r="O259" s="2" t="s">
        <v>4981</v>
      </c>
      <c r="P259" s="2" t="s">
        <v>47</v>
      </c>
      <c r="Q259" s="2">
        <f>INDEX(Tables!$C$4:$C$28,MATCH($P259,Tables!$B$4:$B$28,0))</f>
        <v>8</v>
      </c>
      <c r="R259" s="2">
        <f>INDEX(Tables!$D$4:$D$28,MATCH($P259,Tables!$B$4:$B$28,0))</f>
        <v>1</v>
      </c>
      <c r="S259" s="2">
        <f>$S258+$R258+INDEX(Tables!$N$5:$Q$8,MATCH(MOD($S258+$R258,4),Tables!$M$5:$M$8,0),MATCH($R259,Tables!$N$4:$Q$4,0))</f>
        <v>858</v>
      </c>
      <c r="T259" s="2" t="str">
        <f t="shared" si="54"/>
        <v>035A</v>
      </c>
      <c r="U259" s="2">
        <f t="shared" si="59"/>
        <v>214</v>
      </c>
      <c r="V259" s="2" t="str">
        <f t="shared" si="55"/>
        <v>0D6</v>
      </c>
      <c r="W259" s="2" t="str">
        <f t="shared" si="56"/>
        <v/>
      </c>
      <c r="X259" s="2" t="str">
        <f t="shared" si="60"/>
        <v>X</v>
      </c>
      <c r="Y259" s="2" t="str">
        <f t="shared" si="57"/>
        <v/>
      </c>
      <c r="Z259" s="2" t="str">
        <f t="shared" si="58"/>
        <v/>
      </c>
      <c r="AA259" s="2" t="str">
        <f t="shared" si="61"/>
        <v/>
      </c>
      <c r="AB259" s="2" t="str">
        <f t="shared" si="62"/>
        <v>(17 downto 16)</v>
      </c>
      <c r="AC259" s="2" t="str">
        <f t="shared" si="63"/>
        <v/>
      </c>
      <c r="AD259" s="2" t="str">
        <f t="shared" si="64"/>
        <v/>
      </c>
      <c r="AE259" s="2" t="str">
        <f t="shared" si="65"/>
        <v/>
      </c>
      <c r="AF259" s="2" t="str">
        <f t="shared" si="66"/>
        <v/>
      </c>
      <c r="AG259" s="2" t="str">
        <f t="shared" si="67"/>
        <v/>
      </c>
      <c r="AH259" s="2" t="str">
        <f t="shared" si="68"/>
        <v/>
      </c>
    </row>
    <row r="260" spans="2:34" x14ac:dyDescent="0.25">
      <c r="B260" s="2" t="s">
        <v>588</v>
      </c>
      <c r="C260" s="2" t="s">
        <v>593</v>
      </c>
      <c r="D260" s="2" t="s">
        <v>0</v>
      </c>
      <c r="E260" s="2" t="s">
        <v>130</v>
      </c>
      <c r="F260" s="2" t="s">
        <v>589</v>
      </c>
      <c r="G260" s="2" t="s">
        <v>590</v>
      </c>
      <c r="H260" s="2" t="s">
        <v>594</v>
      </c>
      <c r="I260" s="2" t="s">
        <v>41</v>
      </c>
      <c r="J260" s="2">
        <v>14</v>
      </c>
      <c r="K260" s="2" t="s">
        <v>132</v>
      </c>
      <c r="L260" s="2" t="s">
        <v>40</v>
      </c>
      <c r="M260" s="2" t="s">
        <v>5291</v>
      </c>
      <c r="N260" s="2" t="s">
        <v>5255</v>
      </c>
      <c r="O260" s="2" t="s">
        <v>5150</v>
      </c>
      <c r="P260" s="2" t="s">
        <v>49</v>
      </c>
      <c r="Q260" s="2">
        <f>INDEX(Tables!$C$4:$C$28,MATCH($P260,Tables!$B$4:$B$28,0))</f>
        <v>16</v>
      </c>
      <c r="R260" s="2">
        <f>INDEX(Tables!$D$4:$D$28,MATCH($P260,Tables!$B$4:$B$28,0))</f>
        <v>2</v>
      </c>
      <c r="S260" s="2">
        <f>$S259+$R259+INDEX(Tables!$N$5:$Q$8,MATCH(MOD($S259+$R259,4),Tables!$M$5:$M$8,0),MATCH($R260,Tables!$N$4:$Q$4,0))</f>
        <v>860</v>
      </c>
      <c r="T260" s="2" t="str">
        <f t="shared" si="54"/>
        <v>035C</v>
      </c>
      <c r="U260" s="2">
        <f t="shared" si="59"/>
        <v>215</v>
      </c>
      <c r="V260" s="2" t="str">
        <f t="shared" si="55"/>
        <v>0D7</v>
      </c>
      <c r="W260" s="2" t="str">
        <f t="shared" si="56"/>
        <v/>
      </c>
      <c r="X260" s="2" t="str">
        <f t="shared" si="60"/>
        <v/>
      </c>
      <c r="Y260" s="2" t="str">
        <f t="shared" si="57"/>
        <v>X</v>
      </c>
      <c r="Z260" s="2" t="str">
        <f t="shared" si="58"/>
        <v>X</v>
      </c>
      <c r="AA260" s="2" t="str">
        <f t="shared" si="61"/>
        <v/>
      </c>
      <c r="AB260" s="2" t="str">
        <f t="shared" si="62"/>
        <v/>
      </c>
      <c r="AC260" s="2" t="str">
        <f t="shared" si="63"/>
        <v>(13 downto 8)</v>
      </c>
      <c r="AD260" s="2" t="str">
        <f t="shared" si="64"/>
        <v>(7 downto 0)</v>
      </c>
      <c r="AE260" s="2" t="str">
        <f t="shared" si="65"/>
        <v/>
      </c>
      <c r="AF260" s="2" t="str">
        <f t="shared" si="66"/>
        <v/>
      </c>
      <c r="AG260" s="2" t="str">
        <f t="shared" si="67"/>
        <v>(13 downto 8)</v>
      </c>
      <c r="AH260" s="2" t="str">
        <f t="shared" si="68"/>
        <v>(7 downto 0)</v>
      </c>
    </row>
    <row r="261" spans="2:34" x14ac:dyDescent="0.25">
      <c r="B261" s="2" t="s">
        <v>595</v>
      </c>
      <c r="C261" s="2" t="s">
        <v>146</v>
      </c>
      <c r="D261" s="2" t="s">
        <v>0</v>
      </c>
      <c r="E261" s="2" t="s">
        <v>130</v>
      </c>
      <c r="F261" s="2" t="s">
        <v>596</v>
      </c>
      <c r="G261" s="2" t="s">
        <v>597</v>
      </c>
      <c r="H261" s="2" t="s">
        <v>149</v>
      </c>
      <c r="I261" s="2" t="s">
        <v>41</v>
      </c>
      <c r="J261" s="2">
        <v>7</v>
      </c>
      <c r="K261" s="2" t="s">
        <v>132</v>
      </c>
      <c r="L261" s="2" t="s">
        <v>40</v>
      </c>
      <c r="M261" s="2" t="s">
        <v>5291</v>
      </c>
      <c r="N261" s="2" t="s">
        <v>5256</v>
      </c>
      <c r="O261" s="2" t="s">
        <v>4987</v>
      </c>
      <c r="P261" s="2" t="s">
        <v>47</v>
      </c>
      <c r="Q261" s="2">
        <f>INDEX(Tables!$C$4:$C$28,MATCH($P261,Tables!$B$4:$B$28,0))</f>
        <v>8</v>
      </c>
      <c r="R261" s="2">
        <f>INDEX(Tables!$D$4:$D$28,MATCH($P261,Tables!$B$4:$B$28,0))</f>
        <v>1</v>
      </c>
      <c r="S261" s="2">
        <f>$S260+$R260+INDEX(Tables!$N$5:$Q$8,MATCH(MOD($S260+$R260,4),Tables!$M$5:$M$8,0),MATCH($R261,Tables!$N$4:$Q$4,0))</f>
        <v>862</v>
      </c>
      <c r="T261" s="2" t="str">
        <f t="shared" ref="T261:T324" si="69">DEC2HEX($S261,4)</f>
        <v>035E</v>
      </c>
      <c r="U261" s="2">
        <f t="shared" si="59"/>
        <v>215</v>
      </c>
      <c r="V261" s="2" t="str">
        <f t="shared" ref="V261:V324" si="70">DEC2HEX($U261,3)</f>
        <v>0D7</v>
      </c>
      <c r="W261" s="2" t="str">
        <f t="shared" ref="W261:W324" si="71">IF(MOD($S261,4)=3,"X",IF(AND(MOD($S261,4)=2,$J261&gt;8),"X",IF(AND(MOD($S261,4)=1,$J261&gt;16),"X",IF(AND(MOD($S261,4)=0,$J261&gt;24),"X",""))))</f>
        <v/>
      </c>
      <c r="X261" s="2" t="str">
        <f t="shared" si="60"/>
        <v>X</v>
      </c>
      <c r="Y261" s="2" t="str">
        <f t="shared" ref="Y261:Y324" si="72">IF(MOD($S261,4)=1,"X",IF(AND(MOD($S261,4)=0,$J261&gt;8),"X",""))</f>
        <v/>
      </c>
      <c r="Z261" s="2" t="str">
        <f t="shared" ref="Z261:Z324" si="73">IF(MOD($S261,4)=0,"X","")</f>
        <v/>
      </c>
      <c r="AA261" s="2" t="str">
        <f t="shared" si="61"/>
        <v/>
      </c>
      <c r="AB261" s="2" t="str">
        <f t="shared" si="62"/>
        <v>(22 downto 16)</v>
      </c>
      <c r="AC261" s="2" t="str">
        <f t="shared" si="63"/>
        <v/>
      </c>
      <c r="AD261" s="2" t="str">
        <f t="shared" si="64"/>
        <v/>
      </c>
      <c r="AE261" s="2" t="str">
        <f t="shared" si="65"/>
        <v/>
      </c>
      <c r="AF261" s="2" t="str">
        <f t="shared" si="66"/>
        <v/>
      </c>
      <c r="AG261" s="2" t="str">
        <f t="shared" si="67"/>
        <v/>
      </c>
      <c r="AH261" s="2" t="str">
        <f t="shared" si="68"/>
        <v/>
      </c>
    </row>
    <row r="262" spans="2:34" x14ac:dyDescent="0.25">
      <c r="B262" s="2" t="s">
        <v>595</v>
      </c>
      <c r="C262" s="2" t="s">
        <v>598</v>
      </c>
      <c r="D262" s="2" t="s">
        <v>0</v>
      </c>
      <c r="E262" s="2" t="s">
        <v>130</v>
      </c>
      <c r="F262" s="2" t="s">
        <v>596</v>
      </c>
      <c r="G262" s="2" t="s">
        <v>597</v>
      </c>
      <c r="H262" s="2" t="s">
        <v>599</v>
      </c>
      <c r="I262" s="2" t="s">
        <v>41</v>
      </c>
      <c r="J262" s="2">
        <v>1</v>
      </c>
      <c r="K262" s="2" t="s">
        <v>81</v>
      </c>
      <c r="L262" s="2" t="s">
        <v>40</v>
      </c>
      <c r="M262" s="2" t="s">
        <v>5291</v>
      </c>
      <c r="N262" s="2" t="s">
        <v>5256</v>
      </c>
      <c r="O262" s="2" t="s">
        <v>5151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864</v>
      </c>
      <c r="T262" s="2" t="str">
        <f t="shared" si="69"/>
        <v>0360</v>
      </c>
      <c r="U262" s="2">
        <f t="shared" ref="U262:U325" si="74">ROUNDDOWN(S262/4,0)</f>
        <v>216</v>
      </c>
      <c r="V262" s="2" t="str">
        <f t="shared" si="70"/>
        <v>0D8</v>
      </c>
      <c r="W262" s="2" t="str">
        <f t="shared" si="71"/>
        <v/>
      </c>
      <c r="X262" s="2" t="str">
        <f t="shared" ref="X262:X325" si="75">IF(MOD($S262,4)=2,"X",IF(AND(MOD($S262,4)=1,$J262&gt;8),"X",IF(AND(MOD($S262,4)=0,$J262&gt;16),"X","")))</f>
        <v/>
      </c>
      <c r="Y262" s="2" t="str">
        <f t="shared" si="72"/>
        <v/>
      </c>
      <c r="Z262" s="2" t="str">
        <f t="shared" si="73"/>
        <v>X</v>
      </c>
      <c r="AA262" s="2" t="str">
        <f t="shared" ref="AA262:AA325" si="76">IF(W262="","",CONCATENATE("(",IF(($J262-COUNTIF($X262:$Z262,"X")*8)=1,"24)",CONCATENATE(IF(($J262-COUNTIF($X262:$Z262,"X")*8)&gt;=8,32,($J262-COUNTIF($X262:$Z262,"X")*8)+24)-1," downto 24)"))))</f>
        <v/>
      </c>
      <c r="AB262" s="2" t="str">
        <f t="shared" ref="AB262:AB325" si="77">IF(X262="","",CONCATENATE("(",IF(($J262-COUNTIF($Y262:$Z262,"X")*8)=1,"16)",CONCATENATE(IF(($J262-COUNTIF($Y262:$Z262,"X")*8)&gt;=8,24,($J262-COUNTIF($Y262:$Z262,"X")*8)+16)-1," downto 16)"))))</f>
        <v/>
      </c>
      <c r="AC262" s="2" t="str">
        <f t="shared" ref="AC262:AC325" si="78">IF(Y262="","",CONCATENATE("(",IF(($J262-COUNTIF($Z262,"X")*8)=1,"8)",CONCATENATE(IF(($J262-COUNTIF($Z262,"X")*8)&gt;=8,16,($J262-COUNTIF($Z262,"X")*8)+8)-1," downto 8)"))))</f>
        <v/>
      </c>
      <c r="AD262" s="2" t="str">
        <f t="shared" ref="AD262:AD325" si="79">IF(Z262="","",CONCATENATE("(",IF($J262=1,"0)",CONCATENATE(IF($J262&gt;=8,8,$J262)-1," downto 0)"))))</f>
        <v>(0)</v>
      </c>
      <c r="AE262" s="2" t="str">
        <f t="shared" ref="AE262:AE325" si="80">IF(W262="","",IF($J262&lt;=8,"",IF(($J262-COUNTIF($X262:$Z262,"X")*8)=1,CONCATENATE("(",($J262-1),")"),CONCATENATE("(",IF(($J262-COUNTIF($X262:$Z262,"X")*8)&gt;=8,COUNTIF($X262:$Z262,"X")*8+7,$J262-COUNTIF($X262:$Z262,"X")*8-1+COUNTIF($X262:$Z262,"X")*8)," downto ",COUNTIF($X262:$Z262,"X")*8,")"))))</f>
        <v/>
      </c>
      <c r="AF262" s="2" t="str">
        <f t="shared" ref="AF262:AF325" si="81">IF(X262="","",IF($J262&lt;=8,"",IF(($J262-COUNTIF($Y262:$Z262,"X")*8)=1,CONCATENATE("(",($J262-1),")"),CONCATENATE("(",IF(($J262-COUNTIF($Y262:$Z262,"X")*8)&gt;=8,COUNTIF($Y262:$Z262,"X")*8+7,$J262-COUNTIF($Y262:$Z262,"X")*8-1+COUNTIF($Y262:$Z262,"X")*8)," downto ",COUNTIF($Y262:$Z262,"X")*8,")"))))</f>
        <v/>
      </c>
      <c r="AG262" s="2" t="str">
        <f t="shared" ref="AG262:AG325" si="82">IF(Y262="","",IF($J262&lt;=8,"",IF(($J262-COUNTIF($Z262,"X")*8)=1,CONCATENATE("(",($J262-1),")"),CONCATENATE("(",IF(($J262-COUNTIF($Z262,"X")*8)&gt;=8,COUNTIF($Z262,"X")*8+7,$J262-COUNTIF($Z262,"X")*8-1+COUNTIF($Z262,"X")*8)," downto ",COUNTIF($Z262,"X")*8,")"))))</f>
        <v/>
      </c>
      <c r="AH262" s="2" t="str">
        <f t="shared" ref="AH262:AH325" si="83">IF(Z262="","",IF($J262&lt;=8,"",CONCATENATE("(",IF($J262&gt;=8,7,$J262-1)," downto ",0,")")))</f>
        <v/>
      </c>
    </row>
    <row r="263" spans="2:34" x14ac:dyDescent="0.25">
      <c r="B263" s="2" t="s">
        <v>595</v>
      </c>
      <c r="C263" s="2" t="s">
        <v>157</v>
      </c>
      <c r="D263" s="2" t="s">
        <v>0</v>
      </c>
      <c r="E263" s="2" t="s">
        <v>130</v>
      </c>
      <c r="F263" s="2" t="s">
        <v>596</v>
      </c>
      <c r="G263" s="2" t="s">
        <v>597</v>
      </c>
      <c r="H263" s="2" t="s">
        <v>158</v>
      </c>
      <c r="I263" s="2" t="s">
        <v>41</v>
      </c>
      <c r="J263" s="2">
        <v>7</v>
      </c>
      <c r="K263" s="2" t="s">
        <v>132</v>
      </c>
      <c r="L263" s="2" t="s">
        <v>40</v>
      </c>
      <c r="M263" s="2" t="s">
        <v>5291</v>
      </c>
      <c r="N263" s="2" t="s">
        <v>5256</v>
      </c>
      <c r="O263" s="2" t="s">
        <v>4981</v>
      </c>
      <c r="P263" s="2" t="s">
        <v>47</v>
      </c>
      <c r="Q263" s="2">
        <f>INDEX(Tables!$C$4:$C$28,MATCH($P263,Tables!$B$4:$B$28,0))</f>
        <v>8</v>
      </c>
      <c r="R263" s="2">
        <f>INDEX(Tables!$D$4:$D$28,MATCH($P263,Tables!$B$4:$B$28,0))</f>
        <v>1</v>
      </c>
      <c r="S263" s="2">
        <f>$S262+$R262+INDEX(Tables!$N$5:$Q$8,MATCH(MOD($S262+$R262,4),Tables!$M$5:$M$8,0),MATCH($R263,Tables!$N$4:$Q$4,0))</f>
        <v>868</v>
      </c>
      <c r="T263" s="2" t="str">
        <f t="shared" si="69"/>
        <v>0364</v>
      </c>
      <c r="U263" s="2">
        <f t="shared" si="74"/>
        <v>217</v>
      </c>
      <c r="V263" s="2" t="str">
        <f t="shared" si="70"/>
        <v>0D9</v>
      </c>
      <c r="W263" s="2" t="str">
        <f t="shared" si="71"/>
        <v/>
      </c>
      <c r="X263" s="2" t="str">
        <f t="shared" si="75"/>
        <v/>
      </c>
      <c r="Y263" s="2" t="str">
        <f t="shared" si="72"/>
        <v/>
      </c>
      <c r="Z263" s="2" t="str">
        <f t="shared" si="73"/>
        <v>X</v>
      </c>
      <c r="AA263" s="2" t="str">
        <f t="shared" si="76"/>
        <v/>
      </c>
      <c r="AB263" s="2" t="str">
        <f t="shared" si="77"/>
        <v/>
      </c>
      <c r="AC263" s="2" t="str">
        <f t="shared" si="78"/>
        <v/>
      </c>
      <c r="AD263" s="2" t="str">
        <f t="shared" si="79"/>
        <v>(6 downto 0)</v>
      </c>
      <c r="AE263" s="2" t="str">
        <f t="shared" si="80"/>
        <v/>
      </c>
      <c r="AF263" s="2" t="str">
        <f t="shared" si="81"/>
        <v/>
      </c>
      <c r="AG263" s="2" t="str">
        <f t="shared" si="82"/>
        <v/>
      </c>
      <c r="AH263" s="2" t="str">
        <f t="shared" si="83"/>
        <v/>
      </c>
    </row>
    <row r="264" spans="2:34" x14ac:dyDescent="0.25">
      <c r="B264" s="2" t="s">
        <v>595</v>
      </c>
      <c r="C264" s="2" t="s">
        <v>600</v>
      </c>
      <c r="D264" s="2" t="s">
        <v>0</v>
      </c>
      <c r="E264" s="2" t="s">
        <v>130</v>
      </c>
      <c r="F264" s="2" t="s">
        <v>596</v>
      </c>
      <c r="G264" s="2" t="s">
        <v>597</v>
      </c>
      <c r="H264" s="2" t="s">
        <v>601</v>
      </c>
      <c r="I264" s="2" t="s">
        <v>41</v>
      </c>
      <c r="J264" s="2">
        <v>1</v>
      </c>
      <c r="K264" s="2" t="s">
        <v>81</v>
      </c>
      <c r="L264" s="2" t="s">
        <v>40</v>
      </c>
      <c r="M264" s="2" t="s">
        <v>5291</v>
      </c>
      <c r="N264" s="2" t="s">
        <v>5256</v>
      </c>
      <c r="O264" s="2" t="s">
        <v>5152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872</v>
      </c>
      <c r="T264" s="2" t="str">
        <f t="shared" si="69"/>
        <v>0368</v>
      </c>
      <c r="U264" s="2">
        <f t="shared" si="74"/>
        <v>218</v>
      </c>
      <c r="V264" s="2" t="str">
        <f t="shared" si="70"/>
        <v>0DA</v>
      </c>
      <c r="W264" s="2" t="str">
        <f t="shared" si="71"/>
        <v/>
      </c>
      <c r="X264" s="2" t="str">
        <f t="shared" si="75"/>
        <v/>
      </c>
      <c r="Y264" s="2" t="str">
        <f t="shared" si="72"/>
        <v/>
      </c>
      <c r="Z264" s="2" t="str">
        <f t="shared" si="73"/>
        <v>X</v>
      </c>
      <c r="AA264" s="2" t="str">
        <f t="shared" si="76"/>
        <v/>
      </c>
      <c r="AB264" s="2" t="str">
        <f t="shared" si="77"/>
        <v/>
      </c>
      <c r="AC264" s="2" t="str">
        <f t="shared" si="78"/>
        <v/>
      </c>
      <c r="AD264" s="2" t="str">
        <f t="shared" si="79"/>
        <v>(0)</v>
      </c>
      <c r="AE264" s="2" t="str">
        <f t="shared" si="80"/>
        <v/>
      </c>
      <c r="AF264" s="2" t="str">
        <f t="shared" si="81"/>
        <v/>
      </c>
      <c r="AG264" s="2" t="str">
        <f t="shared" si="82"/>
        <v/>
      </c>
      <c r="AH264" s="2" t="str">
        <f t="shared" si="83"/>
        <v/>
      </c>
    </row>
    <row r="265" spans="2:34" x14ac:dyDescent="0.25">
      <c r="B265" s="2" t="s">
        <v>595</v>
      </c>
      <c r="C265" s="2" t="s">
        <v>167</v>
      </c>
      <c r="D265" s="2" t="s">
        <v>0</v>
      </c>
      <c r="E265" s="2" t="s">
        <v>130</v>
      </c>
      <c r="F265" s="2" t="s">
        <v>596</v>
      </c>
      <c r="G265" s="2" t="s">
        <v>597</v>
      </c>
      <c r="H265" s="2" t="s">
        <v>168</v>
      </c>
      <c r="I265" s="2" t="s">
        <v>41</v>
      </c>
      <c r="J265" s="2">
        <v>16</v>
      </c>
      <c r="K265" s="2" t="s">
        <v>132</v>
      </c>
      <c r="L265" s="2" t="s">
        <v>40</v>
      </c>
      <c r="M265" s="2" t="s">
        <v>5291</v>
      </c>
      <c r="N265" s="2" t="s">
        <v>5256</v>
      </c>
      <c r="O265" s="2" t="s">
        <v>4986</v>
      </c>
      <c r="P265" s="2" t="s">
        <v>49</v>
      </c>
      <c r="Q265" s="2">
        <f>INDEX(Tables!$C$4:$C$28,MATCH($P265,Tables!$B$4:$B$28,0))</f>
        <v>16</v>
      </c>
      <c r="R265" s="2">
        <f>INDEX(Tables!$D$4:$D$28,MATCH($P265,Tables!$B$4:$B$28,0))</f>
        <v>2</v>
      </c>
      <c r="S265" s="2">
        <f>$S264+$R264+INDEX(Tables!$N$5:$Q$8,MATCH(MOD($S264+$R264,4),Tables!$M$5:$M$8,0),MATCH($R265,Tables!$N$4:$Q$4,0))</f>
        <v>876</v>
      </c>
      <c r="T265" s="2" t="str">
        <f t="shared" si="69"/>
        <v>036C</v>
      </c>
      <c r="U265" s="2">
        <f t="shared" si="74"/>
        <v>219</v>
      </c>
      <c r="V265" s="2" t="str">
        <f t="shared" si="70"/>
        <v>0DB</v>
      </c>
      <c r="W265" s="2" t="str">
        <f t="shared" si="71"/>
        <v/>
      </c>
      <c r="X265" s="2" t="str">
        <f t="shared" si="75"/>
        <v/>
      </c>
      <c r="Y265" s="2" t="str">
        <f t="shared" si="72"/>
        <v>X</v>
      </c>
      <c r="Z265" s="2" t="str">
        <f t="shared" si="73"/>
        <v>X</v>
      </c>
      <c r="AA265" s="2" t="str">
        <f t="shared" si="76"/>
        <v/>
      </c>
      <c r="AB265" s="2" t="str">
        <f t="shared" si="77"/>
        <v/>
      </c>
      <c r="AC265" s="2" t="str">
        <f t="shared" si="78"/>
        <v>(15 downto 8)</v>
      </c>
      <c r="AD265" s="2" t="str">
        <f t="shared" si="79"/>
        <v>(7 downto 0)</v>
      </c>
      <c r="AE265" s="2" t="str">
        <f t="shared" si="80"/>
        <v/>
      </c>
      <c r="AF265" s="2" t="str">
        <f t="shared" si="81"/>
        <v/>
      </c>
      <c r="AG265" s="2" t="str">
        <f t="shared" si="82"/>
        <v>(15 downto 8)</v>
      </c>
      <c r="AH265" s="2" t="str">
        <f t="shared" si="83"/>
        <v>(7 downto 0)</v>
      </c>
    </row>
    <row r="266" spans="2:34" x14ac:dyDescent="0.25">
      <c r="B266" s="2" t="s">
        <v>602</v>
      </c>
      <c r="C266" s="2" t="s">
        <v>603</v>
      </c>
      <c r="D266" s="2" t="s">
        <v>0</v>
      </c>
      <c r="E266" s="2" t="s">
        <v>130</v>
      </c>
      <c r="F266" s="2" t="s">
        <v>604</v>
      </c>
      <c r="G266" s="2" t="s">
        <v>605</v>
      </c>
      <c r="H266" s="2" t="s">
        <v>606</v>
      </c>
      <c r="I266" s="2" t="s">
        <v>41</v>
      </c>
      <c r="J266" s="2">
        <v>4</v>
      </c>
      <c r="K266" s="2" t="s">
        <v>132</v>
      </c>
      <c r="L266" s="2" t="s">
        <v>40</v>
      </c>
      <c r="M266" s="2" t="s">
        <v>5292</v>
      </c>
      <c r="N266" s="2" t="s">
        <v>5257</v>
      </c>
      <c r="O266" s="2" t="s">
        <v>5153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f>$S265+$R265+INDEX(Tables!$N$5:$Q$8,MATCH(MOD($S265+$R265,4),Tables!$M$5:$M$8,0),MATCH($R266,Tables!$N$4:$Q$4,0))</f>
        <v>878</v>
      </c>
      <c r="T266" s="2" t="str">
        <f t="shared" si="69"/>
        <v>036E</v>
      </c>
      <c r="U266" s="2">
        <f t="shared" si="74"/>
        <v>219</v>
      </c>
      <c r="V266" s="2" t="str">
        <f t="shared" si="70"/>
        <v>0DB</v>
      </c>
      <c r="W266" s="2" t="str">
        <f t="shared" si="71"/>
        <v/>
      </c>
      <c r="X266" s="2" t="str">
        <f t="shared" si="75"/>
        <v>X</v>
      </c>
      <c r="Y266" s="2" t="str">
        <f t="shared" si="72"/>
        <v/>
      </c>
      <c r="Z266" s="2" t="str">
        <f t="shared" si="73"/>
        <v/>
      </c>
      <c r="AA266" s="2" t="str">
        <f t="shared" si="76"/>
        <v/>
      </c>
      <c r="AB266" s="2" t="str">
        <f t="shared" si="77"/>
        <v>(19 downto 16)</v>
      </c>
      <c r="AC266" s="2" t="str">
        <f t="shared" si="78"/>
        <v/>
      </c>
      <c r="AD266" s="2" t="str">
        <f t="shared" si="79"/>
        <v/>
      </c>
      <c r="AE266" s="2" t="str">
        <f t="shared" si="80"/>
        <v/>
      </c>
      <c r="AF266" s="2" t="str">
        <f t="shared" si="81"/>
        <v/>
      </c>
      <c r="AG266" s="2" t="str">
        <f t="shared" si="82"/>
        <v/>
      </c>
      <c r="AH266" s="2" t="str">
        <f t="shared" si="83"/>
        <v/>
      </c>
    </row>
    <row r="267" spans="2:34" x14ac:dyDescent="0.25">
      <c r="B267" s="2" t="s">
        <v>602</v>
      </c>
      <c r="C267" s="2" t="s">
        <v>607</v>
      </c>
      <c r="D267" s="2" t="s">
        <v>0</v>
      </c>
      <c r="E267" s="2" t="s">
        <v>130</v>
      </c>
      <c r="F267" s="2" t="s">
        <v>604</v>
      </c>
      <c r="G267" s="2" t="s">
        <v>605</v>
      </c>
      <c r="H267" s="2" t="s">
        <v>608</v>
      </c>
      <c r="I267" s="2" t="s">
        <v>41</v>
      </c>
      <c r="J267" s="2">
        <v>1</v>
      </c>
      <c r="K267" s="2" t="s">
        <v>81</v>
      </c>
      <c r="L267" s="2" t="s">
        <v>40</v>
      </c>
      <c r="M267" s="2" t="s">
        <v>5292</v>
      </c>
      <c r="N267" s="2" t="s">
        <v>5257</v>
      </c>
      <c r="O267" s="2" t="s">
        <v>5154</v>
      </c>
      <c r="P267" s="2" t="s">
        <v>4</v>
      </c>
      <c r="Q267" s="2">
        <f>INDEX(Tables!$C$4:$C$28,MATCH($P267,Tables!$B$4:$B$28,0))</f>
        <v>32</v>
      </c>
      <c r="R267" s="2">
        <f>INDEX(Tables!$D$4:$D$28,MATCH($P267,Tables!$B$4:$B$28,0))</f>
        <v>4</v>
      </c>
      <c r="S267" s="2">
        <f>$S266+$R266+INDEX(Tables!$N$5:$Q$8,MATCH(MOD($S266+$R266,4),Tables!$M$5:$M$8,0),MATCH($R267,Tables!$N$4:$Q$4,0))</f>
        <v>880</v>
      </c>
      <c r="T267" s="2" t="str">
        <f t="shared" si="69"/>
        <v>0370</v>
      </c>
      <c r="U267" s="2">
        <f t="shared" si="74"/>
        <v>220</v>
      </c>
      <c r="V267" s="2" t="str">
        <f t="shared" si="70"/>
        <v>0DC</v>
      </c>
      <c r="W267" s="2" t="str">
        <f t="shared" si="71"/>
        <v/>
      </c>
      <c r="X267" s="2" t="str">
        <f t="shared" si="75"/>
        <v/>
      </c>
      <c r="Y267" s="2" t="str">
        <f t="shared" si="72"/>
        <v/>
      </c>
      <c r="Z267" s="2" t="str">
        <f t="shared" si="73"/>
        <v>X</v>
      </c>
      <c r="AA267" s="2" t="str">
        <f t="shared" si="76"/>
        <v/>
      </c>
      <c r="AB267" s="2" t="str">
        <f t="shared" si="77"/>
        <v/>
      </c>
      <c r="AC267" s="2" t="str">
        <f t="shared" si="78"/>
        <v/>
      </c>
      <c r="AD267" s="2" t="str">
        <f t="shared" si="79"/>
        <v>(0)</v>
      </c>
      <c r="AE267" s="2" t="str">
        <f t="shared" si="80"/>
        <v/>
      </c>
      <c r="AF267" s="2" t="str">
        <f t="shared" si="81"/>
        <v/>
      </c>
      <c r="AG267" s="2" t="str">
        <f t="shared" si="82"/>
        <v/>
      </c>
      <c r="AH267" s="2" t="str">
        <f t="shared" si="83"/>
        <v/>
      </c>
    </row>
    <row r="268" spans="2:34" x14ac:dyDescent="0.25">
      <c r="B268" s="2" t="s">
        <v>602</v>
      </c>
      <c r="C268" s="2" t="s">
        <v>609</v>
      </c>
      <c r="D268" s="2" t="s">
        <v>0</v>
      </c>
      <c r="E268" s="2" t="s">
        <v>130</v>
      </c>
      <c r="F268" s="2" t="s">
        <v>604</v>
      </c>
      <c r="G268" s="2" t="s">
        <v>605</v>
      </c>
      <c r="H268" s="2" t="s">
        <v>610</v>
      </c>
      <c r="I268" s="2" t="s">
        <v>41</v>
      </c>
      <c r="J268" s="2">
        <v>1</v>
      </c>
      <c r="K268" s="2" t="s">
        <v>81</v>
      </c>
      <c r="L268" s="2" t="s">
        <v>40</v>
      </c>
      <c r="M268" s="2" t="s">
        <v>5292</v>
      </c>
      <c r="N268" s="2" t="s">
        <v>5257</v>
      </c>
      <c r="O268" s="2" t="s">
        <v>5155</v>
      </c>
      <c r="P268" s="2" t="s">
        <v>4</v>
      </c>
      <c r="Q268" s="2">
        <f>INDEX(Tables!$C$4:$C$28,MATCH($P268,Tables!$B$4:$B$28,0))</f>
        <v>32</v>
      </c>
      <c r="R268" s="2">
        <f>INDEX(Tables!$D$4:$D$28,MATCH($P268,Tables!$B$4:$B$28,0))</f>
        <v>4</v>
      </c>
      <c r="S268" s="2">
        <f>$S267+$R267+INDEX(Tables!$N$5:$Q$8,MATCH(MOD($S267+$R267,4),Tables!$M$5:$M$8,0),MATCH($R268,Tables!$N$4:$Q$4,0))</f>
        <v>884</v>
      </c>
      <c r="T268" s="2" t="str">
        <f t="shared" si="69"/>
        <v>0374</v>
      </c>
      <c r="U268" s="2">
        <f t="shared" si="74"/>
        <v>221</v>
      </c>
      <c r="V268" s="2" t="str">
        <f t="shared" si="70"/>
        <v>0DD</v>
      </c>
      <c r="W268" s="2" t="str">
        <f t="shared" si="71"/>
        <v/>
      </c>
      <c r="X268" s="2" t="str">
        <f t="shared" si="75"/>
        <v/>
      </c>
      <c r="Y268" s="2" t="str">
        <f t="shared" si="72"/>
        <v/>
      </c>
      <c r="Z268" s="2" t="str">
        <f t="shared" si="73"/>
        <v>X</v>
      </c>
      <c r="AA268" s="2" t="str">
        <f t="shared" si="76"/>
        <v/>
      </c>
      <c r="AB268" s="2" t="str">
        <f t="shared" si="77"/>
        <v/>
      </c>
      <c r="AC268" s="2" t="str">
        <f t="shared" si="78"/>
        <v/>
      </c>
      <c r="AD268" s="2" t="str">
        <f t="shared" si="79"/>
        <v>(0)</v>
      </c>
      <c r="AE268" s="2" t="str">
        <f t="shared" si="80"/>
        <v/>
      </c>
      <c r="AF268" s="2" t="str">
        <f t="shared" si="81"/>
        <v/>
      </c>
      <c r="AG268" s="2" t="str">
        <f t="shared" si="82"/>
        <v/>
      </c>
      <c r="AH268" s="2" t="str">
        <f t="shared" si="83"/>
        <v/>
      </c>
    </row>
    <row r="269" spans="2:34" x14ac:dyDescent="0.25">
      <c r="B269" s="2" t="s">
        <v>602</v>
      </c>
      <c r="C269" s="2" t="s">
        <v>611</v>
      </c>
      <c r="D269" s="2" t="s">
        <v>0</v>
      </c>
      <c r="E269" s="2" t="s">
        <v>130</v>
      </c>
      <c r="F269" s="2" t="s">
        <v>604</v>
      </c>
      <c r="G269" s="2" t="s">
        <v>605</v>
      </c>
      <c r="H269" s="2" t="s">
        <v>612</v>
      </c>
      <c r="I269" s="2" t="s">
        <v>41</v>
      </c>
      <c r="J269" s="2">
        <v>1</v>
      </c>
      <c r="K269" s="2" t="s">
        <v>81</v>
      </c>
      <c r="L269" s="2" t="s">
        <v>40</v>
      </c>
      <c r="M269" s="2" t="s">
        <v>5292</v>
      </c>
      <c r="N269" s="2" t="s">
        <v>5257</v>
      </c>
      <c r="O269" s="2" t="s">
        <v>5156</v>
      </c>
      <c r="P269" s="2" t="s">
        <v>4</v>
      </c>
      <c r="Q269" s="2">
        <f>INDEX(Tables!$C$4:$C$28,MATCH($P269,Tables!$B$4:$B$28,0))</f>
        <v>32</v>
      </c>
      <c r="R269" s="2">
        <f>INDEX(Tables!$D$4:$D$28,MATCH($P269,Tables!$B$4:$B$28,0))</f>
        <v>4</v>
      </c>
      <c r="S269" s="2">
        <f>$S268+$R268+INDEX(Tables!$N$5:$Q$8,MATCH(MOD($S268+$R268,4),Tables!$M$5:$M$8,0),MATCH($R269,Tables!$N$4:$Q$4,0))</f>
        <v>888</v>
      </c>
      <c r="T269" s="2" t="str">
        <f t="shared" si="69"/>
        <v>0378</v>
      </c>
      <c r="U269" s="2">
        <f t="shared" si="74"/>
        <v>222</v>
      </c>
      <c r="V269" s="2" t="str">
        <f t="shared" si="70"/>
        <v>0DE</v>
      </c>
      <c r="W269" s="2" t="str">
        <f t="shared" si="71"/>
        <v/>
      </c>
      <c r="X269" s="2" t="str">
        <f t="shared" si="75"/>
        <v/>
      </c>
      <c r="Y269" s="2" t="str">
        <f t="shared" si="72"/>
        <v/>
      </c>
      <c r="Z269" s="2" t="str">
        <f t="shared" si="73"/>
        <v>X</v>
      </c>
      <c r="AA269" s="2" t="str">
        <f t="shared" si="76"/>
        <v/>
      </c>
      <c r="AB269" s="2" t="str">
        <f t="shared" si="77"/>
        <v/>
      </c>
      <c r="AC269" s="2" t="str">
        <f t="shared" si="78"/>
        <v/>
      </c>
      <c r="AD269" s="2" t="str">
        <f t="shared" si="79"/>
        <v>(0)</v>
      </c>
      <c r="AE269" s="2" t="str">
        <f t="shared" si="80"/>
        <v/>
      </c>
      <c r="AF269" s="2" t="str">
        <f t="shared" si="81"/>
        <v/>
      </c>
      <c r="AG269" s="2" t="str">
        <f t="shared" si="82"/>
        <v/>
      </c>
      <c r="AH269" s="2" t="str">
        <f t="shared" si="83"/>
        <v/>
      </c>
    </row>
    <row r="270" spans="2:34" x14ac:dyDescent="0.25">
      <c r="B270" s="2" t="s">
        <v>602</v>
      </c>
      <c r="C270" s="2" t="s">
        <v>613</v>
      </c>
      <c r="D270" s="2" t="s">
        <v>0</v>
      </c>
      <c r="E270" s="2" t="s">
        <v>130</v>
      </c>
      <c r="F270" s="2" t="s">
        <v>604</v>
      </c>
      <c r="G270" s="2" t="s">
        <v>605</v>
      </c>
      <c r="H270" s="2" t="s">
        <v>614</v>
      </c>
      <c r="I270" s="2" t="s">
        <v>41</v>
      </c>
      <c r="J270" s="2">
        <v>1</v>
      </c>
      <c r="K270" s="2" t="s">
        <v>81</v>
      </c>
      <c r="L270" s="2" t="s">
        <v>40</v>
      </c>
      <c r="M270" s="2" t="s">
        <v>5292</v>
      </c>
      <c r="N270" s="2" t="s">
        <v>5257</v>
      </c>
      <c r="O270" s="2" t="s">
        <v>5157</v>
      </c>
      <c r="P270" s="2" t="s">
        <v>4</v>
      </c>
      <c r="Q270" s="2">
        <f>INDEX(Tables!$C$4:$C$28,MATCH($P270,Tables!$B$4:$B$28,0))</f>
        <v>32</v>
      </c>
      <c r="R270" s="2">
        <f>INDEX(Tables!$D$4:$D$28,MATCH($P270,Tables!$B$4:$B$28,0))</f>
        <v>4</v>
      </c>
      <c r="S270" s="2">
        <f>$S269+$R269+INDEX(Tables!$N$5:$Q$8,MATCH(MOD($S269+$R269,4),Tables!$M$5:$M$8,0),MATCH($R270,Tables!$N$4:$Q$4,0))</f>
        <v>892</v>
      </c>
      <c r="T270" s="2" t="str">
        <f t="shared" si="69"/>
        <v>037C</v>
      </c>
      <c r="U270" s="2">
        <f t="shared" si="74"/>
        <v>223</v>
      </c>
      <c r="V270" s="2" t="str">
        <f t="shared" si="70"/>
        <v>0DF</v>
      </c>
      <c r="W270" s="2" t="str">
        <f t="shared" si="71"/>
        <v/>
      </c>
      <c r="X270" s="2" t="str">
        <f t="shared" si="75"/>
        <v/>
      </c>
      <c r="Y270" s="2" t="str">
        <f t="shared" si="72"/>
        <v/>
      </c>
      <c r="Z270" s="2" t="str">
        <f t="shared" si="73"/>
        <v>X</v>
      </c>
      <c r="AA270" s="2" t="str">
        <f t="shared" si="76"/>
        <v/>
      </c>
      <c r="AB270" s="2" t="str">
        <f t="shared" si="77"/>
        <v/>
      </c>
      <c r="AC270" s="2" t="str">
        <f t="shared" si="78"/>
        <v/>
      </c>
      <c r="AD270" s="2" t="str">
        <f t="shared" si="79"/>
        <v>(0)</v>
      </c>
      <c r="AE270" s="2" t="str">
        <f t="shared" si="80"/>
        <v/>
      </c>
      <c r="AF270" s="2" t="str">
        <f t="shared" si="81"/>
        <v/>
      </c>
      <c r="AG270" s="2" t="str">
        <f t="shared" si="82"/>
        <v/>
      </c>
      <c r="AH270" s="2" t="str">
        <f t="shared" si="83"/>
        <v/>
      </c>
    </row>
    <row r="271" spans="2:34" x14ac:dyDescent="0.25">
      <c r="B271" s="2" t="s">
        <v>602</v>
      </c>
      <c r="C271" s="2" t="s">
        <v>615</v>
      </c>
      <c r="D271" s="2" t="s">
        <v>0</v>
      </c>
      <c r="E271" s="2" t="s">
        <v>130</v>
      </c>
      <c r="F271" s="2" t="s">
        <v>604</v>
      </c>
      <c r="G271" s="2" t="s">
        <v>605</v>
      </c>
      <c r="H271" s="2" t="s">
        <v>616</v>
      </c>
      <c r="I271" s="2" t="s">
        <v>41</v>
      </c>
      <c r="J271" s="2">
        <v>1</v>
      </c>
      <c r="K271" s="2" t="s">
        <v>81</v>
      </c>
      <c r="L271" s="2" t="s">
        <v>40</v>
      </c>
      <c r="M271" s="2" t="s">
        <v>5292</v>
      </c>
      <c r="N271" s="2" t="s">
        <v>5257</v>
      </c>
      <c r="O271" s="2" t="s">
        <v>5158</v>
      </c>
      <c r="P271" s="2" t="s">
        <v>4</v>
      </c>
      <c r="Q271" s="2">
        <f>INDEX(Tables!$C$4:$C$28,MATCH($P271,Tables!$B$4:$B$28,0))</f>
        <v>32</v>
      </c>
      <c r="R271" s="2">
        <f>INDEX(Tables!$D$4:$D$28,MATCH($P271,Tables!$B$4:$B$28,0))</f>
        <v>4</v>
      </c>
      <c r="S271" s="2">
        <f>$S270+$R270+INDEX(Tables!$N$5:$Q$8,MATCH(MOD($S270+$R270,4),Tables!$M$5:$M$8,0),MATCH($R271,Tables!$N$4:$Q$4,0))</f>
        <v>896</v>
      </c>
      <c r="T271" s="2" t="str">
        <f t="shared" si="69"/>
        <v>0380</v>
      </c>
      <c r="U271" s="2">
        <f t="shared" si="74"/>
        <v>224</v>
      </c>
      <c r="V271" s="2" t="str">
        <f t="shared" si="70"/>
        <v>0E0</v>
      </c>
      <c r="W271" s="2" t="str">
        <f t="shared" si="71"/>
        <v/>
      </c>
      <c r="X271" s="2" t="str">
        <f t="shared" si="75"/>
        <v/>
      </c>
      <c r="Y271" s="2" t="str">
        <f t="shared" si="72"/>
        <v/>
      </c>
      <c r="Z271" s="2" t="str">
        <f t="shared" si="73"/>
        <v>X</v>
      </c>
      <c r="AA271" s="2" t="str">
        <f t="shared" si="76"/>
        <v/>
      </c>
      <c r="AB271" s="2" t="str">
        <f t="shared" si="77"/>
        <v/>
      </c>
      <c r="AC271" s="2" t="str">
        <f t="shared" si="78"/>
        <v/>
      </c>
      <c r="AD271" s="2" t="str">
        <f t="shared" si="79"/>
        <v>(0)</v>
      </c>
      <c r="AE271" s="2" t="str">
        <f t="shared" si="80"/>
        <v/>
      </c>
      <c r="AF271" s="2" t="str">
        <f t="shared" si="81"/>
        <v/>
      </c>
      <c r="AG271" s="2" t="str">
        <f t="shared" si="82"/>
        <v/>
      </c>
      <c r="AH271" s="2" t="str">
        <f t="shared" si="83"/>
        <v/>
      </c>
    </row>
    <row r="272" spans="2:34" x14ac:dyDescent="0.25">
      <c r="B272" s="2" t="s">
        <v>602</v>
      </c>
      <c r="C272" s="2" t="s">
        <v>617</v>
      </c>
      <c r="D272" s="2" t="s">
        <v>0</v>
      </c>
      <c r="E272" s="2" t="s">
        <v>130</v>
      </c>
      <c r="F272" s="2" t="s">
        <v>604</v>
      </c>
      <c r="G272" s="2" t="s">
        <v>605</v>
      </c>
      <c r="H272" s="2" t="s">
        <v>618</v>
      </c>
      <c r="I272" s="2" t="s">
        <v>41</v>
      </c>
      <c r="J272" s="2">
        <v>1</v>
      </c>
      <c r="K272" s="2" t="s">
        <v>81</v>
      </c>
      <c r="L272" s="2" t="s">
        <v>40</v>
      </c>
      <c r="M272" s="2" t="s">
        <v>5292</v>
      </c>
      <c r="N272" s="2" t="s">
        <v>5257</v>
      </c>
      <c r="O272" s="2" t="s">
        <v>5159</v>
      </c>
      <c r="P272" s="2" t="s">
        <v>4</v>
      </c>
      <c r="Q272" s="2">
        <f>INDEX(Tables!$C$4:$C$28,MATCH($P272,Tables!$B$4:$B$28,0))</f>
        <v>32</v>
      </c>
      <c r="R272" s="2">
        <f>INDEX(Tables!$D$4:$D$28,MATCH($P272,Tables!$B$4:$B$28,0))</f>
        <v>4</v>
      </c>
      <c r="S272" s="2">
        <f>$S271+$R271+INDEX(Tables!$N$5:$Q$8,MATCH(MOD($S271+$R271,4),Tables!$M$5:$M$8,0),MATCH($R272,Tables!$N$4:$Q$4,0))</f>
        <v>900</v>
      </c>
      <c r="T272" s="2" t="str">
        <f t="shared" si="69"/>
        <v>0384</v>
      </c>
      <c r="U272" s="2">
        <f t="shared" si="74"/>
        <v>225</v>
      </c>
      <c r="V272" s="2" t="str">
        <f t="shared" si="70"/>
        <v>0E1</v>
      </c>
      <c r="W272" s="2" t="str">
        <f t="shared" si="71"/>
        <v/>
      </c>
      <c r="X272" s="2" t="str">
        <f t="shared" si="75"/>
        <v/>
      </c>
      <c r="Y272" s="2" t="str">
        <f t="shared" si="72"/>
        <v/>
      </c>
      <c r="Z272" s="2" t="str">
        <f t="shared" si="73"/>
        <v>X</v>
      </c>
      <c r="AA272" s="2" t="str">
        <f t="shared" si="76"/>
        <v/>
      </c>
      <c r="AB272" s="2" t="str">
        <f t="shared" si="77"/>
        <v/>
      </c>
      <c r="AC272" s="2" t="str">
        <f t="shared" si="78"/>
        <v/>
      </c>
      <c r="AD272" s="2" t="str">
        <f t="shared" si="79"/>
        <v>(0)</v>
      </c>
      <c r="AE272" s="2" t="str">
        <f t="shared" si="80"/>
        <v/>
      </c>
      <c r="AF272" s="2" t="str">
        <f t="shared" si="81"/>
        <v/>
      </c>
      <c r="AG272" s="2" t="str">
        <f t="shared" si="82"/>
        <v/>
      </c>
      <c r="AH272" s="2" t="str">
        <f t="shared" si="83"/>
        <v/>
      </c>
    </row>
    <row r="273" spans="2:34" x14ac:dyDescent="0.25">
      <c r="B273" s="2" t="s">
        <v>602</v>
      </c>
      <c r="C273" s="2" t="s">
        <v>619</v>
      </c>
      <c r="D273" s="2" t="s">
        <v>0</v>
      </c>
      <c r="E273" s="2" t="s">
        <v>130</v>
      </c>
      <c r="F273" s="2" t="s">
        <v>604</v>
      </c>
      <c r="G273" s="2" t="s">
        <v>605</v>
      </c>
      <c r="H273" s="2" t="s">
        <v>620</v>
      </c>
      <c r="I273" s="2" t="s">
        <v>41</v>
      </c>
      <c r="J273" s="2">
        <v>1</v>
      </c>
      <c r="K273" s="2" t="s">
        <v>81</v>
      </c>
      <c r="L273" s="2" t="s">
        <v>40</v>
      </c>
      <c r="M273" s="2" t="s">
        <v>5292</v>
      </c>
      <c r="N273" s="2" t="s">
        <v>5257</v>
      </c>
      <c r="O273" s="2" t="s">
        <v>5160</v>
      </c>
      <c r="P273" s="2" t="s">
        <v>4</v>
      </c>
      <c r="Q273" s="2">
        <f>INDEX(Tables!$C$4:$C$28,MATCH($P273,Tables!$B$4:$B$28,0))</f>
        <v>32</v>
      </c>
      <c r="R273" s="2">
        <f>INDEX(Tables!$D$4:$D$28,MATCH($P273,Tables!$B$4:$B$28,0))</f>
        <v>4</v>
      </c>
      <c r="S273" s="2">
        <f>$S272+$R272+INDEX(Tables!$N$5:$Q$8,MATCH(MOD($S272+$R272,4),Tables!$M$5:$M$8,0),MATCH($R273,Tables!$N$4:$Q$4,0))</f>
        <v>904</v>
      </c>
      <c r="T273" s="2" t="str">
        <f t="shared" si="69"/>
        <v>0388</v>
      </c>
      <c r="U273" s="2">
        <f t="shared" si="74"/>
        <v>226</v>
      </c>
      <c r="V273" s="2" t="str">
        <f t="shared" si="70"/>
        <v>0E2</v>
      </c>
      <c r="W273" s="2" t="str">
        <f t="shared" si="71"/>
        <v/>
      </c>
      <c r="X273" s="2" t="str">
        <f t="shared" si="75"/>
        <v/>
      </c>
      <c r="Y273" s="2" t="str">
        <f t="shared" si="72"/>
        <v/>
      </c>
      <c r="Z273" s="2" t="str">
        <f t="shared" si="73"/>
        <v>X</v>
      </c>
      <c r="AA273" s="2" t="str">
        <f t="shared" si="76"/>
        <v/>
      </c>
      <c r="AB273" s="2" t="str">
        <f t="shared" si="77"/>
        <v/>
      </c>
      <c r="AC273" s="2" t="str">
        <f t="shared" si="78"/>
        <v/>
      </c>
      <c r="AD273" s="2" t="str">
        <f t="shared" si="79"/>
        <v>(0)</v>
      </c>
      <c r="AE273" s="2" t="str">
        <f t="shared" si="80"/>
        <v/>
      </c>
      <c r="AF273" s="2" t="str">
        <f t="shared" si="81"/>
        <v/>
      </c>
      <c r="AG273" s="2" t="str">
        <f t="shared" si="82"/>
        <v/>
      </c>
      <c r="AH273" s="2" t="str">
        <f t="shared" si="83"/>
        <v/>
      </c>
    </row>
    <row r="274" spans="2:34" x14ac:dyDescent="0.25">
      <c r="B274" s="2" t="s">
        <v>602</v>
      </c>
      <c r="C274" s="2" t="s">
        <v>621</v>
      </c>
      <c r="D274" s="2" t="s">
        <v>0</v>
      </c>
      <c r="E274" s="2" t="s">
        <v>130</v>
      </c>
      <c r="F274" s="2" t="s">
        <v>604</v>
      </c>
      <c r="G274" s="2" t="s">
        <v>605</v>
      </c>
      <c r="H274" s="2" t="s">
        <v>622</v>
      </c>
      <c r="I274" s="2" t="s">
        <v>41</v>
      </c>
      <c r="J274" s="2">
        <v>1</v>
      </c>
      <c r="K274" s="2" t="s">
        <v>81</v>
      </c>
      <c r="L274" s="2" t="s">
        <v>40</v>
      </c>
      <c r="M274" s="2" t="s">
        <v>5292</v>
      </c>
      <c r="N274" s="2" t="s">
        <v>5257</v>
      </c>
      <c r="O274" s="2" t="s">
        <v>5161</v>
      </c>
      <c r="P274" s="2" t="s">
        <v>4</v>
      </c>
      <c r="Q274" s="2">
        <f>INDEX(Tables!$C$4:$C$28,MATCH($P274,Tables!$B$4:$B$28,0))</f>
        <v>32</v>
      </c>
      <c r="R274" s="2">
        <f>INDEX(Tables!$D$4:$D$28,MATCH($P274,Tables!$B$4:$B$28,0))</f>
        <v>4</v>
      </c>
      <c r="S274" s="2">
        <f>$S273+$R273+INDEX(Tables!$N$5:$Q$8,MATCH(MOD($S273+$R273,4),Tables!$M$5:$M$8,0),MATCH($R274,Tables!$N$4:$Q$4,0))</f>
        <v>908</v>
      </c>
      <c r="T274" s="2" t="str">
        <f t="shared" si="69"/>
        <v>038C</v>
      </c>
      <c r="U274" s="2">
        <f t="shared" si="74"/>
        <v>227</v>
      </c>
      <c r="V274" s="2" t="str">
        <f t="shared" si="70"/>
        <v>0E3</v>
      </c>
      <c r="W274" s="2" t="str">
        <f t="shared" si="71"/>
        <v/>
      </c>
      <c r="X274" s="2" t="str">
        <f t="shared" si="75"/>
        <v/>
      </c>
      <c r="Y274" s="2" t="str">
        <f t="shared" si="72"/>
        <v/>
      </c>
      <c r="Z274" s="2" t="str">
        <f t="shared" si="73"/>
        <v>X</v>
      </c>
      <c r="AA274" s="2" t="str">
        <f t="shared" si="76"/>
        <v/>
      </c>
      <c r="AB274" s="2" t="str">
        <f t="shared" si="77"/>
        <v/>
      </c>
      <c r="AC274" s="2" t="str">
        <f t="shared" si="78"/>
        <v/>
      </c>
      <c r="AD274" s="2" t="str">
        <f t="shared" si="79"/>
        <v>(0)</v>
      </c>
      <c r="AE274" s="2" t="str">
        <f t="shared" si="80"/>
        <v/>
      </c>
      <c r="AF274" s="2" t="str">
        <f t="shared" si="81"/>
        <v/>
      </c>
      <c r="AG274" s="2" t="str">
        <f t="shared" si="82"/>
        <v/>
      </c>
      <c r="AH274" s="2" t="str">
        <f t="shared" si="83"/>
        <v/>
      </c>
    </row>
    <row r="275" spans="2:34" x14ac:dyDescent="0.25">
      <c r="B275" s="2" t="s">
        <v>602</v>
      </c>
      <c r="C275" s="2" t="s">
        <v>623</v>
      </c>
      <c r="D275" s="2" t="s">
        <v>0</v>
      </c>
      <c r="E275" s="2" t="s">
        <v>130</v>
      </c>
      <c r="F275" s="2" t="s">
        <v>604</v>
      </c>
      <c r="G275" s="2" t="s">
        <v>605</v>
      </c>
      <c r="H275" s="2" t="s">
        <v>624</v>
      </c>
      <c r="I275" s="2" t="s">
        <v>41</v>
      </c>
      <c r="J275" s="2">
        <v>1</v>
      </c>
      <c r="K275" s="2" t="s">
        <v>81</v>
      </c>
      <c r="L275" s="2" t="s">
        <v>40</v>
      </c>
      <c r="M275" s="2" t="s">
        <v>5292</v>
      </c>
      <c r="N275" s="2" t="s">
        <v>5257</v>
      </c>
      <c r="O275" s="2" t="s">
        <v>5162</v>
      </c>
      <c r="P275" s="2" t="s">
        <v>4</v>
      </c>
      <c r="Q275" s="2">
        <f>INDEX(Tables!$C$4:$C$28,MATCH($P275,Tables!$B$4:$B$28,0))</f>
        <v>32</v>
      </c>
      <c r="R275" s="2">
        <f>INDEX(Tables!$D$4:$D$28,MATCH($P275,Tables!$B$4:$B$28,0))</f>
        <v>4</v>
      </c>
      <c r="S275" s="2">
        <f>$S274+$R274+INDEX(Tables!$N$5:$Q$8,MATCH(MOD($S274+$R274,4),Tables!$M$5:$M$8,0),MATCH($R275,Tables!$N$4:$Q$4,0))</f>
        <v>912</v>
      </c>
      <c r="T275" s="2" t="str">
        <f t="shared" si="69"/>
        <v>0390</v>
      </c>
      <c r="U275" s="2">
        <f t="shared" si="74"/>
        <v>228</v>
      </c>
      <c r="V275" s="2" t="str">
        <f t="shared" si="70"/>
        <v>0E4</v>
      </c>
      <c r="W275" s="2" t="str">
        <f t="shared" si="71"/>
        <v/>
      </c>
      <c r="X275" s="2" t="str">
        <f t="shared" si="75"/>
        <v/>
      </c>
      <c r="Y275" s="2" t="str">
        <f t="shared" si="72"/>
        <v/>
      </c>
      <c r="Z275" s="2" t="str">
        <f t="shared" si="73"/>
        <v>X</v>
      </c>
      <c r="AA275" s="2" t="str">
        <f t="shared" si="76"/>
        <v/>
      </c>
      <c r="AB275" s="2" t="str">
        <f t="shared" si="77"/>
        <v/>
      </c>
      <c r="AC275" s="2" t="str">
        <f t="shared" si="78"/>
        <v/>
      </c>
      <c r="AD275" s="2" t="str">
        <f t="shared" si="79"/>
        <v>(0)</v>
      </c>
      <c r="AE275" s="2" t="str">
        <f t="shared" si="80"/>
        <v/>
      </c>
      <c r="AF275" s="2" t="str">
        <f t="shared" si="81"/>
        <v/>
      </c>
      <c r="AG275" s="2" t="str">
        <f t="shared" si="82"/>
        <v/>
      </c>
      <c r="AH275" s="2" t="str">
        <f t="shared" si="83"/>
        <v/>
      </c>
    </row>
    <row r="276" spans="2:34" x14ac:dyDescent="0.25">
      <c r="B276" s="2" t="s">
        <v>602</v>
      </c>
      <c r="C276" s="2" t="s">
        <v>625</v>
      </c>
      <c r="D276" s="2" t="s">
        <v>0</v>
      </c>
      <c r="E276" s="2" t="s">
        <v>130</v>
      </c>
      <c r="F276" s="2" t="s">
        <v>604</v>
      </c>
      <c r="G276" s="2" t="s">
        <v>605</v>
      </c>
      <c r="H276" s="2" t="s">
        <v>626</v>
      </c>
      <c r="I276" s="2" t="s">
        <v>41</v>
      </c>
      <c r="J276" s="2">
        <v>1</v>
      </c>
      <c r="K276" s="2" t="s">
        <v>81</v>
      </c>
      <c r="L276" s="2" t="s">
        <v>40</v>
      </c>
      <c r="M276" s="2" t="s">
        <v>5292</v>
      </c>
      <c r="N276" s="2" t="s">
        <v>5257</v>
      </c>
      <c r="O276" s="2" t="s">
        <v>5163</v>
      </c>
      <c r="P276" s="2" t="s">
        <v>4</v>
      </c>
      <c r="Q276" s="2">
        <f>INDEX(Tables!$C$4:$C$28,MATCH($P276,Tables!$B$4:$B$28,0))</f>
        <v>32</v>
      </c>
      <c r="R276" s="2">
        <f>INDEX(Tables!$D$4:$D$28,MATCH($P276,Tables!$B$4:$B$28,0))</f>
        <v>4</v>
      </c>
      <c r="S276" s="2">
        <f>$S275+$R275+INDEX(Tables!$N$5:$Q$8,MATCH(MOD($S275+$R275,4),Tables!$M$5:$M$8,0),MATCH($R276,Tables!$N$4:$Q$4,0))</f>
        <v>916</v>
      </c>
      <c r="T276" s="2" t="str">
        <f t="shared" si="69"/>
        <v>0394</v>
      </c>
      <c r="U276" s="2">
        <f t="shared" si="74"/>
        <v>229</v>
      </c>
      <c r="V276" s="2" t="str">
        <f t="shared" si="70"/>
        <v>0E5</v>
      </c>
      <c r="W276" s="2" t="str">
        <f t="shared" si="71"/>
        <v/>
      </c>
      <c r="X276" s="2" t="str">
        <f t="shared" si="75"/>
        <v/>
      </c>
      <c r="Y276" s="2" t="str">
        <f t="shared" si="72"/>
        <v/>
      </c>
      <c r="Z276" s="2" t="str">
        <f t="shared" si="73"/>
        <v>X</v>
      </c>
      <c r="AA276" s="2" t="str">
        <f t="shared" si="76"/>
        <v/>
      </c>
      <c r="AB276" s="2" t="str">
        <f t="shared" si="77"/>
        <v/>
      </c>
      <c r="AC276" s="2" t="str">
        <f t="shared" si="78"/>
        <v/>
      </c>
      <c r="AD276" s="2" t="str">
        <f t="shared" si="79"/>
        <v>(0)</v>
      </c>
      <c r="AE276" s="2" t="str">
        <f t="shared" si="80"/>
        <v/>
      </c>
      <c r="AF276" s="2" t="str">
        <f t="shared" si="81"/>
        <v/>
      </c>
      <c r="AG276" s="2" t="str">
        <f t="shared" si="82"/>
        <v/>
      </c>
      <c r="AH276" s="2" t="str">
        <f t="shared" si="83"/>
        <v/>
      </c>
    </row>
    <row r="277" spans="2:34" x14ac:dyDescent="0.25">
      <c r="B277" s="2" t="s">
        <v>602</v>
      </c>
      <c r="C277" s="2" t="s">
        <v>163</v>
      </c>
      <c r="D277" s="2" t="s">
        <v>0</v>
      </c>
      <c r="E277" s="2" t="s">
        <v>130</v>
      </c>
      <c r="F277" s="2" t="s">
        <v>604</v>
      </c>
      <c r="G277" s="2" t="s">
        <v>605</v>
      </c>
      <c r="H277" s="2" t="s">
        <v>164</v>
      </c>
      <c r="I277" s="2" t="s">
        <v>41</v>
      </c>
      <c r="J277" s="2">
        <v>1</v>
      </c>
      <c r="K277" s="2" t="s">
        <v>81</v>
      </c>
      <c r="L277" s="2" t="s">
        <v>40</v>
      </c>
      <c r="M277" s="2" t="s">
        <v>5292</v>
      </c>
      <c r="N277" s="2" t="s">
        <v>5257</v>
      </c>
      <c r="O277" s="2" t="s">
        <v>4984</v>
      </c>
      <c r="P277" s="2" t="s">
        <v>4</v>
      </c>
      <c r="Q277" s="2">
        <f>INDEX(Tables!$C$4:$C$28,MATCH($P277,Tables!$B$4:$B$28,0))</f>
        <v>32</v>
      </c>
      <c r="R277" s="2">
        <f>INDEX(Tables!$D$4:$D$28,MATCH($P277,Tables!$B$4:$B$28,0))</f>
        <v>4</v>
      </c>
      <c r="S277" s="2">
        <f>$S276+$R276+INDEX(Tables!$N$5:$Q$8,MATCH(MOD($S276+$R276,4),Tables!$M$5:$M$8,0),MATCH($R277,Tables!$N$4:$Q$4,0))</f>
        <v>920</v>
      </c>
      <c r="T277" s="2" t="str">
        <f t="shared" si="69"/>
        <v>0398</v>
      </c>
      <c r="U277" s="2">
        <f t="shared" si="74"/>
        <v>230</v>
      </c>
      <c r="V277" s="2" t="str">
        <f t="shared" si="70"/>
        <v>0E6</v>
      </c>
      <c r="W277" s="2" t="str">
        <f t="shared" si="71"/>
        <v/>
      </c>
      <c r="X277" s="2" t="str">
        <f t="shared" si="75"/>
        <v/>
      </c>
      <c r="Y277" s="2" t="str">
        <f t="shared" si="72"/>
        <v/>
      </c>
      <c r="Z277" s="2" t="str">
        <f t="shared" si="73"/>
        <v>X</v>
      </c>
      <c r="AA277" s="2" t="str">
        <f t="shared" si="76"/>
        <v/>
      </c>
      <c r="AB277" s="2" t="str">
        <f t="shared" si="77"/>
        <v/>
      </c>
      <c r="AC277" s="2" t="str">
        <f t="shared" si="78"/>
        <v/>
      </c>
      <c r="AD277" s="2" t="str">
        <f t="shared" si="79"/>
        <v>(0)</v>
      </c>
      <c r="AE277" s="2" t="str">
        <f t="shared" si="80"/>
        <v/>
      </c>
      <c r="AF277" s="2" t="str">
        <f t="shared" si="81"/>
        <v/>
      </c>
      <c r="AG277" s="2" t="str">
        <f t="shared" si="82"/>
        <v/>
      </c>
      <c r="AH277" s="2" t="str">
        <f t="shared" si="83"/>
        <v/>
      </c>
    </row>
    <row r="278" spans="2:34" x14ac:dyDescent="0.25">
      <c r="B278" s="2" t="s">
        <v>602</v>
      </c>
      <c r="C278" s="2" t="s">
        <v>161</v>
      </c>
      <c r="D278" s="2" t="s">
        <v>0</v>
      </c>
      <c r="E278" s="2" t="s">
        <v>130</v>
      </c>
      <c r="F278" s="2" t="s">
        <v>604</v>
      </c>
      <c r="G278" s="2" t="s">
        <v>605</v>
      </c>
      <c r="H278" s="2" t="s">
        <v>162</v>
      </c>
      <c r="I278" s="2" t="s">
        <v>41</v>
      </c>
      <c r="J278" s="2">
        <v>1</v>
      </c>
      <c r="K278" s="2" t="s">
        <v>81</v>
      </c>
      <c r="L278" s="2" t="s">
        <v>40</v>
      </c>
      <c r="M278" s="2" t="s">
        <v>5292</v>
      </c>
      <c r="N278" s="2" t="s">
        <v>5257</v>
      </c>
      <c r="O278" s="2" t="s">
        <v>4983</v>
      </c>
      <c r="P278" s="2" t="s">
        <v>4</v>
      </c>
      <c r="Q278" s="2">
        <f>INDEX(Tables!$C$4:$C$28,MATCH($P278,Tables!$B$4:$B$28,0))</f>
        <v>32</v>
      </c>
      <c r="R278" s="2">
        <f>INDEX(Tables!$D$4:$D$28,MATCH($P278,Tables!$B$4:$B$28,0))</f>
        <v>4</v>
      </c>
      <c r="S278" s="2">
        <f>$S277+$R277+INDEX(Tables!$N$5:$Q$8,MATCH(MOD($S277+$R277,4),Tables!$M$5:$M$8,0),MATCH($R278,Tables!$N$4:$Q$4,0))</f>
        <v>924</v>
      </c>
      <c r="T278" s="2" t="str">
        <f t="shared" si="69"/>
        <v>039C</v>
      </c>
      <c r="U278" s="2">
        <f t="shared" si="74"/>
        <v>231</v>
      </c>
      <c r="V278" s="2" t="str">
        <f t="shared" si="70"/>
        <v>0E7</v>
      </c>
      <c r="W278" s="2" t="str">
        <f t="shared" si="71"/>
        <v/>
      </c>
      <c r="X278" s="2" t="str">
        <f t="shared" si="75"/>
        <v/>
      </c>
      <c r="Y278" s="2" t="str">
        <f t="shared" si="72"/>
        <v/>
      </c>
      <c r="Z278" s="2" t="str">
        <f t="shared" si="73"/>
        <v>X</v>
      </c>
      <c r="AA278" s="2" t="str">
        <f t="shared" si="76"/>
        <v/>
      </c>
      <c r="AB278" s="2" t="str">
        <f t="shared" si="77"/>
        <v/>
      </c>
      <c r="AC278" s="2" t="str">
        <f t="shared" si="78"/>
        <v/>
      </c>
      <c r="AD278" s="2" t="str">
        <f t="shared" si="79"/>
        <v>(0)</v>
      </c>
      <c r="AE278" s="2" t="str">
        <f t="shared" si="80"/>
        <v/>
      </c>
      <c r="AF278" s="2" t="str">
        <f t="shared" si="81"/>
        <v/>
      </c>
      <c r="AG278" s="2" t="str">
        <f t="shared" si="82"/>
        <v/>
      </c>
      <c r="AH278" s="2" t="str">
        <f t="shared" si="83"/>
        <v/>
      </c>
    </row>
    <row r="279" spans="2:34" x14ac:dyDescent="0.25">
      <c r="B279" s="2" t="s">
        <v>602</v>
      </c>
      <c r="C279" s="2" t="s">
        <v>627</v>
      </c>
      <c r="D279" s="2" t="s">
        <v>0</v>
      </c>
      <c r="E279" s="2" t="s">
        <v>130</v>
      </c>
      <c r="F279" s="2" t="s">
        <v>604</v>
      </c>
      <c r="G279" s="2" t="s">
        <v>605</v>
      </c>
      <c r="H279" s="2" t="s">
        <v>628</v>
      </c>
      <c r="I279" s="2" t="s">
        <v>41</v>
      </c>
      <c r="J279" s="2">
        <v>1</v>
      </c>
      <c r="K279" s="2" t="s">
        <v>81</v>
      </c>
      <c r="L279" s="2" t="s">
        <v>40</v>
      </c>
      <c r="M279" s="2" t="s">
        <v>5292</v>
      </c>
      <c r="N279" s="2" t="s">
        <v>5257</v>
      </c>
      <c r="O279" s="2" t="s">
        <v>5164</v>
      </c>
      <c r="P279" s="2" t="s">
        <v>4</v>
      </c>
      <c r="Q279" s="2">
        <f>INDEX(Tables!$C$4:$C$28,MATCH($P279,Tables!$B$4:$B$28,0))</f>
        <v>32</v>
      </c>
      <c r="R279" s="2">
        <f>INDEX(Tables!$D$4:$D$28,MATCH($P279,Tables!$B$4:$B$28,0))</f>
        <v>4</v>
      </c>
      <c r="S279" s="2">
        <f>$S278+$R278+INDEX(Tables!$N$5:$Q$8,MATCH(MOD($S278+$R278,4),Tables!$M$5:$M$8,0),MATCH($R279,Tables!$N$4:$Q$4,0))</f>
        <v>928</v>
      </c>
      <c r="T279" s="2" t="str">
        <f t="shared" si="69"/>
        <v>03A0</v>
      </c>
      <c r="U279" s="2">
        <f t="shared" si="74"/>
        <v>232</v>
      </c>
      <c r="V279" s="2" t="str">
        <f t="shared" si="70"/>
        <v>0E8</v>
      </c>
      <c r="W279" s="2" t="str">
        <f t="shared" si="71"/>
        <v/>
      </c>
      <c r="X279" s="2" t="str">
        <f t="shared" si="75"/>
        <v/>
      </c>
      <c r="Y279" s="2" t="str">
        <f t="shared" si="72"/>
        <v/>
      </c>
      <c r="Z279" s="2" t="str">
        <f t="shared" si="73"/>
        <v>X</v>
      </c>
      <c r="AA279" s="2" t="str">
        <f t="shared" si="76"/>
        <v/>
      </c>
      <c r="AB279" s="2" t="str">
        <f t="shared" si="77"/>
        <v/>
      </c>
      <c r="AC279" s="2" t="str">
        <f t="shared" si="78"/>
        <v/>
      </c>
      <c r="AD279" s="2" t="str">
        <f t="shared" si="79"/>
        <v>(0)</v>
      </c>
      <c r="AE279" s="2" t="str">
        <f t="shared" si="80"/>
        <v/>
      </c>
      <c r="AF279" s="2" t="str">
        <f t="shared" si="81"/>
        <v/>
      </c>
      <c r="AG279" s="2" t="str">
        <f t="shared" si="82"/>
        <v/>
      </c>
      <c r="AH279" s="2" t="str">
        <f t="shared" si="83"/>
        <v/>
      </c>
    </row>
    <row r="280" spans="2:34" x14ac:dyDescent="0.25">
      <c r="B280" s="2" t="s">
        <v>602</v>
      </c>
      <c r="C280" s="2" t="s">
        <v>629</v>
      </c>
      <c r="D280" s="2" t="s">
        <v>0</v>
      </c>
      <c r="E280" s="2" t="s">
        <v>130</v>
      </c>
      <c r="F280" s="2" t="s">
        <v>604</v>
      </c>
      <c r="G280" s="2" t="s">
        <v>605</v>
      </c>
      <c r="H280" s="2" t="s">
        <v>630</v>
      </c>
      <c r="I280" s="2" t="s">
        <v>41</v>
      </c>
      <c r="J280" s="2">
        <v>1</v>
      </c>
      <c r="K280" s="2" t="s">
        <v>81</v>
      </c>
      <c r="L280" s="2" t="s">
        <v>40</v>
      </c>
      <c r="M280" s="2" t="s">
        <v>5292</v>
      </c>
      <c r="N280" s="2" t="s">
        <v>5257</v>
      </c>
      <c r="O280" s="2" t="s">
        <v>5165</v>
      </c>
      <c r="P280" s="2" t="s">
        <v>4</v>
      </c>
      <c r="Q280" s="2">
        <f>INDEX(Tables!$C$4:$C$28,MATCH($P280,Tables!$B$4:$B$28,0))</f>
        <v>32</v>
      </c>
      <c r="R280" s="2">
        <f>INDEX(Tables!$D$4:$D$28,MATCH($P280,Tables!$B$4:$B$28,0))</f>
        <v>4</v>
      </c>
      <c r="S280" s="2">
        <f>$S279+$R279+INDEX(Tables!$N$5:$Q$8,MATCH(MOD($S279+$R279,4),Tables!$M$5:$M$8,0),MATCH($R280,Tables!$N$4:$Q$4,0))</f>
        <v>932</v>
      </c>
      <c r="T280" s="2" t="str">
        <f t="shared" si="69"/>
        <v>03A4</v>
      </c>
      <c r="U280" s="2">
        <f t="shared" si="74"/>
        <v>233</v>
      </c>
      <c r="V280" s="2" t="str">
        <f t="shared" si="70"/>
        <v>0E9</v>
      </c>
      <c r="W280" s="2" t="str">
        <f t="shared" si="71"/>
        <v/>
      </c>
      <c r="X280" s="2" t="str">
        <f t="shared" si="75"/>
        <v/>
      </c>
      <c r="Y280" s="2" t="str">
        <f t="shared" si="72"/>
        <v/>
      </c>
      <c r="Z280" s="2" t="str">
        <f t="shared" si="73"/>
        <v>X</v>
      </c>
      <c r="AA280" s="2" t="str">
        <f t="shared" si="76"/>
        <v/>
      </c>
      <c r="AB280" s="2" t="str">
        <f t="shared" si="77"/>
        <v/>
      </c>
      <c r="AC280" s="2" t="str">
        <f t="shared" si="78"/>
        <v/>
      </c>
      <c r="AD280" s="2" t="str">
        <f t="shared" si="79"/>
        <v>(0)</v>
      </c>
      <c r="AE280" s="2" t="str">
        <f t="shared" si="80"/>
        <v/>
      </c>
      <c r="AF280" s="2" t="str">
        <f t="shared" si="81"/>
        <v/>
      </c>
      <c r="AG280" s="2" t="str">
        <f t="shared" si="82"/>
        <v/>
      </c>
      <c r="AH280" s="2" t="str">
        <f t="shared" si="83"/>
        <v/>
      </c>
    </row>
    <row r="281" spans="2:34" x14ac:dyDescent="0.25">
      <c r="B281" s="2" t="s">
        <v>631</v>
      </c>
      <c r="C281" s="2" t="s">
        <v>632</v>
      </c>
      <c r="D281" s="2" t="s">
        <v>0</v>
      </c>
      <c r="E281" s="2" t="s">
        <v>130</v>
      </c>
      <c r="F281" s="2" t="s">
        <v>633</v>
      </c>
      <c r="G281" s="2" t="s">
        <v>634</v>
      </c>
      <c r="H281" s="2" t="s">
        <v>635</v>
      </c>
      <c r="I281" s="2" t="s">
        <v>41</v>
      </c>
      <c r="J281" s="2">
        <v>32</v>
      </c>
      <c r="K281" s="2" t="s">
        <v>132</v>
      </c>
      <c r="L281" s="2" t="s">
        <v>40</v>
      </c>
      <c r="M281" s="2" t="s">
        <v>5292</v>
      </c>
      <c r="N281" s="2" t="s">
        <v>5258</v>
      </c>
      <c r="O281" s="2" t="s">
        <v>5166</v>
      </c>
      <c r="P281" s="2" t="s">
        <v>48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936</v>
      </c>
      <c r="T281" s="2" t="str">
        <f t="shared" si="69"/>
        <v>03A8</v>
      </c>
      <c r="U281" s="2">
        <f t="shared" si="74"/>
        <v>234</v>
      </c>
      <c r="V281" s="2" t="str">
        <f t="shared" si="70"/>
        <v>0EA</v>
      </c>
      <c r="W281" s="2" t="str">
        <f t="shared" si="71"/>
        <v>X</v>
      </c>
      <c r="X281" s="2" t="str">
        <f t="shared" si="75"/>
        <v>X</v>
      </c>
      <c r="Y281" s="2" t="str">
        <f t="shared" si="72"/>
        <v>X</v>
      </c>
      <c r="Z281" s="2" t="str">
        <f t="shared" si="73"/>
        <v>X</v>
      </c>
      <c r="AA281" s="2" t="str">
        <f t="shared" si="76"/>
        <v>(31 downto 24)</v>
      </c>
      <c r="AB281" s="2" t="str">
        <f t="shared" si="77"/>
        <v>(23 downto 16)</v>
      </c>
      <c r="AC281" s="2" t="str">
        <f t="shared" si="78"/>
        <v>(15 downto 8)</v>
      </c>
      <c r="AD281" s="2" t="str">
        <f t="shared" si="79"/>
        <v>(7 downto 0)</v>
      </c>
      <c r="AE281" s="2" t="str">
        <f t="shared" si="80"/>
        <v>(31 downto 24)</v>
      </c>
      <c r="AF281" s="2" t="str">
        <f t="shared" si="81"/>
        <v>(23 downto 16)</v>
      </c>
      <c r="AG281" s="2" t="str">
        <f t="shared" si="82"/>
        <v>(15 downto 8)</v>
      </c>
      <c r="AH281" s="2" t="str">
        <f t="shared" si="83"/>
        <v>(7 downto 0)</v>
      </c>
    </row>
    <row r="282" spans="2:34" x14ac:dyDescent="0.25">
      <c r="B282" s="2" t="s">
        <v>636</v>
      </c>
      <c r="C282" s="2" t="s">
        <v>637</v>
      </c>
      <c r="D282" s="2" t="s">
        <v>0</v>
      </c>
      <c r="E282" s="2" t="s">
        <v>130</v>
      </c>
      <c r="F282" s="2" t="s">
        <v>638</v>
      </c>
      <c r="G282" s="2" t="s">
        <v>639</v>
      </c>
      <c r="H282" s="2" t="s">
        <v>640</v>
      </c>
      <c r="I282" s="2" t="s">
        <v>41</v>
      </c>
      <c r="J282" s="2">
        <v>32</v>
      </c>
      <c r="K282" s="2" t="s">
        <v>132</v>
      </c>
      <c r="L282" s="2" t="s">
        <v>40</v>
      </c>
      <c r="M282" s="2" t="s">
        <v>5292</v>
      </c>
      <c r="N282" s="2" t="s">
        <v>5259</v>
      </c>
      <c r="O282" s="2" t="s">
        <v>5167</v>
      </c>
      <c r="P282" s="2" t="s">
        <v>48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940</v>
      </c>
      <c r="T282" s="2" t="str">
        <f t="shared" si="69"/>
        <v>03AC</v>
      </c>
      <c r="U282" s="2">
        <f t="shared" si="74"/>
        <v>235</v>
      </c>
      <c r="V282" s="2" t="str">
        <f t="shared" si="70"/>
        <v>0EB</v>
      </c>
      <c r="W282" s="2" t="str">
        <f t="shared" si="71"/>
        <v>X</v>
      </c>
      <c r="X282" s="2" t="str">
        <f t="shared" si="75"/>
        <v>X</v>
      </c>
      <c r="Y282" s="2" t="str">
        <f t="shared" si="72"/>
        <v>X</v>
      </c>
      <c r="Z282" s="2" t="str">
        <f t="shared" si="73"/>
        <v>X</v>
      </c>
      <c r="AA282" s="2" t="str">
        <f t="shared" si="76"/>
        <v>(31 downto 24)</v>
      </c>
      <c r="AB282" s="2" t="str">
        <f t="shared" si="77"/>
        <v>(23 downto 16)</v>
      </c>
      <c r="AC282" s="2" t="str">
        <f t="shared" si="78"/>
        <v>(15 downto 8)</v>
      </c>
      <c r="AD282" s="2" t="str">
        <f t="shared" si="79"/>
        <v>(7 downto 0)</v>
      </c>
      <c r="AE282" s="2" t="str">
        <f t="shared" si="80"/>
        <v>(31 downto 24)</v>
      </c>
      <c r="AF282" s="2" t="str">
        <f t="shared" si="81"/>
        <v>(23 downto 16)</v>
      </c>
      <c r="AG282" s="2" t="str">
        <f t="shared" si="82"/>
        <v>(15 downto 8)</v>
      </c>
      <c r="AH282" s="2" t="str">
        <f t="shared" si="83"/>
        <v>(7 downto 0)</v>
      </c>
    </row>
    <row r="283" spans="2:34" x14ac:dyDescent="0.25">
      <c r="B283" s="2" t="s">
        <v>641</v>
      </c>
      <c r="C283" s="2" t="s">
        <v>642</v>
      </c>
      <c r="D283" s="2" t="s">
        <v>0</v>
      </c>
      <c r="E283" s="2" t="s">
        <v>130</v>
      </c>
      <c r="F283" s="2" t="s">
        <v>643</v>
      </c>
      <c r="G283" s="2" t="s">
        <v>644</v>
      </c>
      <c r="H283" s="2" t="s">
        <v>4897</v>
      </c>
      <c r="I283" s="2" t="s">
        <v>41</v>
      </c>
      <c r="J283" s="2">
        <v>1</v>
      </c>
      <c r="K283" s="2" t="s">
        <v>81</v>
      </c>
      <c r="L283" s="2" t="s">
        <v>40</v>
      </c>
      <c r="M283" s="2" t="s">
        <v>5292</v>
      </c>
      <c r="N283" s="2" t="s">
        <v>5260</v>
      </c>
      <c r="O283" s="2" t="s">
        <v>5168</v>
      </c>
      <c r="P283" s="2" t="s">
        <v>4</v>
      </c>
      <c r="Q283" s="2">
        <f>INDEX(Tables!$C$4:$C$28,MATCH($P283,Tables!$B$4:$B$28,0))</f>
        <v>32</v>
      </c>
      <c r="R283" s="2">
        <f>INDEX(Tables!$D$4:$D$28,MATCH($P283,Tables!$B$4:$B$28,0))</f>
        <v>4</v>
      </c>
      <c r="S283" s="2">
        <f>$S282+$R282+INDEX(Tables!$N$5:$Q$8,MATCH(MOD($S282+$R282,4),Tables!$M$5:$M$8,0),MATCH($R283,Tables!$N$4:$Q$4,0))</f>
        <v>944</v>
      </c>
      <c r="T283" s="2" t="str">
        <f t="shared" si="69"/>
        <v>03B0</v>
      </c>
      <c r="U283" s="2">
        <f t="shared" si="74"/>
        <v>236</v>
      </c>
      <c r="V283" s="2" t="str">
        <f t="shared" si="70"/>
        <v>0EC</v>
      </c>
      <c r="W283" s="2" t="str">
        <f t="shared" si="71"/>
        <v/>
      </c>
      <c r="X283" s="2" t="str">
        <f t="shared" si="75"/>
        <v/>
      </c>
      <c r="Y283" s="2" t="str">
        <f t="shared" si="72"/>
        <v/>
      </c>
      <c r="Z283" s="2" t="str">
        <f t="shared" si="73"/>
        <v>X</v>
      </c>
      <c r="AA283" s="2" t="str">
        <f t="shared" si="76"/>
        <v/>
      </c>
      <c r="AB283" s="2" t="str">
        <f t="shared" si="77"/>
        <v/>
      </c>
      <c r="AC283" s="2" t="str">
        <f t="shared" si="78"/>
        <v/>
      </c>
      <c r="AD283" s="2" t="str">
        <f t="shared" si="79"/>
        <v>(0)</v>
      </c>
      <c r="AE283" s="2" t="str">
        <f t="shared" si="80"/>
        <v/>
      </c>
      <c r="AF283" s="2" t="str">
        <f t="shared" si="81"/>
        <v/>
      </c>
      <c r="AG283" s="2" t="str">
        <f t="shared" si="82"/>
        <v/>
      </c>
      <c r="AH283" s="2" t="str">
        <f t="shared" si="83"/>
        <v/>
      </c>
    </row>
    <row r="284" spans="2:34" x14ac:dyDescent="0.25">
      <c r="B284" s="2" t="s">
        <v>641</v>
      </c>
      <c r="C284" s="2" t="s">
        <v>645</v>
      </c>
      <c r="D284" s="2" t="s">
        <v>0</v>
      </c>
      <c r="E284" s="2" t="s">
        <v>130</v>
      </c>
      <c r="F284" s="2" t="s">
        <v>643</v>
      </c>
      <c r="G284" s="2" t="s">
        <v>644</v>
      </c>
      <c r="H284" s="2" t="s">
        <v>646</v>
      </c>
      <c r="I284" s="2" t="s">
        <v>41</v>
      </c>
      <c r="J284" s="2">
        <v>1</v>
      </c>
      <c r="K284" s="2" t="s">
        <v>81</v>
      </c>
      <c r="L284" s="2" t="s">
        <v>40</v>
      </c>
      <c r="M284" s="2" t="s">
        <v>5292</v>
      </c>
      <c r="N284" s="2" t="s">
        <v>5260</v>
      </c>
      <c r="O284" s="2" t="s">
        <v>5169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948</v>
      </c>
      <c r="T284" s="2" t="str">
        <f t="shared" si="69"/>
        <v>03B4</v>
      </c>
      <c r="U284" s="2">
        <f t="shared" si="74"/>
        <v>237</v>
      </c>
      <c r="V284" s="2" t="str">
        <f t="shared" si="70"/>
        <v>0ED</v>
      </c>
      <c r="W284" s="2" t="str">
        <f t="shared" si="71"/>
        <v/>
      </c>
      <c r="X284" s="2" t="str">
        <f t="shared" si="75"/>
        <v/>
      </c>
      <c r="Y284" s="2" t="str">
        <f t="shared" si="72"/>
        <v/>
      </c>
      <c r="Z284" s="2" t="str">
        <f t="shared" si="73"/>
        <v>X</v>
      </c>
      <c r="AA284" s="2" t="str">
        <f t="shared" si="76"/>
        <v/>
      </c>
      <c r="AB284" s="2" t="str">
        <f t="shared" si="77"/>
        <v/>
      </c>
      <c r="AC284" s="2" t="str">
        <f t="shared" si="78"/>
        <v/>
      </c>
      <c r="AD284" s="2" t="str">
        <f t="shared" si="79"/>
        <v>(0)</v>
      </c>
      <c r="AE284" s="2" t="str">
        <f t="shared" si="80"/>
        <v/>
      </c>
      <c r="AF284" s="2" t="str">
        <f t="shared" si="81"/>
        <v/>
      </c>
      <c r="AG284" s="2" t="str">
        <f t="shared" si="82"/>
        <v/>
      </c>
      <c r="AH284" s="2" t="str">
        <f t="shared" si="83"/>
        <v/>
      </c>
    </row>
    <row r="285" spans="2:34" x14ac:dyDescent="0.25">
      <c r="B285" s="2" t="s">
        <v>641</v>
      </c>
      <c r="C285" s="2" t="s">
        <v>647</v>
      </c>
      <c r="D285" s="2" t="s">
        <v>0</v>
      </c>
      <c r="E285" s="2" t="s">
        <v>130</v>
      </c>
      <c r="F285" s="2" t="s">
        <v>643</v>
      </c>
      <c r="G285" s="2" t="s">
        <v>644</v>
      </c>
      <c r="H285" s="2" t="s">
        <v>648</v>
      </c>
      <c r="I285" s="2" t="s">
        <v>41</v>
      </c>
      <c r="J285" s="2">
        <v>1</v>
      </c>
      <c r="K285" s="2" t="s">
        <v>81</v>
      </c>
      <c r="L285" s="2" t="s">
        <v>40</v>
      </c>
      <c r="M285" s="2" t="s">
        <v>5292</v>
      </c>
      <c r="N285" s="2" t="s">
        <v>5260</v>
      </c>
      <c r="O285" s="2" t="s">
        <v>5170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952</v>
      </c>
      <c r="T285" s="2" t="str">
        <f t="shared" si="69"/>
        <v>03B8</v>
      </c>
      <c r="U285" s="2">
        <f t="shared" si="74"/>
        <v>238</v>
      </c>
      <c r="V285" s="2" t="str">
        <f t="shared" si="70"/>
        <v>0EE</v>
      </c>
      <c r="W285" s="2" t="str">
        <f t="shared" si="71"/>
        <v/>
      </c>
      <c r="X285" s="2" t="str">
        <f t="shared" si="75"/>
        <v/>
      </c>
      <c r="Y285" s="2" t="str">
        <f t="shared" si="72"/>
        <v/>
      </c>
      <c r="Z285" s="2" t="str">
        <f t="shared" si="73"/>
        <v>X</v>
      </c>
      <c r="AA285" s="2" t="str">
        <f t="shared" si="76"/>
        <v/>
      </c>
      <c r="AB285" s="2" t="str">
        <f t="shared" si="77"/>
        <v/>
      </c>
      <c r="AC285" s="2" t="str">
        <f t="shared" si="78"/>
        <v/>
      </c>
      <c r="AD285" s="2" t="str">
        <f t="shared" si="79"/>
        <v>(0)</v>
      </c>
      <c r="AE285" s="2" t="str">
        <f t="shared" si="80"/>
        <v/>
      </c>
      <c r="AF285" s="2" t="str">
        <f t="shared" si="81"/>
        <v/>
      </c>
      <c r="AG285" s="2" t="str">
        <f t="shared" si="82"/>
        <v/>
      </c>
      <c r="AH285" s="2" t="str">
        <f t="shared" si="83"/>
        <v/>
      </c>
    </row>
    <row r="286" spans="2:34" x14ac:dyDescent="0.25">
      <c r="B286" s="2" t="s">
        <v>641</v>
      </c>
      <c r="C286" s="2" t="s">
        <v>649</v>
      </c>
      <c r="D286" s="2" t="s">
        <v>0</v>
      </c>
      <c r="E286" s="2" t="s">
        <v>130</v>
      </c>
      <c r="F286" s="2" t="s">
        <v>643</v>
      </c>
      <c r="G286" s="2" t="s">
        <v>644</v>
      </c>
      <c r="H286" s="2" t="s">
        <v>650</v>
      </c>
      <c r="I286" s="2" t="s">
        <v>41</v>
      </c>
      <c r="J286" s="2">
        <v>5</v>
      </c>
      <c r="K286" s="2" t="s">
        <v>132</v>
      </c>
      <c r="L286" s="2" t="s">
        <v>40</v>
      </c>
      <c r="M286" s="2" t="s">
        <v>5292</v>
      </c>
      <c r="N286" s="2" t="s">
        <v>5260</v>
      </c>
      <c r="O286" s="2" t="s">
        <v>5171</v>
      </c>
      <c r="P286" s="2" t="s">
        <v>47</v>
      </c>
      <c r="Q286" s="2">
        <f>INDEX(Tables!$C$4:$C$28,MATCH($P286,Tables!$B$4:$B$28,0))</f>
        <v>8</v>
      </c>
      <c r="R286" s="2">
        <f>INDEX(Tables!$D$4:$D$28,MATCH($P286,Tables!$B$4:$B$28,0))</f>
        <v>1</v>
      </c>
      <c r="S286" s="2">
        <f>$S285+$R285+INDEX(Tables!$N$5:$Q$8,MATCH(MOD($S285+$R285,4),Tables!$M$5:$M$8,0),MATCH($R286,Tables!$N$4:$Q$4,0))</f>
        <v>956</v>
      </c>
      <c r="T286" s="2" t="str">
        <f t="shared" si="69"/>
        <v>03BC</v>
      </c>
      <c r="U286" s="2">
        <f t="shared" si="74"/>
        <v>239</v>
      </c>
      <c r="V286" s="2" t="str">
        <f t="shared" si="70"/>
        <v>0EF</v>
      </c>
      <c r="W286" s="2" t="str">
        <f t="shared" si="71"/>
        <v/>
      </c>
      <c r="X286" s="2" t="str">
        <f t="shared" si="75"/>
        <v/>
      </c>
      <c r="Y286" s="2" t="str">
        <f t="shared" si="72"/>
        <v/>
      </c>
      <c r="Z286" s="2" t="str">
        <f t="shared" si="73"/>
        <v>X</v>
      </c>
      <c r="AA286" s="2" t="str">
        <f t="shared" si="76"/>
        <v/>
      </c>
      <c r="AB286" s="2" t="str">
        <f t="shared" si="77"/>
        <v/>
      </c>
      <c r="AC286" s="2" t="str">
        <f t="shared" si="78"/>
        <v/>
      </c>
      <c r="AD286" s="2" t="str">
        <f t="shared" si="79"/>
        <v>(4 downto 0)</v>
      </c>
      <c r="AE286" s="2" t="str">
        <f t="shared" si="80"/>
        <v/>
      </c>
      <c r="AF286" s="2" t="str">
        <f t="shared" si="81"/>
        <v/>
      </c>
      <c r="AG286" s="2" t="str">
        <f t="shared" si="82"/>
        <v/>
      </c>
      <c r="AH286" s="2" t="str">
        <f t="shared" si="83"/>
        <v/>
      </c>
    </row>
    <row r="287" spans="2:34" x14ac:dyDescent="0.25">
      <c r="B287" s="2" t="s">
        <v>641</v>
      </c>
      <c r="C287" s="2" t="s">
        <v>651</v>
      </c>
      <c r="D287" s="2" t="s">
        <v>0</v>
      </c>
      <c r="E287" s="2" t="s">
        <v>130</v>
      </c>
      <c r="F287" s="2" t="s">
        <v>643</v>
      </c>
      <c r="G287" s="2" t="s">
        <v>644</v>
      </c>
      <c r="H287" s="2" t="s">
        <v>652</v>
      </c>
      <c r="I287" s="2" t="s">
        <v>41</v>
      </c>
      <c r="J287" s="2">
        <v>24</v>
      </c>
      <c r="K287" s="2" t="s">
        <v>132</v>
      </c>
      <c r="L287" s="2" t="s">
        <v>40</v>
      </c>
      <c r="M287" s="2" t="s">
        <v>5292</v>
      </c>
      <c r="N287" s="2" t="s">
        <v>5260</v>
      </c>
      <c r="O287" s="2" t="s">
        <v>5172</v>
      </c>
      <c r="P287" s="2" t="s">
        <v>48</v>
      </c>
      <c r="Q287" s="2">
        <f>INDEX(Tables!$C$4:$C$28,MATCH($P287,Tables!$B$4:$B$28,0))</f>
        <v>32</v>
      </c>
      <c r="R287" s="2">
        <f>INDEX(Tables!$D$4:$D$28,MATCH($P287,Tables!$B$4:$B$28,0))</f>
        <v>4</v>
      </c>
      <c r="S287" s="2">
        <f>$S286+$R286+INDEX(Tables!$N$5:$Q$8,MATCH(MOD($S286+$R286,4),Tables!$M$5:$M$8,0),MATCH($R287,Tables!$N$4:$Q$4,0))</f>
        <v>960</v>
      </c>
      <c r="T287" s="2" t="str">
        <f t="shared" si="69"/>
        <v>03C0</v>
      </c>
      <c r="U287" s="2">
        <f t="shared" si="74"/>
        <v>240</v>
      </c>
      <c r="V287" s="2" t="str">
        <f t="shared" si="70"/>
        <v>0F0</v>
      </c>
      <c r="W287" s="2" t="str">
        <f t="shared" si="71"/>
        <v/>
      </c>
      <c r="X287" s="2" t="str">
        <f t="shared" si="75"/>
        <v>X</v>
      </c>
      <c r="Y287" s="2" t="str">
        <f t="shared" si="72"/>
        <v>X</v>
      </c>
      <c r="Z287" s="2" t="str">
        <f t="shared" si="73"/>
        <v>X</v>
      </c>
      <c r="AA287" s="2" t="str">
        <f t="shared" si="76"/>
        <v/>
      </c>
      <c r="AB287" s="2" t="str">
        <f t="shared" si="77"/>
        <v>(23 downto 16)</v>
      </c>
      <c r="AC287" s="2" t="str">
        <f t="shared" si="78"/>
        <v>(15 downto 8)</v>
      </c>
      <c r="AD287" s="2" t="str">
        <f t="shared" si="79"/>
        <v>(7 downto 0)</v>
      </c>
      <c r="AE287" s="2" t="str">
        <f t="shared" si="80"/>
        <v/>
      </c>
      <c r="AF287" s="2" t="str">
        <f t="shared" si="81"/>
        <v>(23 downto 16)</v>
      </c>
      <c r="AG287" s="2" t="str">
        <f t="shared" si="82"/>
        <v>(15 downto 8)</v>
      </c>
      <c r="AH287" s="2" t="str">
        <f t="shared" si="83"/>
        <v>(7 downto 0)</v>
      </c>
    </row>
    <row r="288" spans="2:34" x14ac:dyDescent="0.25">
      <c r="B288" s="2" t="s">
        <v>653</v>
      </c>
      <c r="C288" s="2" t="s">
        <v>642</v>
      </c>
      <c r="D288" s="2" t="s">
        <v>0</v>
      </c>
      <c r="E288" s="2" t="s">
        <v>130</v>
      </c>
      <c r="F288" s="2" t="s">
        <v>654</v>
      </c>
      <c r="G288" s="2" t="s">
        <v>655</v>
      </c>
      <c r="H288" s="2" t="s">
        <v>4897</v>
      </c>
      <c r="I288" s="2" t="s">
        <v>41</v>
      </c>
      <c r="J288" s="2">
        <v>1</v>
      </c>
      <c r="K288" s="2" t="s">
        <v>81</v>
      </c>
      <c r="L288" s="2" t="s">
        <v>40</v>
      </c>
      <c r="M288" s="2" t="s">
        <v>5292</v>
      </c>
      <c r="N288" s="2" t="s">
        <v>5261</v>
      </c>
      <c r="O288" s="2" t="s">
        <v>5168</v>
      </c>
      <c r="P288" s="2" t="s">
        <v>4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964</v>
      </c>
      <c r="T288" s="2" t="str">
        <f t="shared" si="69"/>
        <v>03C4</v>
      </c>
      <c r="U288" s="2">
        <f t="shared" si="74"/>
        <v>241</v>
      </c>
      <c r="V288" s="2" t="str">
        <f t="shared" si="70"/>
        <v>0F1</v>
      </c>
      <c r="W288" s="2" t="str">
        <f t="shared" si="71"/>
        <v/>
      </c>
      <c r="X288" s="2" t="str">
        <f t="shared" si="75"/>
        <v/>
      </c>
      <c r="Y288" s="2" t="str">
        <f t="shared" si="72"/>
        <v/>
      </c>
      <c r="Z288" s="2" t="str">
        <f t="shared" si="73"/>
        <v>X</v>
      </c>
      <c r="AA288" s="2" t="str">
        <f t="shared" si="76"/>
        <v/>
      </c>
      <c r="AB288" s="2" t="str">
        <f t="shared" si="77"/>
        <v/>
      </c>
      <c r="AC288" s="2" t="str">
        <f t="shared" si="78"/>
        <v/>
      </c>
      <c r="AD288" s="2" t="str">
        <f t="shared" si="79"/>
        <v>(0)</v>
      </c>
      <c r="AE288" s="2" t="str">
        <f t="shared" si="80"/>
        <v/>
      </c>
      <c r="AF288" s="2" t="str">
        <f t="shared" si="81"/>
        <v/>
      </c>
      <c r="AG288" s="2" t="str">
        <f t="shared" si="82"/>
        <v/>
      </c>
      <c r="AH288" s="2" t="str">
        <f t="shared" si="83"/>
        <v/>
      </c>
    </row>
    <row r="289" spans="2:34" x14ac:dyDescent="0.25">
      <c r="B289" s="2" t="s">
        <v>653</v>
      </c>
      <c r="C289" s="2" t="s">
        <v>645</v>
      </c>
      <c r="D289" s="2" t="s">
        <v>0</v>
      </c>
      <c r="E289" s="2" t="s">
        <v>130</v>
      </c>
      <c r="F289" s="2" t="s">
        <v>654</v>
      </c>
      <c r="G289" s="2" t="s">
        <v>655</v>
      </c>
      <c r="H289" s="2" t="s">
        <v>646</v>
      </c>
      <c r="I289" s="2" t="s">
        <v>41</v>
      </c>
      <c r="J289" s="2">
        <v>1</v>
      </c>
      <c r="K289" s="2" t="s">
        <v>81</v>
      </c>
      <c r="L289" s="2" t="s">
        <v>40</v>
      </c>
      <c r="M289" s="2" t="s">
        <v>5292</v>
      </c>
      <c r="N289" s="2" t="s">
        <v>5261</v>
      </c>
      <c r="O289" s="2" t="s">
        <v>5169</v>
      </c>
      <c r="P289" s="2" t="s">
        <v>4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$S288+$R288+INDEX(Tables!$N$5:$Q$8,MATCH(MOD($S288+$R288,4),Tables!$M$5:$M$8,0),MATCH($R289,Tables!$N$4:$Q$4,0))</f>
        <v>968</v>
      </c>
      <c r="T289" s="2" t="str">
        <f t="shared" si="69"/>
        <v>03C8</v>
      </c>
      <c r="U289" s="2">
        <f t="shared" si="74"/>
        <v>242</v>
      </c>
      <c r="V289" s="2" t="str">
        <f t="shared" si="70"/>
        <v>0F2</v>
      </c>
      <c r="W289" s="2" t="str">
        <f t="shared" si="71"/>
        <v/>
      </c>
      <c r="X289" s="2" t="str">
        <f t="shared" si="75"/>
        <v/>
      </c>
      <c r="Y289" s="2" t="str">
        <f t="shared" si="72"/>
        <v/>
      </c>
      <c r="Z289" s="2" t="str">
        <f t="shared" si="73"/>
        <v>X</v>
      </c>
      <c r="AA289" s="2" t="str">
        <f t="shared" si="76"/>
        <v/>
      </c>
      <c r="AB289" s="2" t="str">
        <f t="shared" si="77"/>
        <v/>
      </c>
      <c r="AC289" s="2" t="str">
        <f t="shared" si="78"/>
        <v/>
      </c>
      <c r="AD289" s="2" t="str">
        <f t="shared" si="79"/>
        <v>(0)</v>
      </c>
      <c r="AE289" s="2" t="str">
        <f t="shared" si="80"/>
        <v/>
      </c>
      <c r="AF289" s="2" t="str">
        <f t="shared" si="81"/>
        <v/>
      </c>
      <c r="AG289" s="2" t="str">
        <f t="shared" si="82"/>
        <v/>
      </c>
      <c r="AH289" s="2" t="str">
        <f t="shared" si="83"/>
        <v/>
      </c>
    </row>
    <row r="290" spans="2:34" x14ac:dyDescent="0.25">
      <c r="B290" s="2" t="s">
        <v>653</v>
      </c>
      <c r="C290" s="2" t="s">
        <v>647</v>
      </c>
      <c r="D290" s="2" t="s">
        <v>0</v>
      </c>
      <c r="E290" s="2" t="s">
        <v>130</v>
      </c>
      <c r="F290" s="2" t="s">
        <v>654</v>
      </c>
      <c r="G290" s="2" t="s">
        <v>655</v>
      </c>
      <c r="H290" s="2" t="s">
        <v>648</v>
      </c>
      <c r="I290" s="2" t="s">
        <v>41</v>
      </c>
      <c r="J290" s="2">
        <v>1</v>
      </c>
      <c r="K290" s="2" t="s">
        <v>81</v>
      </c>
      <c r="L290" s="2" t="s">
        <v>40</v>
      </c>
      <c r="M290" s="2" t="s">
        <v>5292</v>
      </c>
      <c r="N290" s="2" t="s">
        <v>5261</v>
      </c>
      <c r="O290" s="2" t="s">
        <v>5170</v>
      </c>
      <c r="P290" s="2" t="s">
        <v>4</v>
      </c>
      <c r="Q290" s="2">
        <f>INDEX(Tables!$C$4:$C$28,MATCH($P290,Tables!$B$4:$B$28,0))</f>
        <v>32</v>
      </c>
      <c r="R290" s="2">
        <f>INDEX(Tables!$D$4:$D$28,MATCH($P290,Tables!$B$4:$B$28,0))</f>
        <v>4</v>
      </c>
      <c r="S290" s="2">
        <f>$S289+$R289+INDEX(Tables!$N$5:$Q$8,MATCH(MOD($S289+$R289,4),Tables!$M$5:$M$8,0),MATCH($R290,Tables!$N$4:$Q$4,0))</f>
        <v>972</v>
      </c>
      <c r="T290" s="2" t="str">
        <f t="shared" si="69"/>
        <v>03CC</v>
      </c>
      <c r="U290" s="2">
        <f t="shared" si="74"/>
        <v>243</v>
      </c>
      <c r="V290" s="2" t="str">
        <f t="shared" si="70"/>
        <v>0F3</v>
      </c>
      <c r="W290" s="2" t="str">
        <f t="shared" si="71"/>
        <v/>
      </c>
      <c r="X290" s="2" t="str">
        <f t="shared" si="75"/>
        <v/>
      </c>
      <c r="Y290" s="2" t="str">
        <f t="shared" si="72"/>
        <v/>
      </c>
      <c r="Z290" s="2" t="str">
        <f t="shared" si="73"/>
        <v>X</v>
      </c>
      <c r="AA290" s="2" t="str">
        <f t="shared" si="76"/>
        <v/>
      </c>
      <c r="AB290" s="2" t="str">
        <f t="shared" si="77"/>
        <v/>
      </c>
      <c r="AC290" s="2" t="str">
        <f t="shared" si="78"/>
        <v/>
      </c>
      <c r="AD290" s="2" t="str">
        <f t="shared" si="79"/>
        <v>(0)</v>
      </c>
      <c r="AE290" s="2" t="str">
        <f t="shared" si="80"/>
        <v/>
      </c>
      <c r="AF290" s="2" t="str">
        <f t="shared" si="81"/>
        <v/>
      </c>
      <c r="AG290" s="2" t="str">
        <f t="shared" si="82"/>
        <v/>
      </c>
      <c r="AH290" s="2" t="str">
        <f t="shared" si="83"/>
        <v/>
      </c>
    </row>
    <row r="291" spans="2:34" x14ac:dyDescent="0.25">
      <c r="B291" s="2" t="s">
        <v>653</v>
      </c>
      <c r="C291" s="2" t="s">
        <v>649</v>
      </c>
      <c r="D291" s="2" t="s">
        <v>0</v>
      </c>
      <c r="E291" s="2" t="s">
        <v>130</v>
      </c>
      <c r="F291" s="2" t="s">
        <v>654</v>
      </c>
      <c r="G291" s="2" t="s">
        <v>655</v>
      </c>
      <c r="H291" s="2" t="s">
        <v>650</v>
      </c>
      <c r="I291" s="2" t="s">
        <v>41</v>
      </c>
      <c r="J291" s="2">
        <v>5</v>
      </c>
      <c r="K291" s="2" t="s">
        <v>132</v>
      </c>
      <c r="L291" s="2" t="s">
        <v>40</v>
      </c>
      <c r="M291" s="2" t="s">
        <v>5292</v>
      </c>
      <c r="N291" s="2" t="s">
        <v>5261</v>
      </c>
      <c r="O291" s="2" t="s">
        <v>5171</v>
      </c>
      <c r="P291" s="2" t="s">
        <v>47</v>
      </c>
      <c r="Q291" s="2">
        <f>INDEX(Tables!$C$4:$C$28,MATCH($P291,Tables!$B$4:$B$28,0))</f>
        <v>8</v>
      </c>
      <c r="R291" s="2">
        <f>INDEX(Tables!$D$4:$D$28,MATCH($P291,Tables!$B$4:$B$28,0))</f>
        <v>1</v>
      </c>
      <c r="S291" s="2">
        <f>$S290+$R290+INDEX(Tables!$N$5:$Q$8,MATCH(MOD($S290+$R290,4),Tables!$M$5:$M$8,0),MATCH($R291,Tables!$N$4:$Q$4,0))</f>
        <v>976</v>
      </c>
      <c r="T291" s="2" t="str">
        <f t="shared" si="69"/>
        <v>03D0</v>
      </c>
      <c r="U291" s="2">
        <f t="shared" si="74"/>
        <v>244</v>
      </c>
      <c r="V291" s="2" t="str">
        <f t="shared" si="70"/>
        <v>0F4</v>
      </c>
      <c r="W291" s="2" t="str">
        <f t="shared" si="71"/>
        <v/>
      </c>
      <c r="X291" s="2" t="str">
        <f t="shared" si="75"/>
        <v/>
      </c>
      <c r="Y291" s="2" t="str">
        <f t="shared" si="72"/>
        <v/>
      </c>
      <c r="Z291" s="2" t="str">
        <f t="shared" si="73"/>
        <v>X</v>
      </c>
      <c r="AA291" s="2" t="str">
        <f t="shared" si="76"/>
        <v/>
      </c>
      <c r="AB291" s="2" t="str">
        <f t="shared" si="77"/>
        <v/>
      </c>
      <c r="AC291" s="2" t="str">
        <f t="shared" si="78"/>
        <v/>
      </c>
      <c r="AD291" s="2" t="str">
        <f t="shared" si="79"/>
        <v>(4 downto 0)</v>
      </c>
      <c r="AE291" s="2" t="str">
        <f t="shared" si="80"/>
        <v/>
      </c>
      <c r="AF291" s="2" t="str">
        <f t="shared" si="81"/>
        <v/>
      </c>
      <c r="AG291" s="2" t="str">
        <f t="shared" si="82"/>
        <v/>
      </c>
      <c r="AH291" s="2" t="str">
        <f t="shared" si="83"/>
        <v/>
      </c>
    </row>
    <row r="292" spans="2:34" x14ac:dyDescent="0.25">
      <c r="B292" s="2" t="s">
        <v>653</v>
      </c>
      <c r="C292" s="2" t="s">
        <v>656</v>
      </c>
      <c r="D292" s="2" t="s">
        <v>0</v>
      </c>
      <c r="E292" s="2" t="s">
        <v>130</v>
      </c>
      <c r="F292" s="2" t="s">
        <v>654</v>
      </c>
      <c r="G292" s="2" t="s">
        <v>655</v>
      </c>
      <c r="H292" s="2" t="s">
        <v>657</v>
      </c>
      <c r="I292" s="2" t="s">
        <v>41</v>
      </c>
      <c r="J292" s="2">
        <v>24</v>
      </c>
      <c r="K292" s="2" t="s">
        <v>132</v>
      </c>
      <c r="L292" s="2" t="s">
        <v>40</v>
      </c>
      <c r="M292" s="2" t="s">
        <v>5292</v>
      </c>
      <c r="N292" s="2" t="s">
        <v>5261</v>
      </c>
      <c r="O292" s="2" t="s">
        <v>5173</v>
      </c>
      <c r="P292" s="2" t="s">
        <v>48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$S291+$R291+INDEX(Tables!$N$5:$Q$8,MATCH(MOD($S291+$R291,4),Tables!$M$5:$M$8,0),MATCH($R292,Tables!$N$4:$Q$4,0))</f>
        <v>980</v>
      </c>
      <c r="T292" s="2" t="str">
        <f t="shared" si="69"/>
        <v>03D4</v>
      </c>
      <c r="U292" s="2">
        <f t="shared" si="74"/>
        <v>245</v>
      </c>
      <c r="V292" s="2" t="str">
        <f t="shared" si="70"/>
        <v>0F5</v>
      </c>
      <c r="W292" s="2" t="str">
        <f t="shared" si="71"/>
        <v/>
      </c>
      <c r="X292" s="2" t="str">
        <f t="shared" si="75"/>
        <v>X</v>
      </c>
      <c r="Y292" s="2" t="str">
        <f t="shared" si="72"/>
        <v>X</v>
      </c>
      <c r="Z292" s="2" t="str">
        <f t="shared" si="73"/>
        <v>X</v>
      </c>
      <c r="AA292" s="2" t="str">
        <f t="shared" si="76"/>
        <v/>
      </c>
      <c r="AB292" s="2" t="str">
        <f t="shared" si="77"/>
        <v>(23 downto 16)</v>
      </c>
      <c r="AC292" s="2" t="str">
        <f t="shared" si="78"/>
        <v>(15 downto 8)</v>
      </c>
      <c r="AD292" s="2" t="str">
        <f t="shared" si="79"/>
        <v>(7 downto 0)</v>
      </c>
      <c r="AE292" s="2" t="str">
        <f t="shared" si="80"/>
        <v/>
      </c>
      <c r="AF292" s="2" t="str">
        <f t="shared" si="81"/>
        <v>(23 downto 16)</v>
      </c>
      <c r="AG292" s="2" t="str">
        <f t="shared" si="82"/>
        <v>(15 downto 8)</v>
      </c>
      <c r="AH292" s="2" t="str">
        <f t="shared" si="83"/>
        <v>(7 downto 0)</v>
      </c>
    </row>
    <row r="293" spans="2:34" x14ac:dyDescent="0.25">
      <c r="B293" s="2" t="s">
        <v>658</v>
      </c>
      <c r="C293" s="2" t="s">
        <v>642</v>
      </c>
      <c r="D293" s="2" t="s">
        <v>0</v>
      </c>
      <c r="E293" s="2" t="s">
        <v>130</v>
      </c>
      <c r="F293" s="2" t="s">
        <v>659</v>
      </c>
      <c r="G293" s="2" t="s">
        <v>660</v>
      </c>
      <c r="H293" s="2" t="s">
        <v>4897</v>
      </c>
      <c r="I293" s="2" t="s">
        <v>41</v>
      </c>
      <c r="J293" s="2">
        <v>1</v>
      </c>
      <c r="K293" s="2" t="s">
        <v>81</v>
      </c>
      <c r="L293" s="2" t="s">
        <v>40</v>
      </c>
      <c r="M293" s="2" t="s">
        <v>5292</v>
      </c>
      <c r="N293" s="2" t="s">
        <v>5262</v>
      </c>
      <c r="O293" s="2" t="s">
        <v>5168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$S292+$R292+INDEX(Tables!$N$5:$Q$8,MATCH(MOD($S292+$R292,4),Tables!$M$5:$M$8,0),MATCH($R293,Tables!$N$4:$Q$4,0))</f>
        <v>984</v>
      </c>
      <c r="T293" s="2" t="str">
        <f t="shared" si="69"/>
        <v>03D8</v>
      </c>
      <c r="U293" s="2">
        <f t="shared" si="74"/>
        <v>246</v>
      </c>
      <c r="V293" s="2" t="str">
        <f t="shared" si="70"/>
        <v>0F6</v>
      </c>
      <c r="W293" s="2" t="str">
        <f t="shared" si="71"/>
        <v/>
      </c>
      <c r="X293" s="2" t="str">
        <f t="shared" si="75"/>
        <v/>
      </c>
      <c r="Y293" s="2" t="str">
        <f t="shared" si="72"/>
        <v/>
      </c>
      <c r="Z293" s="2" t="str">
        <f t="shared" si="73"/>
        <v>X</v>
      </c>
      <c r="AA293" s="2" t="str">
        <f t="shared" si="76"/>
        <v/>
      </c>
      <c r="AB293" s="2" t="str">
        <f t="shared" si="77"/>
        <v/>
      </c>
      <c r="AC293" s="2" t="str">
        <f t="shared" si="78"/>
        <v/>
      </c>
      <c r="AD293" s="2" t="str">
        <f t="shared" si="79"/>
        <v>(0)</v>
      </c>
      <c r="AE293" s="2" t="str">
        <f t="shared" si="80"/>
        <v/>
      </c>
      <c r="AF293" s="2" t="str">
        <f t="shared" si="81"/>
        <v/>
      </c>
      <c r="AG293" s="2" t="str">
        <f t="shared" si="82"/>
        <v/>
      </c>
      <c r="AH293" s="2" t="str">
        <f t="shared" si="83"/>
        <v/>
      </c>
    </row>
    <row r="294" spans="2:34" x14ac:dyDescent="0.25">
      <c r="B294" s="2" t="s">
        <v>658</v>
      </c>
      <c r="C294" s="2" t="s">
        <v>645</v>
      </c>
      <c r="D294" s="2" t="s">
        <v>0</v>
      </c>
      <c r="E294" s="2" t="s">
        <v>130</v>
      </c>
      <c r="F294" s="2" t="s">
        <v>659</v>
      </c>
      <c r="G294" s="2" t="s">
        <v>660</v>
      </c>
      <c r="H294" s="2" t="s">
        <v>646</v>
      </c>
      <c r="I294" s="2" t="s">
        <v>41</v>
      </c>
      <c r="J294" s="2">
        <v>1</v>
      </c>
      <c r="K294" s="2" t="s">
        <v>81</v>
      </c>
      <c r="L294" s="2" t="s">
        <v>40</v>
      </c>
      <c r="M294" s="2" t="s">
        <v>5292</v>
      </c>
      <c r="N294" s="2" t="s">
        <v>5262</v>
      </c>
      <c r="O294" s="2" t="s">
        <v>5169</v>
      </c>
      <c r="P294" s="2" t="s">
        <v>4</v>
      </c>
      <c r="Q294" s="2">
        <f>INDEX(Tables!$C$4:$C$28,MATCH($P294,Tables!$B$4:$B$28,0))</f>
        <v>32</v>
      </c>
      <c r="R294" s="2">
        <f>INDEX(Tables!$D$4:$D$28,MATCH($P294,Tables!$B$4:$B$28,0))</f>
        <v>4</v>
      </c>
      <c r="S294" s="2">
        <f>$S293+$R293+INDEX(Tables!$N$5:$Q$8,MATCH(MOD($S293+$R293,4),Tables!$M$5:$M$8,0),MATCH($R294,Tables!$N$4:$Q$4,0))</f>
        <v>988</v>
      </c>
      <c r="T294" s="2" t="str">
        <f t="shared" si="69"/>
        <v>03DC</v>
      </c>
      <c r="U294" s="2">
        <f t="shared" si="74"/>
        <v>247</v>
      </c>
      <c r="V294" s="2" t="str">
        <f t="shared" si="70"/>
        <v>0F7</v>
      </c>
      <c r="W294" s="2" t="str">
        <f t="shared" si="71"/>
        <v/>
      </c>
      <c r="X294" s="2" t="str">
        <f t="shared" si="75"/>
        <v/>
      </c>
      <c r="Y294" s="2" t="str">
        <f t="shared" si="72"/>
        <v/>
      </c>
      <c r="Z294" s="2" t="str">
        <f t="shared" si="73"/>
        <v>X</v>
      </c>
      <c r="AA294" s="2" t="str">
        <f t="shared" si="76"/>
        <v/>
      </c>
      <c r="AB294" s="2" t="str">
        <f t="shared" si="77"/>
        <v/>
      </c>
      <c r="AC294" s="2" t="str">
        <f t="shared" si="78"/>
        <v/>
      </c>
      <c r="AD294" s="2" t="str">
        <f t="shared" si="79"/>
        <v>(0)</v>
      </c>
      <c r="AE294" s="2" t="str">
        <f t="shared" si="80"/>
        <v/>
      </c>
      <c r="AF294" s="2" t="str">
        <f t="shared" si="81"/>
        <v/>
      </c>
      <c r="AG294" s="2" t="str">
        <f t="shared" si="82"/>
        <v/>
      </c>
      <c r="AH294" s="2" t="str">
        <f t="shared" si="83"/>
        <v/>
      </c>
    </row>
    <row r="295" spans="2:34" x14ac:dyDescent="0.25">
      <c r="B295" s="2" t="s">
        <v>658</v>
      </c>
      <c r="C295" s="2" t="s">
        <v>647</v>
      </c>
      <c r="D295" s="2" t="s">
        <v>0</v>
      </c>
      <c r="E295" s="2" t="s">
        <v>130</v>
      </c>
      <c r="F295" s="2" t="s">
        <v>659</v>
      </c>
      <c r="G295" s="2" t="s">
        <v>660</v>
      </c>
      <c r="H295" s="2" t="s">
        <v>648</v>
      </c>
      <c r="I295" s="2" t="s">
        <v>41</v>
      </c>
      <c r="J295" s="2">
        <v>1</v>
      </c>
      <c r="K295" s="2" t="s">
        <v>81</v>
      </c>
      <c r="L295" s="2" t="s">
        <v>40</v>
      </c>
      <c r="M295" s="2" t="s">
        <v>5292</v>
      </c>
      <c r="N295" s="2" t="s">
        <v>5262</v>
      </c>
      <c r="O295" s="2" t="s">
        <v>5170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$S294+$R294+INDEX(Tables!$N$5:$Q$8,MATCH(MOD($S294+$R294,4),Tables!$M$5:$M$8,0),MATCH($R295,Tables!$N$4:$Q$4,0))</f>
        <v>992</v>
      </c>
      <c r="T295" s="2" t="str">
        <f t="shared" si="69"/>
        <v>03E0</v>
      </c>
      <c r="U295" s="2">
        <f t="shared" si="74"/>
        <v>248</v>
      </c>
      <c r="V295" s="2" t="str">
        <f t="shared" si="70"/>
        <v>0F8</v>
      </c>
      <c r="W295" s="2" t="str">
        <f t="shared" si="71"/>
        <v/>
      </c>
      <c r="X295" s="2" t="str">
        <f t="shared" si="75"/>
        <v/>
      </c>
      <c r="Y295" s="2" t="str">
        <f t="shared" si="72"/>
        <v/>
      </c>
      <c r="Z295" s="2" t="str">
        <f t="shared" si="73"/>
        <v>X</v>
      </c>
      <c r="AA295" s="2" t="str">
        <f t="shared" si="76"/>
        <v/>
      </c>
      <c r="AB295" s="2" t="str">
        <f t="shared" si="77"/>
        <v/>
      </c>
      <c r="AC295" s="2" t="str">
        <f t="shared" si="78"/>
        <v/>
      </c>
      <c r="AD295" s="2" t="str">
        <f t="shared" si="79"/>
        <v>(0)</v>
      </c>
      <c r="AE295" s="2" t="str">
        <f t="shared" si="80"/>
        <v/>
      </c>
      <c r="AF295" s="2" t="str">
        <f t="shared" si="81"/>
        <v/>
      </c>
      <c r="AG295" s="2" t="str">
        <f t="shared" si="82"/>
        <v/>
      </c>
      <c r="AH295" s="2" t="str">
        <f t="shared" si="83"/>
        <v/>
      </c>
    </row>
    <row r="296" spans="2:34" x14ac:dyDescent="0.25">
      <c r="B296" s="2" t="s">
        <v>658</v>
      </c>
      <c r="C296" s="2" t="s">
        <v>649</v>
      </c>
      <c r="D296" s="2" t="s">
        <v>0</v>
      </c>
      <c r="E296" s="2" t="s">
        <v>130</v>
      </c>
      <c r="F296" s="2" t="s">
        <v>659</v>
      </c>
      <c r="G296" s="2" t="s">
        <v>660</v>
      </c>
      <c r="H296" s="2" t="s">
        <v>650</v>
      </c>
      <c r="I296" s="2" t="s">
        <v>41</v>
      </c>
      <c r="J296" s="2">
        <v>5</v>
      </c>
      <c r="K296" s="2" t="s">
        <v>132</v>
      </c>
      <c r="L296" s="2" t="s">
        <v>40</v>
      </c>
      <c r="M296" s="2" t="s">
        <v>5292</v>
      </c>
      <c r="N296" s="2" t="s">
        <v>5262</v>
      </c>
      <c r="O296" s="2" t="s">
        <v>5171</v>
      </c>
      <c r="P296" s="2" t="s">
        <v>47</v>
      </c>
      <c r="Q296" s="2">
        <f>INDEX(Tables!$C$4:$C$28,MATCH($P296,Tables!$B$4:$B$28,0))</f>
        <v>8</v>
      </c>
      <c r="R296" s="2">
        <f>INDEX(Tables!$D$4:$D$28,MATCH($P296,Tables!$B$4:$B$28,0))</f>
        <v>1</v>
      </c>
      <c r="S296" s="2">
        <f>$S295+$R295+INDEX(Tables!$N$5:$Q$8,MATCH(MOD($S295+$R295,4),Tables!$M$5:$M$8,0),MATCH($R296,Tables!$N$4:$Q$4,0))</f>
        <v>996</v>
      </c>
      <c r="T296" s="2" t="str">
        <f t="shared" si="69"/>
        <v>03E4</v>
      </c>
      <c r="U296" s="2">
        <f t="shared" si="74"/>
        <v>249</v>
      </c>
      <c r="V296" s="2" t="str">
        <f t="shared" si="70"/>
        <v>0F9</v>
      </c>
      <c r="W296" s="2" t="str">
        <f t="shared" si="71"/>
        <v/>
      </c>
      <c r="X296" s="2" t="str">
        <f t="shared" si="75"/>
        <v/>
      </c>
      <c r="Y296" s="2" t="str">
        <f t="shared" si="72"/>
        <v/>
      </c>
      <c r="Z296" s="2" t="str">
        <f t="shared" si="73"/>
        <v>X</v>
      </c>
      <c r="AA296" s="2" t="str">
        <f t="shared" si="76"/>
        <v/>
      </c>
      <c r="AB296" s="2" t="str">
        <f t="shared" si="77"/>
        <v/>
      </c>
      <c r="AC296" s="2" t="str">
        <f t="shared" si="78"/>
        <v/>
      </c>
      <c r="AD296" s="2" t="str">
        <f t="shared" si="79"/>
        <v>(4 downto 0)</v>
      </c>
      <c r="AE296" s="2" t="str">
        <f t="shared" si="80"/>
        <v/>
      </c>
      <c r="AF296" s="2" t="str">
        <f t="shared" si="81"/>
        <v/>
      </c>
      <c r="AG296" s="2" t="str">
        <f t="shared" si="82"/>
        <v/>
      </c>
      <c r="AH296" s="2" t="str">
        <f t="shared" si="83"/>
        <v/>
      </c>
    </row>
    <row r="297" spans="2:34" x14ac:dyDescent="0.25">
      <c r="B297" s="2" t="s">
        <v>658</v>
      </c>
      <c r="C297" s="2" t="s">
        <v>661</v>
      </c>
      <c r="D297" s="2" t="s">
        <v>0</v>
      </c>
      <c r="E297" s="2" t="s">
        <v>130</v>
      </c>
      <c r="F297" s="2" t="s">
        <v>659</v>
      </c>
      <c r="G297" s="2" t="s">
        <v>660</v>
      </c>
      <c r="H297" s="2" t="s">
        <v>662</v>
      </c>
      <c r="I297" s="2" t="s">
        <v>41</v>
      </c>
      <c r="J297" s="2">
        <v>24</v>
      </c>
      <c r="K297" s="2" t="s">
        <v>132</v>
      </c>
      <c r="L297" s="2" t="s">
        <v>40</v>
      </c>
      <c r="M297" s="2" t="s">
        <v>5292</v>
      </c>
      <c r="N297" s="2" t="s">
        <v>5262</v>
      </c>
      <c r="O297" s="2" t="s">
        <v>5174</v>
      </c>
      <c r="P297" s="2" t="s">
        <v>48</v>
      </c>
      <c r="Q297" s="2">
        <f>INDEX(Tables!$C$4:$C$28,MATCH($P297,Tables!$B$4:$B$28,0))</f>
        <v>32</v>
      </c>
      <c r="R297" s="2">
        <f>INDEX(Tables!$D$4:$D$28,MATCH($P297,Tables!$B$4:$B$28,0))</f>
        <v>4</v>
      </c>
      <c r="S297" s="2">
        <f>$S296+$R296+INDEX(Tables!$N$5:$Q$8,MATCH(MOD($S296+$R296,4),Tables!$M$5:$M$8,0),MATCH($R297,Tables!$N$4:$Q$4,0))</f>
        <v>1000</v>
      </c>
      <c r="T297" s="2" t="str">
        <f t="shared" si="69"/>
        <v>03E8</v>
      </c>
      <c r="U297" s="2">
        <f t="shared" si="74"/>
        <v>250</v>
      </c>
      <c r="V297" s="2" t="str">
        <f t="shared" si="70"/>
        <v>0FA</v>
      </c>
      <c r="W297" s="2" t="str">
        <f t="shared" si="71"/>
        <v/>
      </c>
      <c r="X297" s="2" t="str">
        <f t="shared" si="75"/>
        <v>X</v>
      </c>
      <c r="Y297" s="2" t="str">
        <f t="shared" si="72"/>
        <v>X</v>
      </c>
      <c r="Z297" s="2" t="str">
        <f t="shared" si="73"/>
        <v>X</v>
      </c>
      <c r="AA297" s="2" t="str">
        <f t="shared" si="76"/>
        <v/>
      </c>
      <c r="AB297" s="2" t="str">
        <f t="shared" si="77"/>
        <v>(23 downto 16)</v>
      </c>
      <c r="AC297" s="2" t="str">
        <f t="shared" si="78"/>
        <v>(15 downto 8)</v>
      </c>
      <c r="AD297" s="2" t="str">
        <f t="shared" si="79"/>
        <v>(7 downto 0)</v>
      </c>
      <c r="AE297" s="2" t="str">
        <f t="shared" si="80"/>
        <v/>
      </c>
      <c r="AF297" s="2" t="str">
        <f t="shared" si="81"/>
        <v>(23 downto 16)</v>
      </c>
      <c r="AG297" s="2" t="str">
        <f t="shared" si="82"/>
        <v>(15 downto 8)</v>
      </c>
      <c r="AH297" s="2" t="str">
        <f t="shared" si="83"/>
        <v>(7 downto 0)</v>
      </c>
    </row>
    <row r="298" spans="2:34" x14ac:dyDescent="0.25">
      <c r="B298" s="2" t="s">
        <v>663</v>
      </c>
      <c r="C298" s="2" t="s">
        <v>642</v>
      </c>
      <c r="D298" s="2" t="s">
        <v>0</v>
      </c>
      <c r="E298" s="2" t="s">
        <v>130</v>
      </c>
      <c r="F298" s="2" t="s">
        <v>664</v>
      </c>
      <c r="G298" s="2" t="s">
        <v>665</v>
      </c>
      <c r="H298" s="2" t="s">
        <v>4897</v>
      </c>
      <c r="I298" s="2" t="s">
        <v>41</v>
      </c>
      <c r="J298" s="2">
        <v>1</v>
      </c>
      <c r="K298" s="2" t="s">
        <v>81</v>
      </c>
      <c r="L298" s="2" t="s">
        <v>40</v>
      </c>
      <c r="M298" s="2" t="s">
        <v>5292</v>
      </c>
      <c r="N298" s="2" t="s">
        <v>5263</v>
      </c>
      <c r="O298" s="2" t="s">
        <v>5168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$S297+$R297+INDEX(Tables!$N$5:$Q$8,MATCH(MOD($S297+$R297,4),Tables!$M$5:$M$8,0),MATCH($R298,Tables!$N$4:$Q$4,0))</f>
        <v>1004</v>
      </c>
      <c r="T298" s="2" t="str">
        <f t="shared" si="69"/>
        <v>03EC</v>
      </c>
      <c r="U298" s="2">
        <f t="shared" si="74"/>
        <v>251</v>
      </c>
      <c r="V298" s="2" t="str">
        <f t="shared" si="70"/>
        <v>0FB</v>
      </c>
      <c r="W298" s="2" t="str">
        <f t="shared" si="71"/>
        <v/>
      </c>
      <c r="X298" s="2" t="str">
        <f t="shared" si="75"/>
        <v/>
      </c>
      <c r="Y298" s="2" t="str">
        <f t="shared" si="72"/>
        <v/>
      </c>
      <c r="Z298" s="2" t="str">
        <f t="shared" si="73"/>
        <v>X</v>
      </c>
      <c r="AA298" s="2" t="str">
        <f t="shared" si="76"/>
        <v/>
      </c>
      <c r="AB298" s="2" t="str">
        <f t="shared" si="77"/>
        <v/>
      </c>
      <c r="AC298" s="2" t="str">
        <f t="shared" si="78"/>
        <v/>
      </c>
      <c r="AD298" s="2" t="str">
        <f t="shared" si="79"/>
        <v>(0)</v>
      </c>
      <c r="AE298" s="2" t="str">
        <f t="shared" si="80"/>
        <v/>
      </c>
      <c r="AF298" s="2" t="str">
        <f t="shared" si="81"/>
        <v/>
      </c>
      <c r="AG298" s="2" t="str">
        <f t="shared" si="82"/>
        <v/>
      </c>
      <c r="AH298" s="2" t="str">
        <f t="shared" si="83"/>
        <v/>
      </c>
    </row>
    <row r="299" spans="2:34" x14ac:dyDescent="0.25">
      <c r="B299" s="2" t="s">
        <v>663</v>
      </c>
      <c r="C299" s="2" t="s">
        <v>645</v>
      </c>
      <c r="D299" s="2" t="s">
        <v>0</v>
      </c>
      <c r="E299" s="2" t="s">
        <v>130</v>
      </c>
      <c r="F299" s="2" t="s">
        <v>664</v>
      </c>
      <c r="G299" s="2" t="s">
        <v>665</v>
      </c>
      <c r="H299" s="2" t="s">
        <v>646</v>
      </c>
      <c r="I299" s="2" t="s">
        <v>41</v>
      </c>
      <c r="J299" s="2">
        <v>1</v>
      </c>
      <c r="K299" s="2" t="s">
        <v>81</v>
      </c>
      <c r="L299" s="2" t="s">
        <v>40</v>
      </c>
      <c r="M299" s="2" t="s">
        <v>5292</v>
      </c>
      <c r="N299" s="2" t="s">
        <v>5263</v>
      </c>
      <c r="O299" s="2" t="s">
        <v>5169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1008</v>
      </c>
      <c r="T299" s="2" t="str">
        <f t="shared" si="69"/>
        <v>03F0</v>
      </c>
      <c r="U299" s="2">
        <f t="shared" si="74"/>
        <v>252</v>
      </c>
      <c r="V299" s="2" t="str">
        <f t="shared" si="70"/>
        <v>0FC</v>
      </c>
      <c r="W299" s="2" t="str">
        <f t="shared" si="71"/>
        <v/>
      </c>
      <c r="X299" s="2" t="str">
        <f t="shared" si="75"/>
        <v/>
      </c>
      <c r="Y299" s="2" t="str">
        <f t="shared" si="72"/>
        <v/>
      </c>
      <c r="Z299" s="2" t="str">
        <f t="shared" si="73"/>
        <v>X</v>
      </c>
      <c r="AA299" s="2" t="str">
        <f t="shared" si="76"/>
        <v/>
      </c>
      <c r="AB299" s="2" t="str">
        <f t="shared" si="77"/>
        <v/>
      </c>
      <c r="AC299" s="2" t="str">
        <f t="shared" si="78"/>
        <v/>
      </c>
      <c r="AD299" s="2" t="str">
        <f t="shared" si="79"/>
        <v>(0)</v>
      </c>
      <c r="AE299" s="2" t="str">
        <f t="shared" si="80"/>
        <v/>
      </c>
      <c r="AF299" s="2" t="str">
        <f t="shared" si="81"/>
        <v/>
      </c>
      <c r="AG299" s="2" t="str">
        <f t="shared" si="82"/>
        <v/>
      </c>
      <c r="AH299" s="2" t="str">
        <f t="shared" si="83"/>
        <v/>
      </c>
    </row>
    <row r="300" spans="2:34" x14ac:dyDescent="0.25">
      <c r="B300" s="2" t="s">
        <v>663</v>
      </c>
      <c r="C300" s="2" t="s">
        <v>647</v>
      </c>
      <c r="D300" s="2" t="s">
        <v>0</v>
      </c>
      <c r="E300" s="2" t="s">
        <v>130</v>
      </c>
      <c r="F300" s="2" t="s">
        <v>664</v>
      </c>
      <c r="G300" s="2" t="s">
        <v>665</v>
      </c>
      <c r="H300" s="2" t="s">
        <v>648</v>
      </c>
      <c r="I300" s="2" t="s">
        <v>41</v>
      </c>
      <c r="J300" s="2">
        <v>1</v>
      </c>
      <c r="K300" s="2" t="s">
        <v>81</v>
      </c>
      <c r="L300" s="2" t="s">
        <v>40</v>
      </c>
      <c r="M300" s="2" t="s">
        <v>5292</v>
      </c>
      <c r="N300" s="2" t="s">
        <v>5263</v>
      </c>
      <c r="O300" s="2" t="s">
        <v>5170</v>
      </c>
      <c r="P300" s="2" t="s">
        <v>4</v>
      </c>
      <c r="Q300" s="2">
        <f>INDEX(Tables!$C$4:$C$28,MATCH($P300,Tables!$B$4:$B$28,0))</f>
        <v>32</v>
      </c>
      <c r="R300" s="2">
        <f>INDEX(Tables!$D$4:$D$28,MATCH($P300,Tables!$B$4:$B$28,0))</f>
        <v>4</v>
      </c>
      <c r="S300" s="2">
        <f>$S299+$R299+INDEX(Tables!$N$5:$Q$8,MATCH(MOD($S299+$R299,4),Tables!$M$5:$M$8,0),MATCH($R300,Tables!$N$4:$Q$4,0))</f>
        <v>1012</v>
      </c>
      <c r="T300" s="2" t="str">
        <f t="shared" si="69"/>
        <v>03F4</v>
      </c>
      <c r="U300" s="2">
        <f t="shared" si="74"/>
        <v>253</v>
      </c>
      <c r="V300" s="2" t="str">
        <f t="shared" si="70"/>
        <v>0FD</v>
      </c>
      <c r="W300" s="2" t="str">
        <f t="shared" si="71"/>
        <v/>
      </c>
      <c r="X300" s="2" t="str">
        <f t="shared" si="75"/>
        <v/>
      </c>
      <c r="Y300" s="2" t="str">
        <f t="shared" si="72"/>
        <v/>
      </c>
      <c r="Z300" s="2" t="str">
        <f t="shared" si="73"/>
        <v>X</v>
      </c>
      <c r="AA300" s="2" t="str">
        <f t="shared" si="76"/>
        <v/>
      </c>
      <c r="AB300" s="2" t="str">
        <f t="shared" si="77"/>
        <v/>
      </c>
      <c r="AC300" s="2" t="str">
        <f t="shared" si="78"/>
        <v/>
      </c>
      <c r="AD300" s="2" t="str">
        <f t="shared" si="79"/>
        <v>(0)</v>
      </c>
      <c r="AE300" s="2" t="str">
        <f t="shared" si="80"/>
        <v/>
      </c>
      <c r="AF300" s="2" t="str">
        <f t="shared" si="81"/>
        <v/>
      </c>
      <c r="AG300" s="2" t="str">
        <f t="shared" si="82"/>
        <v/>
      </c>
      <c r="AH300" s="2" t="str">
        <f t="shared" si="83"/>
        <v/>
      </c>
    </row>
    <row r="301" spans="2:34" x14ac:dyDescent="0.25">
      <c r="B301" s="2" t="s">
        <v>663</v>
      </c>
      <c r="C301" s="2" t="s">
        <v>649</v>
      </c>
      <c r="D301" s="2" t="s">
        <v>0</v>
      </c>
      <c r="E301" s="2" t="s">
        <v>130</v>
      </c>
      <c r="F301" s="2" t="s">
        <v>664</v>
      </c>
      <c r="G301" s="2" t="s">
        <v>665</v>
      </c>
      <c r="H301" s="2" t="s">
        <v>650</v>
      </c>
      <c r="I301" s="2" t="s">
        <v>41</v>
      </c>
      <c r="J301" s="2">
        <v>5</v>
      </c>
      <c r="K301" s="2" t="s">
        <v>132</v>
      </c>
      <c r="L301" s="2" t="s">
        <v>40</v>
      </c>
      <c r="M301" s="2" t="s">
        <v>5292</v>
      </c>
      <c r="N301" s="2" t="s">
        <v>5263</v>
      </c>
      <c r="O301" s="2" t="s">
        <v>5171</v>
      </c>
      <c r="P301" s="2" t="s">
        <v>47</v>
      </c>
      <c r="Q301" s="2">
        <f>INDEX(Tables!$C$4:$C$28,MATCH($P301,Tables!$B$4:$B$28,0))</f>
        <v>8</v>
      </c>
      <c r="R301" s="2">
        <f>INDEX(Tables!$D$4:$D$28,MATCH($P301,Tables!$B$4:$B$28,0))</f>
        <v>1</v>
      </c>
      <c r="S301" s="2">
        <f>$S300+$R300+INDEX(Tables!$N$5:$Q$8,MATCH(MOD($S300+$R300,4),Tables!$M$5:$M$8,0),MATCH($R301,Tables!$N$4:$Q$4,0))</f>
        <v>1016</v>
      </c>
      <c r="T301" s="2" t="str">
        <f t="shared" si="69"/>
        <v>03F8</v>
      </c>
      <c r="U301" s="2">
        <f t="shared" si="74"/>
        <v>254</v>
      </c>
      <c r="V301" s="2" t="str">
        <f t="shared" si="70"/>
        <v>0FE</v>
      </c>
      <c r="W301" s="2" t="str">
        <f t="shared" si="71"/>
        <v/>
      </c>
      <c r="X301" s="2" t="str">
        <f t="shared" si="75"/>
        <v/>
      </c>
      <c r="Y301" s="2" t="str">
        <f t="shared" si="72"/>
        <v/>
      </c>
      <c r="Z301" s="2" t="str">
        <f t="shared" si="73"/>
        <v>X</v>
      </c>
      <c r="AA301" s="2" t="str">
        <f t="shared" si="76"/>
        <v/>
      </c>
      <c r="AB301" s="2" t="str">
        <f t="shared" si="77"/>
        <v/>
      </c>
      <c r="AC301" s="2" t="str">
        <f t="shared" si="78"/>
        <v/>
      </c>
      <c r="AD301" s="2" t="str">
        <f t="shared" si="79"/>
        <v>(4 downto 0)</v>
      </c>
      <c r="AE301" s="2" t="str">
        <f t="shared" si="80"/>
        <v/>
      </c>
      <c r="AF301" s="2" t="str">
        <f t="shared" si="81"/>
        <v/>
      </c>
      <c r="AG301" s="2" t="str">
        <f t="shared" si="82"/>
        <v/>
      </c>
      <c r="AH301" s="2" t="str">
        <f t="shared" si="83"/>
        <v/>
      </c>
    </row>
    <row r="302" spans="2:34" x14ac:dyDescent="0.25">
      <c r="B302" s="2" t="s">
        <v>663</v>
      </c>
      <c r="C302" s="2" t="s">
        <v>666</v>
      </c>
      <c r="D302" s="2" t="s">
        <v>0</v>
      </c>
      <c r="E302" s="2" t="s">
        <v>130</v>
      </c>
      <c r="F302" s="2" t="s">
        <v>664</v>
      </c>
      <c r="G302" s="2" t="s">
        <v>665</v>
      </c>
      <c r="H302" s="2" t="s">
        <v>667</v>
      </c>
      <c r="I302" s="2" t="s">
        <v>41</v>
      </c>
      <c r="J302" s="2">
        <v>24</v>
      </c>
      <c r="K302" s="2" t="s">
        <v>132</v>
      </c>
      <c r="L302" s="2" t="s">
        <v>40</v>
      </c>
      <c r="M302" s="2" t="s">
        <v>5292</v>
      </c>
      <c r="N302" s="2" t="s">
        <v>5263</v>
      </c>
      <c r="O302" s="2" t="s">
        <v>5175</v>
      </c>
      <c r="P302" s="2" t="s">
        <v>48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1020</v>
      </c>
      <c r="T302" s="2" t="str">
        <f t="shared" si="69"/>
        <v>03FC</v>
      </c>
      <c r="U302" s="2">
        <f t="shared" si="74"/>
        <v>255</v>
      </c>
      <c r="V302" s="2" t="str">
        <f t="shared" si="70"/>
        <v>0FF</v>
      </c>
      <c r="W302" s="2" t="str">
        <f t="shared" si="71"/>
        <v/>
      </c>
      <c r="X302" s="2" t="str">
        <f t="shared" si="75"/>
        <v>X</v>
      </c>
      <c r="Y302" s="2" t="str">
        <f t="shared" si="72"/>
        <v>X</v>
      </c>
      <c r="Z302" s="2" t="str">
        <f t="shared" si="73"/>
        <v>X</v>
      </c>
      <c r="AA302" s="2" t="str">
        <f t="shared" si="76"/>
        <v/>
      </c>
      <c r="AB302" s="2" t="str">
        <f t="shared" si="77"/>
        <v>(23 downto 16)</v>
      </c>
      <c r="AC302" s="2" t="str">
        <f t="shared" si="78"/>
        <v>(15 downto 8)</v>
      </c>
      <c r="AD302" s="2" t="str">
        <f t="shared" si="79"/>
        <v>(7 downto 0)</v>
      </c>
      <c r="AE302" s="2" t="str">
        <f t="shared" si="80"/>
        <v/>
      </c>
      <c r="AF302" s="2" t="str">
        <f t="shared" si="81"/>
        <v>(23 downto 16)</v>
      </c>
      <c r="AG302" s="2" t="str">
        <f t="shared" si="82"/>
        <v>(15 downto 8)</v>
      </c>
      <c r="AH302" s="2" t="str">
        <f t="shared" si="83"/>
        <v>(7 downto 0)</v>
      </c>
    </row>
    <row r="303" spans="2:34" x14ac:dyDescent="0.25">
      <c r="B303" s="2" t="s">
        <v>668</v>
      </c>
      <c r="C303" s="2" t="s">
        <v>642</v>
      </c>
      <c r="D303" s="2" t="s">
        <v>0</v>
      </c>
      <c r="E303" s="2" t="s">
        <v>130</v>
      </c>
      <c r="F303" s="2" t="s">
        <v>669</v>
      </c>
      <c r="G303" s="2" t="s">
        <v>670</v>
      </c>
      <c r="H303" s="2" t="s">
        <v>4897</v>
      </c>
      <c r="I303" s="2" t="s">
        <v>41</v>
      </c>
      <c r="J303" s="2">
        <v>1</v>
      </c>
      <c r="K303" s="2" t="s">
        <v>81</v>
      </c>
      <c r="L303" s="2" t="s">
        <v>40</v>
      </c>
      <c r="M303" s="2" t="s">
        <v>5292</v>
      </c>
      <c r="N303" s="2" t="s">
        <v>5264</v>
      </c>
      <c r="O303" s="2" t="s">
        <v>5168</v>
      </c>
      <c r="P303" s="2" t="s">
        <v>4</v>
      </c>
      <c r="Q303" s="2">
        <f>INDEX(Tables!$C$4:$C$28,MATCH($P303,Tables!$B$4:$B$28,0))</f>
        <v>32</v>
      </c>
      <c r="R303" s="2">
        <f>INDEX(Tables!$D$4:$D$28,MATCH($P303,Tables!$B$4:$B$28,0))</f>
        <v>4</v>
      </c>
      <c r="S303" s="2">
        <f>$S302+$R302+INDEX(Tables!$N$5:$Q$8,MATCH(MOD($S302+$R302,4),Tables!$M$5:$M$8,0),MATCH($R303,Tables!$N$4:$Q$4,0))</f>
        <v>1024</v>
      </c>
      <c r="T303" s="2" t="str">
        <f t="shared" si="69"/>
        <v>0400</v>
      </c>
      <c r="U303" s="2">
        <f t="shared" si="74"/>
        <v>256</v>
      </c>
      <c r="V303" s="2" t="str">
        <f t="shared" si="70"/>
        <v>100</v>
      </c>
      <c r="W303" s="2" t="str">
        <f t="shared" si="71"/>
        <v/>
      </c>
      <c r="X303" s="2" t="str">
        <f t="shared" si="75"/>
        <v/>
      </c>
      <c r="Y303" s="2" t="str">
        <f t="shared" si="72"/>
        <v/>
      </c>
      <c r="Z303" s="2" t="str">
        <f t="shared" si="73"/>
        <v>X</v>
      </c>
      <c r="AA303" s="2" t="str">
        <f t="shared" si="76"/>
        <v/>
      </c>
      <c r="AB303" s="2" t="str">
        <f t="shared" si="77"/>
        <v/>
      </c>
      <c r="AC303" s="2" t="str">
        <f t="shared" si="78"/>
        <v/>
      </c>
      <c r="AD303" s="2" t="str">
        <f t="shared" si="79"/>
        <v>(0)</v>
      </c>
      <c r="AE303" s="2" t="str">
        <f t="shared" si="80"/>
        <v/>
      </c>
      <c r="AF303" s="2" t="str">
        <f t="shared" si="81"/>
        <v/>
      </c>
      <c r="AG303" s="2" t="str">
        <f t="shared" si="82"/>
        <v/>
      </c>
      <c r="AH303" s="2" t="str">
        <f t="shared" si="83"/>
        <v/>
      </c>
    </row>
    <row r="304" spans="2:34" x14ac:dyDescent="0.25">
      <c r="B304" s="2" t="s">
        <v>668</v>
      </c>
      <c r="C304" s="2" t="s">
        <v>645</v>
      </c>
      <c r="D304" s="2" t="s">
        <v>0</v>
      </c>
      <c r="E304" s="2" t="s">
        <v>130</v>
      </c>
      <c r="F304" s="2" t="s">
        <v>669</v>
      </c>
      <c r="G304" s="2" t="s">
        <v>670</v>
      </c>
      <c r="H304" s="2" t="s">
        <v>646</v>
      </c>
      <c r="I304" s="2" t="s">
        <v>41</v>
      </c>
      <c r="J304" s="2">
        <v>1</v>
      </c>
      <c r="K304" s="2" t="s">
        <v>81</v>
      </c>
      <c r="L304" s="2" t="s">
        <v>40</v>
      </c>
      <c r="M304" s="2" t="s">
        <v>5292</v>
      </c>
      <c r="N304" s="2" t="s">
        <v>5264</v>
      </c>
      <c r="O304" s="2" t="s">
        <v>5169</v>
      </c>
      <c r="P304" s="2" t="s">
        <v>4</v>
      </c>
      <c r="Q304" s="2">
        <f>INDEX(Tables!$C$4:$C$28,MATCH($P304,Tables!$B$4:$B$28,0))</f>
        <v>32</v>
      </c>
      <c r="R304" s="2">
        <f>INDEX(Tables!$D$4:$D$28,MATCH($P304,Tables!$B$4:$B$28,0))</f>
        <v>4</v>
      </c>
      <c r="S304" s="2">
        <f>$S303+$R303+INDEX(Tables!$N$5:$Q$8,MATCH(MOD($S303+$R303,4),Tables!$M$5:$M$8,0),MATCH($R304,Tables!$N$4:$Q$4,0))</f>
        <v>1028</v>
      </c>
      <c r="T304" s="2" t="str">
        <f t="shared" si="69"/>
        <v>0404</v>
      </c>
      <c r="U304" s="2">
        <f t="shared" si="74"/>
        <v>257</v>
      </c>
      <c r="V304" s="2" t="str">
        <f t="shared" si="70"/>
        <v>101</v>
      </c>
      <c r="W304" s="2" t="str">
        <f t="shared" si="71"/>
        <v/>
      </c>
      <c r="X304" s="2" t="str">
        <f t="shared" si="75"/>
        <v/>
      </c>
      <c r="Y304" s="2" t="str">
        <f t="shared" si="72"/>
        <v/>
      </c>
      <c r="Z304" s="2" t="str">
        <f t="shared" si="73"/>
        <v>X</v>
      </c>
      <c r="AA304" s="2" t="str">
        <f t="shared" si="76"/>
        <v/>
      </c>
      <c r="AB304" s="2" t="str">
        <f t="shared" si="77"/>
        <v/>
      </c>
      <c r="AC304" s="2" t="str">
        <f t="shared" si="78"/>
        <v/>
      </c>
      <c r="AD304" s="2" t="str">
        <f t="shared" si="79"/>
        <v>(0)</v>
      </c>
      <c r="AE304" s="2" t="str">
        <f t="shared" si="80"/>
        <v/>
      </c>
      <c r="AF304" s="2" t="str">
        <f t="shared" si="81"/>
        <v/>
      </c>
      <c r="AG304" s="2" t="str">
        <f t="shared" si="82"/>
        <v/>
      </c>
      <c r="AH304" s="2" t="str">
        <f t="shared" si="83"/>
        <v/>
      </c>
    </row>
    <row r="305" spans="2:34" x14ac:dyDescent="0.25">
      <c r="B305" s="2" t="s">
        <v>668</v>
      </c>
      <c r="C305" s="2" t="s">
        <v>647</v>
      </c>
      <c r="D305" s="2" t="s">
        <v>0</v>
      </c>
      <c r="E305" s="2" t="s">
        <v>130</v>
      </c>
      <c r="F305" s="2" t="s">
        <v>669</v>
      </c>
      <c r="G305" s="2" t="s">
        <v>670</v>
      </c>
      <c r="H305" s="2" t="s">
        <v>648</v>
      </c>
      <c r="I305" s="2" t="s">
        <v>41</v>
      </c>
      <c r="J305" s="2">
        <v>1</v>
      </c>
      <c r="K305" s="2" t="s">
        <v>81</v>
      </c>
      <c r="L305" s="2" t="s">
        <v>40</v>
      </c>
      <c r="M305" s="2" t="s">
        <v>5292</v>
      </c>
      <c r="N305" s="2" t="s">
        <v>5264</v>
      </c>
      <c r="O305" s="2" t="s">
        <v>5170</v>
      </c>
      <c r="P305" s="2" t="s">
        <v>4</v>
      </c>
      <c r="Q305" s="2">
        <f>INDEX(Tables!$C$4:$C$28,MATCH($P305,Tables!$B$4:$B$28,0))</f>
        <v>32</v>
      </c>
      <c r="R305" s="2">
        <f>INDEX(Tables!$D$4:$D$28,MATCH($P305,Tables!$B$4:$B$28,0))</f>
        <v>4</v>
      </c>
      <c r="S305" s="2">
        <f>$S304+$R304+INDEX(Tables!$N$5:$Q$8,MATCH(MOD($S304+$R304,4),Tables!$M$5:$M$8,0),MATCH($R305,Tables!$N$4:$Q$4,0))</f>
        <v>1032</v>
      </c>
      <c r="T305" s="2" t="str">
        <f t="shared" si="69"/>
        <v>0408</v>
      </c>
      <c r="U305" s="2">
        <f t="shared" si="74"/>
        <v>258</v>
      </c>
      <c r="V305" s="2" t="str">
        <f t="shared" si="70"/>
        <v>102</v>
      </c>
      <c r="W305" s="2" t="str">
        <f t="shared" si="71"/>
        <v/>
      </c>
      <c r="X305" s="2" t="str">
        <f t="shared" si="75"/>
        <v/>
      </c>
      <c r="Y305" s="2" t="str">
        <f t="shared" si="72"/>
        <v/>
      </c>
      <c r="Z305" s="2" t="str">
        <f t="shared" si="73"/>
        <v>X</v>
      </c>
      <c r="AA305" s="2" t="str">
        <f t="shared" si="76"/>
        <v/>
      </c>
      <c r="AB305" s="2" t="str">
        <f t="shared" si="77"/>
        <v/>
      </c>
      <c r="AC305" s="2" t="str">
        <f t="shared" si="78"/>
        <v/>
      </c>
      <c r="AD305" s="2" t="str">
        <f t="shared" si="79"/>
        <v>(0)</v>
      </c>
      <c r="AE305" s="2" t="str">
        <f t="shared" si="80"/>
        <v/>
      </c>
      <c r="AF305" s="2" t="str">
        <f t="shared" si="81"/>
        <v/>
      </c>
      <c r="AG305" s="2" t="str">
        <f t="shared" si="82"/>
        <v/>
      </c>
      <c r="AH305" s="2" t="str">
        <f t="shared" si="83"/>
        <v/>
      </c>
    </row>
    <row r="306" spans="2:34" x14ac:dyDescent="0.25">
      <c r="B306" s="2" t="s">
        <v>668</v>
      </c>
      <c r="C306" s="2" t="s">
        <v>649</v>
      </c>
      <c r="D306" s="2" t="s">
        <v>0</v>
      </c>
      <c r="E306" s="2" t="s">
        <v>130</v>
      </c>
      <c r="F306" s="2" t="s">
        <v>669</v>
      </c>
      <c r="G306" s="2" t="s">
        <v>670</v>
      </c>
      <c r="H306" s="2" t="s">
        <v>650</v>
      </c>
      <c r="I306" s="2" t="s">
        <v>41</v>
      </c>
      <c r="J306" s="2">
        <v>5</v>
      </c>
      <c r="K306" s="2" t="s">
        <v>132</v>
      </c>
      <c r="L306" s="2" t="s">
        <v>40</v>
      </c>
      <c r="M306" s="2" t="s">
        <v>5292</v>
      </c>
      <c r="N306" s="2" t="s">
        <v>5264</v>
      </c>
      <c r="O306" s="2" t="s">
        <v>5171</v>
      </c>
      <c r="P306" s="2" t="s">
        <v>47</v>
      </c>
      <c r="Q306" s="2">
        <f>INDEX(Tables!$C$4:$C$28,MATCH($P306,Tables!$B$4:$B$28,0))</f>
        <v>8</v>
      </c>
      <c r="R306" s="2">
        <f>INDEX(Tables!$D$4:$D$28,MATCH($P306,Tables!$B$4:$B$28,0))</f>
        <v>1</v>
      </c>
      <c r="S306" s="2">
        <f>$S305+$R305+INDEX(Tables!$N$5:$Q$8,MATCH(MOD($S305+$R305,4),Tables!$M$5:$M$8,0),MATCH($R306,Tables!$N$4:$Q$4,0))</f>
        <v>1036</v>
      </c>
      <c r="T306" s="2" t="str">
        <f t="shared" si="69"/>
        <v>040C</v>
      </c>
      <c r="U306" s="2">
        <f t="shared" si="74"/>
        <v>259</v>
      </c>
      <c r="V306" s="2" t="str">
        <f t="shared" si="70"/>
        <v>103</v>
      </c>
      <c r="W306" s="2" t="str">
        <f t="shared" si="71"/>
        <v/>
      </c>
      <c r="X306" s="2" t="str">
        <f t="shared" si="75"/>
        <v/>
      </c>
      <c r="Y306" s="2" t="str">
        <f t="shared" si="72"/>
        <v/>
      </c>
      <c r="Z306" s="2" t="str">
        <f t="shared" si="73"/>
        <v>X</v>
      </c>
      <c r="AA306" s="2" t="str">
        <f t="shared" si="76"/>
        <v/>
      </c>
      <c r="AB306" s="2" t="str">
        <f t="shared" si="77"/>
        <v/>
      </c>
      <c r="AC306" s="2" t="str">
        <f t="shared" si="78"/>
        <v/>
      </c>
      <c r="AD306" s="2" t="str">
        <f t="shared" si="79"/>
        <v>(4 downto 0)</v>
      </c>
      <c r="AE306" s="2" t="str">
        <f t="shared" si="80"/>
        <v/>
      </c>
      <c r="AF306" s="2" t="str">
        <f t="shared" si="81"/>
        <v/>
      </c>
      <c r="AG306" s="2" t="str">
        <f t="shared" si="82"/>
        <v/>
      </c>
      <c r="AH306" s="2" t="str">
        <f t="shared" si="83"/>
        <v/>
      </c>
    </row>
    <row r="307" spans="2:34" x14ac:dyDescent="0.25">
      <c r="B307" s="2" t="s">
        <v>668</v>
      </c>
      <c r="C307" s="2" t="s">
        <v>671</v>
      </c>
      <c r="D307" s="2" t="s">
        <v>0</v>
      </c>
      <c r="E307" s="2" t="s">
        <v>130</v>
      </c>
      <c r="F307" s="2" t="s">
        <v>669</v>
      </c>
      <c r="G307" s="2" t="s">
        <v>670</v>
      </c>
      <c r="H307" s="2" t="s">
        <v>672</v>
      </c>
      <c r="I307" s="2" t="s">
        <v>41</v>
      </c>
      <c r="J307" s="2">
        <v>24</v>
      </c>
      <c r="K307" s="2" t="s">
        <v>132</v>
      </c>
      <c r="L307" s="2" t="s">
        <v>40</v>
      </c>
      <c r="M307" s="2" t="s">
        <v>5292</v>
      </c>
      <c r="N307" s="2" t="s">
        <v>5264</v>
      </c>
      <c r="O307" s="2" t="s">
        <v>5176</v>
      </c>
      <c r="P307" s="2" t="s">
        <v>48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1040</v>
      </c>
      <c r="T307" s="2" t="str">
        <f t="shared" si="69"/>
        <v>0410</v>
      </c>
      <c r="U307" s="2">
        <f t="shared" si="74"/>
        <v>260</v>
      </c>
      <c r="V307" s="2" t="str">
        <f t="shared" si="70"/>
        <v>104</v>
      </c>
      <c r="W307" s="2" t="str">
        <f t="shared" si="71"/>
        <v/>
      </c>
      <c r="X307" s="2" t="str">
        <f t="shared" si="75"/>
        <v>X</v>
      </c>
      <c r="Y307" s="2" t="str">
        <f t="shared" si="72"/>
        <v>X</v>
      </c>
      <c r="Z307" s="2" t="str">
        <f t="shared" si="73"/>
        <v>X</v>
      </c>
      <c r="AA307" s="2" t="str">
        <f t="shared" si="76"/>
        <v/>
      </c>
      <c r="AB307" s="2" t="str">
        <f t="shared" si="77"/>
        <v>(23 downto 16)</v>
      </c>
      <c r="AC307" s="2" t="str">
        <f t="shared" si="78"/>
        <v>(15 downto 8)</v>
      </c>
      <c r="AD307" s="2" t="str">
        <f t="shared" si="79"/>
        <v>(7 downto 0)</v>
      </c>
      <c r="AE307" s="2" t="str">
        <f t="shared" si="80"/>
        <v/>
      </c>
      <c r="AF307" s="2" t="str">
        <f t="shared" si="81"/>
        <v>(23 downto 16)</v>
      </c>
      <c r="AG307" s="2" t="str">
        <f t="shared" si="82"/>
        <v>(15 downto 8)</v>
      </c>
      <c r="AH307" s="2" t="str">
        <f t="shared" si="83"/>
        <v>(7 downto 0)</v>
      </c>
    </row>
    <row r="308" spans="2:34" x14ac:dyDescent="0.25">
      <c r="B308" s="2" t="s">
        <v>673</v>
      </c>
      <c r="C308" s="2" t="s">
        <v>642</v>
      </c>
      <c r="D308" s="2" t="s">
        <v>0</v>
      </c>
      <c r="E308" s="2" t="s">
        <v>130</v>
      </c>
      <c r="F308" s="2" t="s">
        <v>674</v>
      </c>
      <c r="G308" s="2" t="s">
        <v>675</v>
      </c>
      <c r="H308" s="2" t="s">
        <v>4897</v>
      </c>
      <c r="I308" s="2" t="s">
        <v>41</v>
      </c>
      <c r="J308" s="2">
        <v>1</v>
      </c>
      <c r="K308" s="2" t="s">
        <v>81</v>
      </c>
      <c r="L308" s="2" t="s">
        <v>40</v>
      </c>
      <c r="M308" s="2" t="s">
        <v>5292</v>
      </c>
      <c r="N308" s="2" t="s">
        <v>5265</v>
      </c>
      <c r="O308" s="2" t="s">
        <v>5168</v>
      </c>
      <c r="P308" s="2" t="s">
        <v>4</v>
      </c>
      <c r="Q308" s="2">
        <f>INDEX(Tables!$C$4:$C$28,MATCH($P308,Tables!$B$4:$B$28,0))</f>
        <v>32</v>
      </c>
      <c r="R308" s="2">
        <f>INDEX(Tables!$D$4:$D$28,MATCH($P308,Tables!$B$4:$B$28,0))</f>
        <v>4</v>
      </c>
      <c r="S308" s="2">
        <f>$S307+$R307+INDEX(Tables!$N$5:$Q$8,MATCH(MOD($S307+$R307,4),Tables!$M$5:$M$8,0),MATCH($R308,Tables!$N$4:$Q$4,0))</f>
        <v>1044</v>
      </c>
      <c r="T308" s="2" t="str">
        <f t="shared" si="69"/>
        <v>0414</v>
      </c>
      <c r="U308" s="2">
        <f t="shared" si="74"/>
        <v>261</v>
      </c>
      <c r="V308" s="2" t="str">
        <f t="shared" si="70"/>
        <v>105</v>
      </c>
      <c r="W308" s="2" t="str">
        <f t="shared" si="71"/>
        <v/>
      </c>
      <c r="X308" s="2" t="str">
        <f t="shared" si="75"/>
        <v/>
      </c>
      <c r="Y308" s="2" t="str">
        <f t="shared" si="72"/>
        <v/>
      </c>
      <c r="Z308" s="2" t="str">
        <f t="shared" si="73"/>
        <v>X</v>
      </c>
      <c r="AA308" s="2" t="str">
        <f t="shared" si="76"/>
        <v/>
      </c>
      <c r="AB308" s="2" t="str">
        <f t="shared" si="77"/>
        <v/>
      </c>
      <c r="AC308" s="2" t="str">
        <f t="shared" si="78"/>
        <v/>
      </c>
      <c r="AD308" s="2" t="str">
        <f t="shared" si="79"/>
        <v>(0)</v>
      </c>
      <c r="AE308" s="2" t="str">
        <f t="shared" si="80"/>
        <v/>
      </c>
      <c r="AF308" s="2" t="str">
        <f t="shared" si="81"/>
        <v/>
      </c>
      <c r="AG308" s="2" t="str">
        <f t="shared" si="82"/>
        <v/>
      </c>
      <c r="AH308" s="2" t="str">
        <f t="shared" si="83"/>
        <v/>
      </c>
    </row>
    <row r="309" spans="2:34" x14ac:dyDescent="0.25">
      <c r="B309" s="2" t="s">
        <v>673</v>
      </c>
      <c r="C309" s="2" t="s">
        <v>645</v>
      </c>
      <c r="D309" s="2" t="s">
        <v>0</v>
      </c>
      <c r="E309" s="2" t="s">
        <v>130</v>
      </c>
      <c r="F309" s="2" t="s">
        <v>674</v>
      </c>
      <c r="G309" s="2" t="s">
        <v>675</v>
      </c>
      <c r="H309" s="2" t="s">
        <v>646</v>
      </c>
      <c r="I309" s="2" t="s">
        <v>41</v>
      </c>
      <c r="J309" s="2">
        <v>1</v>
      </c>
      <c r="K309" s="2" t="s">
        <v>81</v>
      </c>
      <c r="L309" s="2" t="s">
        <v>40</v>
      </c>
      <c r="M309" s="2" t="s">
        <v>5292</v>
      </c>
      <c r="N309" s="2" t="s">
        <v>5265</v>
      </c>
      <c r="O309" s="2" t="s">
        <v>5169</v>
      </c>
      <c r="P309" s="2" t="s">
        <v>4</v>
      </c>
      <c r="Q309" s="2">
        <f>INDEX(Tables!$C$4:$C$28,MATCH($P309,Tables!$B$4:$B$28,0))</f>
        <v>32</v>
      </c>
      <c r="R309" s="2">
        <f>INDEX(Tables!$D$4:$D$28,MATCH($P309,Tables!$B$4:$B$28,0))</f>
        <v>4</v>
      </c>
      <c r="S309" s="2">
        <f>$S308+$R308+INDEX(Tables!$N$5:$Q$8,MATCH(MOD($S308+$R308,4),Tables!$M$5:$M$8,0),MATCH($R309,Tables!$N$4:$Q$4,0))</f>
        <v>1048</v>
      </c>
      <c r="T309" s="2" t="str">
        <f t="shared" si="69"/>
        <v>0418</v>
      </c>
      <c r="U309" s="2">
        <f t="shared" si="74"/>
        <v>262</v>
      </c>
      <c r="V309" s="2" t="str">
        <f t="shared" si="70"/>
        <v>106</v>
      </c>
      <c r="W309" s="2" t="str">
        <f t="shared" si="71"/>
        <v/>
      </c>
      <c r="X309" s="2" t="str">
        <f t="shared" si="75"/>
        <v/>
      </c>
      <c r="Y309" s="2" t="str">
        <f t="shared" si="72"/>
        <v/>
      </c>
      <c r="Z309" s="2" t="str">
        <f t="shared" si="73"/>
        <v>X</v>
      </c>
      <c r="AA309" s="2" t="str">
        <f t="shared" si="76"/>
        <v/>
      </c>
      <c r="AB309" s="2" t="str">
        <f t="shared" si="77"/>
        <v/>
      </c>
      <c r="AC309" s="2" t="str">
        <f t="shared" si="78"/>
        <v/>
      </c>
      <c r="AD309" s="2" t="str">
        <f t="shared" si="79"/>
        <v>(0)</v>
      </c>
      <c r="AE309" s="2" t="str">
        <f t="shared" si="80"/>
        <v/>
      </c>
      <c r="AF309" s="2" t="str">
        <f t="shared" si="81"/>
        <v/>
      </c>
      <c r="AG309" s="2" t="str">
        <f t="shared" si="82"/>
        <v/>
      </c>
      <c r="AH309" s="2" t="str">
        <f t="shared" si="83"/>
        <v/>
      </c>
    </row>
    <row r="310" spans="2:34" x14ac:dyDescent="0.25">
      <c r="B310" s="2" t="s">
        <v>673</v>
      </c>
      <c r="C310" s="2" t="s">
        <v>647</v>
      </c>
      <c r="D310" s="2" t="s">
        <v>0</v>
      </c>
      <c r="E310" s="2" t="s">
        <v>130</v>
      </c>
      <c r="F310" s="2" t="s">
        <v>674</v>
      </c>
      <c r="G310" s="2" t="s">
        <v>675</v>
      </c>
      <c r="H310" s="2" t="s">
        <v>648</v>
      </c>
      <c r="I310" s="2" t="s">
        <v>41</v>
      </c>
      <c r="J310" s="2">
        <v>1</v>
      </c>
      <c r="K310" s="2" t="s">
        <v>81</v>
      </c>
      <c r="L310" s="2" t="s">
        <v>40</v>
      </c>
      <c r="M310" s="2" t="s">
        <v>5292</v>
      </c>
      <c r="N310" s="2" t="s">
        <v>5265</v>
      </c>
      <c r="O310" s="2" t="s">
        <v>5170</v>
      </c>
      <c r="P310" s="2" t="s">
        <v>4</v>
      </c>
      <c r="Q310" s="2">
        <f>INDEX(Tables!$C$4:$C$28,MATCH($P310,Tables!$B$4:$B$28,0))</f>
        <v>32</v>
      </c>
      <c r="R310" s="2">
        <f>INDEX(Tables!$D$4:$D$28,MATCH($P310,Tables!$B$4:$B$28,0))</f>
        <v>4</v>
      </c>
      <c r="S310" s="2">
        <f>$S309+$R309+INDEX(Tables!$N$5:$Q$8,MATCH(MOD($S309+$R309,4),Tables!$M$5:$M$8,0),MATCH($R310,Tables!$N$4:$Q$4,0))</f>
        <v>1052</v>
      </c>
      <c r="T310" s="2" t="str">
        <f t="shared" si="69"/>
        <v>041C</v>
      </c>
      <c r="U310" s="2">
        <f t="shared" si="74"/>
        <v>263</v>
      </c>
      <c r="V310" s="2" t="str">
        <f t="shared" si="70"/>
        <v>107</v>
      </c>
      <c r="W310" s="2" t="str">
        <f t="shared" si="71"/>
        <v/>
      </c>
      <c r="X310" s="2" t="str">
        <f t="shared" si="75"/>
        <v/>
      </c>
      <c r="Y310" s="2" t="str">
        <f t="shared" si="72"/>
        <v/>
      </c>
      <c r="Z310" s="2" t="str">
        <f t="shared" si="73"/>
        <v>X</v>
      </c>
      <c r="AA310" s="2" t="str">
        <f t="shared" si="76"/>
        <v/>
      </c>
      <c r="AB310" s="2" t="str">
        <f t="shared" si="77"/>
        <v/>
      </c>
      <c r="AC310" s="2" t="str">
        <f t="shared" si="78"/>
        <v/>
      </c>
      <c r="AD310" s="2" t="str">
        <f t="shared" si="79"/>
        <v>(0)</v>
      </c>
      <c r="AE310" s="2" t="str">
        <f t="shared" si="80"/>
        <v/>
      </c>
      <c r="AF310" s="2" t="str">
        <f t="shared" si="81"/>
        <v/>
      </c>
      <c r="AG310" s="2" t="str">
        <f t="shared" si="82"/>
        <v/>
      </c>
      <c r="AH310" s="2" t="str">
        <f t="shared" si="83"/>
        <v/>
      </c>
    </row>
    <row r="311" spans="2:34" x14ac:dyDescent="0.25">
      <c r="B311" s="2" t="s">
        <v>673</v>
      </c>
      <c r="C311" s="2" t="s">
        <v>649</v>
      </c>
      <c r="D311" s="2" t="s">
        <v>0</v>
      </c>
      <c r="E311" s="2" t="s">
        <v>130</v>
      </c>
      <c r="F311" s="2" t="s">
        <v>674</v>
      </c>
      <c r="G311" s="2" t="s">
        <v>675</v>
      </c>
      <c r="H311" s="2" t="s">
        <v>650</v>
      </c>
      <c r="I311" s="2" t="s">
        <v>41</v>
      </c>
      <c r="J311" s="2">
        <v>5</v>
      </c>
      <c r="K311" s="2" t="s">
        <v>132</v>
      </c>
      <c r="L311" s="2" t="s">
        <v>40</v>
      </c>
      <c r="M311" s="2" t="s">
        <v>5292</v>
      </c>
      <c r="N311" s="2" t="s">
        <v>5265</v>
      </c>
      <c r="O311" s="2" t="s">
        <v>5171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$S310+$R310+INDEX(Tables!$N$5:$Q$8,MATCH(MOD($S310+$R310,4),Tables!$M$5:$M$8,0),MATCH($R311,Tables!$N$4:$Q$4,0))</f>
        <v>1056</v>
      </c>
      <c r="T311" s="2" t="str">
        <f t="shared" si="69"/>
        <v>0420</v>
      </c>
      <c r="U311" s="2">
        <f t="shared" si="74"/>
        <v>264</v>
      </c>
      <c r="V311" s="2" t="str">
        <f t="shared" si="70"/>
        <v>108</v>
      </c>
      <c r="W311" s="2" t="str">
        <f t="shared" si="71"/>
        <v/>
      </c>
      <c r="X311" s="2" t="str">
        <f t="shared" si="75"/>
        <v/>
      </c>
      <c r="Y311" s="2" t="str">
        <f t="shared" si="72"/>
        <v/>
      </c>
      <c r="Z311" s="2" t="str">
        <f t="shared" si="73"/>
        <v>X</v>
      </c>
      <c r="AA311" s="2" t="str">
        <f t="shared" si="76"/>
        <v/>
      </c>
      <c r="AB311" s="2" t="str">
        <f t="shared" si="77"/>
        <v/>
      </c>
      <c r="AC311" s="2" t="str">
        <f t="shared" si="78"/>
        <v/>
      </c>
      <c r="AD311" s="2" t="str">
        <f t="shared" si="79"/>
        <v>(4 downto 0)</v>
      </c>
      <c r="AE311" s="2" t="str">
        <f t="shared" si="80"/>
        <v/>
      </c>
      <c r="AF311" s="2" t="str">
        <f t="shared" si="81"/>
        <v/>
      </c>
      <c r="AG311" s="2" t="str">
        <f t="shared" si="82"/>
        <v/>
      </c>
      <c r="AH311" s="2" t="str">
        <f t="shared" si="83"/>
        <v/>
      </c>
    </row>
    <row r="312" spans="2:34" x14ac:dyDescent="0.25">
      <c r="B312" s="2" t="s">
        <v>673</v>
      </c>
      <c r="C312" s="2" t="s">
        <v>676</v>
      </c>
      <c r="D312" s="2" t="s">
        <v>0</v>
      </c>
      <c r="E312" s="2" t="s">
        <v>130</v>
      </c>
      <c r="F312" s="2" t="s">
        <v>674</v>
      </c>
      <c r="G312" s="2" t="s">
        <v>675</v>
      </c>
      <c r="H312" s="2" t="s">
        <v>677</v>
      </c>
      <c r="I312" s="2" t="s">
        <v>41</v>
      </c>
      <c r="J312" s="2">
        <v>24</v>
      </c>
      <c r="K312" s="2" t="s">
        <v>132</v>
      </c>
      <c r="L312" s="2" t="s">
        <v>40</v>
      </c>
      <c r="M312" s="2" t="s">
        <v>5292</v>
      </c>
      <c r="N312" s="2" t="s">
        <v>5265</v>
      </c>
      <c r="O312" s="2" t="s">
        <v>5177</v>
      </c>
      <c r="P312" s="2" t="s">
        <v>48</v>
      </c>
      <c r="Q312" s="2">
        <f>INDEX(Tables!$C$4:$C$28,MATCH($P312,Tables!$B$4:$B$28,0))</f>
        <v>32</v>
      </c>
      <c r="R312" s="2">
        <f>INDEX(Tables!$D$4:$D$28,MATCH($P312,Tables!$B$4:$B$28,0))</f>
        <v>4</v>
      </c>
      <c r="S312" s="2">
        <f>$S311+$R311+INDEX(Tables!$N$5:$Q$8,MATCH(MOD($S311+$R311,4),Tables!$M$5:$M$8,0),MATCH($R312,Tables!$N$4:$Q$4,0))</f>
        <v>1060</v>
      </c>
      <c r="T312" s="2" t="str">
        <f t="shared" si="69"/>
        <v>0424</v>
      </c>
      <c r="U312" s="2">
        <f t="shared" si="74"/>
        <v>265</v>
      </c>
      <c r="V312" s="2" t="str">
        <f t="shared" si="70"/>
        <v>109</v>
      </c>
      <c r="W312" s="2" t="str">
        <f t="shared" si="71"/>
        <v/>
      </c>
      <c r="X312" s="2" t="str">
        <f t="shared" si="75"/>
        <v>X</v>
      </c>
      <c r="Y312" s="2" t="str">
        <f t="shared" si="72"/>
        <v>X</v>
      </c>
      <c r="Z312" s="2" t="str">
        <f t="shared" si="73"/>
        <v>X</v>
      </c>
      <c r="AA312" s="2" t="str">
        <f t="shared" si="76"/>
        <v/>
      </c>
      <c r="AB312" s="2" t="str">
        <f t="shared" si="77"/>
        <v>(23 downto 16)</v>
      </c>
      <c r="AC312" s="2" t="str">
        <f t="shared" si="78"/>
        <v>(15 downto 8)</v>
      </c>
      <c r="AD312" s="2" t="str">
        <f t="shared" si="79"/>
        <v>(7 downto 0)</v>
      </c>
      <c r="AE312" s="2" t="str">
        <f t="shared" si="80"/>
        <v/>
      </c>
      <c r="AF312" s="2" t="str">
        <f t="shared" si="81"/>
        <v>(23 downto 16)</v>
      </c>
      <c r="AG312" s="2" t="str">
        <f t="shared" si="82"/>
        <v>(15 downto 8)</v>
      </c>
      <c r="AH312" s="2" t="str">
        <f t="shared" si="83"/>
        <v>(7 downto 0)</v>
      </c>
    </row>
    <row r="313" spans="2:34" x14ac:dyDescent="0.25">
      <c r="B313" s="2" t="s">
        <v>678</v>
      </c>
      <c r="C313" s="2" t="s">
        <v>642</v>
      </c>
      <c r="D313" s="2" t="s">
        <v>0</v>
      </c>
      <c r="E313" s="2" t="s">
        <v>130</v>
      </c>
      <c r="F313" s="2" t="s">
        <v>679</v>
      </c>
      <c r="G313" s="2" t="s">
        <v>680</v>
      </c>
      <c r="H313" s="2" t="s">
        <v>4897</v>
      </c>
      <c r="I313" s="2" t="s">
        <v>41</v>
      </c>
      <c r="J313" s="2">
        <v>1</v>
      </c>
      <c r="K313" s="2" t="s">
        <v>81</v>
      </c>
      <c r="L313" s="2" t="s">
        <v>40</v>
      </c>
      <c r="M313" s="2" t="s">
        <v>5292</v>
      </c>
      <c r="N313" s="2" t="s">
        <v>5266</v>
      </c>
      <c r="O313" s="2" t="s">
        <v>5168</v>
      </c>
      <c r="P313" s="2" t="s">
        <v>4</v>
      </c>
      <c r="Q313" s="2">
        <f>INDEX(Tables!$C$4:$C$28,MATCH($P313,Tables!$B$4:$B$28,0))</f>
        <v>32</v>
      </c>
      <c r="R313" s="2">
        <f>INDEX(Tables!$D$4:$D$28,MATCH($P313,Tables!$B$4:$B$28,0))</f>
        <v>4</v>
      </c>
      <c r="S313" s="2">
        <f>$S312+$R312+INDEX(Tables!$N$5:$Q$8,MATCH(MOD($S312+$R312,4),Tables!$M$5:$M$8,0),MATCH($R313,Tables!$N$4:$Q$4,0))</f>
        <v>1064</v>
      </c>
      <c r="T313" s="2" t="str">
        <f t="shared" si="69"/>
        <v>0428</v>
      </c>
      <c r="U313" s="2">
        <f t="shared" si="74"/>
        <v>266</v>
      </c>
      <c r="V313" s="2" t="str">
        <f t="shared" si="70"/>
        <v>10A</v>
      </c>
      <c r="W313" s="2" t="str">
        <f t="shared" si="71"/>
        <v/>
      </c>
      <c r="X313" s="2" t="str">
        <f t="shared" si="75"/>
        <v/>
      </c>
      <c r="Y313" s="2" t="str">
        <f t="shared" si="72"/>
        <v/>
      </c>
      <c r="Z313" s="2" t="str">
        <f t="shared" si="73"/>
        <v>X</v>
      </c>
      <c r="AA313" s="2" t="str">
        <f t="shared" si="76"/>
        <v/>
      </c>
      <c r="AB313" s="2" t="str">
        <f t="shared" si="77"/>
        <v/>
      </c>
      <c r="AC313" s="2" t="str">
        <f t="shared" si="78"/>
        <v/>
      </c>
      <c r="AD313" s="2" t="str">
        <f t="shared" si="79"/>
        <v>(0)</v>
      </c>
      <c r="AE313" s="2" t="str">
        <f t="shared" si="80"/>
        <v/>
      </c>
      <c r="AF313" s="2" t="str">
        <f t="shared" si="81"/>
        <v/>
      </c>
      <c r="AG313" s="2" t="str">
        <f t="shared" si="82"/>
        <v/>
      </c>
      <c r="AH313" s="2" t="str">
        <f t="shared" si="83"/>
        <v/>
      </c>
    </row>
    <row r="314" spans="2:34" x14ac:dyDescent="0.25">
      <c r="B314" s="2" t="s">
        <v>678</v>
      </c>
      <c r="C314" s="2" t="s">
        <v>645</v>
      </c>
      <c r="D314" s="2" t="s">
        <v>0</v>
      </c>
      <c r="E314" s="2" t="s">
        <v>130</v>
      </c>
      <c r="F314" s="2" t="s">
        <v>679</v>
      </c>
      <c r="G314" s="2" t="s">
        <v>680</v>
      </c>
      <c r="H314" s="2" t="s">
        <v>646</v>
      </c>
      <c r="I314" s="2" t="s">
        <v>41</v>
      </c>
      <c r="J314" s="2">
        <v>1</v>
      </c>
      <c r="K314" s="2" t="s">
        <v>81</v>
      </c>
      <c r="L314" s="2" t="s">
        <v>40</v>
      </c>
      <c r="M314" s="2" t="s">
        <v>5292</v>
      </c>
      <c r="N314" s="2" t="s">
        <v>5266</v>
      </c>
      <c r="O314" s="2" t="s">
        <v>5169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1068</v>
      </c>
      <c r="T314" s="2" t="str">
        <f t="shared" si="69"/>
        <v>042C</v>
      </c>
      <c r="U314" s="2">
        <f t="shared" si="74"/>
        <v>267</v>
      </c>
      <c r="V314" s="2" t="str">
        <f t="shared" si="70"/>
        <v>10B</v>
      </c>
      <c r="W314" s="2" t="str">
        <f t="shared" si="71"/>
        <v/>
      </c>
      <c r="X314" s="2" t="str">
        <f t="shared" si="75"/>
        <v/>
      </c>
      <c r="Y314" s="2" t="str">
        <f t="shared" si="72"/>
        <v/>
      </c>
      <c r="Z314" s="2" t="str">
        <f t="shared" si="73"/>
        <v>X</v>
      </c>
      <c r="AA314" s="2" t="str">
        <f t="shared" si="76"/>
        <v/>
      </c>
      <c r="AB314" s="2" t="str">
        <f t="shared" si="77"/>
        <v/>
      </c>
      <c r="AC314" s="2" t="str">
        <f t="shared" si="78"/>
        <v/>
      </c>
      <c r="AD314" s="2" t="str">
        <f t="shared" si="79"/>
        <v>(0)</v>
      </c>
      <c r="AE314" s="2" t="str">
        <f t="shared" si="80"/>
        <v/>
      </c>
      <c r="AF314" s="2" t="str">
        <f t="shared" si="81"/>
        <v/>
      </c>
      <c r="AG314" s="2" t="str">
        <f t="shared" si="82"/>
        <v/>
      </c>
      <c r="AH314" s="2" t="str">
        <f t="shared" si="83"/>
        <v/>
      </c>
    </row>
    <row r="315" spans="2:34" x14ac:dyDescent="0.25">
      <c r="B315" s="2" t="s">
        <v>678</v>
      </c>
      <c r="C315" s="2" t="s">
        <v>647</v>
      </c>
      <c r="D315" s="2" t="s">
        <v>0</v>
      </c>
      <c r="E315" s="2" t="s">
        <v>130</v>
      </c>
      <c r="F315" s="2" t="s">
        <v>679</v>
      </c>
      <c r="G315" s="2" t="s">
        <v>680</v>
      </c>
      <c r="H315" s="2" t="s">
        <v>648</v>
      </c>
      <c r="I315" s="2" t="s">
        <v>41</v>
      </c>
      <c r="J315" s="2">
        <v>1</v>
      </c>
      <c r="K315" s="2" t="s">
        <v>81</v>
      </c>
      <c r="L315" s="2" t="s">
        <v>40</v>
      </c>
      <c r="M315" s="2" t="s">
        <v>5292</v>
      </c>
      <c r="N315" s="2" t="s">
        <v>5266</v>
      </c>
      <c r="O315" s="2" t="s">
        <v>5170</v>
      </c>
      <c r="P315" s="2" t="s">
        <v>4</v>
      </c>
      <c r="Q315" s="2">
        <f>INDEX(Tables!$C$4:$C$28,MATCH($P315,Tables!$B$4:$B$28,0))</f>
        <v>32</v>
      </c>
      <c r="R315" s="2">
        <f>INDEX(Tables!$D$4:$D$28,MATCH($P315,Tables!$B$4:$B$28,0))</f>
        <v>4</v>
      </c>
      <c r="S315" s="2">
        <f>$S314+$R314+INDEX(Tables!$N$5:$Q$8,MATCH(MOD($S314+$R314,4),Tables!$M$5:$M$8,0),MATCH($R315,Tables!$N$4:$Q$4,0))</f>
        <v>1072</v>
      </c>
      <c r="T315" s="2" t="str">
        <f t="shared" si="69"/>
        <v>0430</v>
      </c>
      <c r="U315" s="2">
        <f t="shared" si="74"/>
        <v>268</v>
      </c>
      <c r="V315" s="2" t="str">
        <f t="shared" si="70"/>
        <v>10C</v>
      </c>
      <c r="W315" s="2" t="str">
        <f t="shared" si="71"/>
        <v/>
      </c>
      <c r="X315" s="2" t="str">
        <f t="shared" si="75"/>
        <v/>
      </c>
      <c r="Y315" s="2" t="str">
        <f t="shared" si="72"/>
        <v/>
      </c>
      <c r="Z315" s="2" t="str">
        <f t="shared" si="73"/>
        <v>X</v>
      </c>
      <c r="AA315" s="2" t="str">
        <f t="shared" si="76"/>
        <v/>
      </c>
      <c r="AB315" s="2" t="str">
        <f t="shared" si="77"/>
        <v/>
      </c>
      <c r="AC315" s="2" t="str">
        <f t="shared" si="78"/>
        <v/>
      </c>
      <c r="AD315" s="2" t="str">
        <f t="shared" si="79"/>
        <v>(0)</v>
      </c>
      <c r="AE315" s="2" t="str">
        <f t="shared" si="80"/>
        <v/>
      </c>
      <c r="AF315" s="2" t="str">
        <f t="shared" si="81"/>
        <v/>
      </c>
      <c r="AG315" s="2" t="str">
        <f t="shared" si="82"/>
        <v/>
      </c>
      <c r="AH315" s="2" t="str">
        <f t="shared" si="83"/>
        <v/>
      </c>
    </row>
    <row r="316" spans="2:34" x14ac:dyDescent="0.25">
      <c r="B316" s="2" t="s">
        <v>678</v>
      </c>
      <c r="C316" s="2" t="s">
        <v>649</v>
      </c>
      <c r="D316" s="2" t="s">
        <v>0</v>
      </c>
      <c r="E316" s="2" t="s">
        <v>130</v>
      </c>
      <c r="F316" s="2" t="s">
        <v>679</v>
      </c>
      <c r="G316" s="2" t="s">
        <v>680</v>
      </c>
      <c r="H316" s="2" t="s">
        <v>650</v>
      </c>
      <c r="I316" s="2" t="s">
        <v>41</v>
      </c>
      <c r="J316" s="2">
        <v>5</v>
      </c>
      <c r="K316" s="2" t="s">
        <v>132</v>
      </c>
      <c r="L316" s="2" t="s">
        <v>40</v>
      </c>
      <c r="M316" s="2" t="s">
        <v>5292</v>
      </c>
      <c r="N316" s="2" t="s">
        <v>5266</v>
      </c>
      <c r="O316" s="2" t="s">
        <v>5171</v>
      </c>
      <c r="P316" s="2" t="s">
        <v>47</v>
      </c>
      <c r="Q316" s="2">
        <f>INDEX(Tables!$C$4:$C$28,MATCH($P316,Tables!$B$4:$B$28,0))</f>
        <v>8</v>
      </c>
      <c r="R316" s="2">
        <f>INDEX(Tables!$D$4:$D$28,MATCH($P316,Tables!$B$4:$B$28,0))</f>
        <v>1</v>
      </c>
      <c r="S316" s="2">
        <f>$S315+$R315+INDEX(Tables!$N$5:$Q$8,MATCH(MOD($S315+$R315,4),Tables!$M$5:$M$8,0),MATCH($R316,Tables!$N$4:$Q$4,0))</f>
        <v>1076</v>
      </c>
      <c r="T316" s="2" t="str">
        <f t="shared" si="69"/>
        <v>0434</v>
      </c>
      <c r="U316" s="2">
        <f t="shared" si="74"/>
        <v>269</v>
      </c>
      <c r="V316" s="2" t="str">
        <f t="shared" si="70"/>
        <v>10D</v>
      </c>
      <c r="W316" s="2" t="str">
        <f t="shared" si="71"/>
        <v/>
      </c>
      <c r="X316" s="2" t="str">
        <f t="shared" si="75"/>
        <v/>
      </c>
      <c r="Y316" s="2" t="str">
        <f t="shared" si="72"/>
        <v/>
      </c>
      <c r="Z316" s="2" t="str">
        <f t="shared" si="73"/>
        <v>X</v>
      </c>
      <c r="AA316" s="2" t="str">
        <f t="shared" si="76"/>
        <v/>
      </c>
      <c r="AB316" s="2" t="str">
        <f t="shared" si="77"/>
        <v/>
      </c>
      <c r="AC316" s="2" t="str">
        <f t="shared" si="78"/>
        <v/>
      </c>
      <c r="AD316" s="2" t="str">
        <f t="shared" si="79"/>
        <v>(4 downto 0)</v>
      </c>
      <c r="AE316" s="2" t="str">
        <f t="shared" si="80"/>
        <v/>
      </c>
      <c r="AF316" s="2" t="str">
        <f t="shared" si="81"/>
        <v/>
      </c>
      <c r="AG316" s="2" t="str">
        <f t="shared" si="82"/>
        <v/>
      </c>
      <c r="AH316" s="2" t="str">
        <f t="shared" si="83"/>
        <v/>
      </c>
    </row>
    <row r="317" spans="2:34" x14ac:dyDescent="0.25">
      <c r="B317" s="2" t="s">
        <v>678</v>
      </c>
      <c r="C317" s="2" t="s">
        <v>681</v>
      </c>
      <c r="D317" s="2" t="s">
        <v>0</v>
      </c>
      <c r="E317" s="2" t="s">
        <v>130</v>
      </c>
      <c r="F317" s="2" t="s">
        <v>679</v>
      </c>
      <c r="G317" s="2" t="s">
        <v>680</v>
      </c>
      <c r="H317" s="2" t="s">
        <v>682</v>
      </c>
      <c r="I317" s="2" t="s">
        <v>41</v>
      </c>
      <c r="J317" s="2">
        <v>24</v>
      </c>
      <c r="K317" s="2" t="s">
        <v>132</v>
      </c>
      <c r="L317" s="2" t="s">
        <v>40</v>
      </c>
      <c r="M317" s="2" t="s">
        <v>5292</v>
      </c>
      <c r="N317" s="2" t="s">
        <v>5266</v>
      </c>
      <c r="O317" s="2" t="s">
        <v>5178</v>
      </c>
      <c r="P317" s="2" t="s">
        <v>48</v>
      </c>
      <c r="Q317" s="2">
        <f>INDEX(Tables!$C$4:$C$28,MATCH($P317,Tables!$B$4:$B$28,0))</f>
        <v>32</v>
      </c>
      <c r="R317" s="2">
        <f>INDEX(Tables!$D$4:$D$28,MATCH($P317,Tables!$B$4:$B$28,0))</f>
        <v>4</v>
      </c>
      <c r="S317" s="2">
        <f>$S316+$R316+INDEX(Tables!$N$5:$Q$8,MATCH(MOD($S316+$R316,4),Tables!$M$5:$M$8,0),MATCH($R317,Tables!$N$4:$Q$4,0))</f>
        <v>1080</v>
      </c>
      <c r="T317" s="2" t="str">
        <f t="shared" si="69"/>
        <v>0438</v>
      </c>
      <c r="U317" s="2">
        <f t="shared" si="74"/>
        <v>270</v>
      </c>
      <c r="V317" s="2" t="str">
        <f t="shared" si="70"/>
        <v>10E</v>
      </c>
      <c r="W317" s="2" t="str">
        <f t="shared" si="71"/>
        <v/>
      </c>
      <c r="X317" s="2" t="str">
        <f t="shared" si="75"/>
        <v>X</v>
      </c>
      <c r="Y317" s="2" t="str">
        <f t="shared" si="72"/>
        <v>X</v>
      </c>
      <c r="Z317" s="2" t="str">
        <f t="shared" si="73"/>
        <v>X</v>
      </c>
      <c r="AA317" s="2" t="str">
        <f t="shared" si="76"/>
        <v/>
      </c>
      <c r="AB317" s="2" t="str">
        <f t="shared" si="77"/>
        <v>(23 downto 16)</v>
      </c>
      <c r="AC317" s="2" t="str">
        <f t="shared" si="78"/>
        <v>(15 downto 8)</v>
      </c>
      <c r="AD317" s="2" t="str">
        <f t="shared" si="79"/>
        <v>(7 downto 0)</v>
      </c>
      <c r="AE317" s="2" t="str">
        <f t="shared" si="80"/>
        <v/>
      </c>
      <c r="AF317" s="2" t="str">
        <f t="shared" si="81"/>
        <v>(23 downto 16)</v>
      </c>
      <c r="AG317" s="2" t="str">
        <f t="shared" si="82"/>
        <v>(15 downto 8)</v>
      </c>
      <c r="AH317" s="2" t="str">
        <f t="shared" si="83"/>
        <v>(7 downto 0)</v>
      </c>
    </row>
    <row r="318" spans="2:34" x14ac:dyDescent="0.25">
      <c r="B318" s="2" t="s">
        <v>683</v>
      </c>
      <c r="C318" s="2" t="s">
        <v>642</v>
      </c>
      <c r="D318" s="2" t="s">
        <v>0</v>
      </c>
      <c r="E318" s="2" t="s">
        <v>130</v>
      </c>
      <c r="F318" s="2" t="s">
        <v>684</v>
      </c>
      <c r="G318" s="2" t="s">
        <v>685</v>
      </c>
      <c r="H318" s="2" t="s">
        <v>4897</v>
      </c>
      <c r="I318" s="2" t="s">
        <v>41</v>
      </c>
      <c r="J318" s="2">
        <v>1</v>
      </c>
      <c r="K318" s="2" t="s">
        <v>81</v>
      </c>
      <c r="L318" s="2" t="s">
        <v>40</v>
      </c>
      <c r="M318" s="2" t="s">
        <v>5292</v>
      </c>
      <c r="N318" s="2" t="s">
        <v>5267</v>
      </c>
      <c r="O318" s="2" t="s">
        <v>5168</v>
      </c>
      <c r="P318" s="2" t="s">
        <v>4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1084</v>
      </c>
      <c r="T318" s="2" t="str">
        <f t="shared" si="69"/>
        <v>043C</v>
      </c>
      <c r="U318" s="2">
        <f t="shared" si="74"/>
        <v>271</v>
      </c>
      <c r="V318" s="2" t="str">
        <f t="shared" si="70"/>
        <v>10F</v>
      </c>
      <c r="W318" s="2" t="str">
        <f t="shared" si="71"/>
        <v/>
      </c>
      <c r="X318" s="2" t="str">
        <f t="shared" si="75"/>
        <v/>
      </c>
      <c r="Y318" s="2" t="str">
        <f t="shared" si="72"/>
        <v/>
      </c>
      <c r="Z318" s="2" t="str">
        <f t="shared" si="73"/>
        <v>X</v>
      </c>
      <c r="AA318" s="2" t="str">
        <f t="shared" si="76"/>
        <v/>
      </c>
      <c r="AB318" s="2" t="str">
        <f t="shared" si="77"/>
        <v/>
      </c>
      <c r="AC318" s="2" t="str">
        <f t="shared" si="78"/>
        <v/>
      </c>
      <c r="AD318" s="2" t="str">
        <f t="shared" si="79"/>
        <v>(0)</v>
      </c>
      <c r="AE318" s="2" t="str">
        <f t="shared" si="80"/>
        <v/>
      </c>
      <c r="AF318" s="2" t="str">
        <f t="shared" si="81"/>
        <v/>
      </c>
      <c r="AG318" s="2" t="str">
        <f t="shared" si="82"/>
        <v/>
      </c>
      <c r="AH318" s="2" t="str">
        <f t="shared" si="83"/>
        <v/>
      </c>
    </row>
    <row r="319" spans="2:34" x14ac:dyDescent="0.25">
      <c r="B319" s="2" t="s">
        <v>683</v>
      </c>
      <c r="C319" s="2" t="s">
        <v>645</v>
      </c>
      <c r="D319" s="2" t="s">
        <v>0</v>
      </c>
      <c r="E319" s="2" t="s">
        <v>130</v>
      </c>
      <c r="F319" s="2" t="s">
        <v>684</v>
      </c>
      <c r="G319" s="2" t="s">
        <v>685</v>
      </c>
      <c r="H319" s="2" t="s">
        <v>646</v>
      </c>
      <c r="I319" s="2" t="s">
        <v>41</v>
      </c>
      <c r="J319" s="2">
        <v>1</v>
      </c>
      <c r="K319" s="2" t="s">
        <v>81</v>
      </c>
      <c r="L319" s="2" t="s">
        <v>40</v>
      </c>
      <c r="M319" s="2" t="s">
        <v>5292</v>
      </c>
      <c r="N319" s="2" t="s">
        <v>5267</v>
      </c>
      <c r="O319" s="2" t="s">
        <v>5169</v>
      </c>
      <c r="P319" s="2" t="s">
        <v>4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1088</v>
      </c>
      <c r="T319" s="2" t="str">
        <f t="shared" si="69"/>
        <v>0440</v>
      </c>
      <c r="U319" s="2">
        <f t="shared" si="74"/>
        <v>272</v>
      </c>
      <c r="V319" s="2" t="str">
        <f t="shared" si="70"/>
        <v>110</v>
      </c>
      <c r="W319" s="2" t="str">
        <f t="shared" si="71"/>
        <v/>
      </c>
      <c r="X319" s="2" t="str">
        <f t="shared" si="75"/>
        <v/>
      </c>
      <c r="Y319" s="2" t="str">
        <f t="shared" si="72"/>
        <v/>
      </c>
      <c r="Z319" s="2" t="str">
        <f t="shared" si="73"/>
        <v>X</v>
      </c>
      <c r="AA319" s="2" t="str">
        <f t="shared" si="76"/>
        <v/>
      </c>
      <c r="AB319" s="2" t="str">
        <f t="shared" si="77"/>
        <v/>
      </c>
      <c r="AC319" s="2" t="str">
        <f t="shared" si="78"/>
        <v/>
      </c>
      <c r="AD319" s="2" t="str">
        <f t="shared" si="79"/>
        <v>(0)</v>
      </c>
      <c r="AE319" s="2" t="str">
        <f t="shared" si="80"/>
        <v/>
      </c>
      <c r="AF319" s="2" t="str">
        <f t="shared" si="81"/>
        <v/>
      </c>
      <c r="AG319" s="2" t="str">
        <f t="shared" si="82"/>
        <v/>
      </c>
      <c r="AH319" s="2" t="str">
        <f t="shared" si="83"/>
        <v/>
      </c>
    </row>
    <row r="320" spans="2:34" x14ac:dyDescent="0.25">
      <c r="B320" s="2" t="s">
        <v>683</v>
      </c>
      <c r="C320" s="2" t="s">
        <v>647</v>
      </c>
      <c r="D320" s="2" t="s">
        <v>0</v>
      </c>
      <c r="E320" s="2" t="s">
        <v>130</v>
      </c>
      <c r="F320" s="2" t="s">
        <v>684</v>
      </c>
      <c r="G320" s="2" t="s">
        <v>685</v>
      </c>
      <c r="H320" s="2" t="s">
        <v>648</v>
      </c>
      <c r="I320" s="2" t="s">
        <v>41</v>
      </c>
      <c r="J320" s="2">
        <v>1</v>
      </c>
      <c r="K320" s="2" t="s">
        <v>81</v>
      </c>
      <c r="L320" s="2" t="s">
        <v>40</v>
      </c>
      <c r="M320" s="2" t="s">
        <v>5292</v>
      </c>
      <c r="N320" s="2" t="s">
        <v>5267</v>
      </c>
      <c r="O320" s="2" t="s">
        <v>5170</v>
      </c>
      <c r="P320" s="2" t="s">
        <v>4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1092</v>
      </c>
      <c r="T320" s="2" t="str">
        <f t="shared" si="69"/>
        <v>0444</v>
      </c>
      <c r="U320" s="2">
        <f t="shared" si="74"/>
        <v>273</v>
      </c>
      <c r="V320" s="2" t="str">
        <f t="shared" si="70"/>
        <v>111</v>
      </c>
      <c r="W320" s="2" t="str">
        <f t="shared" si="71"/>
        <v/>
      </c>
      <c r="X320" s="2" t="str">
        <f t="shared" si="75"/>
        <v/>
      </c>
      <c r="Y320" s="2" t="str">
        <f t="shared" si="72"/>
        <v/>
      </c>
      <c r="Z320" s="2" t="str">
        <f t="shared" si="73"/>
        <v>X</v>
      </c>
      <c r="AA320" s="2" t="str">
        <f t="shared" si="76"/>
        <v/>
      </c>
      <c r="AB320" s="2" t="str">
        <f t="shared" si="77"/>
        <v/>
      </c>
      <c r="AC320" s="2" t="str">
        <f t="shared" si="78"/>
        <v/>
      </c>
      <c r="AD320" s="2" t="str">
        <f t="shared" si="79"/>
        <v>(0)</v>
      </c>
      <c r="AE320" s="2" t="str">
        <f t="shared" si="80"/>
        <v/>
      </c>
      <c r="AF320" s="2" t="str">
        <f t="shared" si="81"/>
        <v/>
      </c>
      <c r="AG320" s="2" t="str">
        <f t="shared" si="82"/>
        <v/>
      </c>
      <c r="AH320" s="2" t="str">
        <f t="shared" si="83"/>
        <v/>
      </c>
    </row>
    <row r="321" spans="2:34" x14ac:dyDescent="0.25">
      <c r="B321" s="2" t="s">
        <v>683</v>
      </c>
      <c r="C321" s="2" t="s">
        <v>649</v>
      </c>
      <c r="D321" s="2" t="s">
        <v>0</v>
      </c>
      <c r="E321" s="2" t="s">
        <v>130</v>
      </c>
      <c r="F321" s="2" t="s">
        <v>684</v>
      </c>
      <c r="G321" s="2" t="s">
        <v>685</v>
      </c>
      <c r="H321" s="2" t="s">
        <v>650</v>
      </c>
      <c r="I321" s="2" t="s">
        <v>41</v>
      </c>
      <c r="J321" s="2">
        <v>5</v>
      </c>
      <c r="K321" s="2" t="s">
        <v>132</v>
      </c>
      <c r="L321" s="2" t="s">
        <v>40</v>
      </c>
      <c r="M321" s="2" t="s">
        <v>5292</v>
      </c>
      <c r="N321" s="2" t="s">
        <v>5267</v>
      </c>
      <c r="O321" s="2" t="s">
        <v>5171</v>
      </c>
      <c r="P321" s="2" t="s">
        <v>47</v>
      </c>
      <c r="Q321" s="2">
        <f>INDEX(Tables!$C$4:$C$28,MATCH($P321,Tables!$B$4:$B$28,0))</f>
        <v>8</v>
      </c>
      <c r="R321" s="2">
        <f>INDEX(Tables!$D$4:$D$28,MATCH($P321,Tables!$B$4:$B$28,0))</f>
        <v>1</v>
      </c>
      <c r="S321" s="2">
        <f>$S320+$R320+INDEX(Tables!$N$5:$Q$8,MATCH(MOD($S320+$R320,4),Tables!$M$5:$M$8,0),MATCH($R321,Tables!$N$4:$Q$4,0))</f>
        <v>1096</v>
      </c>
      <c r="T321" s="2" t="str">
        <f t="shared" si="69"/>
        <v>0448</v>
      </c>
      <c r="U321" s="2">
        <f t="shared" si="74"/>
        <v>274</v>
      </c>
      <c r="V321" s="2" t="str">
        <f t="shared" si="70"/>
        <v>112</v>
      </c>
      <c r="W321" s="2" t="str">
        <f t="shared" si="71"/>
        <v/>
      </c>
      <c r="X321" s="2" t="str">
        <f t="shared" si="75"/>
        <v/>
      </c>
      <c r="Y321" s="2" t="str">
        <f t="shared" si="72"/>
        <v/>
      </c>
      <c r="Z321" s="2" t="str">
        <f t="shared" si="73"/>
        <v>X</v>
      </c>
      <c r="AA321" s="2" t="str">
        <f t="shared" si="76"/>
        <v/>
      </c>
      <c r="AB321" s="2" t="str">
        <f t="shared" si="77"/>
        <v/>
      </c>
      <c r="AC321" s="2" t="str">
        <f t="shared" si="78"/>
        <v/>
      </c>
      <c r="AD321" s="2" t="str">
        <f t="shared" si="79"/>
        <v>(4 downto 0)</v>
      </c>
      <c r="AE321" s="2" t="str">
        <f t="shared" si="80"/>
        <v/>
      </c>
      <c r="AF321" s="2" t="str">
        <f t="shared" si="81"/>
        <v/>
      </c>
      <c r="AG321" s="2" t="str">
        <f t="shared" si="82"/>
        <v/>
      </c>
      <c r="AH321" s="2" t="str">
        <f t="shared" si="83"/>
        <v/>
      </c>
    </row>
    <row r="322" spans="2:34" x14ac:dyDescent="0.25">
      <c r="B322" s="2" t="s">
        <v>683</v>
      </c>
      <c r="C322" s="2" t="s">
        <v>686</v>
      </c>
      <c r="D322" s="2" t="s">
        <v>0</v>
      </c>
      <c r="E322" s="2" t="s">
        <v>130</v>
      </c>
      <c r="F322" s="2" t="s">
        <v>684</v>
      </c>
      <c r="G322" s="2" t="s">
        <v>685</v>
      </c>
      <c r="H322" s="2" t="s">
        <v>687</v>
      </c>
      <c r="I322" s="2" t="s">
        <v>41</v>
      </c>
      <c r="J322" s="2">
        <v>24</v>
      </c>
      <c r="K322" s="2" t="s">
        <v>132</v>
      </c>
      <c r="L322" s="2" t="s">
        <v>40</v>
      </c>
      <c r="M322" s="2" t="s">
        <v>5292</v>
      </c>
      <c r="N322" s="2" t="s">
        <v>5267</v>
      </c>
      <c r="O322" s="2" t="s">
        <v>5179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1100</v>
      </c>
      <c r="T322" s="2" t="str">
        <f t="shared" si="69"/>
        <v>044C</v>
      </c>
      <c r="U322" s="2">
        <f t="shared" si="74"/>
        <v>275</v>
      </c>
      <c r="V322" s="2" t="str">
        <f t="shared" si="70"/>
        <v>113</v>
      </c>
      <c r="W322" s="2" t="str">
        <f t="shared" si="71"/>
        <v/>
      </c>
      <c r="X322" s="2" t="str">
        <f t="shared" si="75"/>
        <v>X</v>
      </c>
      <c r="Y322" s="2" t="str">
        <f t="shared" si="72"/>
        <v>X</v>
      </c>
      <c r="Z322" s="2" t="str">
        <f t="shared" si="73"/>
        <v>X</v>
      </c>
      <c r="AA322" s="2" t="str">
        <f t="shared" si="76"/>
        <v/>
      </c>
      <c r="AB322" s="2" t="str">
        <f t="shared" si="77"/>
        <v>(23 downto 16)</v>
      </c>
      <c r="AC322" s="2" t="str">
        <f t="shared" si="78"/>
        <v>(15 downto 8)</v>
      </c>
      <c r="AD322" s="2" t="str">
        <f t="shared" si="79"/>
        <v>(7 downto 0)</v>
      </c>
      <c r="AE322" s="2" t="str">
        <f t="shared" si="80"/>
        <v/>
      </c>
      <c r="AF322" s="2" t="str">
        <f t="shared" si="81"/>
        <v>(23 downto 16)</v>
      </c>
      <c r="AG322" s="2" t="str">
        <f t="shared" si="82"/>
        <v>(15 downto 8)</v>
      </c>
      <c r="AH322" s="2" t="str">
        <f t="shared" si="83"/>
        <v>(7 downto 0)</v>
      </c>
    </row>
    <row r="323" spans="2:34" x14ac:dyDescent="0.25">
      <c r="B323" s="2" t="s">
        <v>688</v>
      </c>
      <c r="C323" s="2" t="s">
        <v>642</v>
      </c>
      <c r="D323" s="2" t="s">
        <v>0</v>
      </c>
      <c r="E323" s="2" t="s">
        <v>130</v>
      </c>
      <c r="F323" s="2" t="s">
        <v>689</v>
      </c>
      <c r="G323" s="2" t="s">
        <v>690</v>
      </c>
      <c r="H323" s="2" t="s">
        <v>4897</v>
      </c>
      <c r="I323" s="2" t="s">
        <v>41</v>
      </c>
      <c r="J323" s="2">
        <v>1</v>
      </c>
      <c r="K323" s="2" t="s">
        <v>81</v>
      </c>
      <c r="L323" s="2" t="s">
        <v>40</v>
      </c>
      <c r="M323" s="2" t="s">
        <v>5292</v>
      </c>
      <c r="N323" s="2" t="s">
        <v>5268</v>
      </c>
      <c r="O323" s="2" t="s">
        <v>5168</v>
      </c>
      <c r="P323" s="2" t="s">
        <v>4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1104</v>
      </c>
      <c r="T323" s="2" t="str">
        <f t="shared" si="69"/>
        <v>0450</v>
      </c>
      <c r="U323" s="2">
        <f t="shared" si="74"/>
        <v>276</v>
      </c>
      <c r="V323" s="2" t="str">
        <f t="shared" si="70"/>
        <v>114</v>
      </c>
      <c r="W323" s="2" t="str">
        <f t="shared" si="71"/>
        <v/>
      </c>
      <c r="X323" s="2" t="str">
        <f t="shared" si="75"/>
        <v/>
      </c>
      <c r="Y323" s="2" t="str">
        <f t="shared" si="72"/>
        <v/>
      </c>
      <c r="Z323" s="2" t="str">
        <f t="shared" si="73"/>
        <v>X</v>
      </c>
      <c r="AA323" s="2" t="str">
        <f t="shared" si="76"/>
        <v/>
      </c>
      <c r="AB323" s="2" t="str">
        <f t="shared" si="77"/>
        <v/>
      </c>
      <c r="AC323" s="2" t="str">
        <f t="shared" si="78"/>
        <v/>
      </c>
      <c r="AD323" s="2" t="str">
        <f t="shared" si="79"/>
        <v>(0)</v>
      </c>
      <c r="AE323" s="2" t="str">
        <f t="shared" si="80"/>
        <v/>
      </c>
      <c r="AF323" s="2" t="str">
        <f t="shared" si="81"/>
        <v/>
      </c>
      <c r="AG323" s="2" t="str">
        <f t="shared" si="82"/>
        <v/>
      </c>
      <c r="AH323" s="2" t="str">
        <f t="shared" si="83"/>
        <v/>
      </c>
    </row>
    <row r="324" spans="2:34" x14ac:dyDescent="0.25">
      <c r="B324" s="2" t="s">
        <v>688</v>
      </c>
      <c r="C324" s="2" t="s">
        <v>645</v>
      </c>
      <c r="D324" s="2" t="s">
        <v>0</v>
      </c>
      <c r="E324" s="2" t="s">
        <v>130</v>
      </c>
      <c r="F324" s="2" t="s">
        <v>689</v>
      </c>
      <c r="G324" s="2" t="s">
        <v>690</v>
      </c>
      <c r="H324" s="2" t="s">
        <v>646</v>
      </c>
      <c r="I324" s="2" t="s">
        <v>41</v>
      </c>
      <c r="J324" s="2">
        <v>1</v>
      </c>
      <c r="K324" s="2" t="s">
        <v>81</v>
      </c>
      <c r="L324" s="2" t="s">
        <v>40</v>
      </c>
      <c r="M324" s="2" t="s">
        <v>5292</v>
      </c>
      <c r="N324" s="2" t="s">
        <v>5268</v>
      </c>
      <c r="O324" s="2" t="s">
        <v>5169</v>
      </c>
      <c r="P324" s="2" t="s">
        <v>4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1108</v>
      </c>
      <c r="T324" s="2" t="str">
        <f t="shared" si="69"/>
        <v>0454</v>
      </c>
      <c r="U324" s="2">
        <f t="shared" si="74"/>
        <v>277</v>
      </c>
      <c r="V324" s="2" t="str">
        <f t="shared" si="70"/>
        <v>115</v>
      </c>
      <c r="W324" s="2" t="str">
        <f t="shared" si="71"/>
        <v/>
      </c>
      <c r="X324" s="2" t="str">
        <f t="shared" si="75"/>
        <v/>
      </c>
      <c r="Y324" s="2" t="str">
        <f t="shared" si="72"/>
        <v/>
      </c>
      <c r="Z324" s="2" t="str">
        <f t="shared" si="73"/>
        <v>X</v>
      </c>
      <c r="AA324" s="2" t="str">
        <f t="shared" si="76"/>
        <v/>
      </c>
      <c r="AB324" s="2" t="str">
        <f t="shared" si="77"/>
        <v/>
      </c>
      <c r="AC324" s="2" t="str">
        <f t="shared" si="78"/>
        <v/>
      </c>
      <c r="AD324" s="2" t="str">
        <f t="shared" si="79"/>
        <v>(0)</v>
      </c>
      <c r="AE324" s="2" t="str">
        <f t="shared" si="80"/>
        <v/>
      </c>
      <c r="AF324" s="2" t="str">
        <f t="shared" si="81"/>
        <v/>
      </c>
      <c r="AG324" s="2" t="str">
        <f t="shared" si="82"/>
        <v/>
      </c>
      <c r="AH324" s="2" t="str">
        <f t="shared" si="83"/>
        <v/>
      </c>
    </row>
    <row r="325" spans="2:34" x14ac:dyDescent="0.25">
      <c r="B325" s="2" t="s">
        <v>688</v>
      </c>
      <c r="C325" s="2" t="s">
        <v>647</v>
      </c>
      <c r="D325" s="2" t="s">
        <v>0</v>
      </c>
      <c r="E325" s="2" t="s">
        <v>130</v>
      </c>
      <c r="F325" s="2" t="s">
        <v>689</v>
      </c>
      <c r="G325" s="2" t="s">
        <v>690</v>
      </c>
      <c r="H325" s="2" t="s">
        <v>648</v>
      </c>
      <c r="I325" s="2" t="s">
        <v>41</v>
      </c>
      <c r="J325" s="2">
        <v>1</v>
      </c>
      <c r="K325" s="2" t="s">
        <v>81</v>
      </c>
      <c r="L325" s="2" t="s">
        <v>40</v>
      </c>
      <c r="M325" s="2" t="s">
        <v>5292</v>
      </c>
      <c r="N325" s="2" t="s">
        <v>5268</v>
      </c>
      <c r="O325" s="2" t="s">
        <v>5170</v>
      </c>
      <c r="P325" s="2" t="s">
        <v>4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1112</v>
      </c>
      <c r="T325" s="2" t="str">
        <f t="shared" ref="T325:T388" si="84">DEC2HEX($S325,4)</f>
        <v>0458</v>
      </c>
      <c r="U325" s="2">
        <f t="shared" si="74"/>
        <v>278</v>
      </c>
      <c r="V325" s="2" t="str">
        <f t="shared" ref="V325:V388" si="85">DEC2HEX($U325,3)</f>
        <v>116</v>
      </c>
      <c r="W325" s="2" t="str">
        <f t="shared" ref="W325:W388" si="86">IF(MOD($S325,4)=3,"X",IF(AND(MOD($S325,4)=2,$J325&gt;8),"X",IF(AND(MOD($S325,4)=1,$J325&gt;16),"X",IF(AND(MOD($S325,4)=0,$J325&gt;24),"X",""))))</f>
        <v/>
      </c>
      <c r="X325" s="2" t="str">
        <f t="shared" si="75"/>
        <v/>
      </c>
      <c r="Y325" s="2" t="str">
        <f t="shared" ref="Y325:Y388" si="87">IF(MOD($S325,4)=1,"X",IF(AND(MOD($S325,4)=0,$J325&gt;8),"X",""))</f>
        <v/>
      </c>
      <c r="Z325" s="2" t="str">
        <f t="shared" ref="Z325:Z388" si="88">IF(MOD($S325,4)=0,"X","")</f>
        <v>X</v>
      </c>
      <c r="AA325" s="2" t="str">
        <f t="shared" si="76"/>
        <v/>
      </c>
      <c r="AB325" s="2" t="str">
        <f t="shared" si="77"/>
        <v/>
      </c>
      <c r="AC325" s="2" t="str">
        <f t="shared" si="78"/>
        <v/>
      </c>
      <c r="AD325" s="2" t="str">
        <f t="shared" si="79"/>
        <v>(0)</v>
      </c>
      <c r="AE325" s="2" t="str">
        <f t="shared" si="80"/>
        <v/>
      </c>
      <c r="AF325" s="2" t="str">
        <f t="shared" si="81"/>
        <v/>
      </c>
      <c r="AG325" s="2" t="str">
        <f t="shared" si="82"/>
        <v/>
      </c>
      <c r="AH325" s="2" t="str">
        <f t="shared" si="83"/>
        <v/>
      </c>
    </row>
    <row r="326" spans="2:34" x14ac:dyDescent="0.25">
      <c r="B326" s="2" t="s">
        <v>688</v>
      </c>
      <c r="C326" s="2" t="s">
        <v>649</v>
      </c>
      <c r="D326" s="2" t="s">
        <v>0</v>
      </c>
      <c r="E326" s="2" t="s">
        <v>130</v>
      </c>
      <c r="F326" s="2" t="s">
        <v>689</v>
      </c>
      <c r="G326" s="2" t="s">
        <v>690</v>
      </c>
      <c r="H326" s="2" t="s">
        <v>650</v>
      </c>
      <c r="I326" s="2" t="s">
        <v>41</v>
      </c>
      <c r="J326" s="2">
        <v>5</v>
      </c>
      <c r="K326" s="2" t="s">
        <v>132</v>
      </c>
      <c r="L326" s="2" t="s">
        <v>40</v>
      </c>
      <c r="M326" s="2" t="s">
        <v>5292</v>
      </c>
      <c r="N326" s="2" t="s">
        <v>5268</v>
      </c>
      <c r="O326" s="2" t="s">
        <v>5171</v>
      </c>
      <c r="P326" s="2" t="s">
        <v>47</v>
      </c>
      <c r="Q326" s="2">
        <f>INDEX(Tables!$C$4:$C$28,MATCH($P326,Tables!$B$4:$B$28,0))</f>
        <v>8</v>
      </c>
      <c r="R326" s="2">
        <f>INDEX(Tables!$D$4:$D$28,MATCH($P326,Tables!$B$4:$B$28,0))</f>
        <v>1</v>
      </c>
      <c r="S326" s="2">
        <f>$S325+$R325+INDEX(Tables!$N$5:$Q$8,MATCH(MOD($S325+$R325,4),Tables!$M$5:$M$8,0),MATCH($R326,Tables!$N$4:$Q$4,0))</f>
        <v>1116</v>
      </c>
      <c r="T326" s="2" t="str">
        <f t="shared" si="84"/>
        <v>045C</v>
      </c>
      <c r="U326" s="2">
        <f t="shared" ref="U326:U389" si="89">ROUNDDOWN(S326/4,0)</f>
        <v>279</v>
      </c>
      <c r="V326" s="2" t="str">
        <f t="shared" si="85"/>
        <v>117</v>
      </c>
      <c r="W326" s="2" t="str">
        <f t="shared" si="86"/>
        <v/>
      </c>
      <c r="X326" s="2" t="str">
        <f t="shared" ref="X326:X389" si="90">IF(MOD($S326,4)=2,"X",IF(AND(MOD($S326,4)=1,$J326&gt;8),"X",IF(AND(MOD($S326,4)=0,$J326&gt;16),"X","")))</f>
        <v/>
      </c>
      <c r="Y326" s="2" t="str">
        <f t="shared" si="87"/>
        <v/>
      </c>
      <c r="Z326" s="2" t="str">
        <f t="shared" si="88"/>
        <v>X</v>
      </c>
      <c r="AA326" s="2" t="str">
        <f t="shared" ref="AA326:AA389" si="91">IF(W326="","",CONCATENATE("(",IF(($J326-COUNTIF($X326:$Z326,"X")*8)=1,"24)",CONCATENATE(IF(($J326-COUNTIF($X326:$Z326,"X")*8)&gt;=8,32,($J326-COUNTIF($X326:$Z326,"X")*8)+24)-1," downto 24)"))))</f>
        <v/>
      </c>
      <c r="AB326" s="2" t="str">
        <f t="shared" ref="AB326:AB389" si="92">IF(X326="","",CONCATENATE("(",IF(($J326-COUNTIF($Y326:$Z326,"X")*8)=1,"16)",CONCATENATE(IF(($J326-COUNTIF($Y326:$Z326,"X")*8)&gt;=8,24,($J326-COUNTIF($Y326:$Z326,"X")*8)+16)-1," downto 16)"))))</f>
        <v/>
      </c>
      <c r="AC326" s="2" t="str">
        <f t="shared" ref="AC326:AC389" si="93">IF(Y326="","",CONCATENATE("(",IF(($J326-COUNTIF($Z326,"X")*8)=1,"8)",CONCATENATE(IF(($J326-COUNTIF($Z326,"X")*8)&gt;=8,16,($J326-COUNTIF($Z326,"X")*8)+8)-1," downto 8)"))))</f>
        <v/>
      </c>
      <c r="AD326" s="2" t="str">
        <f t="shared" ref="AD326:AD389" si="94">IF(Z326="","",CONCATENATE("(",IF($J326=1,"0)",CONCATENATE(IF($J326&gt;=8,8,$J326)-1," downto 0)"))))</f>
        <v>(4 downto 0)</v>
      </c>
      <c r="AE326" s="2" t="str">
        <f t="shared" ref="AE326:AE389" si="95">IF(W326="","",IF($J326&lt;=8,"",IF(($J326-COUNTIF($X326:$Z326,"X")*8)=1,CONCATENATE("(",($J326-1),")"),CONCATENATE("(",IF(($J326-COUNTIF($X326:$Z326,"X")*8)&gt;=8,COUNTIF($X326:$Z326,"X")*8+7,$J326-COUNTIF($X326:$Z326,"X")*8-1+COUNTIF($X326:$Z326,"X")*8)," downto ",COUNTIF($X326:$Z326,"X")*8,")"))))</f>
        <v/>
      </c>
      <c r="AF326" s="2" t="str">
        <f t="shared" ref="AF326:AF389" si="96">IF(X326="","",IF($J326&lt;=8,"",IF(($J326-COUNTIF($Y326:$Z326,"X")*8)=1,CONCATENATE("(",($J326-1),")"),CONCATENATE("(",IF(($J326-COUNTIF($Y326:$Z326,"X")*8)&gt;=8,COUNTIF($Y326:$Z326,"X")*8+7,$J326-COUNTIF($Y326:$Z326,"X")*8-1+COUNTIF($Y326:$Z326,"X")*8)," downto ",COUNTIF($Y326:$Z326,"X")*8,")"))))</f>
        <v/>
      </c>
      <c r="AG326" s="2" t="str">
        <f t="shared" ref="AG326:AG389" si="97">IF(Y326="","",IF($J326&lt;=8,"",IF(($J326-COUNTIF($Z326,"X")*8)=1,CONCATENATE("(",($J326-1),")"),CONCATENATE("(",IF(($J326-COUNTIF($Z326,"X")*8)&gt;=8,COUNTIF($Z326,"X")*8+7,$J326-COUNTIF($Z326,"X")*8-1+COUNTIF($Z326,"X")*8)," downto ",COUNTIF($Z326,"X")*8,")"))))</f>
        <v/>
      </c>
      <c r="AH326" s="2" t="str">
        <f t="shared" ref="AH326:AH389" si="98">IF(Z326="","",IF($J326&lt;=8,"",CONCATENATE("(",IF($J326&gt;=8,7,$J326-1)," downto ",0,")")))</f>
        <v/>
      </c>
    </row>
    <row r="327" spans="2:34" x14ac:dyDescent="0.25">
      <c r="B327" s="2" t="s">
        <v>688</v>
      </c>
      <c r="C327" s="2" t="s">
        <v>691</v>
      </c>
      <c r="D327" s="2" t="s">
        <v>0</v>
      </c>
      <c r="E327" s="2" t="s">
        <v>130</v>
      </c>
      <c r="F327" s="2" t="s">
        <v>689</v>
      </c>
      <c r="G327" s="2" t="s">
        <v>690</v>
      </c>
      <c r="H327" s="2" t="s">
        <v>692</v>
      </c>
      <c r="I327" s="2" t="s">
        <v>41</v>
      </c>
      <c r="J327" s="2">
        <v>24</v>
      </c>
      <c r="K327" s="2" t="s">
        <v>132</v>
      </c>
      <c r="L327" s="2" t="s">
        <v>40</v>
      </c>
      <c r="M327" s="2" t="s">
        <v>5292</v>
      </c>
      <c r="N327" s="2" t="s">
        <v>5268</v>
      </c>
      <c r="O327" s="2" t="s">
        <v>5180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1120</v>
      </c>
      <c r="T327" s="2" t="str">
        <f t="shared" si="84"/>
        <v>0460</v>
      </c>
      <c r="U327" s="2">
        <f t="shared" si="89"/>
        <v>280</v>
      </c>
      <c r="V327" s="2" t="str">
        <f t="shared" si="85"/>
        <v>118</v>
      </c>
      <c r="W327" s="2" t="str">
        <f t="shared" si="86"/>
        <v/>
      </c>
      <c r="X327" s="2" t="str">
        <f t="shared" si="90"/>
        <v>X</v>
      </c>
      <c r="Y327" s="2" t="str">
        <f t="shared" si="87"/>
        <v>X</v>
      </c>
      <c r="Z327" s="2" t="str">
        <f t="shared" si="88"/>
        <v>X</v>
      </c>
      <c r="AA327" s="2" t="str">
        <f t="shared" si="91"/>
        <v/>
      </c>
      <c r="AB327" s="2" t="str">
        <f t="shared" si="92"/>
        <v>(23 downto 16)</v>
      </c>
      <c r="AC327" s="2" t="str">
        <f t="shared" si="93"/>
        <v>(15 downto 8)</v>
      </c>
      <c r="AD327" s="2" t="str">
        <f t="shared" si="94"/>
        <v>(7 downto 0)</v>
      </c>
      <c r="AE327" s="2" t="str">
        <f t="shared" si="95"/>
        <v/>
      </c>
      <c r="AF327" s="2" t="str">
        <f t="shared" si="96"/>
        <v>(23 downto 16)</v>
      </c>
      <c r="AG327" s="2" t="str">
        <f t="shared" si="97"/>
        <v>(15 downto 8)</v>
      </c>
      <c r="AH327" s="2" t="str">
        <f t="shared" si="98"/>
        <v>(7 downto 0)</v>
      </c>
    </row>
    <row r="328" spans="2:34" x14ac:dyDescent="0.25">
      <c r="B328" s="2" t="s">
        <v>693</v>
      </c>
      <c r="C328" s="2" t="s">
        <v>642</v>
      </c>
      <c r="D328" s="2" t="s">
        <v>0</v>
      </c>
      <c r="E328" s="2" t="s">
        <v>130</v>
      </c>
      <c r="F328" s="2" t="s">
        <v>694</v>
      </c>
      <c r="G328" s="2" t="s">
        <v>695</v>
      </c>
      <c r="H328" s="2" t="s">
        <v>4897</v>
      </c>
      <c r="I328" s="2" t="s">
        <v>41</v>
      </c>
      <c r="J328" s="2">
        <v>1</v>
      </c>
      <c r="K328" s="2" t="s">
        <v>81</v>
      </c>
      <c r="L328" s="2" t="s">
        <v>40</v>
      </c>
      <c r="M328" s="2" t="s">
        <v>5292</v>
      </c>
      <c r="N328" s="2" t="s">
        <v>5269</v>
      </c>
      <c r="O328" s="2" t="s">
        <v>5168</v>
      </c>
      <c r="P328" s="2" t="s">
        <v>4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1124</v>
      </c>
      <c r="T328" s="2" t="str">
        <f t="shared" si="84"/>
        <v>0464</v>
      </c>
      <c r="U328" s="2">
        <f t="shared" si="89"/>
        <v>281</v>
      </c>
      <c r="V328" s="2" t="str">
        <f t="shared" si="85"/>
        <v>119</v>
      </c>
      <c r="W328" s="2" t="str">
        <f t="shared" si="86"/>
        <v/>
      </c>
      <c r="X328" s="2" t="str">
        <f t="shared" si="90"/>
        <v/>
      </c>
      <c r="Y328" s="2" t="str">
        <f t="shared" si="87"/>
        <v/>
      </c>
      <c r="Z328" s="2" t="str">
        <f t="shared" si="88"/>
        <v>X</v>
      </c>
      <c r="AA328" s="2" t="str">
        <f t="shared" si="91"/>
        <v/>
      </c>
      <c r="AB328" s="2" t="str">
        <f t="shared" si="92"/>
        <v/>
      </c>
      <c r="AC328" s="2" t="str">
        <f t="shared" si="93"/>
        <v/>
      </c>
      <c r="AD328" s="2" t="str">
        <f t="shared" si="94"/>
        <v>(0)</v>
      </c>
      <c r="AE328" s="2" t="str">
        <f t="shared" si="95"/>
        <v/>
      </c>
      <c r="AF328" s="2" t="str">
        <f t="shared" si="96"/>
        <v/>
      </c>
      <c r="AG328" s="2" t="str">
        <f t="shared" si="97"/>
        <v/>
      </c>
      <c r="AH328" s="2" t="str">
        <f t="shared" si="98"/>
        <v/>
      </c>
    </row>
    <row r="329" spans="2:34" x14ac:dyDescent="0.25">
      <c r="B329" s="2" t="s">
        <v>693</v>
      </c>
      <c r="C329" s="2" t="s">
        <v>645</v>
      </c>
      <c r="D329" s="2" t="s">
        <v>0</v>
      </c>
      <c r="E329" s="2" t="s">
        <v>130</v>
      </c>
      <c r="F329" s="2" t="s">
        <v>694</v>
      </c>
      <c r="G329" s="2" t="s">
        <v>695</v>
      </c>
      <c r="H329" s="2" t="s">
        <v>646</v>
      </c>
      <c r="I329" s="2" t="s">
        <v>41</v>
      </c>
      <c r="J329" s="2">
        <v>1</v>
      </c>
      <c r="K329" s="2" t="s">
        <v>81</v>
      </c>
      <c r="L329" s="2" t="s">
        <v>40</v>
      </c>
      <c r="M329" s="2" t="s">
        <v>5292</v>
      </c>
      <c r="N329" s="2" t="s">
        <v>5269</v>
      </c>
      <c r="O329" s="2" t="s">
        <v>5169</v>
      </c>
      <c r="P329" s="2" t="s">
        <v>4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1128</v>
      </c>
      <c r="T329" s="2" t="str">
        <f t="shared" si="84"/>
        <v>0468</v>
      </c>
      <c r="U329" s="2">
        <f t="shared" si="89"/>
        <v>282</v>
      </c>
      <c r="V329" s="2" t="str">
        <f t="shared" si="85"/>
        <v>11A</v>
      </c>
      <c r="W329" s="2" t="str">
        <f t="shared" si="86"/>
        <v/>
      </c>
      <c r="X329" s="2" t="str">
        <f t="shared" si="90"/>
        <v/>
      </c>
      <c r="Y329" s="2" t="str">
        <f t="shared" si="87"/>
        <v/>
      </c>
      <c r="Z329" s="2" t="str">
        <f t="shared" si="88"/>
        <v>X</v>
      </c>
      <c r="AA329" s="2" t="str">
        <f t="shared" si="91"/>
        <v/>
      </c>
      <c r="AB329" s="2" t="str">
        <f t="shared" si="92"/>
        <v/>
      </c>
      <c r="AC329" s="2" t="str">
        <f t="shared" si="93"/>
        <v/>
      </c>
      <c r="AD329" s="2" t="str">
        <f t="shared" si="94"/>
        <v>(0)</v>
      </c>
      <c r="AE329" s="2" t="str">
        <f t="shared" si="95"/>
        <v/>
      </c>
      <c r="AF329" s="2" t="str">
        <f t="shared" si="96"/>
        <v/>
      </c>
      <c r="AG329" s="2" t="str">
        <f t="shared" si="97"/>
        <v/>
      </c>
      <c r="AH329" s="2" t="str">
        <f t="shared" si="98"/>
        <v/>
      </c>
    </row>
    <row r="330" spans="2:34" x14ac:dyDescent="0.25">
      <c r="B330" s="2" t="s">
        <v>693</v>
      </c>
      <c r="C330" s="2" t="s">
        <v>647</v>
      </c>
      <c r="D330" s="2" t="s">
        <v>0</v>
      </c>
      <c r="E330" s="2" t="s">
        <v>130</v>
      </c>
      <c r="F330" s="2" t="s">
        <v>694</v>
      </c>
      <c r="G330" s="2" t="s">
        <v>695</v>
      </c>
      <c r="H330" s="2" t="s">
        <v>648</v>
      </c>
      <c r="I330" s="2" t="s">
        <v>41</v>
      </c>
      <c r="J330" s="2">
        <v>1</v>
      </c>
      <c r="K330" s="2" t="s">
        <v>81</v>
      </c>
      <c r="L330" s="2" t="s">
        <v>40</v>
      </c>
      <c r="M330" s="2" t="s">
        <v>5292</v>
      </c>
      <c r="N330" s="2" t="s">
        <v>5269</v>
      </c>
      <c r="O330" s="2" t="s">
        <v>5170</v>
      </c>
      <c r="P330" s="2" t="s">
        <v>4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1132</v>
      </c>
      <c r="T330" s="2" t="str">
        <f t="shared" si="84"/>
        <v>046C</v>
      </c>
      <c r="U330" s="2">
        <f t="shared" si="89"/>
        <v>283</v>
      </c>
      <c r="V330" s="2" t="str">
        <f t="shared" si="85"/>
        <v>11B</v>
      </c>
      <c r="W330" s="2" t="str">
        <f t="shared" si="86"/>
        <v/>
      </c>
      <c r="X330" s="2" t="str">
        <f t="shared" si="90"/>
        <v/>
      </c>
      <c r="Y330" s="2" t="str">
        <f t="shared" si="87"/>
        <v/>
      </c>
      <c r="Z330" s="2" t="str">
        <f t="shared" si="88"/>
        <v>X</v>
      </c>
      <c r="AA330" s="2" t="str">
        <f t="shared" si="91"/>
        <v/>
      </c>
      <c r="AB330" s="2" t="str">
        <f t="shared" si="92"/>
        <v/>
      </c>
      <c r="AC330" s="2" t="str">
        <f t="shared" si="93"/>
        <v/>
      </c>
      <c r="AD330" s="2" t="str">
        <f t="shared" si="94"/>
        <v>(0)</v>
      </c>
      <c r="AE330" s="2" t="str">
        <f t="shared" si="95"/>
        <v/>
      </c>
      <c r="AF330" s="2" t="str">
        <f t="shared" si="96"/>
        <v/>
      </c>
      <c r="AG330" s="2" t="str">
        <f t="shared" si="97"/>
        <v/>
      </c>
      <c r="AH330" s="2" t="str">
        <f t="shared" si="98"/>
        <v/>
      </c>
    </row>
    <row r="331" spans="2:34" x14ac:dyDescent="0.25">
      <c r="B331" s="2" t="s">
        <v>693</v>
      </c>
      <c r="C331" s="2" t="s">
        <v>649</v>
      </c>
      <c r="D331" s="2" t="s">
        <v>0</v>
      </c>
      <c r="E331" s="2" t="s">
        <v>130</v>
      </c>
      <c r="F331" s="2" t="s">
        <v>694</v>
      </c>
      <c r="G331" s="2" t="s">
        <v>695</v>
      </c>
      <c r="H331" s="2" t="s">
        <v>650</v>
      </c>
      <c r="I331" s="2" t="s">
        <v>41</v>
      </c>
      <c r="J331" s="2">
        <v>5</v>
      </c>
      <c r="K331" s="2" t="s">
        <v>132</v>
      </c>
      <c r="L331" s="2" t="s">
        <v>40</v>
      </c>
      <c r="M331" s="2" t="s">
        <v>5292</v>
      </c>
      <c r="N331" s="2" t="s">
        <v>5269</v>
      </c>
      <c r="O331" s="2" t="s">
        <v>5171</v>
      </c>
      <c r="P331" s="2" t="s">
        <v>47</v>
      </c>
      <c r="Q331" s="2">
        <f>INDEX(Tables!$C$4:$C$28,MATCH($P331,Tables!$B$4:$B$28,0))</f>
        <v>8</v>
      </c>
      <c r="R331" s="2">
        <f>INDEX(Tables!$D$4:$D$28,MATCH($P331,Tables!$B$4:$B$28,0))</f>
        <v>1</v>
      </c>
      <c r="S331" s="2">
        <f>$S330+$R330+INDEX(Tables!$N$5:$Q$8,MATCH(MOD($S330+$R330,4),Tables!$M$5:$M$8,0),MATCH($R331,Tables!$N$4:$Q$4,0))</f>
        <v>1136</v>
      </c>
      <c r="T331" s="2" t="str">
        <f t="shared" si="84"/>
        <v>0470</v>
      </c>
      <c r="U331" s="2">
        <f t="shared" si="89"/>
        <v>284</v>
      </c>
      <c r="V331" s="2" t="str">
        <f t="shared" si="85"/>
        <v>11C</v>
      </c>
      <c r="W331" s="2" t="str">
        <f t="shared" si="86"/>
        <v/>
      </c>
      <c r="X331" s="2" t="str">
        <f t="shared" si="90"/>
        <v/>
      </c>
      <c r="Y331" s="2" t="str">
        <f t="shared" si="87"/>
        <v/>
      </c>
      <c r="Z331" s="2" t="str">
        <f t="shared" si="88"/>
        <v>X</v>
      </c>
      <c r="AA331" s="2" t="str">
        <f t="shared" si="91"/>
        <v/>
      </c>
      <c r="AB331" s="2" t="str">
        <f t="shared" si="92"/>
        <v/>
      </c>
      <c r="AC331" s="2" t="str">
        <f t="shared" si="93"/>
        <v/>
      </c>
      <c r="AD331" s="2" t="str">
        <f t="shared" si="94"/>
        <v>(4 downto 0)</v>
      </c>
      <c r="AE331" s="2" t="str">
        <f t="shared" si="95"/>
        <v/>
      </c>
      <c r="AF331" s="2" t="str">
        <f t="shared" si="96"/>
        <v/>
      </c>
      <c r="AG331" s="2" t="str">
        <f t="shared" si="97"/>
        <v/>
      </c>
      <c r="AH331" s="2" t="str">
        <f t="shared" si="98"/>
        <v/>
      </c>
    </row>
    <row r="332" spans="2:34" x14ac:dyDescent="0.25">
      <c r="B332" s="2" t="s">
        <v>693</v>
      </c>
      <c r="C332" s="2" t="s">
        <v>696</v>
      </c>
      <c r="D332" s="2" t="s">
        <v>0</v>
      </c>
      <c r="E332" s="2" t="s">
        <v>130</v>
      </c>
      <c r="F332" s="2" t="s">
        <v>694</v>
      </c>
      <c r="G332" s="2" t="s">
        <v>695</v>
      </c>
      <c r="H332" s="2" t="s">
        <v>697</v>
      </c>
      <c r="I332" s="2" t="s">
        <v>41</v>
      </c>
      <c r="J332" s="2">
        <v>24</v>
      </c>
      <c r="K332" s="2" t="s">
        <v>132</v>
      </c>
      <c r="L332" s="2" t="s">
        <v>40</v>
      </c>
      <c r="M332" s="2" t="s">
        <v>5292</v>
      </c>
      <c r="N332" s="2" t="s">
        <v>5269</v>
      </c>
      <c r="O332" s="2" t="s">
        <v>5181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1140</v>
      </c>
      <c r="T332" s="2" t="str">
        <f t="shared" si="84"/>
        <v>0474</v>
      </c>
      <c r="U332" s="2">
        <f t="shared" si="89"/>
        <v>285</v>
      </c>
      <c r="V332" s="2" t="str">
        <f t="shared" si="85"/>
        <v>11D</v>
      </c>
      <c r="W332" s="2" t="str">
        <f t="shared" si="86"/>
        <v/>
      </c>
      <c r="X332" s="2" t="str">
        <f t="shared" si="90"/>
        <v>X</v>
      </c>
      <c r="Y332" s="2" t="str">
        <f t="shared" si="87"/>
        <v>X</v>
      </c>
      <c r="Z332" s="2" t="str">
        <f t="shared" si="88"/>
        <v>X</v>
      </c>
      <c r="AA332" s="2" t="str">
        <f t="shared" si="91"/>
        <v/>
      </c>
      <c r="AB332" s="2" t="str">
        <f t="shared" si="92"/>
        <v>(23 downto 16)</v>
      </c>
      <c r="AC332" s="2" t="str">
        <f t="shared" si="93"/>
        <v>(15 downto 8)</v>
      </c>
      <c r="AD332" s="2" t="str">
        <f t="shared" si="94"/>
        <v>(7 downto 0)</v>
      </c>
      <c r="AE332" s="2" t="str">
        <f t="shared" si="95"/>
        <v/>
      </c>
      <c r="AF332" s="2" t="str">
        <f t="shared" si="96"/>
        <v>(23 downto 16)</v>
      </c>
      <c r="AG332" s="2" t="str">
        <f t="shared" si="97"/>
        <v>(15 downto 8)</v>
      </c>
      <c r="AH332" s="2" t="str">
        <f t="shared" si="98"/>
        <v>(7 downto 0)</v>
      </c>
    </row>
    <row r="333" spans="2:34" x14ac:dyDescent="0.25">
      <c r="B333" s="2" t="s">
        <v>698</v>
      </c>
      <c r="C333" s="2" t="s">
        <v>642</v>
      </c>
      <c r="D333" s="2" t="s">
        <v>0</v>
      </c>
      <c r="E333" s="2" t="s">
        <v>130</v>
      </c>
      <c r="F333" s="2" t="s">
        <v>699</v>
      </c>
      <c r="G333" s="2" t="s">
        <v>700</v>
      </c>
      <c r="H333" s="2" t="s">
        <v>4897</v>
      </c>
      <c r="I333" s="2" t="s">
        <v>41</v>
      </c>
      <c r="J333" s="2">
        <v>1</v>
      </c>
      <c r="K333" s="2" t="s">
        <v>81</v>
      </c>
      <c r="L333" s="2" t="s">
        <v>40</v>
      </c>
      <c r="M333" s="2" t="s">
        <v>5292</v>
      </c>
      <c r="N333" s="2" t="s">
        <v>5270</v>
      </c>
      <c r="O333" s="2" t="s">
        <v>5168</v>
      </c>
      <c r="P333" s="2" t="s">
        <v>4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1144</v>
      </c>
      <c r="T333" s="2" t="str">
        <f t="shared" si="84"/>
        <v>0478</v>
      </c>
      <c r="U333" s="2">
        <f t="shared" si="89"/>
        <v>286</v>
      </c>
      <c r="V333" s="2" t="str">
        <f t="shared" si="85"/>
        <v>11E</v>
      </c>
      <c r="W333" s="2" t="str">
        <f t="shared" si="86"/>
        <v/>
      </c>
      <c r="X333" s="2" t="str">
        <f t="shared" si="90"/>
        <v/>
      </c>
      <c r="Y333" s="2" t="str">
        <f t="shared" si="87"/>
        <v/>
      </c>
      <c r="Z333" s="2" t="str">
        <f t="shared" si="88"/>
        <v>X</v>
      </c>
      <c r="AA333" s="2" t="str">
        <f t="shared" si="91"/>
        <v/>
      </c>
      <c r="AB333" s="2" t="str">
        <f t="shared" si="92"/>
        <v/>
      </c>
      <c r="AC333" s="2" t="str">
        <f t="shared" si="93"/>
        <v/>
      </c>
      <c r="AD333" s="2" t="str">
        <f t="shared" si="94"/>
        <v>(0)</v>
      </c>
      <c r="AE333" s="2" t="str">
        <f t="shared" si="95"/>
        <v/>
      </c>
      <c r="AF333" s="2" t="str">
        <f t="shared" si="96"/>
        <v/>
      </c>
      <c r="AG333" s="2" t="str">
        <f t="shared" si="97"/>
        <v/>
      </c>
      <c r="AH333" s="2" t="str">
        <f t="shared" si="98"/>
        <v/>
      </c>
    </row>
    <row r="334" spans="2:34" x14ac:dyDescent="0.25">
      <c r="B334" s="2" t="s">
        <v>698</v>
      </c>
      <c r="C334" s="2" t="s">
        <v>645</v>
      </c>
      <c r="D334" s="2" t="s">
        <v>0</v>
      </c>
      <c r="E334" s="2" t="s">
        <v>130</v>
      </c>
      <c r="F334" s="2" t="s">
        <v>699</v>
      </c>
      <c r="G334" s="2" t="s">
        <v>700</v>
      </c>
      <c r="H334" s="2" t="s">
        <v>646</v>
      </c>
      <c r="I334" s="2" t="s">
        <v>41</v>
      </c>
      <c r="J334" s="2">
        <v>1</v>
      </c>
      <c r="K334" s="2" t="s">
        <v>81</v>
      </c>
      <c r="L334" s="2" t="s">
        <v>40</v>
      </c>
      <c r="M334" s="2" t="s">
        <v>5292</v>
      </c>
      <c r="N334" s="2" t="s">
        <v>5270</v>
      </c>
      <c r="O334" s="2" t="s">
        <v>5169</v>
      </c>
      <c r="P334" s="2" t="s">
        <v>4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1148</v>
      </c>
      <c r="T334" s="2" t="str">
        <f t="shared" si="84"/>
        <v>047C</v>
      </c>
      <c r="U334" s="2">
        <f t="shared" si="89"/>
        <v>287</v>
      </c>
      <c r="V334" s="2" t="str">
        <f t="shared" si="85"/>
        <v>11F</v>
      </c>
      <c r="W334" s="2" t="str">
        <f t="shared" si="86"/>
        <v/>
      </c>
      <c r="X334" s="2" t="str">
        <f t="shared" si="90"/>
        <v/>
      </c>
      <c r="Y334" s="2" t="str">
        <f t="shared" si="87"/>
        <v/>
      </c>
      <c r="Z334" s="2" t="str">
        <f t="shared" si="88"/>
        <v>X</v>
      </c>
      <c r="AA334" s="2" t="str">
        <f t="shared" si="91"/>
        <v/>
      </c>
      <c r="AB334" s="2" t="str">
        <f t="shared" si="92"/>
        <v/>
      </c>
      <c r="AC334" s="2" t="str">
        <f t="shared" si="93"/>
        <v/>
      </c>
      <c r="AD334" s="2" t="str">
        <f t="shared" si="94"/>
        <v>(0)</v>
      </c>
      <c r="AE334" s="2" t="str">
        <f t="shared" si="95"/>
        <v/>
      </c>
      <c r="AF334" s="2" t="str">
        <f t="shared" si="96"/>
        <v/>
      </c>
      <c r="AG334" s="2" t="str">
        <f t="shared" si="97"/>
        <v/>
      </c>
      <c r="AH334" s="2" t="str">
        <f t="shared" si="98"/>
        <v/>
      </c>
    </row>
    <row r="335" spans="2:34" x14ac:dyDescent="0.25">
      <c r="B335" s="2" t="s">
        <v>698</v>
      </c>
      <c r="C335" s="2" t="s">
        <v>647</v>
      </c>
      <c r="D335" s="2" t="s">
        <v>0</v>
      </c>
      <c r="E335" s="2" t="s">
        <v>130</v>
      </c>
      <c r="F335" s="2" t="s">
        <v>699</v>
      </c>
      <c r="G335" s="2" t="s">
        <v>700</v>
      </c>
      <c r="H335" s="2" t="s">
        <v>648</v>
      </c>
      <c r="I335" s="2" t="s">
        <v>41</v>
      </c>
      <c r="J335" s="2">
        <v>1</v>
      </c>
      <c r="K335" s="2" t="s">
        <v>81</v>
      </c>
      <c r="L335" s="2" t="s">
        <v>40</v>
      </c>
      <c r="M335" s="2" t="s">
        <v>5292</v>
      </c>
      <c r="N335" s="2" t="s">
        <v>5270</v>
      </c>
      <c r="O335" s="2" t="s">
        <v>5170</v>
      </c>
      <c r="P335" s="2" t="s">
        <v>4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1152</v>
      </c>
      <c r="T335" s="2" t="str">
        <f t="shared" si="84"/>
        <v>0480</v>
      </c>
      <c r="U335" s="2">
        <f t="shared" si="89"/>
        <v>288</v>
      </c>
      <c r="V335" s="2" t="str">
        <f t="shared" si="85"/>
        <v>120</v>
      </c>
      <c r="W335" s="2" t="str">
        <f t="shared" si="86"/>
        <v/>
      </c>
      <c r="X335" s="2" t="str">
        <f t="shared" si="90"/>
        <v/>
      </c>
      <c r="Y335" s="2" t="str">
        <f t="shared" si="87"/>
        <v/>
      </c>
      <c r="Z335" s="2" t="str">
        <f t="shared" si="88"/>
        <v>X</v>
      </c>
      <c r="AA335" s="2" t="str">
        <f t="shared" si="91"/>
        <v/>
      </c>
      <c r="AB335" s="2" t="str">
        <f t="shared" si="92"/>
        <v/>
      </c>
      <c r="AC335" s="2" t="str">
        <f t="shared" si="93"/>
        <v/>
      </c>
      <c r="AD335" s="2" t="str">
        <f t="shared" si="94"/>
        <v>(0)</v>
      </c>
      <c r="AE335" s="2" t="str">
        <f t="shared" si="95"/>
        <v/>
      </c>
      <c r="AF335" s="2" t="str">
        <f t="shared" si="96"/>
        <v/>
      </c>
      <c r="AG335" s="2" t="str">
        <f t="shared" si="97"/>
        <v/>
      </c>
      <c r="AH335" s="2" t="str">
        <f t="shared" si="98"/>
        <v/>
      </c>
    </row>
    <row r="336" spans="2:34" x14ac:dyDescent="0.25">
      <c r="B336" s="2" t="s">
        <v>698</v>
      </c>
      <c r="C336" s="2" t="s">
        <v>649</v>
      </c>
      <c r="D336" s="2" t="s">
        <v>0</v>
      </c>
      <c r="E336" s="2" t="s">
        <v>130</v>
      </c>
      <c r="F336" s="2" t="s">
        <v>699</v>
      </c>
      <c r="G336" s="2" t="s">
        <v>700</v>
      </c>
      <c r="H336" s="2" t="s">
        <v>650</v>
      </c>
      <c r="I336" s="2" t="s">
        <v>41</v>
      </c>
      <c r="J336" s="2">
        <v>5</v>
      </c>
      <c r="K336" s="2" t="s">
        <v>132</v>
      </c>
      <c r="L336" s="2" t="s">
        <v>40</v>
      </c>
      <c r="M336" s="2" t="s">
        <v>5292</v>
      </c>
      <c r="N336" s="2" t="s">
        <v>5270</v>
      </c>
      <c r="O336" s="2" t="s">
        <v>5171</v>
      </c>
      <c r="P336" s="2" t="s">
        <v>47</v>
      </c>
      <c r="Q336" s="2">
        <f>INDEX(Tables!$C$4:$C$28,MATCH($P336,Tables!$B$4:$B$28,0))</f>
        <v>8</v>
      </c>
      <c r="R336" s="2">
        <f>INDEX(Tables!$D$4:$D$28,MATCH($P336,Tables!$B$4:$B$28,0))</f>
        <v>1</v>
      </c>
      <c r="S336" s="2">
        <f>$S335+$R335+INDEX(Tables!$N$5:$Q$8,MATCH(MOD($S335+$R335,4),Tables!$M$5:$M$8,0),MATCH($R336,Tables!$N$4:$Q$4,0))</f>
        <v>1156</v>
      </c>
      <c r="T336" s="2" t="str">
        <f t="shared" si="84"/>
        <v>0484</v>
      </c>
      <c r="U336" s="2">
        <f t="shared" si="89"/>
        <v>289</v>
      </c>
      <c r="V336" s="2" t="str">
        <f t="shared" si="85"/>
        <v>121</v>
      </c>
      <c r="W336" s="2" t="str">
        <f t="shared" si="86"/>
        <v/>
      </c>
      <c r="X336" s="2" t="str">
        <f t="shared" si="90"/>
        <v/>
      </c>
      <c r="Y336" s="2" t="str">
        <f t="shared" si="87"/>
        <v/>
      </c>
      <c r="Z336" s="2" t="str">
        <f t="shared" si="88"/>
        <v>X</v>
      </c>
      <c r="AA336" s="2" t="str">
        <f t="shared" si="91"/>
        <v/>
      </c>
      <c r="AB336" s="2" t="str">
        <f t="shared" si="92"/>
        <v/>
      </c>
      <c r="AC336" s="2" t="str">
        <f t="shared" si="93"/>
        <v/>
      </c>
      <c r="AD336" s="2" t="str">
        <f t="shared" si="94"/>
        <v>(4 downto 0)</v>
      </c>
      <c r="AE336" s="2" t="str">
        <f t="shared" si="95"/>
        <v/>
      </c>
      <c r="AF336" s="2" t="str">
        <f t="shared" si="96"/>
        <v/>
      </c>
      <c r="AG336" s="2" t="str">
        <f t="shared" si="97"/>
        <v/>
      </c>
      <c r="AH336" s="2" t="str">
        <f t="shared" si="98"/>
        <v/>
      </c>
    </row>
    <row r="337" spans="2:34" x14ac:dyDescent="0.25">
      <c r="B337" s="2" t="s">
        <v>698</v>
      </c>
      <c r="C337" s="2" t="s">
        <v>701</v>
      </c>
      <c r="D337" s="2" t="s">
        <v>0</v>
      </c>
      <c r="E337" s="2" t="s">
        <v>130</v>
      </c>
      <c r="F337" s="2" t="s">
        <v>699</v>
      </c>
      <c r="G337" s="2" t="s">
        <v>700</v>
      </c>
      <c r="H337" s="2" t="s">
        <v>702</v>
      </c>
      <c r="I337" s="2" t="s">
        <v>41</v>
      </c>
      <c r="J337" s="2">
        <v>24</v>
      </c>
      <c r="K337" s="2" t="s">
        <v>132</v>
      </c>
      <c r="L337" s="2" t="s">
        <v>40</v>
      </c>
      <c r="M337" s="2" t="s">
        <v>5292</v>
      </c>
      <c r="N337" s="2" t="s">
        <v>5270</v>
      </c>
      <c r="O337" s="2" t="s">
        <v>5182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1160</v>
      </c>
      <c r="T337" s="2" t="str">
        <f t="shared" si="84"/>
        <v>0488</v>
      </c>
      <c r="U337" s="2">
        <f t="shared" si="89"/>
        <v>290</v>
      </c>
      <c r="V337" s="2" t="str">
        <f t="shared" si="85"/>
        <v>122</v>
      </c>
      <c r="W337" s="2" t="str">
        <f t="shared" si="86"/>
        <v/>
      </c>
      <c r="X337" s="2" t="str">
        <f t="shared" si="90"/>
        <v>X</v>
      </c>
      <c r="Y337" s="2" t="str">
        <f t="shared" si="87"/>
        <v>X</v>
      </c>
      <c r="Z337" s="2" t="str">
        <f t="shared" si="88"/>
        <v>X</v>
      </c>
      <c r="AA337" s="2" t="str">
        <f t="shared" si="91"/>
        <v/>
      </c>
      <c r="AB337" s="2" t="str">
        <f t="shared" si="92"/>
        <v>(23 downto 16)</v>
      </c>
      <c r="AC337" s="2" t="str">
        <f t="shared" si="93"/>
        <v>(15 downto 8)</v>
      </c>
      <c r="AD337" s="2" t="str">
        <f t="shared" si="94"/>
        <v>(7 downto 0)</v>
      </c>
      <c r="AE337" s="2" t="str">
        <f t="shared" si="95"/>
        <v/>
      </c>
      <c r="AF337" s="2" t="str">
        <f t="shared" si="96"/>
        <v>(23 downto 16)</v>
      </c>
      <c r="AG337" s="2" t="str">
        <f t="shared" si="97"/>
        <v>(15 downto 8)</v>
      </c>
      <c r="AH337" s="2" t="str">
        <f t="shared" si="98"/>
        <v>(7 downto 0)</v>
      </c>
    </row>
    <row r="338" spans="2:34" x14ac:dyDescent="0.25">
      <c r="B338" s="2" t="s">
        <v>703</v>
      </c>
      <c r="C338" s="2" t="s">
        <v>642</v>
      </c>
      <c r="D338" s="2" t="s">
        <v>0</v>
      </c>
      <c r="E338" s="2" t="s">
        <v>130</v>
      </c>
      <c r="F338" s="2" t="s">
        <v>704</v>
      </c>
      <c r="G338" s="2" t="s">
        <v>705</v>
      </c>
      <c r="H338" s="2" t="s">
        <v>4897</v>
      </c>
      <c r="I338" s="2" t="s">
        <v>41</v>
      </c>
      <c r="J338" s="2">
        <v>1</v>
      </c>
      <c r="K338" s="2" t="s">
        <v>81</v>
      </c>
      <c r="L338" s="2" t="s">
        <v>40</v>
      </c>
      <c r="M338" s="2" t="s">
        <v>5292</v>
      </c>
      <c r="N338" s="2" t="s">
        <v>5271</v>
      </c>
      <c r="O338" s="2" t="s">
        <v>5168</v>
      </c>
      <c r="P338" s="2" t="s">
        <v>4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1164</v>
      </c>
      <c r="T338" s="2" t="str">
        <f t="shared" si="84"/>
        <v>048C</v>
      </c>
      <c r="U338" s="2">
        <f t="shared" si="89"/>
        <v>291</v>
      </c>
      <c r="V338" s="2" t="str">
        <f t="shared" si="85"/>
        <v>123</v>
      </c>
      <c r="W338" s="2" t="str">
        <f t="shared" si="86"/>
        <v/>
      </c>
      <c r="X338" s="2" t="str">
        <f t="shared" si="90"/>
        <v/>
      </c>
      <c r="Y338" s="2" t="str">
        <f t="shared" si="87"/>
        <v/>
      </c>
      <c r="Z338" s="2" t="str">
        <f t="shared" si="88"/>
        <v>X</v>
      </c>
      <c r="AA338" s="2" t="str">
        <f t="shared" si="91"/>
        <v/>
      </c>
      <c r="AB338" s="2" t="str">
        <f t="shared" si="92"/>
        <v/>
      </c>
      <c r="AC338" s="2" t="str">
        <f t="shared" si="93"/>
        <v/>
      </c>
      <c r="AD338" s="2" t="str">
        <f t="shared" si="94"/>
        <v>(0)</v>
      </c>
      <c r="AE338" s="2" t="str">
        <f t="shared" si="95"/>
        <v/>
      </c>
      <c r="AF338" s="2" t="str">
        <f t="shared" si="96"/>
        <v/>
      </c>
      <c r="AG338" s="2" t="str">
        <f t="shared" si="97"/>
        <v/>
      </c>
      <c r="AH338" s="2" t="str">
        <f t="shared" si="98"/>
        <v/>
      </c>
    </row>
    <row r="339" spans="2:34" x14ac:dyDescent="0.25">
      <c r="B339" s="2" t="s">
        <v>703</v>
      </c>
      <c r="C339" s="2" t="s">
        <v>645</v>
      </c>
      <c r="D339" s="2" t="s">
        <v>0</v>
      </c>
      <c r="E339" s="2" t="s">
        <v>130</v>
      </c>
      <c r="F339" s="2" t="s">
        <v>704</v>
      </c>
      <c r="G339" s="2" t="s">
        <v>705</v>
      </c>
      <c r="H339" s="2" t="s">
        <v>646</v>
      </c>
      <c r="I339" s="2" t="s">
        <v>41</v>
      </c>
      <c r="J339" s="2">
        <v>1</v>
      </c>
      <c r="K339" s="2" t="s">
        <v>81</v>
      </c>
      <c r="L339" s="2" t="s">
        <v>40</v>
      </c>
      <c r="M339" s="2" t="s">
        <v>5292</v>
      </c>
      <c r="N339" s="2" t="s">
        <v>5271</v>
      </c>
      <c r="O339" s="2" t="s">
        <v>5169</v>
      </c>
      <c r="P339" s="2" t="s">
        <v>4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1168</v>
      </c>
      <c r="T339" s="2" t="str">
        <f t="shared" si="84"/>
        <v>0490</v>
      </c>
      <c r="U339" s="2">
        <f t="shared" si="89"/>
        <v>292</v>
      </c>
      <c r="V339" s="2" t="str">
        <f t="shared" si="85"/>
        <v>124</v>
      </c>
      <c r="W339" s="2" t="str">
        <f t="shared" si="86"/>
        <v/>
      </c>
      <c r="X339" s="2" t="str">
        <f t="shared" si="90"/>
        <v/>
      </c>
      <c r="Y339" s="2" t="str">
        <f t="shared" si="87"/>
        <v/>
      </c>
      <c r="Z339" s="2" t="str">
        <f t="shared" si="88"/>
        <v>X</v>
      </c>
      <c r="AA339" s="2" t="str">
        <f t="shared" si="91"/>
        <v/>
      </c>
      <c r="AB339" s="2" t="str">
        <f t="shared" si="92"/>
        <v/>
      </c>
      <c r="AC339" s="2" t="str">
        <f t="shared" si="93"/>
        <v/>
      </c>
      <c r="AD339" s="2" t="str">
        <f t="shared" si="94"/>
        <v>(0)</v>
      </c>
      <c r="AE339" s="2" t="str">
        <f t="shared" si="95"/>
        <v/>
      </c>
      <c r="AF339" s="2" t="str">
        <f t="shared" si="96"/>
        <v/>
      </c>
      <c r="AG339" s="2" t="str">
        <f t="shared" si="97"/>
        <v/>
      </c>
      <c r="AH339" s="2" t="str">
        <f t="shared" si="98"/>
        <v/>
      </c>
    </row>
    <row r="340" spans="2:34" x14ac:dyDescent="0.25">
      <c r="B340" s="2" t="s">
        <v>703</v>
      </c>
      <c r="C340" s="2" t="s">
        <v>647</v>
      </c>
      <c r="D340" s="2" t="s">
        <v>0</v>
      </c>
      <c r="E340" s="2" t="s">
        <v>130</v>
      </c>
      <c r="F340" s="2" t="s">
        <v>704</v>
      </c>
      <c r="G340" s="2" t="s">
        <v>705</v>
      </c>
      <c r="H340" s="2" t="s">
        <v>648</v>
      </c>
      <c r="I340" s="2" t="s">
        <v>41</v>
      </c>
      <c r="J340" s="2">
        <v>1</v>
      </c>
      <c r="K340" s="2" t="s">
        <v>81</v>
      </c>
      <c r="L340" s="2" t="s">
        <v>40</v>
      </c>
      <c r="M340" s="2" t="s">
        <v>5292</v>
      </c>
      <c r="N340" s="2" t="s">
        <v>5271</v>
      </c>
      <c r="O340" s="2" t="s">
        <v>5170</v>
      </c>
      <c r="P340" s="2" t="s">
        <v>4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1172</v>
      </c>
      <c r="T340" s="2" t="str">
        <f t="shared" si="84"/>
        <v>0494</v>
      </c>
      <c r="U340" s="2">
        <f t="shared" si="89"/>
        <v>293</v>
      </c>
      <c r="V340" s="2" t="str">
        <f t="shared" si="85"/>
        <v>125</v>
      </c>
      <c r="W340" s="2" t="str">
        <f t="shared" si="86"/>
        <v/>
      </c>
      <c r="X340" s="2" t="str">
        <f t="shared" si="90"/>
        <v/>
      </c>
      <c r="Y340" s="2" t="str">
        <f t="shared" si="87"/>
        <v/>
      </c>
      <c r="Z340" s="2" t="str">
        <f t="shared" si="88"/>
        <v>X</v>
      </c>
      <c r="AA340" s="2" t="str">
        <f t="shared" si="91"/>
        <v/>
      </c>
      <c r="AB340" s="2" t="str">
        <f t="shared" si="92"/>
        <v/>
      </c>
      <c r="AC340" s="2" t="str">
        <f t="shared" si="93"/>
        <v/>
      </c>
      <c r="AD340" s="2" t="str">
        <f t="shared" si="94"/>
        <v>(0)</v>
      </c>
      <c r="AE340" s="2" t="str">
        <f t="shared" si="95"/>
        <v/>
      </c>
      <c r="AF340" s="2" t="str">
        <f t="shared" si="96"/>
        <v/>
      </c>
      <c r="AG340" s="2" t="str">
        <f t="shared" si="97"/>
        <v/>
      </c>
      <c r="AH340" s="2" t="str">
        <f t="shared" si="98"/>
        <v/>
      </c>
    </row>
    <row r="341" spans="2:34" x14ac:dyDescent="0.25">
      <c r="B341" s="2" t="s">
        <v>703</v>
      </c>
      <c r="C341" s="2" t="s">
        <v>649</v>
      </c>
      <c r="D341" s="2" t="s">
        <v>0</v>
      </c>
      <c r="E341" s="2" t="s">
        <v>130</v>
      </c>
      <c r="F341" s="2" t="s">
        <v>704</v>
      </c>
      <c r="G341" s="2" t="s">
        <v>705</v>
      </c>
      <c r="H341" s="2" t="s">
        <v>650</v>
      </c>
      <c r="I341" s="2" t="s">
        <v>41</v>
      </c>
      <c r="J341" s="2">
        <v>5</v>
      </c>
      <c r="K341" s="2" t="s">
        <v>132</v>
      </c>
      <c r="L341" s="2" t="s">
        <v>40</v>
      </c>
      <c r="M341" s="2" t="s">
        <v>5292</v>
      </c>
      <c r="N341" s="2" t="s">
        <v>5271</v>
      </c>
      <c r="O341" s="2" t="s">
        <v>5171</v>
      </c>
      <c r="P341" s="2" t="s">
        <v>47</v>
      </c>
      <c r="Q341" s="2">
        <f>INDEX(Tables!$C$4:$C$28,MATCH($P341,Tables!$B$4:$B$28,0))</f>
        <v>8</v>
      </c>
      <c r="R341" s="2">
        <f>INDEX(Tables!$D$4:$D$28,MATCH($P341,Tables!$B$4:$B$28,0))</f>
        <v>1</v>
      </c>
      <c r="S341" s="2">
        <f>$S340+$R340+INDEX(Tables!$N$5:$Q$8,MATCH(MOD($S340+$R340,4),Tables!$M$5:$M$8,0),MATCH($R341,Tables!$N$4:$Q$4,0))</f>
        <v>1176</v>
      </c>
      <c r="T341" s="2" t="str">
        <f t="shared" si="84"/>
        <v>0498</v>
      </c>
      <c r="U341" s="2">
        <f t="shared" si="89"/>
        <v>294</v>
      </c>
      <c r="V341" s="2" t="str">
        <f t="shared" si="85"/>
        <v>126</v>
      </c>
      <c r="W341" s="2" t="str">
        <f t="shared" si="86"/>
        <v/>
      </c>
      <c r="X341" s="2" t="str">
        <f t="shared" si="90"/>
        <v/>
      </c>
      <c r="Y341" s="2" t="str">
        <f t="shared" si="87"/>
        <v/>
      </c>
      <c r="Z341" s="2" t="str">
        <f t="shared" si="88"/>
        <v>X</v>
      </c>
      <c r="AA341" s="2" t="str">
        <f t="shared" si="91"/>
        <v/>
      </c>
      <c r="AB341" s="2" t="str">
        <f t="shared" si="92"/>
        <v/>
      </c>
      <c r="AC341" s="2" t="str">
        <f t="shared" si="93"/>
        <v/>
      </c>
      <c r="AD341" s="2" t="str">
        <f t="shared" si="94"/>
        <v>(4 downto 0)</v>
      </c>
      <c r="AE341" s="2" t="str">
        <f t="shared" si="95"/>
        <v/>
      </c>
      <c r="AF341" s="2" t="str">
        <f t="shared" si="96"/>
        <v/>
      </c>
      <c r="AG341" s="2" t="str">
        <f t="shared" si="97"/>
        <v/>
      </c>
      <c r="AH341" s="2" t="str">
        <f t="shared" si="98"/>
        <v/>
      </c>
    </row>
    <row r="342" spans="2:34" x14ac:dyDescent="0.25">
      <c r="B342" s="2" t="s">
        <v>703</v>
      </c>
      <c r="C342" s="2" t="s">
        <v>706</v>
      </c>
      <c r="D342" s="2" t="s">
        <v>0</v>
      </c>
      <c r="E342" s="2" t="s">
        <v>130</v>
      </c>
      <c r="F342" s="2" t="s">
        <v>704</v>
      </c>
      <c r="G342" s="2" t="s">
        <v>705</v>
      </c>
      <c r="H342" s="2" t="s">
        <v>707</v>
      </c>
      <c r="I342" s="2" t="s">
        <v>41</v>
      </c>
      <c r="J342" s="2">
        <v>24</v>
      </c>
      <c r="K342" s="2" t="s">
        <v>132</v>
      </c>
      <c r="L342" s="2" t="s">
        <v>40</v>
      </c>
      <c r="M342" s="2" t="s">
        <v>5292</v>
      </c>
      <c r="N342" s="2" t="s">
        <v>5271</v>
      </c>
      <c r="O342" s="2" t="s">
        <v>5183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1180</v>
      </c>
      <c r="T342" s="2" t="str">
        <f t="shared" si="84"/>
        <v>049C</v>
      </c>
      <c r="U342" s="2">
        <f t="shared" si="89"/>
        <v>295</v>
      </c>
      <c r="V342" s="2" t="str">
        <f t="shared" si="85"/>
        <v>127</v>
      </c>
      <c r="W342" s="2" t="str">
        <f t="shared" si="86"/>
        <v/>
      </c>
      <c r="X342" s="2" t="str">
        <f t="shared" si="90"/>
        <v>X</v>
      </c>
      <c r="Y342" s="2" t="str">
        <f t="shared" si="87"/>
        <v>X</v>
      </c>
      <c r="Z342" s="2" t="str">
        <f t="shared" si="88"/>
        <v>X</v>
      </c>
      <c r="AA342" s="2" t="str">
        <f t="shared" si="91"/>
        <v/>
      </c>
      <c r="AB342" s="2" t="str">
        <f t="shared" si="92"/>
        <v>(23 downto 16)</v>
      </c>
      <c r="AC342" s="2" t="str">
        <f t="shared" si="93"/>
        <v>(15 downto 8)</v>
      </c>
      <c r="AD342" s="2" t="str">
        <f t="shared" si="94"/>
        <v>(7 downto 0)</v>
      </c>
      <c r="AE342" s="2" t="str">
        <f t="shared" si="95"/>
        <v/>
      </c>
      <c r="AF342" s="2" t="str">
        <f t="shared" si="96"/>
        <v>(23 downto 16)</v>
      </c>
      <c r="AG342" s="2" t="str">
        <f t="shared" si="97"/>
        <v>(15 downto 8)</v>
      </c>
      <c r="AH342" s="2" t="str">
        <f t="shared" si="98"/>
        <v>(7 downto 0)</v>
      </c>
    </row>
    <row r="343" spans="2:34" x14ac:dyDescent="0.25">
      <c r="B343" s="2" t="s">
        <v>708</v>
      </c>
      <c r="C343" s="2" t="s">
        <v>642</v>
      </c>
      <c r="D343" s="2" t="s">
        <v>0</v>
      </c>
      <c r="E343" s="2" t="s">
        <v>130</v>
      </c>
      <c r="F343" s="2" t="s">
        <v>709</v>
      </c>
      <c r="G343" s="2" t="s">
        <v>710</v>
      </c>
      <c r="H343" s="2" t="s">
        <v>4897</v>
      </c>
      <c r="I343" s="2" t="s">
        <v>41</v>
      </c>
      <c r="J343" s="2">
        <v>1</v>
      </c>
      <c r="K343" s="2" t="s">
        <v>81</v>
      </c>
      <c r="L343" s="2" t="s">
        <v>40</v>
      </c>
      <c r="M343" s="2" t="s">
        <v>5292</v>
      </c>
      <c r="N343" s="2" t="s">
        <v>5272</v>
      </c>
      <c r="O343" s="2" t="s">
        <v>5168</v>
      </c>
      <c r="P343" s="2" t="s">
        <v>4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$S342+$R342+INDEX(Tables!$N$5:$Q$8,MATCH(MOD($S342+$R342,4),Tables!$M$5:$M$8,0),MATCH($R343,Tables!$N$4:$Q$4,0))</f>
        <v>1184</v>
      </c>
      <c r="T343" s="2" t="str">
        <f t="shared" si="84"/>
        <v>04A0</v>
      </c>
      <c r="U343" s="2">
        <f t="shared" si="89"/>
        <v>296</v>
      </c>
      <c r="V343" s="2" t="str">
        <f t="shared" si="85"/>
        <v>128</v>
      </c>
      <c r="W343" s="2" t="str">
        <f t="shared" si="86"/>
        <v/>
      </c>
      <c r="X343" s="2" t="str">
        <f t="shared" si="90"/>
        <v/>
      </c>
      <c r="Y343" s="2" t="str">
        <f t="shared" si="87"/>
        <v/>
      </c>
      <c r="Z343" s="2" t="str">
        <f t="shared" si="88"/>
        <v>X</v>
      </c>
      <c r="AA343" s="2" t="str">
        <f t="shared" si="91"/>
        <v/>
      </c>
      <c r="AB343" s="2" t="str">
        <f t="shared" si="92"/>
        <v/>
      </c>
      <c r="AC343" s="2" t="str">
        <f t="shared" si="93"/>
        <v/>
      </c>
      <c r="AD343" s="2" t="str">
        <f t="shared" si="94"/>
        <v>(0)</v>
      </c>
      <c r="AE343" s="2" t="str">
        <f t="shared" si="95"/>
        <v/>
      </c>
      <c r="AF343" s="2" t="str">
        <f t="shared" si="96"/>
        <v/>
      </c>
      <c r="AG343" s="2" t="str">
        <f t="shared" si="97"/>
        <v/>
      </c>
      <c r="AH343" s="2" t="str">
        <f t="shared" si="98"/>
        <v/>
      </c>
    </row>
    <row r="344" spans="2:34" x14ac:dyDescent="0.25">
      <c r="B344" s="2" t="s">
        <v>708</v>
      </c>
      <c r="C344" s="2" t="s">
        <v>645</v>
      </c>
      <c r="D344" s="2" t="s">
        <v>0</v>
      </c>
      <c r="E344" s="2" t="s">
        <v>130</v>
      </c>
      <c r="F344" s="2" t="s">
        <v>709</v>
      </c>
      <c r="G344" s="2" t="s">
        <v>710</v>
      </c>
      <c r="H344" s="2" t="s">
        <v>646</v>
      </c>
      <c r="I344" s="2" t="s">
        <v>41</v>
      </c>
      <c r="J344" s="2">
        <v>1</v>
      </c>
      <c r="K344" s="2" t="s">
        <v>81</v>
      </c>
      <c r="L344" s="2" t="s">
        <v>40</v>
      </c>
      <c r="M344" s="2" t="s">
        <v>5292</v>
      </c>
      <c r="N344" s="2" t="s">
        <v>5272</v>
      </c>
      <c r="O344" s="2" t="s">
        <v>5169</v>
      </c>
      <c r="P344" s="2" t="s">
        <v>4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$S343+$R343+INDEX(Tables!$N$5:$Q$8,MATCH(MOD($S343+$R343,4),Tables!$M$5:$M$8,0),MATCH($R344,Tables!$N$4:$Q$4,0))</f>
        <v>1188</v>
      </c>
      <c r="T344" s="2" t="str">
        <f t="shared" si="84"/>
        <v>04A4</v>
      </c>
      <c r="U344" s="2">
        <f t="shared" si="89"/>
        <v>297</v>
      </c>
      <c r="V344" s="2" t="str">
        <f t="shared" si="85"/>
        <v>129</v>
      </c>
      <c r="W344" s="2" t="str">
        <f t="shared" si="86"/>
        <v/>
      </c>
      <c r="X344" s="2" t="str">
        <f t="shared" si="90"/>
        <v/>
      </c>
      <c r="Y344" s="2" t="str">
        <f t="shared" si="87"/>
        <v/>
      </c>
      <c r="Z344" s="2" t="str">
        <f t="shared" si="88"/>
        <v>X</v>
      </c>
      <c r="AA344" s="2" t="str">
        <f t="shared" si="91"/>
        <v/>
      </c>
      <c r="AB344" s="2" t="str">
        <f t="shared" si="92"/>
        <v/>
      </c>
      <c r="AC344" s="2" t="str">
        <f t="shared" si="93"/>
        <v/>
      </c>
      <c r="AD344" s="2" t="str">
        <f t="shared" si="94"/>
        <v>(0)</v>
      </c>
      <c r="AE344" s="2" t="str">
        <f t="shared" si="95"/>
        <v/>
      </c>
      <c r="AF344" s="2" t="str">
        <f t="shared" si="96"/>
        <v/>
      </c>
      <c r="AG344" s="2" t="str">
        <f t="shared" si="97"/>
        <v/>
      </c>
      <c r="AH344" s="2" t="str">
        <f t="shared" si="98"/>
        <v/>
      </c>
    </row>
    <row r="345" spans="2:34" x14ac:dyDescent="0.25">
      <c r="B345" s="2" t="s">
        <v>708</v>
      </c>
      <c r="C345" s="2" t="s">
        <v>647</v>
      </c>
      <c r="D345" s="2" t="s">
        <v>0</v>
      </c>
      <c r="E345" s="2" t="s">
        <v>130</v>
      </c>
      <c r="F345" s="2" t="s">
        <v>709</v>
      </c>
      <c r="G345" s="2" t="s">
        <v>710</v>
      </c>
      <c r="H345" s="2" t="s">
        <v>648</v>
      </c>
      <c r="I345" s="2" t="s">
        <v>41</v>
      </c>
      <c r="J345" s="2">
        <v>1</v>
      </c>
      <c r="K345" s="2" t="s">
        <v>81</v>
      </c>
      <c r="L345" s="2" t="s">
        <v>40</v>
      </c>
      <c r="M345" s="2" t="s">
        <v>5292</v>
      </c>
      <c r="N345" s="2" t="s">
        <v>5272</v>
      </c>
      <c r="O345" s="2" t="s">
        <v>5170</v>
      </c>
      <c r="P345" s="2" t="s">
        <v>4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$S344+$R344+INDEX(Tables!$N$5:$Q$8,MATCH(MOD($S344+$R344,4),Tables!$M$5:$M$8,0),MATCH($R345,Tables!$N$4:$Q$4,0))</f>
        <v>1192</v>
      </c>
      <c r="T345" s="2" t="str">
        <f t="shared" si="84"/>
        <v>04A8</v>
      </c>
      <c r="U345" s="2">
        <f t="shared" si="89"/>
        <v>298</v>
      </c>
      <c r="V345" s="2" t="str">
        <f t="shared" si="85"/>
        <v>12A</v>
      </c>
      <c r="W345" s="2" t="str">
        <f t="shared" si="86"/>
        <v/>
      </c>
      <c r="X345" s="2" t="str">
        <f t="shared" si="90"/>
        <v/>
      </c>
      <c r="Y345" s="2" t="str">
        <f t="shared" si="87"/>
        <v/>
      </c>
      <c r="Z345" s="2" t="str">
        <f t="shared" si="88"/>
        <v>X</v>
      </c>
      <c r="AA345" s="2" t="str">
        <f t="shared" si="91"/>
        <v/>
      </c>
      <c r="AB345" s="2" t="str">
        <f t="shared" si="92"/>
        <v/>
      </c>
      <c r="AC345" s="2" t="str">
        <f t="shared" si="93"/>
        <v/>
      </c>
      <c r="AD345" s="2" t="str">
        <f t="shared" si="94"/>
        <v>(0)</v>
      </c>
      <c r="AE345" s="2" t="str">
        <f t="shared" si="95"/>
        <v/>
      </c>
      <c r="AF345" s="2" t="str">
        <f t="shared" si="96"/>
        <v/>
      </c>
      <c r="AG345" s="2" t="str">
        <f t="shared" si="97"/>
        <v/>
      </c>
      <c r="AH345" s="2" t="str">
        <f t="shared" si="98"/>
        <v/>
      </c>
    </row>
    <row r="346" spans="2:34" x14ac:dyDescent="0.25">
      <c r="B346" s="2" t="s">
        <v>708</v>
      </c>
      <c r="C346" s="2" t="s">
        <v>649</v>
      </c>
      <c r="D346" s="2" t="s">
        <v>0</v>
      </c>
      <c r="E346" s="2" t="s">
        <v>130</v>
      </c>
      <c r="F346" s="2" t="s">
        <v>709</v>
      </c>
      <c r="G346" s="2" t="s">
        <v>710</v>
      </c>
      <c r="H346" s="2" t="s">
        <v>650</v>
      </c>
      <c r="I346" s="2" t="s">
        <v>41</v>
      </c>
      <c r="J346" s="2">
        <v>5</v>
      </c>
      <c r="K346" s="2" t="s">
        <v>132</v>
      </c>
      <c r="L346" s="2" t="s">
        <v>40</v>
      </c>
      <c r="M346" s="2" t="s">
        <v>5292</v>
      </c>
      <c r="N346" s="2" t="s">
        <v>5272</v>
      </c>
      <c r="O346" s="2" t="s">
        <v>5171</v>
      </c>
      <c r="P346" s="2" t="s">
        <v>47</v>
      </c>
      <c r="Q346" s="2">
        <f>INDEX(Tables!$C$4:$C$28,MATCH($P346,Tables!$B$4:$B$28,0))</f>
        <v>8</v>
      </c>
      <c r="R346" s="2">
        <f>INDEX(Tables!$D$4:$D$28,MATCH($P346,Tables!$B$4:$B$28,0))</f>
        <v>1</v>
      </c>
      <c r="S346" s="2">
        <f>$S345+$R345+INDEX(Tables!$N$5:$Q$8,MATCH(MOD($S345+$R345,4),Tables!$M$5:$M$8,0),MATCH($R346,Tables!$N$4:$Q$4,0))</f>
        <v>1196</v>
      </c>
      <c r="T346" s="2" t="str">
        <f t="shared" si="84"/>
        <v>04AC</v>
      </c>
      <c r="U346" s="2">
        <f t="shared" si="89"/>
        <v>299</v>
      </c>
      <c r="V346" s="2" t="str">
        <f t="shared" si="85"/>
        <v>12B</v>
      </c>
      <c r="W346" s="2" t="str">
        <f t="shared" si="86"/>
        <v/>
      </c>
      <c r="X346" s="2" t="str">
        <f t="shared" si="90"/>
        <v/>
      </c>
      <c r="Y346" s="2" t="str">
        <f t="shared" si="87"/>
        <v/>
      </c>
      <c r="Z346" s="2" t="str">
        <f t="shared" si="88"/>
        <v>X</v>
      </c>
      <c r="AA346" s="2" t="str">
        <f t="shared" si="91"/>
        <v/>
      </c>
      <c r="AB346" s="2" t="str">
        <f t="shared" si="92"/>
        <v/>
      </c>
      <c r="AC346" s="2" t="str">
        <f t="shared" si="93"/>
        <v/>
      </c>
      <c r="AD346" s="2" t="str">
        <f t="shared" si="94"/>
        <v>(4 downto 0)</v>
      </c>
      <c r="AE346" s="2" t="str">
        <f t="shared" si="95"/>
        <v/>
      </c>
      <c r="AF346" s="2" t="str">
        <f t="shared" si="96"/>
        <v/>
      </c>
      <c r="AG346" s="2" t="str">
        <f t="shared" si="97"/>
        <v/>
      </c>
      <c r="AH346" s="2" t="str">
        <f t="shared" si="98"/>
        <v/>
      </c>
    </row>
    <row r="347" spans="2:34" x14ac:dyDescent="0.25">
      <c r="B347" s="2" t="s">
        <v>708</v>
      </c>
      <c r="C347" s="2" t="s">
        <v>711</v>
      </c>
      <c r="D347" s="2" t="s">
        <v>0</v>
      </c>
      <c r="E347" s="2" t="s">
        <v>130</v>
      </c>
      <c r="F347" s="2" t="s">
        <v>709</v>
      </c>
      <c r="G347" s="2" t="s">
        <v>710</v>
      </c>
      <c r="H347" s="2" t="s">
        <v>712</v>
      </c>
      <c r="I347" s="2" t="s">
        <v>41</v>
      </c>
      <c r="J347" s="2">
        <v>24</v>
      </c>
      <c r="K347" s="2" t="s">
        <v>132</v>
      </c>
      <c r="L347" s="2" t="s">
        <v>40</v>
      </c>
      <c r="M347" s="2" t="s">
        <v>5292</v>
      </c>
      <c r="N347" s="2" t="s">
        <v>5272</v>
      </c>
      <c r="O347" s="2" t="s">
        <v>5184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$S346+$R346+INDEX(Tables!$N$5:$Q$8,MATCH(MOD($S346+$R346,4),Tables!$M$5:$M$8,0),MATCH($R347,Tables!$N$4:$Q$4,0))</f>
        <v>1200</v>
      </c>
      <c r="T347" s="2" t="str">
        <f t="shared" si="84"/>
        <v>04B0</v>
      </c>
      <c r="U347" s="2">
        <f t="shared" si="89"/>
        <v>300</v>
      </c>
      <c r="V347" s="2" t="str">
        <f t="shared" si="85"/>
        <v>12C</v>
      </c>
      <c r="W347" s="2" t="str">
        <f t="shared" si="86"/>
        <v/>
      </c>
      <c r="X347" s="2" t="str">
        <f t="shared" si="90"/>
        <v>X</v>
      </c>
      <c r="Y347" s="2" t="str">
        <f t="shared" si="87"/>
        <v>X</v>
      </c>
      <c r="Z347" s="2" t="str">
        <f t="shared" si="88"/>
        <v>X</v>
      </c>
      <c r="AA347" s="2" t="str">
        <f t="shared" si="91"/>
        <v/>
      </c>
      <c r="AB347" s="2" t="str">
        <f t="shared" si="92"/>
        <v>(23 downto 16)</v>
      </c>
      <c r="AC347" s="2" t="str">
        <f t="shared" si="93"/>
        <v>(15 downto 8)</v>
      </c>
      <c r="AD347" s="2" t="str">
        <f t="shared" si="94"/>
        <v>(7 downto 0)</v>
      </c>
      <c r="AE347" s="2" t="str">
        <f t="shared" si="95"/>
        <v/>
      </c>
      <c r="AF347" s="2" t="str">
        <f t="shared" si="96"/>
        <v>(23 downto 16)</v>
      </c>
      <c r="AG347" s="2" t="str">
        <f t="shared" si="97"/>
        <v>(15 downto 8)</v>
      </c>
      <c r="AH347" s="2" t="str">
        <f t="shared" si="98"/>
        <v>(7 downto 0)</v>
      </c>
    </row>
    <row r="348" spans="2:34" x14ac:dyDescent="0.25">
      <c r="B348" s="2" t="s">
        <v>713</v>
      </c>
      <c r="C348" s="2" t="s">
        <v>642</v>
      </c>
      <c r="D348" s="2" t="s">
        <v>0</v>
      </c>
      <c r="E348" s="2" t="s">
        <v>130</v>
      </c>
      <c r="F348" s="2" t="s">
        <v>714</v>
      </c>
      <c r="G348" s="2" t="s">
        <v>715</v>
      </c>
      <c r="H348" s="2" t="s">
        <v>4897</v>
      </c>
      <c r="I348" s="2" t="s">
        <v>41</v>
      </c>
      <c r="J348" s="2">
        <v>1</v>
      </c>
      <c r="K348" s="2" t="s">
        <v>81</v>
      </c>
      <c r="L348" s="2" t="s">
        <v>40</v>
      </c>
      <c r="M348" s="2" t="s">
        <v>5292</v>
      </c>
      <c r="N348" s="2" t="s">
        <v>5273</v>
      </c>
      <c r="O348" s="2" t="s">
        <v>5168</v>
      </c>
      <c r="P348" s="2" t="s">
        <v>4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$S347+$R347+INDEX(Tables!$N$5:$Q$8,MATCH(MOD($S347+$R347,4),Tables!$M$5:$M$8,0),MATCH($R348,Tables!$N$4:$Q$4,0))</f>
        <v>1204</v>
      </c>
      <c r="T348" s="2" t="str">
        <f t="shared" si="84"/>
        <v>04B4</v>
      </c>
      <c r="U348" s="2">
        <f t="shared" si="89"/>
        <v>301</v>
      </c>
      <c r="V348" s="2" t="str">
        <f t="shared" si="85"/>
        <v>12D</v>
      </c>
      <c r="W348" s="2" t="str">
        <f t="shared" si="86"/>
        <v/>
      </c>
      <c r="X348" s="2" t="str">
        <f t="shared" si="90"/>
        <v/>
      </c>
      <c r="Y348" s="2" t="str">
        <f t="shared" si="87"/>
        <v/>
      </c>
      <c r="Z348" s="2" t="str">
        <f t="shared" si="88"/>
        <v>X</v>
      </c>
      <c r="AA348" s="2" t="str">
        <f t="shared" si="91"/>
        <v/>
      </c>
      <c r="AB348" s="2" t="str">
        <f t="shared" si="92"/>
        <v/>
      </c>
      <c r="AC348" s="2" t="str">
        <f t="shared" si="93"/>
        <v/>
      </c>
      <c r="AD348" s="2" t="str">
        <f t="shared" si="94"/>
        <v>(0)</v>
      </c>
      <c r="AE348" s="2" t="str">
        <f t="shared" si="95"/>
        <v/>
      </c>
      <c r="AF348" s="2" t="str">
        <f t="shared" si="96"/>
        <v/>
      </c>
      <c r="AG348" s="2" t="str">
        <f t="shared" si="97"/>
        <v/>
      </c>
      <c r="AH348" s="2" t="str">
        <f t="shared" si="98"/>
        <v/>
      </c>
    </row>
    <row r="349" spans="2:34" x14ac:dyDescent="0.25">
      <c r="B349" s="2" t="s">
        <v>713</v>
      </c>
      <c r="C349" s="2" t="s">
        <v>645</v>
      </c>
      <c r="D349" s="2" t="s">
        <v>0</v>
      </c>
      <c r="E349" s="2" t="s">
        <v>130</v>
      </c>
      <c r="F349" s="2" t="s">
        <v>714</v>
      </c>
      <c r="G349" s="2" t="s">
        <v>715</v>
      </c>
      <c r="H349" s="2" t="s">
        <v>646</v>
      </c>
      <c r="I349" s="2" t="s">
        <v>41</v>
      </c>
      <c r="J349" s="2">
        <v>1</v>
      </c>
      <c r="K349" s="2" t="s">
        <v>81</v>
      </c>
      <c r="L349" s="2" t="s">
        <v>40</v>
      </c>
      <c r="M349" s="2" t="s">
        <v>5292</v>
      </c>
      <c r="N349" s="2" t="s">
        <v>5273</v>
      </c>
      <c r="O349" s="2" t="s">
        <v>5169</v>
      </c>
      <c r="P349" s="2" t="s">
        <v>4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$S348+$R348+INDEX(Tables!$N$5:$Q$8,MATCH(MOD($S348+$R348,4),Tables!$M$5:$M$8,0),MATCH($R349,Tables!$N$4:$Q$4,0))</f>
        <v>1208</v>
      </c>
      <c r="T349" s="2" t="str">
        <f t="shared" si="84"/>
        <v>04B8</v>
      </c>
      <c r="U349" s="2">
        <f t="shared" si="89"/>
        <v>302</v>
      </c>
      <c r="V349" s="2" t="str">
        <f t="shared" si="85"/>
        <v>12E</v>
      </c>
      <c r="W349" s="2" t="str">
        <f t="shared" si="86"/>
        <v/>
      </c>
      <c r="X349" s="2" t="str">
        <f t="shared" si="90"/>
        <v/>
      </c>
      <c r="Y349" s="2" t="str">
        <f t="shared" si="87"/>
        <v/>
      </c>
      <c r="Z349" s="2" t="str">
        <f t="shared" si="88"/>
        <v>X</v>
      </c>
      <c r="AA349" s="2" t="str">
        <f t="shared" si="91"/>
        <v/>
      </c>
      <c r="AB349" s="2" t="str">
        <f t="shared" si="92"/>
        <v/>
      </c>
      <c r="AC349" s="2" t="str">
        <f t="shared" si="93"/>
        <v/>
      </c>
      <c r="AD349" s="2" t="str">
        <f t="shared" si="94"/>
        <v>(0)</v>
      </c>
      <c r="AE349" s="2" t="str">
        <f t="shared" si="95"/>
        <v/>
      </c>
      <c r="AF349" s="2" t="str">
        <f t="shared" si="96"/>
        <v/>
      </c>
      <c r="AG349" s="2" t="str">
        <f t="shared" si="97"/>
        <v/>
      </c>
      <c r="AH349" s="2" t="str">
        <f t="shared" si="98"/>
        <v/>
      </c>
    </row>
    <row r="350" spans="2:34" x14ac:dyDescent="0.25">
      <c r="B350" s="2" t="s">
        <v>713</v>
      </c>
      <c r="C350" s="2" t="s">
        <v>647</v>
      </c>
      <c r="D350" s="2" t="s">
        <v>0</v>
      </c>
      <c r="E350" s="2" t="s">
        <v>130</v>
      </c>
      <c r="F350" s="2" t="s">
        <v>714</v>
      </c>
      <c r="G350" s="2" t="s">
        <v>715</v>
      </c>
      <c r="H350" s="2" t="s">
        <v>648</v>
      </c>
      <c r="I350" s="2" t="s">
        <v>41</v>
      </c>
      <c r="J350" s="2">
        <v>1</v>
      </c>
      <c r="K350" s="2" t="s">
        <v>81</v>
      </c>
      <c r="L350" s="2" t="s">
        <v>40</v>
      </c>
      <c r="M350" s="2" t="s">
        <v>5292</v>
      </c>
      <c r="N350" s="2" t="s">
        <v>5273</v>
      </c>
      <c r="O350" s="2" t="s">
        <v>5170</v>
      </c>
      <c r="P350" s="2" t="s">
        <v>4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1212</v>
      </c>
      <c r="T350" s="2" t="str">
        <f t="shared" si="84"/>
        <v>04BC</v>
      </c>
      <c r="U350" s="2">
        <f t="shared" si="89"/>
        <v>303</v>
      </c>
      <c r="V350" s="2" t="str">
        <f t="shared" si="85"/>
        <v>12F</v>
      </c>
      <c r="W350" s="2" t="str">
        <f t="shared" si="86"/>
        <v/>
      </c>
      <c r="X350" s="2" t="str">
        <f t="shared" si="90"/>
        <v/>
      </c>
      <c r="Y350" s="2" t="str">
        <f t="shared" si="87"/>
        <v/>
      </c>
      <c r="Z350" s="2" t="str">
        <f t="shared" si="88"/>
        <v>X</v>
      </c>
      <c r="AA350" s="2" t="str">
        <f t="shared" si="91"/>
        <v/>
      </c>
      <c r="AB350" s="2" t="str">
        <f t="shared" si="92"/>
        <v/>
      </c>
      <c r="AC350" s="2" t="str">
        <f t="shared" si="93"/>
        <v/>
      </c>
      <c r="AD350" s="2" t="str">
        <f t="shared" si="94"/>
        <v>(0)</v>
      </c>
      <c r="AE350" s="2" t="str">
        <f t="shared" si="95"/>
        <v/>
      </c>
      <c r="AF350" s="2" t="str">
        <f t="shared" si="96"/>
        <v/>
      </c>
      <c r="AG350" s="2" t="str">
        <f t="shared" si="97"/>
        <v/>
      </c>
      <c r="AH350" s="2" t="str">
        <f t="shared" si="98"/>
        <v/>
      </c>
    </row>
    <row r="351" spans="2:34" x14ac:dyDescent="0.25">
      <c r="B351" s="2" t="s">
        <v>713</v>
      </c>
      <c r="C351" s="2" t="s">
        <v>649</v>
      </c>
      <c r="D351" s="2" t="s">
        <v>0</v>
      </c>
      <c r="E351" s="2" t="s">
        <v>130</v>
      </c>
      <c r="F351" s="2" t="s">
        <v>714</v>
      </c>
      <c r="G351" s="2" t="s">
        <v>715</v>
      </c>
      <c r="H351" s="2" t="s">
        <v>650</v>
      </c>
      <c r="I351" s="2" t="s">
        <v>41</v>
      </c>
      <c r="J351" s="2">
        <v>5</v>
      </c>
      <c r="K351" s="2" t="s">
        <v>132</v>
      </c>
      <c r="L351" s="2" t="s">
        <v>40</v>
      </c>
      <c r="M351" s="2" t="s">
        <v>5292</v>
      </c>
      <c r="N351" s="2" t="s">
        <v>5273</v>
      </c>
      <c r="O351" s="2" t="s">
        <v>5171</v>
      </c>
      <c r="P351" s="2" t="s">
        <v>47</v>
      </c>
      <c r="Q351" s="2">
        <f>INDEX(Tables!$C$4:$C$28,MATCH($P351,Tables!$B$4:$B$28,0))</f>
        <v>8</v>
      </c>
      <c r="R351" s="2">
        <f>INDEX(Tables!$D$4:$D$28,MATCH($P351,Tables!$B$4:$B$28,0))</f>
        <v>1</v>
      </c>
      <c r="S351" s="2">
        <f>$S350+$R350+INDEX(Tables!$N$5:$Q$8,MATCH(MOD($S350+$R350,4),Tables!$M$5:$M$8,0),MATCH($R351,Tables!$N$4:$Q$4,0))</f>
        <v>1216</v>
      </c>
      <c r="T351" s="2" t="str">
        <f t="shared" si="84"/>
        <v>04C0</v>
      </c>
      <c r="U351" s="2">
        <f t="shared" si="89"/>
        <v>304</v>
      </c>
      <c r="V351" s="2" t="str">
        <f t="shared" si="85"/>
        <v>130</v>
      </c>
      <c r="W351" s="2" t="str">
        <f t="shared" si="86"/>
        <v/>
      </c>
      <c r="X351" s="2" t="str">
        <f t="shared" si="90"/>
        <v/>
      </c>
      <c r="Y351" s="2" t="str">
        <f t="shared" si="87"/>
        <v/>
      </c>
      <c r="Z351" s="2" t="str">
        <f t="shared" si="88"/>
        <v>X</v>
      </c>
      <c r="AA351" s="2" t="str">
        <f t="shared" si="91"/>
        <v/>
      </c>
      <c r="AB351" s="2" t="str">
        <f t="shared" si="92"/>
        <v/>
      </c>
      <c r="AC351" s="2" t="str">
        <f t="shared" si="93"/>
        <v/>
      </c>
      <c r="AD351" s="2" t="str">
        <f t="shared" si="94"/>
        <v>(4 downto 0)</v>
      </c>
      <c r="AE351" s="2" t="str">
        <f t="shared" si="95"/>
        <v/>
      </c>
      <c r="AF351" s="2" t="str">
        <f t="shared" si="96"/>
        <v/>
      </c>
      <c r="AG351" s="2" t="str">
        <f t="shared" si="97"/>
        <v/>
      </c>
      <c r="AH351" s="2" t="str">
        <f t="shared" si="98"/>
        <v/>
      </c>
    </row>
    <row r="352" spans="2:34" x14ac:dyDescent="0.25">
      <c r="B352" s="2" t="s">
        <v>713</v>
      </c>
      <c r="C352" s="2" t="s">
        <v>716</v>
      </c>
      <c r="D352" s="2" t="s">
        <v>0</v>
      </c>
      <c r="E352" s="2" t="s">
        <v>130</v>
      </c>
      <c r="F352" s="2" t="s">
        <v>714</v>
      </c>
      <c r="G352" s="2" t="s">
        <v>715</v>
      </c>
      <c r="H352" s="2" t="s">
        <v>717</v>
      </c>
      <c r="I352" s="2" t="s">
        <v>41</v>
      </c>
      <c r="J352" s="2">
        <v>24</v>
      </c>
      <c r="K352" s="2" t="s">
        <v>132</v>
      </c>
      <c r="L352" s="2" t="s">
        <v>40</v>
      </c>
      <c r="M352" s="2" t="s">
        <v>5292</v>
      </c>
      <c r="N352" s="2" t="s">
        <v>5273</v>
      </c>
      <c r="O352" s="2" t="s">
        <v>5185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1220</v>
      </c>
      <c r="T352" s="2" t="str">
        <f t="shared" si="84"/>
        <v>04C4</v>
      </c>
      <c r="U352" s="2">
        <f t="shared" si="89"/>
        <v>305</v>
      </c>
      <c r="V352" s="2" t="str">
        <f t="shared" si="85"/>
        <v>131</v>
      </c>
      <c r="W352" s="2" t="str">
        <f t="shared" si="86"/>
        <v/>
      </c>
      <c r="X352" s="2" t="str">
        <f t="shared" si="90"/>
        <v>X</v>
      </c>
      <c r="Y352" s="2" t="str">
        <f t="shared" si="87"/>
        <v>X</v>
      </c>
      <c r="Z352" s="2" t="str">
        <f t="shared" si="88"/>
        <v>X</v>
      </c>
      <c r="AA352" s="2" t="str">
        <f t="shared" si="91"/>
        <v/>
      </c>
      <c r="AB352" s="2" t="str">
        <f t="shared" si="92"/>
        <v>(23 downto 16)</v>
      </c>
      <c r="AC352" s="2" t="str">
        <f t="shared" si="93"/>
        <v>(15 downto 8)</v>
      </c>
      <c r="AD352" s="2" t="str">
        <f t="shared" si="94"/>
        <v>(7 downto 0)</v>
      </c>
      <c r="AE352" s="2" t="str">
        <f t="shared" si="95"/>
        <v/>
      </c>
      <c r="AF352" s="2" t="str">
        <f t="shared" si="96"/>
        <v>(23 downto 16)</v>
      </c>
      <c r="AG352" s="2" t="str">
        <f t="shared" si="97"/>
        <v>(15 downto 8)</v>
      </c>
      <c r="AH352" s="2" t="str">
        <f t="shared" si="98"/>
        <v>(7 downto 0)</v>
      </c>
    </row>
    <row r="353" spans="2:34" x14ac:dyDescent="0.25">
      <c r="B353" s="2" t="s">
        <v>718</v>
      </c>
      <c r="C353" s="2" t="s">
        <v>642</v>
      </c>
      <c r="D353" s="2" t="s">
        <v>0</v>
      </c>
      <c r="E353" s="2" t="s">
        <v>130</v>
      </c>
      <c r="F353" s="2" t="s">
        <v>719</v>
      </c>
      <c r="G353" s="2" t="s">
        <v>720</v>
      </c>
      <c r="H353" s="2" t="s">
        <v>4897</v>
      </c>
      <c r="I353" s="2" t="s">
        <v>41</v>
      </c>
      <c r="J353" s="2">
        <v>1</v>
      </c>
      <c r="K353" s="2" t="s">
        <v>81</v>
      </c>
      <c r="L353" s="2" t="s">
        <v>40</v>
      </c>
      <c r="M353" s="2" t="s">
        <v>5292</v>
      </c>
      <c r="N353" s="2" t="s">
        <v>5274</v>
      </c>
      <c r="O353" s="2" t="s">
        <v>5168</v>
      </c>
      <c r="P353" s="2" t="s">
        <v>4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1224</v>
      </c>
      <c r="T353" s="2" t="str">
        <f t="shared" si="84"/>
        <v>04C8</v>
      </c>
      <c r="U353" s="2">
        <f t="shared" si="89"/>
        <v>306</v>
      </c>
      <c r="V353" s="2" t="str">
        <f t="shared" si="85"/>
        <v>132</v>
      </c>
      <c r="W353" s="2" t="str">
        <f t="shared" si="86"/>
        <v/>
      </c>
      <c r="X353" s="2" t="str">
        <f t="shared" si="90"/>
        <v/>
      </c>
      <c r="Y353" s="2" t="str">
        <f t="shared" si="87"/>
        <v/>
      </c>
      <c r="Z353" s="2" t="str">
        <f t="shared" si="88"/>
        <v>X</v>
      </c>
      <c r="AA353" s="2" t="str">
        <f t="shared" si="91"/>
        <v/>
      </c>
      <c r="AB353" s="2" t="str">
        <f t="shared" si="92"/>
        <v/>
      </c>
      <c r="AC353" s="2" t="str">
        <f t="shared" si="93"/>
        <v/>
      </c>
      <c r="AD353" s="2" t="str">
        <f t="shared" si="94"/>
        <v>(0)</v>
      </c>
      <c r="AE353" s="2" t="str">
        <f t="shared" si="95"/>
        <v/>
      </c>
      <c r="AF353" s="2" t="str">
        <f t="shared" si="96"/>
        <v/>
      </c>
      <c r="AG353" s="2" t="str">
        <f t="shared" si="97"/>
        <v/>
      </c>
      <c r="AH353" s="2" t="str">
        <f t="shared" si="98"/>
        <v/>
      </c>
    </row>
    <row r="354" spans="2:34" x14ac:dyDescent="0.25">
      <c r="B354" s="2" t="s">
        <v>718</v>
      </c>
      <c r="C354" s="2" t="s">
        <v>645</v>
      </c>
      <c r="D354" s="2" t="s">
        <v>0</v>
      </c>
      <c r="E354" s="2" t="s">
        <v>130</v>
      </c>
      <c r="F354" s="2" t="s">
        <v>719</v>
      </c>
      <c r="G354" s="2" t="s">
        <v>720</v>
      </c>
      <c r="H354" s="2" t="s">
        <v>646</v>
      </c>
      <c r="I354" s="2" t="s">
        <v>41</v>
      </c>
      <c r="J354" s="2">
        <v>1</v>
      </c>
      <c r="K354" s="2" t="s">
        <v>81</v>
      </c>
      <c r="L354" s="2" t="s">
        <v>40</v>
      </c>
      <c r="M354" s="2" t="s">
        <v>5292</v>
      </c>
      <c r="N354" s="2" t="s">
        <v>5274</v>
      </c>
      <c r="O354" s="2" t="s">
        <v>5169</v>
      </c>
      <c r="P354" s="2" t="s">
        <v>4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1228</v>
      </c>
      <c r="T354" s="2" t="str">
        <f t="shared" si="84"/>
        <v>04CC</v>
      </c>
      <c r="U354" s="2">
        <f t="shared" si="89"/>
        <v>307</v>
      </c>
      <c r="V354" s="2" t="str">
        <f t="shared" si="85"/>
        <v>133</v>
      </c>
      <c r="W354" s="2" t="str">
        <f t="shared" si="86"/>
        <v/>
      </c>
      <c r="X354" s="2" t="str">
        <f t="shared" si="90"/>
        <v/>
      </c>
      <c r="Y354" s="2" t="str">
        <f t="shared" si="87"/>
        <v/>
      </c>
      <c r="Z354" s="2" t="str">
        <f t="shared" si="88"/>
        <v>X</v>
      </c>
      <c r="AA354" s="2" t="str">
        <f t="shared" si="91"/>
        <v/>
      </c>
      <c r="AB354" s="2" t="str">
        <f t="shared" si="92"/>
        <v/>
      </c>
      <c r="AC354" s="2" t="str">
        <f t="shared" si="93"/>
        <v/>
      </c>
      <c r="AD354" s="2" t="str">
        <f t="shared" si="94"/>
        <v>(0)</v>
      </c>
      <c r="AE354" s="2" t="str">
        <f t="shared" si="95"/>
        <v/>
      </c>
      <c r="AF354" s="2" t="str">
        <f t="shared" si="96"/>
        <v/>
      </c>
      <c r="AG354" s="2" t="str">
        <f t="shared" si="97"/>
        <v/>
      </c>
      <c r="AH354" s="2" t="str">
        <f t="shared" si="98"/>
        <v/>
      </c>
    </row>
    <row r="355" spans="2:34" x14ac:dyDescent="0.25">
      <c r="B355" s="2" t="s">
        <v>718</v>
      </c>
      <c r="C355" s="2" t="s">
        <v>647</v>
      </c>
      <c r="D355" s="2" t="s">
        <v>0</v>
      </c>
      <c r="E355" s="2" t="s">
        <v>130</v>
      </c>
      <c r="F355" s="2" t="s">
        <v>719</v>
      </c>
      <c r="G355" s="2" t="s">
        <v>720</v>
      </c>
      <c r="H355" s="2" t="s">
        <v>648</v>
      </c>
      <c r="I355" s="2" t="s">
        <v>41</v>
      </c>
      <c r="J355" s="2">
        <v>1</v>
      </c>
      <c r="K355" s="2" t="s">
        <v>81</v>
      </c>
      <c r="L355" s="2" t="s">
        <v>40</v>
      </c>
      <c r="M355" s="2" t="s">
        <v>5292</v>
      </c>
      <c r="N355" s="2" t="s">
        <v>5274</v>
      </c>
      <c r="O355" s="2" t="s">
        <v>5170</v>
      </c>
      <c r="P355" s="2" t="s">
        <v>4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1232</v>
      </c>
      <c r="T355" s="2" t="str">
        <f t="shared" si="84"/>
        <v>04D0</v>
      </c>
      <c r="U355" s="2">
        <f t="shared" si="89"/>
        <v>308</v>
      </c>
      <c r="V355" s="2" t="str">
        <f t="shared" si="85"/>
        <v>134</v>
      </c>
      <c r="W355" s="2" t="str">
        <f t="shared" si="86"/>
        <v/>
      </c>
      <c r="X355" s="2" t="str">
        <f t="shared" si="90"/>
        <v/>
      </c>
      <c r="Y355" s="2" t="str">
        <f t="shared" si="87"/>
        <v/>
      </c>
      <c r="Z355" s="2" t="str">
        <f t="shared" si="88"/>
        <v>X</v>
      </c>
      <c r="AA355" s="2" t="str">
        <f t="shared" si="91"/>
        <v/>
      </c>
      <c r="AB355" s="2" t="str">
        <f t="shared" si="92"/>
        <v/>
      </c>
      <c r="AC355" s="2" t="str">
        <f t="shared" si="93"/>
        <v/>
      </c>
      <c r="AD355" s="2" t="str">
        <f t="shared" si="94"/>
        <v>(0)</v>
      </c>
      <c r="AE355" s="2" t="str">
        <f t="shared" si="95"/>
        <v/>
      </c>
      <c r="AF355" s="2" t="str">
        <f t="shared" si="96"/>
        <v/>
      </c>
      <c r="AG355" s="2" t="str">
        <f t="shared" si="97"/>
        <v/>
      </c>
      <c r="AH355" s="2" t="str">
        <f t="shared" si="98"/>
        <v/>
      </c>
    </row>
    <row r="356" spans="2:34" x14ac:dyDescent="0.25">
      <c r="B356" s="2" t="s">
        <v>718</v>
      </c>
      <c r="C356" s="2" t="s">
        <v>649</v>
      </c>
      <c r="D356" s="2" t="s">
        <v>0</v>
      </c>
      <c r="E356" s="2" t="s">
        <v>130</v>
      </c>
      <c r="F356" s="2" t="s">
        <v>719</v>
      </c>
      <c r="G356" s="2" t="s">
        <v>720</v>
      </c>
      <c r="H356" s="2" t="s">
        <v>650</v>
      </c>
      <c r="I356" s="2" t="s">
        <v>41</v>
      </c>
      <c r="J356" s="2">
        <v>5</v>
      </c>
      <c r="K356" s="2" t="s">
        <v>132</v>
      </c>
      <c r="L356" s="2" t="s">
        <v>40</v>
      </c>
      <c r="M356" s="2" t="s">
        <v>5292</v>
      </c>
      <c r="N356" s="2" t="s">
        <v>5274</v>
      </c>
      <c r="O356" s="2" t="s">
        <v>5171</v>
      </c>
      <c r="P356" s="2" t="s">
        <v>47</v>
      </c>
      <c r="Q356" s="2">
        <f>INDEX(Tables!$C$4:$C$28,MATCH($P356,Tables!$B$4:$B$28,0))</f>
        <v>8</v>
      </c>
      <c r="R356" s="2">
        <f>INDEX(Tables!$D$4:$D$28,MATCH($P356,Tables!$B$4:$B$28,0))</f>
        <v>1</v>
      </c>
      <c r="S356" s="2">
        <f>$S355+$R355+INDEX(Tables!$N$5:$Q$8,MATCH(MOD($S355+$R355,4),Tables!$M$5:$M$8,0),MATCH($R356,Tables!$N$4:$Q$4,0))</f>
        <v>1236</v>
      </c>
      <c r="T356" s="2" t="str">
        <f t="shared" si="84"/>
        <v>04D4</v>
      </c>
      <c r="U356" s="2">
        <f t="shared" si="89"/>
        <v>309</v>
      </c>
      <c r="V356" s="2" t="str">
        <f t="shared" si="85"/>
        <v>135</v>
      </c>
      <c r="W356" s="2" t="str">
        <f t="shared" si="86"/>
        <v/>
      </c>
      <c r="X356" s="2" t="str">
        <f t="shared" si="90"/>
        <v/>
      </c>
      <c r="Y356" s="2" t="str">
        <f t="shared" si="87"/>
        <v/>
      </c>
      <c r="Z356" s="2" t="str">
        <f t="shared" si="88"/>
        <v>X</v>
      </c>
      <c r="AA356" s="2" t="str">
        <f t="shared" si="91"/>
        <v/>
      </c>
      <c r="AB356" s="2" t="str">
        <f t="shared" si="92"/>
        <v/>
      </c>
      <c r="AC356" s="2" t="str">
        <f t="shared" si="93"/>
        <v/>
      </c>
      <c r="AD356" s="2" t="str">
        <f t="shared" si="94"/>
        <v>(4 downto 0)</v>
      </c>
      <c r="AE356" s="2" t="str">
        <f t="shared" si="95"/>
        <v/>
      </c>
      <c r="AF356" s="2" t="str">
        <f t="shared" si="96"/>
        <v/>
      </c>
      <c r="AG356" s="2" t="str">
        <f t="shared" si="97"/>
        <v/>
      </c>
      <c r="AH356" s="2" t="str">
        <f t="shared" si="98"/>
        <v/>
      </c>
    </row>
    <row r="357" spans="2:34" x14ac:dyDescent="0.25">
      <c r="B357" s="2" t="s">
        <v>718</v>
      </c>
      <c r="C357" s="2" t="s">
        <v>721</v>
      </c>
      <c r="D357" s="2" t="s">
        <v>0</v>
      </c>
      <c r="E357" s="2" t="s">
        <v>130</v>
      </c>
      <c r="F357" s="2" t="s">
        <v>719</v>
      </c>
      <c r="G357" s="2" t="s">
        <v>720</v>
      </c>
      <c r="H357" s="2" t="s">
        <v>722</v>
      </c>
      <c r="I357" s="2" t="s">
        <v>41</v>
      </c>
      <c r="J357" s="2">
        <v>24</v>
      </c>
      <c r="K357" s="2" t="s">
        <v>132</v>
      </c>
      <c r="L357" s="2" t="s">
        <v>40</v>
      </c>
      <c r="M357" s="2" t="s">
        <v>5292</v>
      </c>
      <c r="N357" s="2" t="s">
        <v>5274</v>
      </c>
      <c r="O357" s="2" t="s">
        <v>5186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1240</v>
      </c>
      <c r="T357" s="2" t="str">
        <f t="shared" si="84"/>
        <v>04D8</v>
      </c>
      <c r="U357" s="2">
        <f t="shared" si="89"/>
        <v>310</v>
      </c>
      <c r="V357" s="2" t="str">
        <f t="shared" si="85"/>
        <v>136</v>
      </c>
      <c r="W357" s="2" t="str">
        <f t="shared" si="86"/>
        <v/>
      </c>
      <c r="X357" s="2" t="str">
        <f t="shared" si="90"/>
        <v>X</v>
      </c>
      <c r="Y357" s="2" t="str">
        <f t="shared" si="87"/>
        <v>X</v>
      </c>
      <c r="Z357" s="2" t="str">
        <f t="shared" si="88"/>
        <v>X</v>
      </c>
      <c r="AA357" s="2" t="str">
        <f t="shared" si="91"/>
        <v/>
      </c>
      <c r="AB357" s="2" t="str">
        <f t="shared" si="92"/>
        <v>(23 downto 16)</v>
      </c>
      <c r="AC357" s="2" t="str">
        <f t="shared" si="93"/>
        <v>(15 downto 8)</v>
      </c>
      <c r="AD357" s="2" t="str">
        <f t="shared" si="94"/>
        <v>(7 downto 0)</v>
      </c>
      <c r="AE357" s="2" t="str">
        <f t="shared" si="95"/>
        <v/>
      </c>
      <c r="AF357" s="2" t="str">
        <f t="shared" si="96"/>
        <v>(23 downto 16)</v>
      </c>
      <c r="AG357" s="2" t="str">
        <f t="shared" si="97"/>
        <v>(15 downto 8)</v>
      </c>
      <c r="AH357" s="2" t="str">
        <f t="shared" si="98"/>
        <v>(7 downto 0)</v>
      </c>
    </row>
    <row r="358" spans="2:34" x14ac:dyDescent="0.25">
      <c r="B358" s="2" t="s">
        <v>723</v>
      </c>
      <c r="C358" s="2" t="s">
        <v>642</v>
      </c>
      <c r="D358" s="2" t="s">
        <v>0</v>
      </c>
      <c r="E358" s="2" t="s">
        <v>130</v>
      </c>
      <c r="F358" s="2" t="s">
        <v>724</v>
      </c>
      <c r="G358" s="2" t="s">
        <v>725</v>
      </c>
      <c r="H358" s="2" t="s">
        <v>4897</v>
      </c>
      <c r="I358" s="2" t="s">
        <v>41</v>
      </c>
      <c r="J358" s="2">
        <v>1</v>
      </c>
      <c r="K358" s="2" t="s">
        <v>81</v>
      </c>
      <c r="L358" s="2" t="s">
        <v>40</v>
      </c>
      <c r="M358" s="2" t="s">
        <v>5292</v>
      </c>
      <c r="N358" s="2" t="s">
        <v>5275</v>
      </c>
      <c r="O358" s="2" t="s">
        <v>5168</v>
      </c>
      <c r="P358" s="2" t="s">
        <v>4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1244</v>
      </c>
      <c r="T358" s="2" t="str">
        <f t="shared" si="84"/>
        <v>04DC</v>
      </c>
      <c r="U358" s="2">
        <f t="shared" si="89"/>
        <v>311</v>
      </c>
      <c r="V358" s="2" t="str">
        <f t="shared" si="85"/>
        <v>137</v>
      </c>
      <c r="W358" s="2" t="str">
        <f t="shared" si="86"/>
        <v/>
      </c>
      <c r="X358" s="2" t="str">
        <f t="shared" si="90"/>
        <v/>
      </c>
      <c r="Y358" s="2" t="str">
        <f t="shared" si="87"/>
        <v/>
      </c>
      <c r="Z358" s="2" t="str">
        <f t="shared" si="88"/>
        <v>X</v>
      </c>
      <c r="AA358" s="2" t="str">
        <f t="shared" si="91"/>
        <v/>
      </c>
      <c r="AB358" s="2" t="str">
        <f t="shared" si="92"/>
        <v/>
      </c>
      <c r="AC358" s="2" t="str">
        <f t="shared" si="93"/>
        <v/>
      </c>
      <c r="AD358" s="2" t="str">
        <f t="shared" si="94"/>
        <v>(0)</v>
      </c>
      <c r="AE358" s="2" t="str">
        <f t="shared" si="95"/>
        <v/>
      </c>
      <c r="AF358" s="2" t="str">
        <f t="shared" si="96"/>
        <v/>
      </c>
      <c r="AG358" s="2" t="str">
        <f t="shared" si="97"/>
        <v/>
      </c>
      <c r="AH358" s="2" t="str">
        <f t="shared" si="98"/>
        <v/>
      </c>
    </row>
    <row r="359" spans="2:34" x14ac:dyDescent="0.25">
      <c r="B359" s="2" t="s">
        <v>723</v>
      </c>
      <c r="C359" s="2" t="s">
        <v>645</v>
      </c>
      <c r="D359" s="2" t="s">
        <v>0</v>
      </c>
      <c r="E359" s="2" t="s">
        <v>130</v>
      </c>
      <c r="F359" s="2" t="s">
        <v>724</v>
      </c>
      <c r="G359" s="2" t="s">
        <v>725</v>
      </c>
      <c r="H359" s="2" t="s">
        <v>646</v>
      </c>
      <c r="I359" s="2" t="s">
        <v>41</v>
      </c>
      <c r="J359" s="2">
        <v>1</v>
      </c>
      <c r="K359" s="2" t="s">
        <v>81</v>
      </c>
      <c r="L359" s="2" t="s">
        <v>40</v>
      </c>
      <c r="M359" s="2" t="s">
        <v>5292</v>
      </c>
      <c r="N359" s="2" t="s">
        <v>5275</v>
      </c>
      <c r="O359" s="2" t="s">
        <v>5169</v>
      </c>
      <c r="P359" s="2" t="s">
        <v>4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1248</v>
      </c>
      <c r="T359" s="2" t="str">
        <f t="shared" si="84"/>
        <v>04E0</v>
      </c>
      <c r="U359" s="2">
        <f t="shared" si="89"/>
        <v>312</v>
      </c>
      <c r="V359" s="2" t="str">
        <f t="shared" si="85"/>
        <v>138</v>
      </c>
      <c r="W359" s="2" t="str">
        <f t="shared" si="86"/>
        <v/>
      </c>
      <c r="X359" s="2" t="str">
        <f t="shared" si="90"/>
        <v/>
      </c>
      <c r="Y359" s="2" t="str">
        <f t="shared" si="87"/>
        <v/>
      </c>
      <c r="Z359" s="2" t="str">
        <f t="shared" si="88"/>
        <v>X</v>
      </c>
      <c r="AA359" s="2" t="str">
        <f t="shared" si="91"/>
        <v/>
      </c>
      <c r="AB359" s="2" t="str">
        <f t="shared" si="92"/>
        <v/>
      </c>
      <c r="AC359" s="2" t="str">
        <f t="shared" si="93"/>
        <v/>
      </c>
      <c r="AD359" s="2" t="str">
        <f t="shared" si="94"/>
        <v>(0)</v>
      </c>
      <c r="AE359" s="2" t="str">
        <f t="shared" si="95"/>
        <v/>
      </c>
      <c r="AF359" s="2" t="str">
        <f t="shared" si="96"/>
        <v/>
      </c>
      <c r="AG359" s="2" t="str">
        <f t="shared" si="97"/>
        <v/>
      </c>
      <c r="AH359" s="2" t="str">
        <f t="shared" si="98"/>
        <v/>
      </c>
    </row>
    <row r="360" spans="2:34" x14ac:dyDescent="0.25">
      <c r="B360" s="2" t="s">
        <v>723</v>
      </c>
      <c r="C360" s="2" t="s">
        <v>647</v>
      </c>
      <c r="D360" s="2" t="s">
        <v>0</v>
      </c>
      <c r="E360" s="2" t="s">
        <v>130</v>
      </c>
      <c r="F360" s="2" t="s">
        <v>724</v>
      </c>
      <c r="G360" s="2" t="s">
        <v>725</v>
      </c>
      <c r="H360" s="2" t="s">
        <v>648</v>
      </c>
      <c r="I360" s="2" t="s">
        <v>41</v>
      </c>
      <c r="J360" s="2">
        <v>1</v>
      </c>
      <c r="K360" s="2" t="s">
        <v>81</v>
      </c>
      <c r="L360" s="2" t="s">
        <v>40</v>
      </c>
      <c r="M360" s="2" t="s">
        <v>5292</v>
      </c>
      <c r="N360" s="2" t="s">
        <v>5275</v>
      </c>
      <c r="O360" s="2" t="s">
        <v>5170</v>
      </c>
      <c r="P360" s="2" t="s">
        <v>4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1252</v>
      </c>
      <c r="T360" s="2" t="str">
        <f t="shared" si="84"/>
        <v>04E4</v>
      </c>
      <c r="U360" s="2">
        <f t="shared" si="89"/>
        <v>313</v>
      </c>
      <c r="V360" s="2" t="str">
        <f t="shared" si="85"/>
        <v>139</v>
      </c>
      <c r="W360" s="2" t="str">
        <f t="shared" si="86"/>
        <v/>
      </c>
      <c r="X360" s="2" t="str">
        <f t="shared" si="90"/>
        <v/>
      </c>
      <c r="Y360" s="2" t="str">
        <f t="shared" si="87"/>
        <v/>
      </c>
      <c r="Z360" s="2" t="str">
        <f t="shared" si="88"/>
        <v>X</v>
      </c>
      <c r="AA360" s="2" t="str">
        <f t="shared" si="91"/>
        <v/>
      </c>
      <c r="AB360" s="2" t="str">
        <f t="shared" si="92"/>
        <v/>
      </c>
      <c r="AC360" s="2" t="str">
        <f t="shared" si="93"/>
        <v/>
      </c>
      <c r="AD360" s="2" t="str">
        <f t="shared" si="94"/>
        <v>(0)</v>
      </c>
      <c r="AE360" s="2" t="str">
        <f t="shared" si="95"/>
        <v/>
      </c>
      <c r="AF360" s="2" t="str">
        <f t="shared" si="96"/>
        <v/>
      </c>
      <c r="AG360" s="2" t="str">
        <f t="shared" si="97"/>
        <v/>
      </c>
      <c r="AH360" s="2" t="str">
        <f t="shared" si="98"/>
        <v/>
      </c>
    </row>
    <row r="361" spans="2:34" x14ac:dyDescent="0.25">
      <c r="B361" s="2" t="s">
        <v>723</v>
      </c>
      <c r="C361" s="2" t="s">
        <v>649</v>
      </c>
      <c r="D361" s="2" t="s">
        <v>0</v>
      </c>
      <c r="E361" s="2" t="s">
        <v>130</v>
      </c>
      <c r="F361" s="2" t="s">
        <v>724</v>
      </c>
      <c r="G361" s="2" t="s">
        <v>725</v>
      </c>
      <c r="H361" s="2" t="s">
        <v>650</v>
      </c>
      <c r="I361" s="2" t="s">
        <v>41</v>
      </c>
      <c r="J361" s="2">
        <v>5</v>
      </c>
      <c r="K361" s="2" t="s">
        <v>132</v>
      </c>
      <c r="L361" s="2" t="s">
        <v>40</v>
      </c>
      <c r="M361" s="2" t="s">
        <v>5292</v>
      </c>
      <c r="N361" s="2" t="s">
        <v>5275</v>
      </c>
      <c r="O361" s="2" t="s">
        <v>5171</v>
      </c>
      <c r="P361" s="2" t="s">
        <v>47</v>
      </c>
      <c r="Q361" s="2">
        <f>INDEX(Tables!$C$4:$C$28,MATCH($P361,Tables!$B$4:$B$28,0))</f>
        <v>8</v>
      </c>
      <c r="R361" s="2">
        <f>INDEX(Tables!$D$4:$D$28,MATCH($P361,Tables!$B$4:$B$28,0))</f>
        <v>1</v>
      </c>
      <c r="S361" s="2">
        <f>$S360+$R360+INDEX(Tables!$N$5:$Q$8,MATCH(MOD($S360+$R360,4),Tables!$M$5:$M$8,0),MATCH($R361,Tables!$N$4:$Q$4,0))</f>
        <v>1256</v>
      </c>
      <c r="T361" s="2" t="str">
        <f t="shared" si="84"/>
        <v>04E8</v>
      </c>
      <c r="U361" s="2">
        <f t="shared" si="89"/>
        <v>314</v>
      </c>
      <c r="V361" s="2" t="str">
        <f t="shared" si="85"/>
        <v>13A</v>
      </c>
      <c r="W361" s="2" t="str">
        <f t="shared" si="86"/>
        <v/>
      </c>
      <c r="X361" s="2" t="str">
        <f t="shared" si="90"/>
        <v/>
      </c>
      <c r="Y361" s="2" t="str">
        <f t="shared" si="87"/>
        <v/>
      </c>
      <c r="Z361" s="2" t="str">
        <f t="shared" si="88"/>
        <v>X</v>
      </c>
      <c r="AA361" s="2" t="str">
        <f t="shared" si="91"/>
        <v/>
      </c>
      <c r="AB361" s="2" t="str">
        <f t="shared" si="92"/>
        <v/>
      </c>
      <c r="AC361" s="2" t="str">
        <f t="shared" si="93"/>
        <v/>
      </c>
      <c r="AD361" s="2" t="str">
        <f t="shared" si="94"/>
        <v>(4 downto 0)</v>
      </c>
      <c r="AE361" s="2" t="str">
        <f t="shared" si="95"/>
        <v/>
      </c>
      <c r="AF361" s="2" t="str">
        <f t="shared" si="96"/>
        <v/>
      </c>
      <c r="AG361" s="2" t="str">
        <f t="shared" si="97"/>
        <v/>
      </c>
      <c r="AH361" s="2" t="str">
        <f t="shared" si="98"/>
        <v/>
      </c>
    </row>
    <row r="362" spans="2:34" x14ac:dyDescent="0.25">
      <c r="B362" s="2" t="s">
        <v>723</v>
      </c>
      <c r="C362" s="2" t="s">
        <v>726</v>
      </c>
      <c r="D362" s="2" t="s">
        <v>0</v>
      </c>
      <c r="E362" s="2" t="s">
        <v>130</v>
      </c>
      <c r="F362" s="2" t="s">
        <v>724</v>
      </c>
      <c r="G362" s="2" t="s">
        <v>725</v>
      </c>
      <c r="H362" s="2" t="s">
        <v>727</v>
      </c>
      <c r="I362" s="2" t="s">
        <v>41</v>
      </c>
      <c r="J362" s="2">
        <v>24</v>
      </c>
      <c r="K362" s="2" t="s">
        <v>132</v>
      </c>
      <c r="L362" s="2" t="s">
        <v>40</v>
      </c>
      <c r="M362" s="2" t="s">
        <v>5292</v>
      </c>
      <c r="N362" s="2" t="s">
        <v>5275</v>
      </c>
      <c r="O362" s="2" t="s">
        <v>5187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1260</v>
      </c>
      <c r="T362" s="2" t="str">
        <f t="shared" si="84"/>
        <v>04EC</v>
      </c>
      <c r="U362" s="2">
        <f t="shared" si="89"/>
        <v>315</v>
      </c>
      <c r="V362" s="2" t="str">
        <f t="shared" si="85"/>
        <v>13B</v>
      </c>
      <c r="W362" s="2" t="str">
        <f t="shared" si="86"/>
        <v/>
      </c>
      <c r="X362" s="2" t="str">
        <f t="shared" si="90"/>
        <v>X</v>
      </c>
      <c r="Y362" s="2" t="str">
        <f t="shared" si="87"/>
        <v>X</v>
      </c>
      <c r="Z362" s="2" t="str">
        <f t="shared" si="88"/>
        <v>X</v>
      </c>
      <c r="AA362" s="2" t="str">
        <f t="shared" si="91"/>
        <v/>
      </c>
      <c r="AB362" s="2" t="str">
        <f t="shared" si="92"/>
        <v>(23 downto 16)</v>
      </c>
      <c r="AC362" s="2" t="str">
        <f t="shared" si="93"/>
        <v>(15 downto 8)</v>
      </c>
      <c r="AD362" s="2" t="str">
        <f t="shared" si="94"/>
        <v>(7 downto 0)</v>
      </c>
      <c r="AE362" s="2" t="str">
        <f t="shared" si="95"/>
        <v/>
      </c>
      <c r="AF362" s="2" t="str">
        <f t="shared" si="96"/>
        <v>(23 downto 16)</v>
      </c>
      <c r="AG362" s="2" t="str">
        <f t="shared" si="97"/>
        <v>(15 downto 8)</v>
      </c>
      <c r="AH362" s="2" t="str">
        <f t="shared" si="98"/>
        <v>(7 downto 0)</v>
      </c>
    </row>
    <row r="363" spans="2:34" x14ac:dyDescent="0.25">
      <c r="B363" s="2" t="s">
        <v>728</v>
      </c>
      <c r="C363" s="2" t="s">
        <v>642</v>
      </c>
      <c r="D363" s="2" t="s">
        <v>0</v>
      </c>
      <c r="E363" s="2" t="s">
        <v>130</v>
      </c>
      <c r="F363" s="2" t="s">
        <v>729</v>
      </c>
      <c r="G363" s="2" t="s">
        <v>730</v>
      </c>
      <c r="H363" s="2" t="s">
        <v>4897</v>
      </c>
      <c r="I363" s="2" t="s">
        <v>41</v>
      </c>
      <c r="J363" s="2">
        <v>1</v>
      </c>
      <c r="K363" s="2" t="s">
        <v>81</v>
      </c>
      <c r="L363" s="2" t="s">
        <v>40</v>
      </c>
      <c r="M363" s="2" t="s">
        <v>5292</v>
      </c>
      <c r="N363" s="2" t="s">
        <v>5276</v>
      </c>
      <c r="O363" s="2" t="s">
        <v>5168</v>
      </c>
      <c r="P363" s="2" t="s">
        <v>4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1264</v>
      </c>
      <c r="T363" s="2" t="str">
        <f t="shared" si="84"/>
        <v>04F0</v>
      </c>
      <c r="U363" s="2">
        <f t="shared" si="89"/>
        <v>316</v>
      </c>
      <c r="V363" s="2" t="str">
        <f t="shared" si="85"/>
        <v>13C</v>
      </c>
      <c r="W363" s="2" t="str">
        <f t="shared" si="86"/>
        <v/>
      </c>
      <c r="X363" s="2" t="str">
        <f t="shared" si="90"/>
        <v/>
      </c>
      <c r="Y363" s="2" t="str">
        <f t="shared" si="87"/>
        <v/>
      </c>
      <c r="Z363" s="2" t="str">
        <f t="shared" si="88"/>
        <v>X</v>
      </c>
      <c r="AA363" s="2" t="str">
        <f t="shared" si="91"/>
        <v/>
      </c>
      <c r="AB363" s="2" t="str">
        <f t="shared" si="92"/>
        <v/>
      </c>
      <c r="AC363" s="2" t="str">
        <f t="shared" si="93"/>
        <v/>
      </c>
      <c r="AD363" s="2" t="str">
        <f t="shared" si="94"/>
        <v>(0)</v>
      </c>
      <c r="AE363" s="2" t="str">
        <f t="shared" si="95"/>
        <v/>
      </c>
      <c r="AF363" s="2" t="str">
        <f t="shared" si="96"/>
        <v/>
      </c>
      <c r="AG363" s="2" t="str">
        <f t="shared" si="97"/>
        <v/>
      </c>
      <c r="AH363" s="2" t="str">
        <f t="shared" si="98"/>
        <v/>
      </c>
    </row>
    <row r="364" spans="2:34" x14ac:dyDescent="0.25">
      <c r="B364" s="2" t="s">
        <v>728</v>
      </c>
      <c r="C364" s="2" t="s">
        <v>645</v>
      </c>
      <c r="D364" s="2" t="s">
        <v>0</v>
      </c>
      <c r="E364" s="2" t="s">
        <v>130</v>
      </c>
      <c r="F364" s="2" t="s">
        <v>729</v>
      </c>
      <c r="G364" s="2" t="s">
        <v>730</v>
      </c>
      <c r="H364" s="2" t="s">
        <v>646</v>
      </c>
      <c r="I364" s="2" t="s">
        <v>41</v>
      </c>
      <c r="J364" s="2">
        <v>1</v>
      </c>
      <c r="K364" s="2" t="s">
        <v>81</v>
      </c>
      <c r="L364" s="2" t="s">
        <v>40</v>
      </c>
      <c r="M364" s="2" t="s">
        <v>5292</v>
      </c>
      <c r="N364" s="2" t="s">
        <v>5276</v>
      </c>
      <c r="O364" s="2" t="s">
        <v>5169</v>
      </c>
      <c r="P364" s="2" t="s">
        <v>4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1268</v>
      </c>
      <c r="T364" s="2" t="str">
        <f t="shared" si="84"/>
        <v>04F4</v>
      </c>
      <c r="U364" s="2">
        <f t="shared" si="89"/>
        <v>317</v>
      </c>
      <c r="V364" s="2" t="str">
        <f t="shared" si="85"/>
        <v>13D</v>
      </c>
      <c r="W364" s="2" t="str">
        <f t="shared" si="86"/>
        <v/>
      </c>
      <c r="X364" s="2" t="str">
        <f t="shared" si="90"/>
        <v/>
      </c>
      <c r="Y364" s="2" t="str">
        <f t="shared" si="87"/>
        <v/>
      </c>
      <c r="Z364" s="2" t="str">
        <f t="shared" si="88"/>
        <v>X</v>
      </c>
      <c r="AA364" s="2" t="str">
        <f t="shared" si="91"/>
        <v/>
      </c>
      <c r="AB364" s="2" t="str">
        <f t="shared" si="92"/>
        <v/>
      </c>
      <c r="AC364" s="2" t="str">
        <f t="shared" si="93"/>
        <v/>
      </c>
      <c r="AD364" s="2" t="str">
        <f t="shared" si="94"/>
        <v>(0)</v>
      </c>
      <c r="AE364" s="2" t="str">
        <f t="shared" si="95"/>
        <v/>
      </c>
      <c r="AF364" s="2" t="str">
        <f t="shared" si="96"/>
        <v/>
      </c>
      <c r="AG364" s="2" t="str">
        <f t="shared" si="97"/>
        <v/>
      </c>
      <c r="AH364" s="2" t="str">
        <f t="shared" si="98"/>
        <v/>
      </c>
    </row>
    <row r="365" spans="2:34" x14ac:dyDescent="0.25">
      <c r="B365" s="2" t="s">
        <v>728</v>
      </c>
      <c r="C365" s="2" t="s">
        <v>647</v>
      </c>
      <c r="D365" s="2" t="s">
        <v>0</v>
      </c>
      <c r="E365" s="2" t="s">
        <v>130</v>
      </c>
      <c r="F365" s="2" t="s">
        <v>729</v>
      </c>
      <c r="G365" s="2" t="s">
        <v>730</v>
      </c>
      <c r="H365" s="2" t="s">
        <v>648</v>
      </c>
      <c r="I365" s="2" t="s">
        <v>41</v>
      </c>
      <c r="J365" s="2">
        <v>1</v>
      </c>
      <c r="K365" s="2" t="s">
        <v>81</v>
      </c>
      <c r="L365" s="2" t="s">
        <v>40</v>
      </c>
      <c r="M365" s="2" t="s">
        <v>5292</v>
      </c>
      <c r="N365" s="2" t="s">
        <v>5276</v>
      </c>
      <c r="O365" s="2" t="s">
        <v>5170</v>
      </c>
      <c r="P365" s="2" t="s">
        <v>4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1272</v>
      </c>
      <c r="T365" s="2" t="str">
        <f t="shared" si="84"/>
        <v>04F8</v>
      </c>
      <c r="U365" s="2">
        <f t="shared" si="89"/>
        <v>318</v>
      </c>
      <c r="V365" s="2" t="str">
        <f t="shared" si="85"/>
        <v>13E</v>
      </c>
      <c r="W365" s="2" t="str">
        <f t="shared" si="86"/>
        <v/>
      </c>
      <c r="X365" s="2" t="str">
        <f t="shared" si="90"/>
        <v/>
      </c>
      <c r="Y365" s="2" t="str">
        <f t="shared" si="87"/>
        <v/>
      </c>
      <c r="Z365" s="2" t="str">
        <f t="shared" si="88"/>
        <v>X</v>
      </c>
      <c r="AA365" s="2" t="str">
        <f t="shared" si="91"/>
        <v/>
      </c>
      <c r="AB365" s="2" t="str">
        <f t="shared" si="92"/>
        <v/>
      </c>
      <c r="AC365" s="2" t="str">
        <f t="shared" si="93"/>
        <v/>
      </c>
      <c r="AD365" s="2" t="str">
        <f t="shared" si="94"/>
        <v>(0)</v>
      </c>
      <c r="AE365" s="2" t="str">
        <f t="shared" si="95"/>
        <v/>
      </c>
      <c r="AF365" s="2" t="str">
        <f t="shared" si="96"/>
        <v/>
      </c>
      <c r="AG365" s="2" t="str">
        <f t="shared" si="97"/>
        <v/>
      </c>
      <c r="AH365" s="2" t="str">
        <f t="shared" si="98"/>
        <v/>
      </c>
    </row>
    <row r="366" spans="2:34" x14ac:dyDescent="0.25">
      <c r="B366" s="2" t="s">
        <v>728</v>
      </c>
      <c r="C366" s="2" t="s">
        <v>649</v>
      </c>
      <c r="D366" s="2" t="s">
        <v>0</v>
      </c>
      <c r="E366" s="2" t="s">
        <v>130</v>
      </c>
      <c r="F366" s="2" t="s">
        <v>729</v>
      </c>
      <c r="G366" s="2" t="s">
        <v>730</v>
      </c>
      <c r="H366" s="2" t="s">
        <v>650</v>
      </c>
      <c r="I366" s="2" t="s">
        <v>41</v>
      </c>
      <c r="J366" s="2">
        <v>5</v>
      </c>
      <c r="K366" s="2" t="s">
        <v>132</v>
      </c>
      <c r="L366" s="2" t="s">
        <v>40</v>
      </c>
      <c r="M366" s="2" t="s">
        <v>5292</v>
      </c>
      <c r="N366" s="2" t="s">
        <v>5276</v>
      </c>
      <c r="O366" s="2" t="s">
        <v>5171</v>
      </c>
      <c r="P366" s="2" t="s">
        <v>47</v>
      </c>
      <c r="Q366" s="2">
        <f>INDEX(Tables!$C$4:$C$28,MATCH($P366,Tables!$B$4:$B$28,0))</f>
        <v>8</v>
      </c>
      <c r="R366" s="2">
        <f>INDEX(Tables!$D$4:$D$28,MATCH($P366,Tables!$B$4:$B$28,0))</f>
        <v>1</v>
      </c>
      <c r="S366" s="2">
        <f>$S365+$R365+INDEX(Tables!$N$5:$Q$8,MATCH(MOD($S365+$R365,4),Tables!$M$5:$M$8,0),MATCH($R366,Tables!$N$4:$Q$4,0))</f>
        <v>1276</v>
      </c>
      <c r="T366" s="2" t="str">
        <f t="shared" si="84"/>
        <v>04FC</v>
      </c>
      <c r="U366" s="2">
        <f t="shared" si="89"/>
        <v>319</v>
      </c>
      <c r="V366" s="2" t="str">
        <f t="shared" si="85"/>
        <v>13F</v>
      </c>
      <c r="W366" s="2" t="str">
        <f t="shared" si="86"/>
        <v/>
      </c>
      <c r="X366" s="2" t="str">
        <f t="shared" si="90"/>
        <v/>
      </c>
      <c r="Y366" s="2" t="str">
        <f t="shared" si="87"/>
        <v/>
      </c>
      <c r="Z366" s="2" t="str">
        <f t="shared" si="88"/>
        <v>X</v>
      </c>
      <c r="AA366" s="2" t="str">
        <f t="shared" si="91"/>
        <v/>
      </c>
      <c r="AB366" s="2" t="str">
        <f t="shared" si="92"/>
        <v/>
      </c>
      <c r="AC366" s="2" t="str">
        <f t="shared" si="93"/>
        <v/>
      </c>
      <c r="AD366" s="2" t="str">
        <f t="shared" si="94"/>
        <v>(4 downto 0)</v>
      </c>
      <c r="AE366" s="2" t="str">
        <f t="shared" si="95"/>
        <v/>
      </c>
      <c r="AF366" s="2" t="str">
        <f t="shared" si="96"/>
        <v/>
      </c>
      <c r="AG366" s="2" t="str">
        <f t="shared" si="97"/>
        <v/>
      </c>
      <c r="AH366" s="2" t="str">
        <f t="shared" si="98"/>
        <v/>
      </c>
    </row>
    <row r="367" spans="2:34" x14ac:dyDescent="0.25">
      <c r="B367" s="2" t="s">
        <v>728</v>
      </c>
      <c r="C367" s="2" t="s">
        <v>731</v>
      </c>
      <c r="D367" s="2" t="s">
        <v>0</v>
      </c>
      <c r="E367" s="2" t="s">
        <v>130</v>
      </c>
      <c r="F367" s="2" t="s">
        <v>729</v>
      </c>
      <c r="G367" s="2" t="s">
        <v>730</v>
      </c>
      <c r="H367" s="2" t="s">
        <v>732</v>
      </c>
      <c r="I367" s="2" t="s">
        <v>41</v>
      </c>
      <c r="J367" s="2">
        <v>24</v>
      </c>
      <c r="K367" s="2" t="s">
        <v>132</v>
      </c>
      <c r="L367" s="2" t="s">
        <v>40</v>
      </c>
      <c r="M367" s="2" t="s">
        <v>5292</v>
      </c>
      <c r="N367" s="2" t="s">
        <v>5276</v>
      </c>
      <c r="O367" s="2" t="s">
        <v>5188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1280</v>
      </c>
      <c r="T367" s="2" t="str">
        <f t="shared" si="84"/>
        <v>0500</v>
      </c>
      <c r="U367" s="2">
        <f t="shared" si="89"/>
        <v>320</v>
      </c>
      <c r="V367" s="2" t="str">
        <f t="shared" si="85"/>
        <v>140</v>
      </c>
      <c r="W367" s="2" t="str">
        <f t="shared" si="86"/>
        <v/>
      </c>
      <c r="X367" s="2" t="str">
        <f t="shared" si="90"/>
        <v>X</v>
      </c>
      <c r="Y367" s="2" t="str">
        <f t="shared" si="87"/>
        <v>X</v>
      </c>
      <c r="Z367" s="2" t="str">
        <f t="shared" si="88"/>
        <v>X</v>
      </c>
      <c r="AA367" s="2" t="str">
        <f t="shared" si="91"/>
        <v/>
      </c>
      <c r="AB367" s="2" t="str">
        <f t="shared" si="92"/>
        <v>(23 downto 16)</v>
      </c>
      <c r="AC367" s="2" t="str">
        <f t="shared" si="93"/>
        <v>(15 downto 8)</v>
      </c>
      <c r="AD367" s="2" t="str">
        <f t="shared" si="94"/>
        <v>(7 downto 0)</v>
      </c>
      <c r="AE367" s="2" t="str">
        <f t="shared" si="95"/>
        <v/>
      </c>
      <c r="AF367" s="2" t="str">
        <f t="shared" si="96"/>
        <v>(23 downto 16)</v>
      </c>
      <c r="AG367" s="2" t="str">
        <f t="shared" si="97"/>
        <v>(15 downto 8)</v>
      </c>
      <c r="AH367" s="2" t="str">
        <f t="shared" si="98"/>
        <v>(7 downto 0)</v>
      </c>
    </row>
    <row r="368" spans="2:34" x14ac:dyDescent="0.25">
      <c r="B368" s="2" t="s">
        <v>733</v>
      </c>
      <c r="C368" s="2" t="s">
        <v>642</v>
      </c>
      <c r="D368" s="2" t="s">
        <v>0</v>
      </c>
      <c r="E368" s="2" t="s">
        <v>130</v>
      </c>
      <c r="F368" s="2" t="s">
        <v>734</v>
      </c>
      <c r="G368" s="2" t="s">
        <v>735</v>
      </c>
      <c r="H368" s="2" t="s">
        <v>4897</v>
      </c>
      <c r="I368" s="2" t="s">
        <v>41</v>
      </c>
      <c r="J368" s="2">
        <v>1</v>
      </c>
      <c r="K368" s="2" t="s">
        <v>81</v>
      </c>
      <c r="L368" s="2" t="s">
        <v>40</v>
      </c>
      <c r="M368" s="2" t="s">
        <v>5292</v>
      </c>
      <c r="N368" s="2" t="s">
        <v>5277</v>
      </c>
      <c r="O368" s="2" t="s">
        <v>5168</v>
      </c>
      <c r="P368" s="2" t="s">
        <v>4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1284</v>
      </c>
      <c r="T368" s="2" t="str">
        <f t="shared" si="84"/>
        <v>0504</v>
      </c>
      <c r="U368" s="2">
        <f t="shared" si="89"/>
        <v>321</v>
      </c>
      <c r="V368" s="2" t="str">
        <f t="shared" si="85"/>
        <v>141</v>
      </c>
      <c r="W368" s="2" t="str">
        <f t="shared" si="86"/>
        <v/>
      </c>
      <c r="X368" s="2" t="str">
        <f t="shared" si="90"/>
        <v/>
      </c>
      <c r="Y368" s="2" t="str">
        <f t="shared" si="87"/>
        <v/>
      </c>
      <c r="Z368" s="2" t="str">
        <f t="shared" si="88"/>
        <v>X</v>
      </c>
      <c r="AA368" s="2" t="str">
        <f t="shared" si="91"/>
        <v/>
      </c>
      <c r="AB368" s="2" t="str">
        <f t="shared" si="92"/>
        <v/>
      </c>
      <c r="AC368" s="2" t="str">
        <f t="shared" si="93"/>
        <v/>
      </c>
      <c r="AD368" s="2" t="str">
        <f t="shared" si="94"/>
        <v>(0)</v>
      </c>
      <c r="AE368" s="2" t="str">
        <f t="shared" si="95"/>
        <v/>
      </c>
      <c r="AF368" s="2" t="str">
        <f t="shared" si="96"/>
        <v/>
      </c>
      <c r="AG368" s="2" t="str">
        <f t="shared" si="97"/>
        <v/>
      </c>
      <c r="AH368" s="2" t="str">
        <f t="shared" si="98"/>
        <v/>
      </c>
    </row>
    <row r="369" spans="2:34" x14ac:dyDescent="0.25">
      <c r="B369" s="2" t="s">
        <v>733</v>
      </c>
      <c r="C369" s="2" t="s">
        <v>645</v>
      </c>
      <c r="D369" s="2" t="s">
        <v>0</v>
      </c>
      <c r="E369" s="2" t="s">
        <v>130</v>
      </c>
      <c r="F369" s="2" t="s">
        <v>734</v>
      </c>
      <c r="G369" s="2" t="s">
        <v>735</v>
      </c>
      <c r="H369" s="2" t="s">
        <v>646</v>
      </c>
      <c r="I369" s="2" t="s">
        <v>41</v>
      </c>
      <c r="J369" s="2">
        <v>1</v>
      </c>
      <c r="K369" s="2" t="s">
        <v>81</v>
      </c>
      <c r="L369" s="2" t="s">
        <v>40</v>
      </c>
      <c r="M369" s="2" t="s">
        <v>5292</v>
      </c>
      <c r="N369" s="2" t="s">
        <v>5277</v>
      </c>
      <c r="O369" s="2" t="s">
        <v>5169</v>
      </c>
      <c r="P369" s="2" t="s">
        <v>4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1288</v>
      </c>
      <c r="T369" s="2" t="str">
        <f t="shared" si="84"/>
        <v>0508</v>
      </c>
      <c r="U369" s="2">
        <f t="shared" si="89"/>
        <v>322</v>
      </c>
      <c r="V369" s="2" t="str">
        <f t="shared" si="85"/>
        <v>142</v>
      </c>
      <c r="W369" s="2" t="str">
        <f t="shared" si="86"/>
        <v/>
      </c>
      <c r="X369" s="2" t="str">
        <f t="shared" si="90"/>
        <v/>
      </c>
      <c r="Y369" s="2" t="str">
        <f t="shared" si="87"/>
        <v/>
      </c>
      <c r="Z369" s="2" t="str">
        <f t="shared" si="88"/>
        <v>X</v>
      </c>
      <c r="AA369" s="2" t="str">
        <f t="shared" si="91"/>
        <v/>
      </c>
      <c r="AB369" s="2" t="str">
        <f t="shared" si="92"/>
        <v/>
      </c>
      <c r="AC369" s="2" t="str">
        <f t="shared" si="93"/>
        <v/>
      </c>
      <c r="AD369" s="2" t="str">
        <f t="shared" si="94"/>
        <v>(0)</v>
      </c>
      <c r="AE369" s="2" t="str">
        <f t="shared" si="95"/>
        <v/>
      </c>
      <c r="AF369" s="2" t="str">
        <f t="shared" si="96"/>
        <v/>
      </c>
      <c r="AG369" s="2" t="str">
        <f t="shared" si="97"/>
        <v/>
      </c>
      <c r="AH369" s="2" t="str">
        <f t="shared" si="98"/>
        <v/>
      </c>
    </row>
    <row r="370" spans="2:34" x14ac:dyDescent="0.25">
      <c r="B370" s="2" t="s">
        <v>733</v>
      </c>
      <c r="C370" s="2" t="s">
        <v>647</v>
      </c>
      <c r="D370" s="2" t="s">
        <v>0</v>
      </c>
      <c r="E370" s="2" t="s">
        <v>130</v>
      </c>
      <c r="F370" s="2" t="s">
        <v>734</v>
      </c>
      <c r="G370" s="2" t="s">
        <v>735</v>
      </c>
      <c r="H370" s="2" t="s">
        <v>648</v>
      </c>
      <c r="I370" s="2" t="s">
        <v>41</v>
      </c>
      <c r="J370" s="2">
        <v>1</v>
      </c>
      <c r="K370" s="2" t="s">
        <v>81</v>
      </c>
      <c r="L370" s="2" t="s">
        <v>40</v>
      </c>
      <c r="M370" s="2" t="s">
        <v>5292</v>
      </c>
      <c r="N370" s="2" t="s">
        <v>5277</v>
      </c>
      <c r="O370" s="2" t="s">
        <v>5170</v>
      </c>
      <c r="P370" s="2" t="s">
        <v>4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1292</v>
      </c>
      <c r="T370" s="2" t="str">
        <f t="shared" si="84"/>
        <v>050C</v>
      </c>
      <c r="U370" s="2">
        <f t="shared" si="89"/>
        <v>323</v>
      </c>
      <c r="V370" s="2" t="str">
        <f t="shared" si="85"/>
        <v>143</v>
      </c>
      <c r="W370" s="2" t="str">
        <f t="shared" si="86"/>
        <v/>
      </c>
      <c r="X370" s="2" t="str">
        <f t="shared" si="90"/>
        <v/>
      </c>
      <c r="Y370" s="2" t="str">
        <f t="shared" si="87"/>
        <v/>
      </c>
      <c r="Z370" s="2" t="str">
        <f t="shared" si="88"/>
        <v>X</v>
      </c>
      <c r="AA370" s="2" t="str">
        <f t="shared" si="91"/>
        <v/>
      </c>
      <c r="AB370" s="2" t="str">
        <f t="shared" si="92"/>
        <v/>
      </c>
      <c r="AC370" s="2" t="str">
        <f t="shared" si="93"/>
        <v/>
      </c>
      <c r="AD370" s="2" t="str">
        <f t="shared" si="94"/>
        <v>(0)</v>
      </c>
      <c r="AE370" s="2" t="str">
        <f t="shared" si="95"/>
        <v/>
      </c>
      <c r="AF370" s="2" t="str">
        <f t="shared" si="96"/>
        <v/>
      </c>
      <c r="AG370" s="2" t="str">
        <f t="shared" si="97"/>
        <v/>
      </c>
      <c r="AH370" s="2" t="str">
        <f t="shared" si="98"/>
        <v/>
      </c>
    </row>
    <row r="371" spans="2:34" x14ac:dyDescent="0.25">
      <c r="B371" s="2" t="s">
        <v>733</v>
      </c>
      <c r="C371" s="2" t="s">
        <v>649</v>
      </c>
      <c r="D371" s="2" t="s">
        <v>0</v>
      </c>
      <c r="E371" s="2" t="s">
        <v>130</v>
      </c>
      <c r="F371" s="2" t="s">
        <v>734</v>
      </c>
      <c r="G371" s="2" t="s">
        <v>735</v>
      </c>
      <c r="H371" s="2" t="s">
        <v>650</v>
      </c>
      <c r="I371" s="2" t="s">
        <v>41</v>
      </c>
      <c r="J371" s="2">
        <v>5</v>
      </c>
      <c r="K371" s="2" t="s">
        <v>132</v>
      </c>
      <c r="L371" s="2" t="s">
        <v>40</v>
      </c>
      <c r="M371" s="2" t="s">
        <v>5292</v>
      </c>
      <c r="N371" s="2" t="s">
        <v>5277</v>
      </c>
      <c r="O371" s="2" t="s">
        <v>5171</v>
      </c>
      <c r="P371" s="2" t="s">
        <v>47</v>
      </c>
      <c r="Q371" s="2">
        <f>INDEX(Tables!$C$4:$C$28,MATCH($P371,Tables!$B$4:$B$28,0))</f>
        <v>8</v>
      </c>
      <c r="R371" s="2">
        <f>INDEX(Tables!$D$4:$D$28,MATCH($P371,Tables!$B$4:$B$28,0))</f>
        <v>1</v>
      </c>
      <c r="S371" s="2">
        <f>$S370+$R370+INDEX(Tables!$N$5:$Q$8,MATCH(MOD($S370+$R370,4),Tables!$M$5:$M$8,0),MATCH($R371,Tables!$N$4:$Q$4,0))</f>
        <v>1296</v>
      </c>
      <c r="T371" s="2" t="str">
        <f t="shared" si="84"/>
        <v>0510</v>
      </c>
      <c r="U371" s="2">
        <f t="shared" si="89"/>
        <v>324</v>
      </c>
      <c r="V371" s="2" t="str">
        <f t="shared" si="85"/>
        <v>144</v>
      </c>
      <c r="W371" s="2" t="str">
        <f t="shared" si="86"/>
        <v/>
      </c>
      <c r="X371" s="2" t="str">
        <f t="shared" si="90"/>
        <v/>
      </c>
      <c r="Y371" s="2" t="str">
        <f t="shared" si="87"/>
        <v/>
      </c>
      <c r="Z371" s="2" t="str">
        <f t="shared" si="88"/>
        <v>X</v>
      </c>
      <c r="AA371" s="2" t="str">
        <f t="shared" si="91"/>
        <v/>
      </c>
      <c r="AB371" s="2" t="str">
        <f t="shared" si="92"/>
        <v/>
      </c>
      <c r="AC371" s="2" t="str">
        <f t="shared" si="93"/>
        <v/>
      </c>
      <c r="AD371" s="2" t="str">
        <f t="shared" si="94"/>
        <v>(4 downto 0)</v>
      </c>
      <c r="AE371" s="2" t="str">
        <f t="shared" si="95"/>
        <v/>
      </c>
      <c r="AF371" s="2" t="str">
        <f t="shared" si="96"/>
        <v/>
      </c>
      <c r="AG371" s="2" t="str">
        <f t="shared" si="97"/>
        <v/>
      </c>
      <c r="AH371" s="2" t="str">
        <f t="shared" si="98"/>
        <v/>
      </c>
    </row>
    <row r="372" spans="2:34" x14ac:dyDescent="0.25">
      <c r="B372" s="2" t="s">
        <v>733</v>
      </c>
      <c r="C372" s="2" t="s">
        <v>736</v>
      </c>
      <c r="D372" s="2" t="s">
        <v>0</v>
      </c>
      <c r="E372" s="2" t="s">
        <v>130</v>
      </c>
      <c r="F372" s="2" t="s">
        <v>734</v>
      </c>
      <c r="G372" s="2" t="s">
        <v>735</v>
      </c>
      <c r="H372" s="2" t="s">
        <v>737</v>
      </c>
      <c r="I372" s="2" t="s">
        <v>41</v>
      </c>
      <c r="J372" s="2">
        <v>24</v>
      </c>
      <c r="K372" s="2" t="s">
        <v>132</v>
      </c>
      <c r="L372" s="2" t="s">
        <v>40</v>
      </c>
      <c r="M372" s="2" t="s">
        <v>5292</v>
      </c>
      <c r="N372" s="2" t="s">
        <v>5277</v>
      </c>
      <c r="O372" s="2" t="s">
        <v>5189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1300</v>
      </c>
      <c r="T372" s="2" t="str">
        <f t="shared" si="84"/>
        <v>0514</v>
      </c>
      <c r="U372" s="2">
        <f t="shared" si="89"/>
        <v>325</v>
      </c>
      <c r="V372" s="2" t="str">
        <f t="shared" si="85"/>
        <v>145</v>
      </c>
      <c r="W372" s="2" t="str">
        <f t="shared" si="86"/>
        <v/>
      </c>
      <c r="X372" s="2" t="str">
        <f t="shared" si="90"/>
        <v>X</v>
      </c>
      <c r="Y372" s="2" t="str">
        <f t="shared" si="87"/>
        <v>X</v>
      </c>
      <c r="Z372" s="2" t="str">
        <f t="shared" si="88"/>
        <v>X</v>
      </c>
      <c r="AA372" s="2" t="str">
        <f t="shared" si="91"/>
        <v/>
      </c>
      <c r="AB372" s="2" t="str">
        <f t="shared" si="92"/>
        <v>(23 downto 16)</v>
      </c>
      <c r="AC372" s="2" t="str">
        <f t="shared" si="93"/>
        <v>(15 downto 8)</v>
      </c>
      <c r="AD372" s="2" t="str">
        <f t="shared" si="94"/>
        <v>(7 downto 0)</v>
      </c>
      <c r="AE372" s="2" t="str">
        <f t="shared" si="95"/>
        <v/>
      </c>
      <c r="AF372" s="2" t="str">
        <f t="shared" si="96"/>
        <v>(23 downto 16)</v>
      </c>
      <c r="AG372" s="2" t="str">
        <f t="shared" si="97"/>
        <v>(15 downto 8)</v>
      </c>
      <c r="AH372" s="2" t="str">
        <f t="shared" si="98"/>
        <v>(7 downto 0)</v>
      </c>
    </row>
    <row r="373" spans="2:34" x14ac:dyDescent="0.25">
      <c r="B373" s="2" t="s">
        <v>738</v>
      </c>
      <c r="C373" s="2" t="s">
        <v>642</v>
      </c>
      <c r="D373" s="2" t="s">
        <v>0</v>
      </c>
      <c r="E373" s="2" t="s">
        <v>130</v>
      </c>
      <c r="F373" s="2" t="s">
        <v>739</v>
      </c>
      <c r="G373" s="2" t="s">
        <v>740</v>
      </c>
      <c r="H373" s="2" t="s">
        <v>4897</v>
      </c>
      <c r="I373" s="2" t="s">
        <v>41</v>
      </c>
      <c r="J373" s="2">
        <v>1</v>
      </c>
      <c r="K373" s="2" t="s">
        <v>81</v>
      </c>
      <c r="L373" s="2" t="s">
        <v>40</v>
      </c>
      <c r="M373" s="2" t="s">
        <v>5292</v>
      </c>
      <c r="N373" s="2" t="s">
        <v>5278</v>
      </c>
      <c r="O373" s="2" t="s">
        <v>5168</v>
      </c>
      <c r="P373" s="2" t="s">
        <v>4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1304</v>
      </c>
      <c r="T373" s="2" t="str">
        <f t="shared" si="84"/>
        <v>0518</v>
      </c>
      <c r="U373" s="2">
        <f t="shared" si="89"/>
        <v>326</v>
      </c>
      <c r="V373" s="2" t="str">
        <f t="shared" si="85"/>
        <v>146</v>
      </c>
      <c r="W373" s="2" t="str">
        <f t="shared" si="86"/>
        <v/>
      </c>
      <c r="X373" s="2" t="str">
        <f t="shared" si="90"/>
        <v/>
      </c>
      <c r="Y373" s="2" t="str">
        <f t="shared" si="87"/>
        <v/>
      </c>
      <c r="Z373" s="2" t="str">
        <f t="shared" si="88"/>
        <v>X</v>
      </c>
      <c r="AA373" s="2" t="str">
        <f t="shared" si="91"/>
        <v/>
      </c>
      <c r="AB373" s="2" t="str">
        <f t="shared" si="92"/>
        <v/>
      </c>
      <c r="AC373" s="2" t="str">
        <f t="shared" si="93"/>
        <v/>
      </c>
      <c r="AD373" s="2" t="str">
        <f t="shared" si="94"/>
        <v>(0)</v>
      </c>
      <c r="AE373" s="2" t="str">
        <f t="shared" si="95"/>
        <v/>
      </c>
      <c r="AF373" s="2" t="str">
        <f t="shared" si="96"/>
        <v/>
      </c>
      <c r="AG373" s="2" t="str">
        <f t="shared" si="97"/>
        <v/>
      </c>
      <c r="AH373" s="2" t="str">
        <f t="shared" si="98"/>
        <v/>
      </c>
    </row>
    <row r="374" spans="2:34" x14ac:dyDescent="0.25">
      <c r="B374" s="2" t="s">
        <v>738</v>
      </c>
      <c r="C374" s="2" t="s">
        <v>645</v>
      </c>
      <c r="D374" s="2" t="s">
        <v>0</v>
      </c>
      <c r="E374" s="2" t="s">
        <v>130</v>
      </c>
      <c r="F374" s="2" t="s">
        <v>739</v>
      </c>
      <c r="G374" s="2" t="s">
        <v>740</v>
      </c>
      <c r="H374" s="2" t="s">
        <v>646</v>
      </c>
      <c r="I374" s="2" t="s">
        <v>41</v>
      </c>
      <c r="J374" s="2">
        <v>1</v>
      </c>
      <c r="K374" s="2" t="s">
        <v>81</v>
      </c>
      <c r="L374" s="2" t="s">
        <v>40</v>
      </c>
      <c r="M374" s="2" t="s">
        <v>5292</v>
      </c>
      <c r="N374" s="2" t="s">
        <v>5278</v>
      </c>
      <c r="O374" s="2" t="s">
        <v>5169</v>
      </c>
      <c r="P374" s="2" t="s">
        <v>4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1308</v>
      </c>
      <c r="T374" s="2" t="str">
        <f t="shared" si="84"/>
        <v>051C</v>
      </c>
      <c r="U374" s="2">
        <f t="shared" si="89"/>
        <v>327</v>
      </c>
      <c r="V374" s="2" t="str">
        <f t="shared" si="85"/>
        <v>147</v>
      </c>
      <c r="W374" s="2" t="str">
        <f t="shared" si="86"/>
        <v/>
      </c>
      <c r="X374" s="2" t="str">
        <f t="shared" si="90"/>
        <v/>
      </c>
      <c r="Y374" s="2" t="str">
        <f t="shared" si="87"/>
        <v/>
      </c>
      <c r="Z374" s="2" t="str">
        <f t="shared" si="88"/>
        <v>X</v>
      </c>
      <c r="AA374" s="2" t="str">
        <f t="shared" si="91"/>
        <v/>
      </c>
      <c r="AB374" s="2" t="str">
        <f t="shared" si="92"/>
        <v/>
      </c>
      <c r="AC374" s="2" t="str">
        <f t="shared" si="93"/>
        <v/>
      </c>
      <c r="AD374" s="2" t="str">
        <f t="shared" si="94"/>
        <v>(0)</v>
      </c>
      <c r="AE374" s="2" t="str">
        <f t="shared" si="95"/>
        <v/>
      </c>
      <c r="AF374" s="2" t="str">
        <f t="shared" si="96"/>
        <v/>
      </c>
      <c r="AG374" s="2" t="str">
        <f t="shared" si="97"/>
        <v/>
      </c>
      <c r="AH374" s="2" t="str">
        <f t="shared" si="98"/>
        <v/>
      </c>
    </row>
    <row r="375" spans="2:34" x14ac:dyDescent="0.25">
      <c r="B375" s="2" t="s">
        <v>738</v>
      </c>
      <c r="C375" s="2" t="s">
        <v>647</v>
      </c>
      <c r="D375" s="2" t="s">
        <v>0</v>
      </c>
      <c r="E375" s="2" t="s">
        <v>130</v>
      </c>
      <c r="F375" s="2" t="s">
        <v>739</v>
      </c>
      <c r="G375" s="2" t="s">
        <v>740</v>
      </c>
      <c r="H375" s="2" t="s">
        <v>648</v>
      </c>
      <c r="I375" s="2" t="s">
        <v>41</v>
      </c>
      <c r="J375" s="2">
        <v>1</v>
      </c>
      <c r="K375" s="2" t="s">
        <v>81</v>
      </c>
      <c r="L375" s="2" t="s">
        <v>40</v>
      </c>
      <c r="M375" s="2" t="s">
        <v>5292</v>
      </c>
      <c r="N375" s="2" t="s">
        <v>5278</v>
      </c>
      <c r="O375" s="2" t="s">
        <v>5170</v>
      </c>
      <c r="P375" s="2" t="s">
        <v>4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1312</v>
      </c>
      <c r="T375" s="2" t="str">
        <f t="shared" si="84"/>
        <v>0520</v>
      </c>
      <c r="U375" s="2">
        <f t="shared" si="89"/>
        <v>328</v>
      </c>
      <c r="V375" s="2" t="str">
        <f t="shared" si="85"/>
        <v>148</v>
      </c>
      <c r="W375" s="2" t="str">
        <f t="shared" si="86"/>
        <v/>
      </c>
      <c r="X375" s="2" t="str">
        <f t="shared" si="90"/>
        <v/>
      </c>
      <c r="Y375" s="2" t="str">
        <f t="shared" si="87"/>
        <v/>
      </c>
      <c r="Z375" s="2" t="str">
        <f t="shared" si="88"/>
        <v>X</v>
      </c>
      <c r="AA375" s="2" t="str">
        <f t="shared" si="91"/>
        <v/>
      </c>
      <c r="AB375" s="2" t="str">
        <f t="shared" si="92"/>
        <v/>
      </c>
      <c r="AC375" s="2" t="str">
        <f t="shared" si="93"/>
        <v/>
      </c>
      <c r="AD375" s="2" t="str">
        <f t="shared" si="94"/>
        <v>(0)</v>
      </c>
      <c r="AE375" s="2" t="str">
        <f t="shared" si="95"/>
        <v/>
      </c>
      <c r="AF375" s="2" t="str">
        <f t="shared" si="96"/>
        <v/>
      </c>
      <c r="AG375" s="2" t="str">
        <f t="shared" si="97"/>
        <v/>
      </c>
      <c r="AH375" s="2" t="str">
        <f t="shared" si="98"/>
        <v/>
      </c>
    </row>
    <row r="376" spans="2:34" x14ac:dyDescent="0.25">
      <c r="B376" s="2" t="s">
        <v>738</v>
      </c>
      <c r="C376" s="2" t="s">
        <v>649</v>
      </c>
      <c r="D376" s="2" t="s">
        <v>0</v>
      </c>
      <c r="E376" s="2" t="s">
        <v>130</v>
      </c>
      <c r="F376" s="2" t="s">
        <v>739</v>
      </c>
      <c r="G376" s="2" t="s">
        <v>740</v>
      </c>
      <c r="H376" s="2" t="s">
        <v>650</v>
      </c>
      <c r="I376" s="2" t="s">
        <v>41</v>
      </c>
      <c r="J376" s="2">
        <v>5</v>
      </c>
      <c r="K376" s="2" t="s">
        <v>132</v>
      </c>
      <c r="L376" s="2" t="s">
        <v>40</v>
      </c>
      <c r="M376" s="2" t="s">
        <v>5292</v>
      </c>
      <c r="N376" s="2" t="s">
        <v>5278</v>
      </c>
      <c r="O376" s="2" t="s">
        <v>5171</v>
      </c>
      <c r="P376" s="2" t="s">
        <v>47</v>
      </c>
      <c r="Q376" s="2">
        <f>INDEX(Tables!$C$4:$C$28,MATCH($P376,Tables!$B$4:$B$28,0))</f>
        <v>8</v>
      </c>
      <c r="R376" s="2">
        <f>INDEX(Tables!$D$4:$D$28,MATCH($P376,Tables!$B$4:$B$28,0))</f>
        <v>1</v>
      </c>
      <c r="S376" s="2">
        <f>$S375+$R375+INDEX(Tables!$N$5:$Q$8,MATCH(MOD($S375+$R375,4),Tables!$M$5:$M$8,0),MATCH($R376,Tables!$N$4:$Q$4,0))</f>
        <v>1316</v>
      </c>
      <c r="T376" s="2" t="str">
        <f t="shared" si="84"/>
        <v>0524</v>
      </c>
      <c r="U376" s="2">
        <f t="shared" si="89"/>
        <v>329</v>
      </c>
      <c r="V376" s="2" t="str">
        <f t="shared" si="85"/>
        <v>149</v>
      </c>
      <c r="W376" s="2" t="str">
        <f t="shared" si="86"/>
        <v/>
      </c>
      <c r="X376" s="2" t="str">
        <f t="shared" si="90"/>
        <v/>
      </c>
      <c r="Y376" s="2" t="str">
        <f t="shared" si="87"/>
        <v/>
      </c>
      <c r="Z376" s="2" t="str">
        <f t="shared" si="88"/>
        <v>X</v>
      </c>
      <c r="AA376" s="2" t="str">
        <f t="shared" si="91"/>
        <v/>
      </c>
      <c r="AB376" s="2" t="str">
        <f t="shared" si="92"/>
        <v/>
      </c>
      <c r="AC376" s="2" t="str">
        <f t="shared" si="93"/>
        <v/>
      </c>
      <c r="AD376" s="2" t="str">
        <f t="shared" si="94"/>
        <v>(4 downto 0)</v>
      </c>
      <c r="AE376" s="2" t="str">
        <f t="shared" si="95"/>
        <v/>
      </c>
      <c r="AF376" s="2" t="str">
        <f t="shared" si="96"/>
        <v/>
      </c>
      <c r="AG376" s="2" t="str">
        <f t="shared" si="97"/>
        <v/>
      </c>
      <c r="AH376" s="2" t="str">
        <f t="shared" si="98"/>
        <v/>
      </c>
    </row>
    <row r="377" spans="2:34" x14ac:dyDescent="0.25">
      <c r="B377" s="2" t="s">
        <v>738</v>
      </c>
      <c r="C377" s="2" t="s">
        <v>741</v>
      </c>
      <c r="D377" s="2" t="s">
        <v>0</v>
      </c>
      <c r="E377" s="2" t="s">
        <v>130</v>
      </c>
      <c r="F377" s="2" t="s">
        <v>739</v>
      </c>
      <c r="G377" s="2" t="s">
        <v>740</v>
      </c>
      <c r="H377" s="2" t="s">
        <v>742</v>
      </c>
      <c r="I377" s="2" t="s">
        <v>41</v>
      </c>
      <c r="J377" s="2">
        <v>24</v>
      </c>
      <c r="K377" s="2" t="s">
        <v>132</v>
      </c>
      <c r="L377" s="2" t="s">
        <v>40</v>
      </c>
      <c r="M377" s="2" t="s">
        <v>5292</v>
      </c>
      <c r="N377" s="2" t="s">
        <v>5278</v>
      </c>
      <c r="O377" s="2" t="s">
        <v>5190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1320</v>
      </c>
      <c r="T377" s="2" t="str">
        <f t="shared" si="84"/>
        <v>0528</v>
      </c>
      <c r="U377" s="2">
        <f t="shared" si="89"/>
        <v>330</v>
      </c>
      <c r="V377" s="2" t="str">
        <f t="shared" si="85"/>
        <v>14A</v>
      </c>
      <c r="W377" s="2" t="str">
        <f t="shared" si="86"/>
        <v/>
      </c>
      <c r="X377" s="2" t="str">
        <f t="shared" si="90"/>
        <v>X</v>
      </c>
      <c r="Y377" s="2" t="str">
        <f t="shared" si="87"/>
        <v>X</v>
      </c>
      <c r="Z377" s="2" t="str">
        <f t="shared" si="88"/>
        <v>X</v>
      </c>
      <c r="AA377" s="2" t="str">
        <f t="shared" si="91"/>
        <v/>
      </c>
      <c r="AB377" s="2" t="str">
        <f t="shared" si="92"/>
        <v>(23 downto 16)</v>
      </c>
      <c r="AC377" s="2" t="str">
        <f t="shared" si="93"/>
        <v>(15 downto 8)</v>
      </c>
      <c r="AD377" s="2" t="str">
        <f t="shared" si="94"/>
        <v>(7 downto 0)</v>
      </c>
      <c r="AE377" s="2" t="str">
        <f t="shared" si="95"/>
        <v/>
      </c>
      <c r="AF377" s="2" t="str">
        <f t="shared" si="96"/>
        <v>(23 downto 16)</v>
      </c>
      <c r="AG377" s="2" t="str">
        <f t="shared" si="97"/>
        <v>(15 downto 8)</v>
      </c>
      <c r="AH377" s="2" t="str">
        <f t="shared" si="98"/>
        <v>(7 downto 0)</v>
      </c>
    </row>
    <row r="378" spans="2:34" x14ac:dyDescent="0.25">
      <c r="B378" s="2" t="s">
        <v>743</v>
      </c>
      <c r="C378" s="2" t="s">
        <v>642</v>
      </c>
      <c r="D378" s="2" t="s">
        <v>0</v>
      </c>
      <c r="E378" s="2" t="s">
        <v>130</v>
      </c>
      <c r="F378" s="2" t="s">
        <v>744</v>
      </c>
      <c r="G378" s="2" t="s">
        <v>745</v>
      </c>
      <c r="H378" s="2" t="s">
        <v>4897</v>
      </c>
      <c r="I378" s="2" t="s">
        <v>41</v>
      </c>
      <c r="J378" s="2">
        <v>1</v>
      </c>
      <c r="K378" s="2" t="s">
        <v>81</v>
      </c>
      <c r="L378" s="2" t="s">
        <v>40</v>
      </c>
      <c r="M378" s="2" t="s">
        <v>5292</v>
      </c>
      <c r="N378" s="2" t="s">
        <v>5279</v>
      </c>
      <c r="O378" s="2" t="s">
        <v>5168</v>
      </c>
      <c r="P378" s="2" t="s">
        <v>4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1324</v>
      </c>
      <c r="T378" s="2" t="str">
        <f t="shared" si="84"/>
        <v>052C</v>
      </c>
      <c r="U378" s="2">
        <f t="shared" si="89"/>
        <v>331</v>
      </c>
      <c r="V378" s="2" t="str">
        <f t="shared" si="85"/>
        <v>14B</v>
      </c>
      <c r="W378" s="2" t="str">
        <f t="shared" si="86"/>
        <v/>
      </c>
      <c r="X378" s="2" t="str">
        <f t="shared" si="90"/>
        <v/>
      </c>
      <c r="Y378" s="2" t="str">
        <f t="shared" si="87"/>
        <v/>
      </c>
      <c r="Z378" s="2" t="str">
        <f t="shared" si="88"/>
        <v>X</v>
      </c>
      <c r="AA378" s="2" t="str">
        <f t="shared" si="91"/>
        <v/>
      </c>
      <c r="AB378" s="2" t="str">
        <f t="shared" si="92"/>
        <v/>
      </c>
      <c r="AC378" s="2" t="str">
        <f t="shared" si="93"/>
        <v/>
      </c>
      <c r="AD378" s="2" t="str">
        <f t="shared" si="94"/>
        <v>(0)</v>
      </c>
      <c r="AE378" s="2" t="str">
        <f t="shared" si="95"/>
        <v/>
      </c>
      <c r="AF378" s="2" t="str">
        <f t="shared" si="96"/>
        <v/>
      </c>
      <c r="AG378" s="2" t="str">
        <f t="shared" si="97"/>
        <v/>
      </c>
      <c r="AH378" s="2" t="str">
        <f t="shared" si="98"/>
        <v/>
      </c>
    </row>
    <row r="379" spans="2:34" x14ac:dyDescent="0.25">
      <c r="B379" s="2" t="s">
        <v>743</v>
      </c>
      <c r="C379" s="2" t="s">
        <v>645</v>
      </c>
      <c r="D379" s="2" t="s">
        <v>0</v>
      </c>
      <c r="E379" s="2" t="s">
        <v>130</v>
      </c>
      <c r="F379" s="2" t="s">
        <v>744</v>
      </c>
      <c r="G379" s="2" t="s">
        <v>745</v>
      </c>
      <c r="H379" s="2" t="s">
        <v>646</v>
      </c>
      <c r="I379" s="2" t="s">
        <v>41</v>
      </c>
      <c r="J379" s="2">
        <v>1</v>
      </c>
      <c r="K379" s="2" t="s">
        <v>81</v>
      </c>
      <c r="L379" s="2" t="s">
        <v>40</v>
      </c>
      <c r="M379" s="2" t="s">
        <v>5292</v>
      </c>
      <c r="N379" s="2" t="s">
        <v>5279</v>
      </c>
      <c r="O379" s="2" t="s">
        <v>5169</v>
      </c>
      <c r="P379" s="2" t="s">
        <v>4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1328</v>
      </c>
      <c r="T379" s="2" t="str">
        <f t="shared" si="84"/>
        <v>0530</v>
      </c>
      <c r="U379" s="2">
        <f t="shared" si="89"/>
        <v>332</v>
      </c>
      <c r="V379" s="2" t="str">
        <f t="shared" si="85"/>
        <v>14C</v>
      </c>
      <c r="W379" s="2" t="str">
        <f t="shared" si="86"/>
        <v/>
      </c>
      <c r="X379" s="2" t="str">
        <f t="shared" si="90"/>
        <v/>
      </c>
      <c r="Y379" s="2" t="str">
        <f t="shared" si="87"/>
        <v/>
      </c>
      <c r="Z379" s="2" t="str">
        <f t="shared" si="88"/>
        <v>X</v>
      </c>
      <c r="AA379" s="2" t="str">
        <f t="shared" si="91"/>
        <v/>
      </c>
      <c r="AB379" s="2" t="str">
        <f t="shared" si="92"/>
        <v/>
      </c>
      <c r="AC379" s="2" t="str">
        <f t="shared" si="93"/>
        <v/>
      </c>
      <c r="AD379" s="2" t="str">
        <f t="shared" si="94"/>
        <v>(0)</v>
      </c>
      <c r="AE379" s="2" t="str">
        <f t="shared" si="95"/>
        <v/>
      </c>
      <c r="AF379" s="2" t="str">
        <f t="shared" si="96"/>
        <v/>
      </c>
      <c r="AG379" s="2" t="str">
        <f t="shared" si="97"/>
        <v/>
      </c>
      <c r="AH379" s="2" t="str">
        <f t="shared" si="98"/>
        <v/>
      </c>
    </row>
    <row r="380" spans="2:34" x14ac:dyDescent="0.25">
      <c r="B380" s="2" t="s">
        <v>743</v>
      </c>
      <c r="C380" s="2" t="s">
        <v>647</v>
      </c>
      <c r="D380" s="2" t="s">
        <v>0</v>
      </c>
      <c r="E380" s="2" t="s">
        <v>130</v>
      </c>
      <c r="F380" s="2" t="s">
        <v>744</v>
      </c>
      <c r="G380" s="2" t="s">
        <v>745</v>
      </c>
      <c r="H380" s="2" t="s">
        <v>648</v>
      </c>
      <c r="I380" s="2" t="s">
        <v>41</v>
      </c>
      <c r="J380" s="2">
        <v>1</v>
      </c>
      <c r="K380" s="2" t="s">
        <v>81</v>
      </c>
      <c r="L380" s="2" t="s">
        <v>40</v>
      </c>
      <c r="M380" s="2" t="s">
        <v>5292</v>
      </c>
      <c r="N380" s="2" t="s">
        <v>5279</v>
      </c>
      <c r="O380" s="2" t="s">
        <v>5170</v>
      </c>
      <c r="P380" s="2" t="s">
        <v>4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1332</v>
      </c>
      <c r="T380" s="2" t="str">
        <f t="shared" si="84"/>
        <v>0534</v>
      </c>
      <c r="U380" s="2">
        <f t="shared" si="89"/>
        <v>333</v>
      </c>
      <c r="V380" s="2" t="str">
        <f t="shared" si="85"/>
        <v>14D</v>
      </c>
      <c r="W380" s="2" t="str">
        <f t="shared" si="86"/>
        <v/>
      </c>
      <c r="X380" s="2" t="str">
        <f t="shared" si="90"/>
        <v/>
      </c>
      <c r="Y380" s="2" t="str">
        <f t="shared" si="87"/>
        <v/>
      </c>
      <c r="Z380" s="2" t="str">
        <f t="shared" si="88"/>
        <v>X</v>
      </c>
      <c r="AA380" s="2" t="str">
        <f t="shared" si="91"/>
        <v/>
      </c>
      <c r="AB380" s="2" t="str">
        <f t="shared" si="92"/>
        <v/>
      </c>
      <c r="AC380" s="2" t="str">
        <f t="shared" si="93"/>
        <v/>
      </c>
      <c r="AD380" s="2" t="str">
        <f t="shared" si="94"/>
        <v>(0)</v>
      </c>
      <c r="AE380" s="2" t="str">
        <f t="shared" si="95"/>
        <v/>
      </c>
      <c r="AF380" s="2" t="str">
        <f t="shared" si="96"/>
        <v/>
      </c>
      <c r="AG380" s="2" t="str">
        <f t="shared" si="97"/>
        <v/>
      </c>
      <c r="AH380" s="2" t="str">
        <f t="shared" si="98"/>
        <v/>
      </c>
    </row>
    <row r="381" spans="2:34" x14ac:dyDescent="0.25">
      <c r="B381" s="2" t="s">
        <v>743</v>
      </c>
      <c r="C381" s="2" t="s">
        <v>649</v>
      </c>
      <c r="D381" s="2" t="s">
        <v>0</v>
      </c>
      <c r="E381" s="2" t="s">
        <v>130</v>
      </c>
      <c r="F381" s="2" t="s">
        <v>744</v>
      </c>
      <c r="G381" s="2" t="s">
        <v>745</v>
      </c>
      <c r="H381" s="2" t="s">
        <v>650</v>
      </c>
      <c r="I381" s="2" t="s">
        <v>41</v>
      </c>
      <c r="J381" s="2">
        <v>5</v>
      </c>
      <c r="K381" s="2" t="s">
        <v>132</v>
      </c>
      <c r="L381" s="2" t="s">
        <v>40</v>
      </c>
      <c r="M381" s="2" t="s">
        <v>5292</v>
      </c>
      <c r="N381" s="2" t="s">
        <v>5279</v>
      </c>
      <c r="O381" s="2" t="s">
        <v>5171</v>
      </c>
      <c r="P381" s="2" t="s">
        <v>47</v>
      </c>
      <c r="Q381" s="2">
        <f>INDEX(Tables!$C$4:$C$28,MATCH($P381,Tables!$B$4:$B$28,0))</f>
        <v>8</v>
      </c>
      <c r="R381" s="2">
        <f>INDEX(Tables!$D$4:$D$28,MATCH($P381,Tables!$B$4:$B$28,0))</f>
        <v>1</v>
      </c>
      <c r="S381" s="2">
        <f>$S380+$R380+INDEX(Tables!$N$5:$Q$8,MATCH(MOD($S380+$R380,4),Tables!$M$5:$M$8,0),MATCH($R381,Tables!$N$4:$Q$4,0))</f>
        <v>1336</v>
      </c>
      <c r="T381" s="2" t="str">
        <f t="shared" si="84"/>
        <v>0538</v>
      </c>
      <c r="U381" s="2">
        <f t="shared" si="89"/>
        <v>334</v>
      </c>
      <c r="V381" s="2" t="str">
        <f t="shared" si="85"/>
        <v>14E</v>
      </c>
      <c r="W381" s="2" t="str">
        <f t="shared" si="86"/>
        <v/>
      </c>
      <c r="X381" s="2" t="str">
        <f t="shared" si="90"/>
        <v/>
      </c>
      <c r="Y381" s="2" t="str">
        <f t="shared" si="87"/>
        <v/>
      </c>
      <c r="Z381" s="2" t="str">
        <f t="shared" si="88"/>
        <v>X</v>
      </c>
      <c r="AA381" s="2" t="str">
        <f t="shared" si="91"/>
        <v/>
      </c>
      <c r="AB381" s="2" t="str">
        <f t="shared" si="92"/>
        <v/>
      </c>
      <c r="AC381" s="2" t="str">
        <f t="shared" si="93"/>
        <v/>
      </c>
      <c r="AD381" s="2" t="str">
        <f t="shared" si="94"/>
        <v>(4 downto 0)</v>
      </c>
      <c r="AE381" s="2" t="str">
        <f t="shared" si="95"/>
        <v/>
      </c>
      <c r="AF381" s="2" t="str">
        <f t="shared" si="96"/>
        <v/>
      </c>
      <c r="AG381" s="2" t="str">
        <f t="shared" si="97"/>
        <v/>
      </c>
      <c r="AH381" s="2" t="str">
        <f t="shared" si="98"/>
        <v/>
      </c>
    </row>
    <row r="382" spans="2:34" x14ac:dyDescent="0.25">
      <c r="B382" s="2" t="s">
        <v>743</v>
      </c>
      <c r="C382" s="2" t="s">
        <v>746</v>
      </c>
      <c r="D382" s="2" t="s">
        <v>0</v>
      </c>
      <c r="E382" s="2" t="s">
        <v>130</v>
      </c>
      <c r="F382" s="2" t="s">
        <v>744</v>
      </c>
      <c r="G382" s="2" t="s">
        <v>745</v>
      </c>
      <c r="H382" s="2" t="s">
        <v>747</v>
      </c>
      <c r="I382" s="2" t="s">
        <v>41</v>
      </c>
      <c r="J382" s="2">
        <v>24</v>
      </c>
      <c r="K382" s="2" t="s">
        <v>132</v>
      </c>
      <c r="L382" s="2" t="s">
        <v>40</v>
      </c>
      <c r="M382" s="2" t="s">
        <v>5292</v>
      </c>
      <c r="N382" s="2" t="s">
        <v>5279</v>
      </c>
      <c r="O382" s="2" t="s">
        <v>5191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1340</v>
      </c>
      <c r="T382" s="2" t="str">
        <f t="shared" si="84"/>
        <v>053C</v>
      </c>
      <c r="U382" s="2">
        <f t="shared" si="89"/>
        <v>335</v>
      </c>
      <c r="V382" s="2" t="str">
        <f t="shared" si="85"/>
        <v>14F</v>
      </c>
      <c r="W382" s="2" t="str">
        <f t="shared" si="86"/>
        <v/>
      </c>
      <c r="X382" s="2" t="str">
        <f t="shared" si="90"/>
        <v>X</v>
      </c>
      <c r="Y382" s="2" t="str">
        <f t="shared" si="87"/>
        <v>X</v>
      </c>
      <c r="Z382" s="2" t="str">
        <f t="shared" si="88"/>
        <v>X</v>
      </c>
      <c r="AA382" s="2" t="str">
        <f t="shared" si="91"/>
        <v/>
      </c>
      <c r="AB382" s="2" t="str">
        <f t="shared" si="92"/>
        <v>(23 downto 16)</v>
      </c>
      <c r="AC382" s="2" t="str">
        <f t="shared" si="93"/>
        <v>(15 downto 8)</v>
      </c>
      <c r="AD382" s="2" t="str">
        <f t="shared" si="94"/>
        <v>(7 downto 0)</v>
      </c>
      <c r="AE382" s="2" t="str">
        <f t="shared" si="95"/>
        <v/>
      </c>
      <c r="AF382" s="2" t="str">
        <f t="shared" si="96"/>
        <v>(23 downto 16)</v>
      </c>
      <c r="AG382" s="2" t="str">
        <f t="shared" si="97"/>
        <v>(15 downto 8)</v>
      </c>
      <c r="AH382" s="2" t="str">
        <f t="shared" si="98"/>
        <v>(7 downto 0)</v>
      </c>
    </row>
    <row r="383" spans="2:34" x14ac:dyDescent="0.25">
      <c r="B383" s="2" t="s">
        <v>748</v>
      </c>
      <c r="C383" s="2" t="s">
        <v>642</v>
      </c>
      <c r="D383" s="2" t="s">
        <v>0</v>
      </c>
      <c r="E383" s="2" t="s">
        <v>130</v>
      </c>
      <c r="F383" s="2" t="s">
        <v>749</v>
      </c>
      <c r="G383" s="2" t="s">
        <v>750</v>
      </c>
      <c r="H383" s="2" t="s">
        <v>4897</v>
      </c>
      <c r="I383" s="2" t="s">
        <v>41</v>
      </c>
      <c r="J383" s="2">
        <v>1</v>
      </c>
      <c r="K383" s="2" t="s">
        <v>81</v>
      </c>
      <c r="L383" s="2" t="s">
        <v>40</v>
      </c>
      <c r="M383" s="2" t="s">
        <v>5292</v>
      </c>
      <c r="N383" s="2" t="s">
        <v>5280</v>
      </c>
      <c r="O383" s="2" t="s">
        <v>5168</v>
      </c>
      <c r="P383" s="2" t="s">
        <v>4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$S382+$R382+INDEX(Tables!$N$5:$Q$8,MATCH(MOD($S382+$R382,4),Tables!$M$5:$M$8,0),MATCH($R383,Tables!$N$4:$Q$4,0))</f>
        <v>1344</v>
      </c>
      <c r="T383" s="2" t="str">
        <f t="shared" si="84"/>
        <v>0540</v>
      </c>
      <c r="U383" s="2">
        <f t="shared" si="89"/>
        <v>336</v>
      </c>
      <c r="V383" s="2" t="str">
        <f t="shared" si="85"/>
        <v>150</v>
      </c>
      <c r="W383" s="2" t="str">
        <f t="shared" si="86"/>
        <v/>
      </c>
      <c r="X383" s="2" t="str">
        <f t="shared" si="90"/>
        <v/>
      </c>
      <c r="Y383" s="2" t="str">
        <f t="shared" si="87"/>
        <v/>
      </c>
      <c r="Z383" s="2" t="str">
        <f t="shared" si="88"/>
        <v>X</v>
      </c>
      <c r="AA383" s="2" t="str">
        <f t="shared" si="91"/>
        <v/>
      </c>
      <c r="AB383" s="2" t="str">
        <f t="shared" si="92"/>
        <v/>
      </c>
      <c r="AC383" s="2" t="str">
        <f t="shared" si="93"/>
        <v/>
      </c>
      <c r="AD383" s="2" t="str">
        <f t="shared" si="94"/>
        <v>(0)</v>
      </c>
      <c r="AE383" s="2" t="str">
        <f t="shared" si="95"/>
        <v/>
      </c>
      <c r="AF383" s="2" t="str">
        <f t="shared" si="96"/>
        <v/>
      </c>
      <c r="AG383" s="2" t="str">
        <f t="shared" si="97"/>
        <v/>
      </c>
      <c r="AH383" s="2" t="str">
        <f t="shared" si="98"/>
        <v/>
      </c>
    </row>
    <row r="384" spans="2:34" x14ac:dyDescent="0.25">
      <c r="B384" s="2" t="s">
        <v>748</v>
      </c>
      <c r="C384" s="2" t="s">
        <v>645</v>
      </c>
      <c r="D384" s="2" t="s">
        <v>0</v>
      </c>
      <c r="E384" s="2" t="s">
        <v>130</v>
      </c>
      <c r="F384" s="2" t="s">
        <v>749</v>
      </c>
      <c r="G384" s="2" t="s">
        <v>750</v>
      </c>
      <c r="H384" s="2" t="s">
        <v>646</v>
      </c>
      <c r="I384" s="2" t="s">
        <v>41</v>
      </c>
      <c r="J384" s="2">
        <v>1</v>
      </c>
      <c r="K384" s="2" t="s">
        <v>81</v>
      </c>
      <c r="L384" s="2" t="s">
        <v>40</v>
      </c>
      <c r="M384" s="2" t="s">
        <v>5292</v>
      </c>
      <c r="N384" s="2" t="s">
        <v>5280</v>
      </c>
      <c r="O384" s="2" t="s">
        <v>5169</v>
      </c>
      <c r="P384" s="2" t="s">
        <v>4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$S383+$R383+INDEX(Tables!$N$5:$Q$8,MATCH(MOD($S383+$R383,4),Tables!$M$5:$M$8,0),MATCH($R384,Tables!$N$4:$Q$4,0))</f>
        <v>1348</v>
      </c>
      <c r="T384" s="2" t="str">
        <f t="shared" si="84"/>
        <v>0544</v>
      </c>
      <c r="U384" s="2">
        <f t="shared" si="89"/>
        <v>337</v>
      </c>
      <c r="V384" s="2" t="str">
        <f t="shared" si="85"/>
        <v>151</v>
      </c>
      <c r="W384" s="2" t="str">
        <f t="shared" si="86"/>
        <v/>
      </c>
      <c r="X384" s="2" t="str">
        <f t="shared" si="90"/>
        <v/>
      </c>
      <c r="Y384" s="2" t="str">
        <f t="shared" si="87"/>
        <v/>
      </c>
      <c r="Z384" s="2" t="str">
        <f t="shared" si="88"/>
        <v>X</v>
      </c>
      <c r="AA384" s="2" t="str">
        <f t="shared" si="91"/>
        <v/>
      </c>
      <c r="AB384" s="2" t="str">
        <f t="shared" si="92"/>
        <v/>
      </c>
      <c r="AC384" s="2" t="str">
        <f t="shared" si="93"/>
        <v/>
      </c>
      <c r="AD384" s="2" t="str">
        <f t="shared" si="94"/>
        <v>(0)</v>
      </c>
      <c r="AE384" s="2" t="str">
        <f t="shared" si="95"/>
        <v/>
      </c>
      <c r="AF384" s="2" t="str">
        <f t="shared" si="96"/>
        <v/>
      </c>
      <c r="AG384" s="2" t="str">
        <f t="shared" si="97"/>
        <v/>
      </c>
      <c r="AH384" s="2" t="str">
        <f t="shared" si="98"/>
        <v/>
      </c>
    </row>
    <row r="385" spans="2:34" x14ac:dyDescent="0.25">
      <c r="B385" s="2" t="s">
        <v>748</v>
      </c>
      <c r="C385" s="2" t="s">
        <v>647</v>
      </c>
      <c r="D385" s="2" t="s">
        <v>0</v>
      </c>
      <c r="E385" s="2" t="s">
        <v>130</v>
      </c>
      <c r="F385" s="2" t="s">
        <v>749</v>
      </c>
      <c r="G385" s="2" t="s">
        <v>750</v>
      </c>
      <c r="H385" s="2" t="s">
        <v>648</v>
      </c>
      <c r="I385" s="2" t="s">
        <v>41</v>
      </c>
      <c r="J385" s="2">
        <v>1</v>
      </c>
      <c r="K385" s="2" t="s">
        <v>81</v>
      </c>
      <c r="L385" s="2" t="s">
        <v>40</v>
      </c>
      <c r="M385" s="2" t="s">
        <v>5292</v>
      </c>
      <c r="N385" s="2" t="s">
        <v>5280</v>
      </c>
      <c r="O385" s="2" t="s">
        <v>5170</v>
      </c>
      <c r="P385" s="2" t="s">
        <v>4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$S384+$R384+INDEX(Tables!$N$5:$Q$8,MATCH(MOD($S384+$R384,4),Tables!$M$5:$M$8,0),MATCH($R385,Tables!$N$4:$Q$4,0))</f>
        <v>1352</v>
      </c>
      <c r="T385" s="2" t="str">
        <f t="shared" si="84"/>
        <v>0548</v>
      </c>
      <c r="U385" s="2">
        <f t="shared" si="89"/>
        <v>338</v>
      </c>
      <c r="V385" s="2" t="str">
        <f t="shared" si="85"/>
        <v>152</v>
      </c>
      <c r="W385" s="2" t="str">
        <f t="shared" si="86"/>
        <v/>
      </c>
      <c r="X385" s="2" t="str">
        <f t="shared" si="90"/>
        <v/>
      </c>
      <c r="Y385" s="2" t="str">
        <f t="shared" si="87"/>
        <v/>
      </c>
      <c r="Z385" s="2" t="str">
        <f t="shared" si="88"/>
        <v>X</v>
      </c>
      <c r="AA385" s="2" t="str">
        <f t="shared" si="91"/>
        <v/>
      </c>
      <c r="AB385" s="2" t="str">
        <f t="shared" si="92"/>
        <v/>
      </c>
      <c r="AC385" s="2" t="str">
        <f t="shared" si="93"/>
        <v/>
      </c>
      <c r="AD385" s="2" t="str">
        <f t="shared" si="94"/>
        <v>(0)</v>
      </c>
      <c r="AE385" s="2" t="str">
        <f t="shared" si="95"/>
        <v/>
      </c>
      <c r="AF385" s="2" t="str">
        <f t="shared" si="96"/>
        <v/>
      </c>
      <c r="AG385" s="2" t="str">
        <f t="shared" si="97"/>
        <v/>
      </c>
      <c r="AH385" s="2" t="str">
        <f t="shared" si="98"/>
        <v/>
      </c>
    </row>
    <row r="386" spans="2:34" x14ac:dyDescent="0.25">
      <c r="B386" s="2" t="s">
        <v>748</v>
      </c>
      <c r="C386" s="2" t="s">
        <v>649</v>
      </c>
      <c r="D386" s="2" t="s">
        <v>0</v>
      </c>
      <c r="E386" s="2" t="s">
        <v>130</v>
      </c>
      <c r="F386" s="2" t="s">
        <v>749</v>
      </c>
      <c r="G386" s="2" t="s">
        <v>750</v>
      </c>
      <c r="H386" s="2" t="s">
        <v>650</v>
      </c>
      <c r="I386" s="2" t="s">
        <v>41</v>
      </c>
      <c r="J386" s="2">
        <v>5</v>
      </c>
      <c r="K386" s="2" t="s">
        <v>132</v>
      </c>
      <c r="L386" s="2" t="s">
        <v>40</v>
      </c>
      <c r="M386" s="2" t="s">
        <v>5292</v>
      </c>
      <c r="N386" s="2" t="s">
        <v>5280</v>
      </c>
      <c r="O386" s="2" t="s">
        <v>5171</v>
      </c>
      <c r="P386" s="2" t="s">
        <v>47</v>
      </c>
      <c r="Q386" s="2">
        <f>INDEX(Tables!$C$4:$C$28,MATCH($P386,Tables!$B$4:$B$28,0))</f>
        <v>8</v>
      </c>
      <c r="R386" s="2">
        <f>INDEX(Tables!$D$4:$D$28,MATCH($P386,Tables!$B$4:$B$28,0))</f>
        <v>1</v>
      </c>
      <c r="S386" s="2">
        <f>$S385+$R385+INDEX(Tables!$N$5:$Q$8,MATCH(MOD($S385+$R385,4),Tables!$M$5:$M$8,0),MATCH($R386,Tables!$N$4:$Q$4,0))</f>
        <v>1356</v>
      </c>
      <c r="T386" s="2" t="str">
        <f t="shared" si="84"/>
        <v>054C</v>
      </c>
      <c r="U386" s="2">
        <f t="shared" si="89"/>
        <v>339</v>
      </c>
      <c r="V386" s="2" t="str">
        <f t="shared" si="85"/>
        <v>153</v>
      </c>
      <c r="W386" s="2" t="str">
        <f t="shared" si="86"/>
        <v/>
      </c>
      <c r="X386" s="2" t="str">
        <f t="shared" si="90"/>
        <v/>
      </c>
      <c r="Y386" s="2" t="str">
        <f t="shared" si="87"/>
        <v/>
      </c>
      <c r="Z386" s="2" t="str">
        <f t="shared" si="88"/>
        <v>X</v>
      </c>
      <c r="AA386" s="2" t="str">
        <f t="shared" si="91"/>
        <v/>
      </c>
      <c r="AB386" s="2" t="str">
        <f t="shared" si="92"/>
        <v/>
      </c>
      <c r="AC386" s="2" t="str">
        <f t="shared" si="93"/>
        <v/>
      </c>
      <c r="AD386" s="2" t="str">
        <f t="shared" si="94"/>
        <v>(4 downto 0)</v>
      </c>
      <c r="AE386" s="2" t="str">
        <f t="shared" si="95"/>
        <v/>
      </c>
      <c r="AF386" s="2" t="str">
        <f t="shared" si="96"/>
        <v/>
      </c>
      <c r="AG386" s="2" t="str">
        <f t="shared" si="97"/>
        <v/>
      </c>
      <c r="AH386" s="2" t="str">
        <f t="shared" si="98"/>
        <v/>
      </c>
    </row>
    <row r="387" spans="2:34" x14ac:dyDescent="0.25">
      <c r="B387" s="2" t="s">
        <v>748</v>
      </c>
      <c r="C387" s="2" t="s">
        <v>751</v>
      </c>
      <c r="D387" s="2" t="s">
        <v>0</v>
      </c>
      <c r="E387" s="2" t="s">
        <v>130</v>
      </c>
      <c r="F387" s="2" t="s">
        <v>749</v>
      </c>
      <c r="G387" s="2" t="s">
        <v>750</v>
      </c>
      <c r="H387" s="2" t="s">
        <v>752</v>
      </c>
      <c r="I387" s="2" t="s">
        <v>41</v>
      </c>
      <c r="J387" s="2">
        <v>4</v>
      </c>
      <c r="K387" s="2" t="s">
        <v>132</v>
      </c>
      <c r="L387" s="2" t="s">
        <v>40</v>
      </c>
      <c r="M387" s="2" t="s">
        <v>5292</v>
      </c>
      <c r="N387" s="2" t="s">
        <v>5280</v>
      </c>
      <c r="O387" s="2" t="s">
        <v>5192</v>
      </c>
      <c r="P387" s="2" t="s">
        <v>47</v>
      </c>
      <c r="Q387" s="2">
        <f>INDEX(Tables!$C$4:$C$28,MATCH($P387,Tables!$B$4:$B$28,0))</f>
        <v>8</v>
      </c>
      <c r="R387" s="2">
        <f>INDEX(Tables!$D$4:$D$28,MATCH($P387,Tables!$B$4:$B$28,0))</f>
        <v>1</v>
      </c>
      <c r="S387" s="2">
        <f>$S386+$R386+INDEX(Tables!$N$5:$Q$8,MATCH(MOD($S386+$R386,4),Tables!$M$5:$M$8,0),MATCH($R387,Tables!$N$4:$Q$4,0))</f>
        <v>1357</v>
      </c>
      <c r="T387" s="2" t="str">
        <f t="shared" si="84"/>
        <v>054D</v>
      </c>
      <c r="U387" s="2">
        <f t="shared" si="89"/>
        <v>339</v>
      </c>
      <c r="V387" s="2" t="str">
        <f t="shared" si="85"/>
        <v>153</v>
      </c>
      <c r="W387" s="2" t="str">
        <f t="shared" si="86"/>
        <v/>
      </c>
      <c r="X387" s="2" t="str">
        <f t="shared" si="90"/>
        <v/>
      </c>
      <c r="Y387" s="2" t="str">
        <f t="shared" si="87"/>
        <v>X</v>
      </c>
      <c r="Z387" s="2" t="str">
        <f t="shared" si="88"/>
        <v/>
      </c>
      <c r="AA387" s="2" t="str">
        <f t="shared" si="91"/>
        <v/>
      </c>
      <c r="AB387" s="2" t="str">
        <f t="shared" si="92"/>
        <v/>
      </c>
      <c r="AC387" s="2" t="str">
        <f t="shared" si="93"/>
        <v>(11 downto 8)</v>
      </c>
      <c r="AD387" s="2" t="str">
        <f t="shared" si="94"/>
        <v/>
      </c>
      <c r="AE387" s="2" t="str">
        <f t="shared" si="95"/>
        <v/>
      </c>
      <c r="AF387" s="2" t="str">
        <f t="shared" si="96"/>
        <v/>
      </c>
      <c r="AG387" s="2" t="str">
        <f t="shared" si="97"/>
        <v/>
      </c>
      <c r="AH387" s="2" t="str">
        <f t="shared" si="98"/>
        <v/>
      </c>
    </row>
    <row r="388" spans="2:34" x14ac:dyDescent="0.25">
      <c r="B388" s="2" t="s">
        <v>753</v>
      </c>
      <c r="C388" s="2" t="s">
        <v>311</v>
      </c>
      <c r="D388" s="2" t="s">
        <v>0</v>
      </c>
      <c r="E388" s="2" t="s">
        <v>130</v>
      </c>
      <c r="F388" s="2" t="s">
        <v>754</v>
      </c>
      <c r="G388" s="2" t="s">
        <v>755</v>
      </c>
      <c r="H388" s="2" t="s">
        <v>312</v>
      </c>
      <c r="I388" s="2" t="s">
        <v>41</v>
      </c>
      <c r="J388" s="2">
        <v>1</v>
      </c>
      <c r="K388" s="2" t="s">
        <v>81</v>
      </c>
      <c r="L388" s="2" t="s">
        <v>40</v>
      </c>
      <c r="M388" s="2" t="s">
        <v>5292</v>
      </c>
      <c r="N388" s="2" t="s">
        <v>5281</v>
      </c>
      <c r="O388" s="2" t="s">
        <v>5044</v>
      </c>
      <c r="P388" s="2" t="s">
        <v>4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$S387+$R387+INDEX(Tables!$N$5:$Q$8,MATCH(MOD($S387+$R387,4),Tables!$M$5:$M$8,0),MATCH($R388,Tables!$N$4:$Q$4,0))</f>
        <v>1360</v>
      </c>
      <c r="T388" s="2" t="str">
        <f t="shared" si="84"/>
        <v>0550</v>
      </c>
      <c r="U388" s="2">
        <f t="shared" si="89"/>
        <v>340</v>
      </c>
      <c r="V388" s="2" t="str">
        <f t="shared" si="85"/>
        <v>154</v>
      </c>
      <c r="W388" s="2" t="str">
        <f t="shared" si="86"/>
        <v/>
      </c>
      <c r="X388" s="2" t="str">
        <f t="shared" si="90"/>
        <v/>
      </c>
      <c r="Y388" s="2" t="str">
        <f t="shared" si="87"/>
        <v/>
      </c>
      <c r="Z388" s="2" t="str">
        <f t="shared" si="88"/>
        <v>X</v>
      </c>
      <c r="AA388" s="2" t="str">
        <f t="shared" si="91"/>
        <v/>
      </c>
      <c r="AB388" s="2" t="str">
        <f t="shared" si="92"/>
        <v/>
      </c>
      <c r="AC388" s="2" t="str">
        <f t="shared" si="93"/>
        <v/>
      </c>
      <c r="AD388" s="2" t="str">
        <f t="shared" si="94"/>
        <v>(0)</v>
      </c>
      <c r="AE388" s="2" t="str">
        <f t="shared" si="95"/>
        <v/>
      </c>
      <c r="AF388" s="2" t="str">
        <f t="shared" si="96"/>
        <v/>
      </c>
      <c r="AG388" s="2" t="str">
        <f t="shared" si="97"/>
        <v/>
      </c>
      <c r="AH388" s="2" t="str">
        <f t="shared" si="98"/>
        <v/>
      </c>
    </row>
    <row r="389" spans="2:34" x14ac:dyDescent="0.25">
      <c r="B389" s="2" t="s">
        <v>753</v>
      </c>
      <c r="C389" s="2" t="s">
        <v>313</v>
      </c>
      <c r="D389" s="2" t="s">
        <v>0</v>
      </c>
      <c r="E389" s="2" t="s">
        <v>130</v>
      </c>
      <c r="F389" s="2" t="s">
        <v>754</v>
      </c>
      <c r="G389" s="2" t="s">
        <v>755</v>
      </c>
      <c r="H389" s="2" t="s">
        <v>314</v>
      </c>
      <c r="I389" s="2" t="s">
        <v>41</v>
      </c>
      <c r="J389" s="2">
        <v>1</v>
      </c>
      <c r="K389" s="2" t="s">
        <v>81</v>
      </c>
      <c r="L389" s="2" t="s">
        <v>40</v>
      </c>
      <c r="M389" s="2" t="s">
        <v>5292</v>
      </c>
      <c r="N389" s="2" t="s">
        <v>5281</v>
      </c>
      <c r="O389" s="2" t="s">
        <v>5045</v>
      </c>
      <c r="P389" s="2" t="s">
        <v>4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1364</v>
      </c>
      <c r="T389" s="2" t="str">
        <f t="shared" ref="T389:T452" si="99">DEC2HEX($S389,4)</f>
        <v>0554</v>
      </c>
      <c r="U389" s="2">
        <f t="shared" si="89"/>
        <v>341</v>
      </c>
      <c r="V389" s="2" t="str">
        <f t="shared" ref="V389:V452" si="100">DEC2HEX($U389,3)</f>
        <v>155</v>
      </c>
      <c r="W389" s="2" t="str">
        <f t="shared" ref="W389:W452" si="101">IF(MOD($S389,4)=3,"X",IF(AND(MOD($S389,4)=2,$J389&gt;8),"X",IF(AND(MOD($S389,4)=1,$J389&gt;16),"X",IF(AND(MOD($S389,4)=0,$J389&gt;24),"X",""))))</f>
        <v/>
      </c>
      <c r="X389" s="2" t="str">
        <f t="shared" si="90"/>
        <v/>
      </c>
      <c r="Y389" s="2" t="str">
        <f t="shared" ref="Y389:Y452" si="102">IF(MOD($S389,4)=1,"X",IF(AND(MOD($S389,4)=0,$J389&gt;8),"X",""))</f>
        <v/>
      </c>
      <c r="Z389" s="2" t="str">
        <f t="shared" ref="Z389:Z452" si="103">IF(MOD($S389,4)=0,"X","")</f>
        <v>X</v>
      </c>
      <c r="AA389" s="2" t="str">
        <f t="shared" si="91"/>
        <v/>
      </c>
      <c r="AB389" s="2" t="str">
        <f t="shared" si="92"/>
        <v/>
      </c>
      <c r="AC389" s="2" t="str">
        <f t="shared" si="93"/>
        <v/>
      </c>
      <c r="AD389" s="2" t="str">
        <f t="shared" si="94"/>
        <v>(0)</v>
      </c>
      <c r="AE389" s="2" t="str">
        <f t="shared" si="95"/>
        <v/>
      </c>
      <c r="AF389" s="2" t="str">
        <f t="shared" si="96"/>
        <v/>
      </c>
      <c r="AG389" s="2" t="str">
        <f t="shared" si="97"/>
        <v/>
      </c>
      <c r="AH389" s="2" t="str">
        <f t="shared" si="98"/>
        <v/>
      </c>
    </row>
    <row r="390" spans="2:34" x14ac:dyDescent="0.25">
      <c r="B390" s="2" t="s">
        <v>753</v>
      </c>
      <c r="C390" s="2" t="s">
        <v>315</v>
      </c>
      <c r="D390" s="2" t="s">
        <v>0</v>
      </c>
      <c r="E390" s="2" t="s">
        <v>130</v>
      </c>
      <c r="F390" s="2" t="s">
        <v>754</v>
      </c>
      <c r="G390" s="2" t="s">
        <v>755</v>
      </c>
      <c r="H390" s="2" t="s">
        <v>316</v>
      </c>
      <c r="I390" s="2" t="s">
        <v>41</v>
      </c>
      <c r="J390" s="2">
        <v>1</v>
      </c>
      <c r="K390" s="2" t="s">
        <v>81</v>
      </c>
      <c r="L390" s="2" t="s">
        <v>40</v>
      </c>
      <c r="M390" s="2" t="s">
        <v>5292</v>
      </c>
      <c r="N390" s="2" t="s">
        <v>5281</v>
      </c>
      <c r="O390" s="2" t="s">
        <v>5046</v>
      </c>
      <c r="P390" s="2" t="s">
        <v>4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1368</v>
      </c>
      <c r="T390" s="2" t="str">
        <f t="shared" si="99"/>
        <v>0558</v>
      </c>
      <c r="U390" s="2">
        <f t="shared" ref="U390:U453" si="104">ROUNDDOWN(S390/4,0)</f>
        <v>342</v>
      </c>
      <c r="V390" s="2" t="str">
        <f t="shared" si="100"/>
        <v>156</v>
      </c>
      <c r="W390" s="2" t="str">
        <f t="shared" si="101"/>
        <v/>
      </c>
      <c r="X390" s="2" t="str">
        <f t="shared" ref="X390:X453" si="105">IF(MOD($S390,4)=2,"X",IF(AND(MOD($S390,4)=1,$J390&gt;8),"X",IF(AND(MOD($S390,4)=0,$J390&gt;16),"X","")))</f>
        <v/>
      </c>
      <c r="Y390" s="2" t="str">
        <f t="shared" si="102"/>
        <v/>
      </c>
      <c r="Z390" s="2" t="str">
        <f t="shared" si="103"/>
        <v>X</v>
      </c>
      <c r="AA390" s="2" t="str">
        <f t="shared" ref="AA390:AA453" si="106">IF(W390="","",CONCATENATE("(",IF(($J390-COUNTIF($X390:$Z390,"X")*8)=1,"24)",CONCATENATE(IF(($J390-COUNTIF($X390:$Z390,"X")*8)&gt;=8,32,($J390-COUNTIF($X390:$Z390,"X")*8)+24)-1," downto 24)"))))</f>
        <v/>
      </c>
      <c r="AB390" s="2" t="str">
        <f t="shared" ref="AB390:AB453" si="107">IF(X390="","",CONCATENATE("(",IF(($J390-COUNTIF($Y390:$Z390,"X")*8)=1,"16)",CONCATENATE(IF(($J390-COUNTIF($Y390:$Z390,"X")*8)&gt;=8,24,($J390-COUNTIF($Y390:$Z390,"X")*8)+16)-1," downto 16)"))))</f>
        <v/>
      </c>
      <c r="AC390" s="2" t="str">
        <f t="shared" ref="AC390:AC453" si="108">IF(Y390="","",CONCATENATE("(",IF(($J390-COUNTIF($Z390,"X")*8)=1,"8)",CONCATENATE(IF(($J390-COUNTIF($Z390,"X")*8)&gt;=8,16,($J390-COUNTIF($Z390,"X")*8)+8)-1," downto 8)"))))</f>
        <v/>
      </c>
      <c r="AD390" s="2" t="str">
        <f t="shared" ref="AD390:AD453" si="109">IF(Z390="","",CONCATENATE("(",IF($J390=1,"0)",CONCATENATE(IF($J390&gt;=8,8,$J390)-1," downto 0)"))))</f>
        <v>(0)</v>
      </c>
      <c r="AE390" s="2" t="str">
        <f t="shared" ref="AE390:AE453" si="110">IF(W390="","",IF($J390&lt;=8,"",IF(($J390-COUNTIF($X390:$Z390,"X")*8)=1,CONCATENATE("(",($J390-1),")"),CONCATENATE("(",IF(($J390-COUNTIF($X390:$Z390,"X")*8)&gt;=8,COUNTIF($X390:$Z390,"X")*8+7,$J390-COUNTIF($X390:$Z390,"X")*8-1+COUNTIF($X390:$Z390,"X")*8)," downto ",COUNTIF($X390:$Z390,"X")*8,")"))))</f>
        <v/>
      </c>
      <c r="AF390" s="2" t="str">
        <f t="shared" ref="AF390:AF453" si="111">IF(X390="","",IF($J390&lt;=8,"",IF(($J390-COUNTIF($Y390:$Z390,"X")*8)=1,CONCATENATE("(",($J390-1),")"),CONCATENATE("(",IF(($J390-COUNTIF($Y390:$Z390,"X")*8)&gt;=8,COUNTIF($Y390:$Z390,"X")*8+7,$J390-COUNTIF($Y390:$Z390,"X")*8-1+COUNTIF($Y390:$Z390,"X")*8)," downto ",COUNTIF($Y390:$Z390,"X")*8,")"))))</f>
        <v/>
      </c>
      <c r="AG390" s="2" t="str">
        <f t="shared" ref="AG390:AG453" si="112">IF(Y390="","",IF($J390&lt;=8,"",IF(($J390-COUNTIF($Z390,"X")*8)=1,CONCATENATE("(",($J390-1),")"),CONCATENATE("(",IF(($J390-COUNTIF($Z390,"X")*8)&gt;=8,COUNTIF($Z390,"X")*8+7,$J390-COUNTIF($Z390,"X")*8-1+COUNTIF($Z390,"X")*8)," downto ",COUNTIF($Z390,"X")*8,")"))))</f>
        <v/>
      </c>
      <c r="AH390" s="2" t="str">
        <f t="shared" ref="AH390:AH453" si="113">IF(Z390="","",IF($J390&lt;=8,"",CONCATENATE("(",IF($J390&gt;=8,7,$J390-1)," downto ",0,")")))</f>
        <v/>
      </c>
    </row>
    <row r="391" spans="2:34" x14ac:dyDescent="0.25">
      <c r="B391" s="2" t="s">
        <v>753</v>
      </c>
      <c r="C391" s="2" t="s">
        <v>317</v>
      </c>
      <c r="D391" s="2" t="s">
        <v>0</v>
      </c>
      <c r="E391" s="2" t="s">
        <v>130</v>
      </c>
      <c r="F391" s="2" t="s">
        <v>754</v>
      </c>
      <c r="G391" s="2" t="s">
        <v>755</v>
      </c>
      <c r="H391" s="2" t="s">
        <v>318</v>
      </c>
      <c r="I391" s="2" t="s">
        <v>41</v>
      </c>
      <c r="J391" s="2">
        <v>1</v>
      </c>
      <c r="K391" s="2" t="s">
        <v>81</v>
      </c>
      <c r="L391" s="2" t="s">
        <v>40</v>
      </c>
      <c r="M391" s="2" t="s">
        <v>5292</v>
      </c>
      <c r="N391" s="2" t="s">
        <v>5281</v>
      </c>
      <c r="O391" s="2" t="s">
        <v>5047</v>
      </c>
      <c r="P391" s="2" t="s">
        <v>4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1372</v>
      </c>
      <c r="T391" s="2" t="str">
        <f t="shared" si="99"/>
        <v>055C</v>
      </c>
      <c r="U391" s="2">
        <f t="shared" si="104"/>
        <v>343</v>
      </c>
      <c r="V391" s="2" t="str">
        <f t="shared" si="100"/>
        <v>157</v>
      </c>
      <c r="W391" s="2" t="str">
        <f t="shared" si="101"/>
        <v/>
      </c>
      <c r="X391" s="2" t="str">
        <f t="shared" si="105"/>
        <v/>
      </c>
      <c r="Y391" s="2" t="str">
        <f t="shared" si="102"/>
        <v/>
      </c>
      <c r="Z391" s="2" t="str">
        <f t="shared" si="103"/>
        <v>X</v>
      </c>
      <c r="AA391" s="2" t="str">
        <f t="shared" si="106"/>
        <v/>
      </c>
      <c r="AB391" s="2" t="str">
        <f t="shared" si="107"/>
        <v/>
      </c>
      <c r="AC391" s="2" t="str">
        <f t="shared" si="108"/>
        <v/>
      </c>
      <c r="AD391" s="2" t="str">
        <f t="shared" si="109"/>
        <v>(0)</v>
      </c>
      <c r="AE391" s="2" t="str">
        <f t="shared" si="110"/>
        <v/>
      </c>
      <c r="AF391" s="2" t="str">
        <f t="shared" si="111"/>
        <v/>
      </c>
      <c r="AG391" s="2" t="str">
        <f t="shared" si="112"/>
        <v/>
      </c>
      <c r="AH391" s="2" t="str">
        <f t="shared" si="113"/>
        <v/>
      </c>
    </row>
    <row r="392" spans="2:34" x14ac:dyDescent="0.25">
      <c r="B392" s="2" t="s">
        <v>753</v>
      </c>
      <c r="C392" s="2" t="s">
        <v>319</v>
      </c>
      <c r="D392" s="2" t="s">
        <v>0</v>
      </c>
      <c r="E392" s="2" t="s">
        <v>130</v>
      </c>
      <c r="F392" s="2" t="s">
        <v>754</v>
      </c>
      <c r="G392" s="2" t="s">
        <v>755</v>
      </c>
      <c r="H392" s="2" t="s">
        <v>320</v>
      </c>
      <c r="I392" s="2" t="s">
        <v>41</v>
      </c>
      <c r="J392" s="2">
        <v>1</v>
      </c>
      <c r="K392" s="2" t="s">
        <v>81</v>
      </c>
      <c r="L392" s="2" t="s">
        <v>40</v>
      </c>
      <c r="M392" s="2" t="s">
        <v>5292</v>
      </c>
      <c r="N392" s="2" t="s">
        <v>5281</v>
      </c>
      <c r="O392" s="2" t="s">
        <v>5048</v>
      </c>
      <c r="P392" s="2" t="s">
        <v>4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1376</v>
      </c>
      <c r="T392" s="2" t="str">
        <f t="shared" si="99"/>
        <v>0560</v>
      </c>
      <c r="U392" s="2">
        <f t="shared" si="104"/>
        <v>344</v>
      </c>
      <c r="V392" s="2" t="str">
        <f t="shared" si="100"/>
        <v>158</v>
      </c>
      <c r="W392" s="2" t="str">
        <f t="shared" si="101"/>
        <v/>
      </c>
      <c r="X392" s="2" t="str">
        <f t="shared" si="105"/>
        <v/>
      </c>
      <c r="Y392" s="2" t="str">
        <f t="shared" si="102"/>
        <v/>
      </c>
      <c r="Z392" s="2" t="str">
        <f t="shared" si="103"/>
        <v>X</v>
      </c>
      <c r="AA392" s="2" t="str">
        <f t="shared" si="106"/>
        <v/>
      </c>
      <c r="AB392" s="2" t="str">
        <f t="shared" si="107"/>
        <v/>
      </c>
      <c r="AC392" s="2" t="str">
        <f t="shared" si="108"/>
        <v/>
      </c>
      <c r="AD392" s="2" t="str">
        <f t="shared" si="109"/>
        <v>(0)</v>
      </c>
      <c r="AE392" s="2" t="str">
        <f t="shared" si="110"/>
        <v/>
      </c>
      <c r="AF392" s="2" t="str">
        <f t="shared" si="111"/>
        <v/>
      </c>
      <c r="AG392" s="2" t="str">
        <f t="shared" si="112"/>
        <v/>
      </c>
      <c r="AH392" s="2" t="str">
        <f t="shared" si="113"/>
        <v/>
      </c>
    </row>
    <row r="393" spans="2:34" x14ac:dyDescent="0.25">
      <c r="B393" s="2" t="s">
        <v>753</v>
      </c>
      <c r="C393" s="2" t="s">
        <v>321</v>
      </c>
      <c r="D393" s="2" t="s">
        <v>0</v>
      </c>
      <c r="E393" s="2" t="s">
        <v>130</v>
      </c>
      <c r="F393" s="2" t="s">
        <v>754</v>
      </c>
      <c r="G393" s="2" t="s">
        <v>755</v>
      </c>
      <c r="H393" s="2" t="s">
        <v>322</v>
      </c>
      <c r="I393" s="2" t="s">
        <v>41</v>
      </c>
      <c r="J393" s="2">
        <v>1</v>
      </c>
      <c r="K393" s="2" t="s">
        <v>81</v>
      </c>
      <c r="L393" s="2" t="s">
        <v>40</v>
      </c>
      <c r="M393" s="2" t="s">
        <v>5292</v>
      </c>
      <c r="N393" s="2" t="s">
        <v>5281</v>
      </c>
      <c r="O393" s="2" t="s">
        <v>5049</v>
      </c>
      <c r="P393" s="2" t="s">
        <v>4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1380</v>
      </c>
      <c r="T393" s="2" t="str">
        <f t="shared" si="99"/>
        <v>0564</v>
      </c>
      <c r="U393" s="2">
        <f t="shared" si="104"/>
        <v>345</v>
      </c>
      <c r="V393" s="2" t="str">
        <f t="shared" si="100"/>
        <v>159</v>
      </c>
      <c r="W393" s="2" t="str">
        <f t="shared" si="101"/>
        <v/>
      </c>
      <c r="X393" s="2" t="str">
        <f t="shared" si="105"/>
        <v/>
      </c>
      <c r="Y393" s="2" t="str">
        <f t="shared" si="102"/>
        <v/>
      </c>
      <c r="Z393" s="2" t="str">
        <f t="shared" si="103"/>
        <v>X</v>
      </c>
      <c r="AA393" s="2" t="str">
        <f t="shared" si="106"/>
        <v/>
      </c>
      <c r="AB393" s="2" t="str">
        <f t="shared" si="107"/>
        <v/>
      </c>
      <c r="AC393" s="2" t="str">
        <f t="shared" si="108"/>
        <v/>
      </c>
      <c r="AD393" s="2" t="str">
        <f t="shared" si="109"/>
        <v>(0)</v>
      </c>
      <c r="AE393" s="2" t="str">
        <f t="shared" si="110"/>
        <v/>
      </c>
      <c r="AF393" s="2" t="str">
        <f t="shared" si="111"/>
        <v/>
      </c>
      <c r="AG393" s="2" t="str">
        <f t="shared" si="112"/>
        <v/>
      </c>
      <c r="AH393" s="2" t="str">
        <f t="shared" si="113"/>
        <v/>
      </c>
    </row>
    <row r="394" spans="2:34" x14ac:dyDescent="0.25">
      <c r="B394" s="2" t="s">
        <v>753</v>
      </c>
      <c r="C394" s="2" t="s">
        <v>323</v>
      </c>
      <c r="D394" s="2" t="s">
        <v>0</v>
      </c>
      <c r="E394" s="2" t="s">
        <v>130</v>
      </c>
      <c r="F394" s="2" t="s">
        <v>754</v>
      </c>
      <c r="G394" s="2" t="s">
        <v>755</v>
      </c>
      <c r="H394" s="2" t="s">
        <v>324</v>
      </c>
      <c r="I394" s="2" t="s">
        <v>41</v>
      </c>
      <c r="J394" s="2">
        <v>1</v>
      </c>
      <c r="K394" s="2" t="s">
        <v>81</v>
      </c>
      <c r="L394" s="2" t="s">
        <v>40</v>
      </c>
      <c r="M394" s="2" t="s">
        <v>5292</v>
      </c>
      <c r="N394" s="2" t="s">
        <v>5281</v>
      </c>
      <c r="O394" s="2" t="s">
        <v>5050</v>
      </c>
      <c r="P394" s="2" t="s">
        <v>4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$S393+$R393+INDEX(Tables!$N$5:$Q$8,MATCH(MOD($S393+$R393,4),Tables!$M$5:$M$8,0),MATCH($R394,Tables!$N$4:$Q$4,0))</f>
        <v>1384</v>
      </c>
      <c r="T394" s="2" t="str">
        <f t="shared" si="99"/>
        <v>0568</v>
      </c>
      <c r="U394" s="2">
        <f t="shared" si="104"/>
        <v>346</v>
      </c>
      <c r="V394" s="2" t="str">
        <f t="shared" si="100"/>
        <v>15A</v>
      </c>
      <c r="W394" s="2" t="str">
        <f t="shared" si="101"/>
        <v/>
      </c>
      <c r="X394" s="2" t="str">
        <f t="shared" si="105"/>
        <v/>
      </c>
      <c r="Y394" s="2" t="str">
        <f t="shared" si="102"/>
        <v/>
      </c>
      <c r="Z394" s="2" t="str">
        <f t="shared" si="103"/>
        <v>X</v>
      </c>
      <c r="AA394" s="2" t="str">
        <f t="shared" si="106"/>
        <v/>
      </c>
      <c r="AB394" s="2" t="str">
        <f t="shared" si="107"/>
        <v/>
      </c>
      <c r="AC394" s="2" t="str">
        <f t="shared" si="108"/>
        <v/>
      </c>
      <c r="AD394" s="2" t="str">
        <f t="shared" si="109"/>
        <v>(0)</v>
      </c>
      <c r="AE394" s="2" t="str">
        <f t="shared" si="110"/>
        <v/>
      </c>
      <c r="AF394" s="2" t="str">
        <f t="shared" si="111"/>
        <v/>
      </c>
      <c r="AG394" s="2" t="str">
        <f t="shared" si="112"/>
        <v/>
      </c>
      <c r="AH394" s="2" t="str">
        <f t="shared" si="113"/>
        <v/>
      </c>
    </row>
    <row r="395" spans="2:34" x14ac:dyDescent="0.25">
      <c r="B395" s="2" t="s">
        <v>753</v>
      </c>
      <c r="C395" s="2" t="s">
        <v>756</v>
      </c>
      <c r="D395" s="2" t="s">
        <v>0</v>
      </c>
      <c r="E395" s="2" t="s">
        <v>130</v>
      </c>
      <c r="F395" s="2" t="s">
        <v>754</v>
      </c>
      <c r="G395" s="2" t="s">
        <v>755</v>
      </c>
      <c r="H395" s="2" t="s">
        <v>757</v>
      </c>
      <c r="I395" s="2" t="s">
        <v>41</v>
      </c>
      <c r="J395" s="2">
        <v>1</v>
      </c>
      <c r="K395" s="2" t="s">
        <v>81</v>
      </c>
      <c r="L395" s="2" t="s">
        <v>40</v>
      </c>
      <c r="M395" s="2" t="s">
        <v>5292</v>
      </c>
      <c r="N395" s="2" t="s">
        <v>5281</v>
      </c>
      <c r="O395" s="2" t="s">
        <v>5193</v>
      </c>
      <c r="P395" s="2" t="s">
        <v>4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$S394+$R394+INDEX(Tables!$N$5:$Q$8,MATCH(MOD($S394+$R394,4),Tables!$M$5:$M$8,0),MATCH($R395,Tables!$N$4:$Q$4,0))</f>
        <v>1388</v>
      </c>
      <c r="T395" s="2" t="str">
        <f t="shared" si="99"/>
        <v>056C</v>
      </c>
      <c r="U395" s="2">
        <f t="shared" si="104"/>
        <v>347</v>
      </c>
      <c r="V395" s="2" t="str">
        <f t="shared" si="100"/>
        <v>15B</v>
      </c>
      <c r="W395" s="2" t="str">
        <f t="shared" si="101"/>
        <v/>
      </c>
      <c r="X395" s="2" t="str">
        <f t="shared" si="105"/>
        <v/>
      </c>
      <c r="Y395" s="2" t="str">
        <f t="shared" si="102"/>
        <v/>
      </c>
      <c r="Z395" s="2" t="str">
        <f t="shared" si="103"/>
        <v>X</v>
      </c>
      <c r="AA395" s="2" t="str">
        <f t="shared" si="106"/>
        <v/>
      </c>
      <c r="AB395" s="2" t="str">
        <f t="shared" si="107"/>
        <v/>
      </c>
      <c r="AC395" s="2" t="str">
        <f t="shared" si="108"/>
        <v/>
      </c>
      <c r="AD395" s="2" t="str">
        <f t="shared" si="109"/>
        <v>(0)</v>
      </c>
      <c r="AE395" s="2" t="str">
        <f t="shared" si="110"/>
        <v/>
      </c>
      <c r="AF395" s="2" t="str">
        <f t="shared" si="111"/>
        <v/>
      </c>
      <c r="AG395" s="2" t="str">
        <f t="shared" si="112"/>
        <v/>
      </c>
      <c r="AH395" s="2" t="str">
        <f t="shared" si="113"/>
        <v/>
      </c>
    </row>
    <row r="396" spans="2:34" x14ac:dyDescent="0.25">
      <c r="B396" s="2" t="s">
        <v>753</v>
      </c>
      <c r="C396" s="2" t="s">
        <v>758</v>
      </c>
      <c r="D396" s="2" t="s">
        <v>0</v>
      </c>
      <c r="E396" s="2" t="s">
        <v>130</v>
      </c>
      <c r="F396" s="2" t="s">
        <v>754</v>
      </c>
      <c r="G396" s="2" t="s">
        <v>755</v>
      </c>
      <c r="H396" s="2" t="s">
        <v>759</v>
      </c>
      <c r="I396" s="2" t="s">
        <v>41</v>
      </c>
      <c r="J396" s="2">
        <v>1</v>
      </c>
      <c r="K396" s="2" t="s">
        <v>81</v>
      </c>
      <c r="L396" s="2" t="s">
        <v>40</v>
      </c>
      <c r="M396" s="2" t="s">
        <v>5292</v>
      </c>
      <c r="N396" s="2" t="s">
        <v>5281</v>
      </c>
      <c r="O396" s="2" t="s">
        <v>5194</v>
      </c>
      <c r="P396" s="2" t="s">
        <v>4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$S395+$R395+INDEX(Tables!$N$5:$Q$8,MATCH(MOD($S395+$R395,4),Tables!$M$5:$M$8,0),MATCH($R396,Tables!$N$4:$Q$4,0))</f>
        <v>1392</v>
      </c>
      <c r="T396" s="2" t="str">
        <f t="shared" si="99"/>
        <v>0570</v>
      </c>
      <c r="U396" s="2">
        <f t="shared" si="104"/>
        <v>348</v>
      </c>
      <c r="V396" s="2" t="str">
        <f t="shared" si="100"/>
        <v>15C</v>
      </c>
      <c r="W396" s="2" t="str">
        <f t="shared" si="101"/>
        <v/>
      </c>
      <c r="X396" s="2" t="str">
        <f t="shared" si="105"/>
        <v/>
      </c>
      <c r="Y396" s="2" t="str">
        <f t="shared" si="102"/>
        <v/>
      </c>
      <c r="Z396" s="2" t="str">
        <f t="shared" si="103"/>
        <v>X</v>
      </c>
      <c r="AA396" s="2" t="str">
        <f t="shared" si="106"/>
        <v/>
      </c>
      <c r="AB396" s="2" t="str">
        <f t="shared" si="107"/>
        <v/>
      </c>
      <c r="AC396" s="2" t="str">
        <f t="shared" si="108"/>
        <v/>
      </c>
      <c r="AD396" s="2" t="str">
        <f t="shared" si="109"/>
        <v>(0)</v>
      </c>
      <c r="AE396" s="2" t="str">
        <f t="shared" si="110"/>
        <v/>
      </c>
      <c r="AF396" s="2" t="str">
        <f t="shared" si="111"/>
        <v/>
      </c>
      <c r="AG396" s="2" t="str">
        <f t="shared" si="112"/>
        <v/>
      </c>
      <c r="AH396" s="2" t="str">
        <f t="shared" si="113"/>
        <v/>
      </c>
    </row>
    <row r="397" spans="2:34" x14ac:dyDescent="0.25">
      <c r="B397" s="2" t="s">
        <v>753</v>
      </c>
      <c r="C397" s="2" t="s">
        <v>760</v>
      </c>
      <c r="D397" s="2" t="s">
        <v>0</v>
      </c>
      <c r="E397" s="2" t="s">
        <v>130</v>
      </c>
      <c r="F397" s="2" t="s">
        <v>754</v>
      </c>
      <c r="G397" s="2" t="s">
        <v>755</v>
      </c>
      <c r="H397" s="2" t="s">
        <v>761</v>
      </c>
      <c r="I397" s="2" t="s">
        <v>41</v>
      </c>
      <c r="J397" s="2">
        <v>1</v>
      </c>
      <c r="K397" s="2" t="s">
        <v>81</v>
      </c>
      <c r="L397" s="2" t="s">
        <v>40</v>
      </c>
      <c r="M397" s="2" t="s">
        <v>5292</v>
      </c>
      <c r="N397" s="2" t="s">
        <v>5281</v>
      </c>
      <c r="O397" s="2" t="s">
        <v>5195</v>
      </c>
      <c r="P397" s="2" t="s">
        <v>4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$S396+$R396+INDEX(Tables!$N$5:$Q$8,MATCH(MOD($S396+$R396,4),Tables!$M$5:$M$8,0),MATCH($R397,Tables!$N$4:$Q$4,0))</f>
        <v>1396</v>
      </c>
      <c r="T397" s="2" t="str">
        <f t="shared" si="99"/>
        <v>0574</v>
      </c>
      <c r="U397" s="2">
        <f t="shared" si="104"/>
        <v>349</v>
      </c>
      <c r="V397" s="2" t="str">
        <f t="shared" si="100"/>
        <v>15D</v>
      </c>
      <c r="W397" s="2" t="str">
        <f t="shared" si="101"/>
        <v/>
      </c>
      <c r="X397" s="2" t="str">
        <f t="shared" si="105"/>
        <v/>
      </c>
      <c r="Y397" s="2" t="str">
        <f t="shared" si="102"/>
        <v/>
      </c>
      <c r="Z397" s="2" t="str">
        <f t="shared" si="103"/>
        <v>X</v>
      </c>
      <c r="AA397" s="2" t="str">
        <f t="shared" si="106"/>
        <v/>
      </c>
      <c r="AB397" s="2" t="str">
        <f t="shared" si="107"/>
        <v/>
      </c>
      <c r="AC397" s="2" t="str">
        <f t="shared" si="108"/>
        <v/>
      </c>
      <c r="AD397" s="2" t="str">
        <f t="shared" si="109"/>
        <v>(0)</v>
      </c>
      <c r="AE397" s="2" t="str">
        <f t="shared" si="110"/>
        <v/>
      </c>
      <c r="AF397" s="2" t="str">
        <f t="shared" si="111"/>
        <v/>
      </c>
      <c r="AG397" s="2" t="str">
        <f t="shared" si="112"/>
        <v/>
      </c>
      <c r="AH397" s="2" t="str">
        <f t="shared" si="113"/>
        <v/>
      </c>
    </row>
    <row r="398" spans="2:34" x14ac:dyDescent="0.25">
      <c r="B398" s="2" t="s">
        <v>753</v>
      </c>
      <c r="C398" s="2" t="s">
        <v>762</v>
      </c>
      <c r="D398" s="2" t="s">
        <v>0</v>
      </c>
      <c r="E398" s="2" t="s">
        <v>130</v>
      </c>
      <c r="F398" s="2" t="s">
        <v>754</v>
      </c>
      <c r="G398" s="2" t="s">
        <v>755</v>
      </c>
      <c r="H398" s="2" t="s">
        <v>763</v>
      </c>
      <c r="I398" s="2" t="s">
        <v>41</v>
      </c>
      <c r="J398" s="2">
        <v>1</v>
      </c>
      <c r="K398" s="2" t="s">
        <v>81</v>
      </c>
      <c r="L398" s="2" t="s">
        <v>40</v>
      </c>
      <c r="M398" s="2" t="s">
        <v>5292</v>
      </c>
      <c r="N398" s="2" t="s">
        <v>5281</v>
      </c>
      <c r="O398" s="2" t="s">
        <v>5196</v>
      </c>
      <c r="P398" s="2" t="s">
        <v>4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$S397+$R397+INDEX(Tables!$N$5:$Q$8,MATCH(MOD($S397+$R397,4),Tables!$M$5:$M$8,0),MATCH($R398,Tables!$N$4:$Q$4,0))</f>
        <v>1400</v>
      </c>
      <c r="T398" s="2" t="str">
        <f t="shared" si="99"/>
        <v>0578</v>
      </c>
      <c r="U398" s="2">
        <f t="shared" si="104"/>
        <v>350</v>
      </c>
      <c r="V398" s="2" t="str">
        <f t="shared" si="100"/>
        <v>15E</v>
      </c>
      <c r="W398" s="2" t="str">
        <f t="shared" si="101"/>
        <v/>
      </c>
      <c r="X398" s="2" t="str">
        <f t="shared" si="105"/>
        <v/>
      </c>
      <c r="Y398" s="2" t="str">
        <f t="shared" si="102"/>
        <v/>
      </c>
      <c r="Z398" s="2" t="str">
        <f t="shared" si="103"/>
        <v>X</v>
      </c>
      <c r="AA398" s="2" t="str">
        <f t="shared" si="106"/>
        <v/>
      </c>
      <c r="AB398" s="2" t="str">
        <f t="shared" si="107"/>
        <v/>
      </c>
      <c r="AC398" s="2" t="str">
        <f t="shared" si="108"/>
        <v/>
      </c>
      <c r="AD398" s="2" t="str">
        <f t="shared" si="109"/>
        <v>(0)</v>
      </c>
      <c r="AE398" s="2" t="str">
        <f t="shared" si="110"/>
        <v/>
      </c>
      <c r="AF398" s="2" t="str">
        <f t="shared" si="111"/>
        <v/>
      </c>
      <c r="AG398" s="2" t="str">
        <f t="shared" si="112"/>
        <v/>
      </c>
      <c r="AH398" s="2" t="str">
        <f t="shared" si="113"/>
        <v/>
      </c>
    </row>
    <row r="399" spans="2:34" x14ac:dyDescent="0.25">
      <c r="B399" s="2" t="s">
        <v>753</v>
      </c>
      <c r="C399" s="2" t="s">
        <v>764</v>
      </c>
      <c r="D399" s="2" t="s">
        <v>0</v>
      </c>
      <c r="E399" s="2" t="s">
        <v>130</v>
      </c>
      <c r="F399" s="2" t="s">
        <v>754</v>
      </c>
      <c r="G399" s="2" t="s">
        <v>755</v>
      </c>
      <c r="H399" s="2" t="s">
        <v>765</v>
      </c>
      <c r="I399" s="2" t="s">
        <v>41</v>
      </c>
      <c r="J399" s="2">
        <v>1</v>
      </c>
      <c r="K399" s="2" t="s">
        <v>81</v>
      </c>
      <c r="L399" s="2" t="s">
        <v>40</v>
      </c>
      <c r="M399" s="2" t="s">
        <v>5292</v>
      </c>
      <c r="N399" s="2" t="s">
        <v>5281</v>
      </c>
      <c r="O399" s="2" t="s">
        <v>5197</v>
      </c>
      <c r="P399" s="2" t="s">
        <v>4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$S398+$R398+INDEX(Tables!$N$5:$Q$8,MATCH(MOD($S398+$R398,4),Tables!$M$5:$M$8,0),MATCH($R399,Tables!$N$4:$Q$4,0))</f>
        <v>1404</v>
      </c>
      <c r="T399" s="2" t="str">
        <f t="shared" si="99"/>
        <v>057C</v>
      </c>
      <c r="U399" s="2">
        <f t="shared" si="104"/>
        <v>351</v>
      </c>
      <c r="V399" s="2" t="str">
        <f t="shared" si="100"/>
        <v>15F</v>
      </c>
      <c r="W399" s="2" t="str">
        <f t="shared" si="101"/>
        <v/>
      </c>
      <c r="X399" s="2" t="str">
        <f t="shared" si="105"/>
        <v/>
      </c>
      <c r="Y399" s="2" t="str">
        <f t="shared" si="102"/>
        <v/>
      </c>
      <c r="Z399" s="2" t="str">
        <f t="shared" si="103"/>
        <v>X</v>
      </c>
      <c r="AA399" s="2" t="str">
        <f t="shared" si="106"/>
        <v/>
      </c>
      <c r="AB399" s="2" t="str">
        <f t="shared" si="107"/>
        <v/>
      </c>
      <c r="AC399" s="2" t="str">
        <f t="shared" si="108"/>
        <v/>
      </c>
      <c r="AD399" s="2" t="str">
        <f t="shared" si="109"/>
        <v>(0)</v>
      </c>
      <c r="AE399" s="2" t="str">
        <f t="shared" si="110"/>
        <v/>
      </c>
      <c r="AF399" s="2" t="str">
        <f t="shared" si="111"/>
        <v/>
      </c>
      <c r="AG399" s="2" t="str">
        <f t="shared" si="112"/>
        <v/>
      </c>
      <c r="AH399" s="2" t="str">
        <f t="shared" si="113"/>
        <v/>
      </c>
    </row>
    <row r="400" spans="2:34" x14ac:dyDescent="0.25">
      <c r="B400" s="2" t="s">
        <v>753</v>
      </c>
      <c r="C400" s="2" t="s">
        <v>766</v>
      </c>
      <c r="D400" s="2" t="s">
        <v>0</v>
      </c>
      <c r="E400" s="2" t="s">
        <v>130</v>
      </c>
      <c r="F400" s="2" t="s">
        <v>754</v>
      </c>
      <c r="G400" s="2" t="s">
        <v>755</v>
      </c>
      <c r="H400" s="2" t="s">
        <v>767</v>
      </c>
      <c r="I400" s="2" t="s">
        <v>41</v>
      </c>
      <c r="J400" s="2">
        <v>1</v>
      </c>
      <c r="K400" s="2" t="s">
        <v>81</v>
      </c>
      <c r="L400" s="2" t="s">
        <v>40</v>
      </c>
      <c r="M400" s="2" t="s">
        <v>5292</v>
      </c>
      <c r="N400" s="2" t="s">
        <v>5281</v>
      </c>
      <c r="O400" s="2" t="s">
        <v>5198</v>
      </c>
      <c r="P400" s="2" t="s">
        <v>4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$S399+$R399+INDEX(Tables!$N$5:$Q$8,MATCH(MOD($S399+$R399,4),Tables!$M$5:$M$8,0),MATCH($R400,Tables!$N$4:$Q$4,0))</f>
        <v>1408</v>
      </c>
      <c r="T400" s="2" t="str">
        <f t="shared" si="99"/>
        <v>0580</v>
      </c>
      <c r="U400" s="2">
        <f t="shared" si="104"/>
        <v>352</v>
      </c>
      <c r="V400" s="2" t="str">
        <f t="shared" si="100"/>
        <v>160</v>
      </c>
      <c r="W400" s="2" t="str">
        <f t="shared" si="101"/>
        <v/>
      </c>
      <c r="X400" s="2" t="str">
        <f t="shared" si="105"/>
        <v/>
      </c>
      <c r="Y400" s="2" t="str">
        <f t="shared" si="102"/>
        <v/>
      </c>
      <c r="Z400" s="2" t="str">
        <f t="shared" si="103"/>
        <v>X</v>
      </c>
      <c r="AA400" s="2" t="str">
        <f t="shared" si="106"/>
        <v/>
      </c>
      <c r="AB400" s="2" t="str">
        <f t="shared" si="107"/>
        <v/>
      </c>
      <c r="AC400" s="2" t="str">
        <f t="shared" si="108"/>
        <v/>
      </c>
      <c r="AD400" s="2" t="str">
        <f t="shared" si="109"/>
        <v>(0)</v>
      </c>
      <c r="AE400" s="2" t="str">
        <f t="shared" si="110"/>
        <v/>
      </c>
      <c r="AF400" s="2" t="str">
        <f t="shared" si="111"/>
        <v/>
      </c>
      <c r="AG400" s="2" t="str">
        <f t="shared" si="112"/>
        <v/>
      </c>
      <c r="AH400" s="2" t="str">
        <f t="shared" si="113"/>
        <v/>
      </c>
    </row>
    <row r="401" spans="2:34" x14ac:dyDescent="0.25">
      <c r="B401" s="2" t="s">
        <v>753</v>
      </c>
      <c r="C401" s="2" t="s">
        <v>768</v>
      </c>
      <c r="D401" s="2" t="s">
        <v>0</v>
      </c>
      <c r="E401" s="2" t="s">
        <v>130</v>
      </c>
      <c r="F401" s="2" t="s">
        <v>754</v>
      </c>
      <c r="G401" s="2" t="s">
        <v>755</v>
      </c>
      <c r="H401" s="2" t="s">
        <v>769</v>
      </c>
      <c r="I401" s="2" t="s">
        <v>41</v>
      </c>
      <c r="J401" s="2">
        <v>1</v>
      </c>
      <c r="K401" s="2" t="s">
        <v>81</v>
      </c>
      <c r="L401" s="2" t="s">
        <v>40</v>
      </c>
      <c r="M401" s="2" t="s">
        <v>5292</v>
      </c>
      <c r="N401" s="2" t="s">
        <v>5281</v>
      </c>
      <c r="O401" s="2" t="s">
        <v>5199</v>
      </c>
      <c r="P401" s="2" t="s">
        <v>4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$S400+$R400+INDEX(Tables!$N$5:$Q$8,MATCH(MOD($S400+$R400,4),Tables!$M$5:$M$8,0),MATCH($R401,Tables!$N$4:$Q$4,0))</f>
        <v>1412</v>
      </c>
      <c r="T401" s="2" t="str">
        <f t="shared" si="99"/>
        <v>0584</v>
      </c>
      <c r="U401" s="2">
        <f t="shared" si="104"/>
        <v>353</v>
      </c>
      <c r="V401" s="2" t="str">
        <f t="shared" si="100"/>
        <v>161</v>
      </c>
      <c r="W401" s="2" t="str">
        <f t="shared" si="101"/>
        <v/>
      </c>
      <c r="X401" s="2" t="str">
        <f t="shared" si="105"/>
        <v/>
      </c>
      <c r="Y401" s="2" t="str">
        <f t="shared" si="102"/>
        <v/>
      </c>
      <c r="Z401" s="2" t="str">
        <f t="shared" si="103"/>
        <v>X</v>
      </c>
      <c r="AA401" s="2" t="str">
        <f t="shared" si="106"/>
        <v/>
      </c>
      <c r="AB401" s="2" t="str">
        <f t="shared" si="107"/>
        <v/>
      </c>
      <c r="AC401" s="2" t="str">
        <f t="shared" si="108"/>
        <v/>
      </c>
      <c r="AD401" s="2" t="str">
        <f t="shared" si="109"/>
        <v>(0)</v>
      </c>
      <c r="AE401" s="2" t="str">
        <f t="shared" si="110"/>
        <v/>
      </c>
      <c r="AF401" s="2" t="str">
        <f t="shared" si="111"/>
        <v/>
      </c>
      <c r="AG401" s="2" t="str">
        <f t="shared" si="112"/>
        <v/>
      </c>
      <c r="AH401" s="2" t="str">
        <f t="shared" si="113"/>
        <v/>
      </c>
    </row>
    <row r="402" spans="2:34" x14ac:dyDescent="0.25">
      <c r="B402" s="2" t="s">
        <v>753</v>
      </c>
      <c r="C402" s="2" t="s">
        <v>770</v>
      </c>
      <c r="D402" s="2" t="s">
        <v>0</v>
      </c>
      <c r="E402" s="2" t="s">
        <v>130</v>
      </c>
      <c r="F402" s="2" t="s">
        <v>754</v>
      </c>
      <c r="G402" s="2" t="s">
        <v>755</v>
      </c>
      <c r="H402" s="2" t="s">
        <v>771</v>
      </c>
      <c r="I402" s="2" t="s">
        <v>41</v>
      </c>
      <c r="J402" s="2">
        <v>1</v>
      </c>
      <c r="K402" s="2" t="s">
        <v>81</v>
      </c>
      <c r="L402" s="2" t="s">
        <v>40</v>
      </c>
      <c r="M402" s="2" t="s">
        <v>5292</v>
      </c>
      <c r="N402" s="2" t="s">
        <v>5281</v>
      </c>
      <c r="O402" s="2" t="s">
        <v>5200</v>
      </c>
      <c r="P402" s="2" t="s">
        <v>4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$S401+$R401+INDEX(Tables!$N$5:$Q$8,MATCH(MOD($S401+$R401,4),Tables!$M$5:$M$8,0),MATCH($R402,Tables!$N$4:$Q$4,0))</f>
        <v>1416</v>
      </c>
      <c r="T402" s="2" t="str">
        <f t="shared" si="99"/>
        <v>0588</v>
      </c>
      <c r="U402" s="2">
        <f t="shared" si="104"/>
        <v>354</v>
      </c>
      <c r="V402" s="2" t="str">
        <f t="shared" si="100"/>
        <v>162</v>
      </c>
      <c r="W402" s="2" t="str">
        <f t="shared" si="101"/>
        <v/>
      </c>
      <c r="X402" s="2" t="str">
        <f t="shared" si="105"/>
        <v/>
      </c>
      <c r="Y402" s="2" t="str">
        <f t="shared" si="102"/>
        <v/>
      </c>
      <c r="Z402" s="2" t="str">
        <f t="shared" si="103"/>
        <v>X</v>
      </c>
      <c r="AA402" s="2" t="str">
        <f t="shared" si="106"/>
        <v/>
      </c>
      <c r="AB402" s="2" t="str">
        <f t="shared" si="107"/>
        <v/>
      </c>
      <c r="AC402" s="2" t="str">
        <f t="shared" si="108"/>
        <v/>
      </c>
      <c r="AD402" s="2" t="str">
        <f t="shared" si="109"/>
        <v>(0)</v>
      </c>
      <c r="AE402" s="2" t="str">
        <f t="shared" si="110"/>
        <v/>
      </c>
      <c r="AF402" s="2" t="str">
        <f t="shared" si="111"/>
        <v/>
      </c>
      <c r="AG402" s="2" t="str">
        <f t="shared" si="112"/>
        <v/>
      </c>
      <c r="AH402" s="2" t="str">
        <f t="shared" si="113"/>
        <v/>
      </c>
    </row>
    <row r="403" spans="2:34" x14ac:dyDescent="0.25">
      <c r="B403" s="2" t="s">
        <v>753</v>
      </c>
      <c r="C403" s="2" t="s">
        <v>772</v>
      </c>
      <c r="D403" s="2" t="s">
        <v>0</v>
      </c>
      <c r="E403" s="2" t="s">
        <v>130</v>
      </c>
      <c r="F403" s="2" t="s">
        <v>754</v>
      </c>
      <c r="G403" s="2" t="s">
        <v>755</v>
      </c>
      <c r="H403" s="2" t="s">
        <v>773</v>
      </c>
      <c r="I403" s="2" t="s">
        <v>41</v>
      </c>
      <c r="J403" s="2">
        <v>1</v>
      </c>
      <c r="K403" s="2" t="s">
        <v>81</v>
      </c>
      <c r="L403" s="2" t="s">
        <v>40</v>
      </c>
      <c r="M403" s="2" t="s">
        <v>5292</v>
      </c>
      <c r="N403" s="2" t="s">
        <v>5281</v>
      </c>
      <c r="O403" s="2" t="s">
        <v>5201</v>
      </c>
      <c r="P403" s="2" t="s">
        <v>4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$S402+$R402+INDEX(Tables!$N$5:$Q$8,MATCH(MOD($S402+$R402,4),Tables!$M$5:$M$8,0),MATCH($R403,Tables!$N$4:$Q$4,0))</f>
        <v>1420</v>
      </c>
      <c r="T403" s="2" t="str">
        <f t="shared" si="99"/>
        <v>058C</v>
      </c>
      <c r="U403" s="2">
        <f t="shared" si="104"/>
        <v>355</v>
      </c>
      <c r="V403" s="2" t="str">
        <f t="shared" si="100"/>
        <v>163</v>
      </c>
      <c r="W403" s="2" t="str">
        <f t="shared" si="101"/>
        <v/>
      </c>
      <c r="X403" s="2" t="str">
        <f t="shared" si="105"/>
        <v/>
      </c>
      <c r="Y403" s="2" t="str">
        <f t="shared" si="102"/>
        <v/>
      </c>
      <c r="Z403" s="2" t="str">
        <f t="shared" si="103"/>
        <v>X</v>
      </c>
      <c r="AA403" s="2" t="str">
        <f t="shared" si="106"/>
        <v/>
      </c>
      <c r="AB403" s="2" t="str">
        <f t="shared" si="107"/>
        <v/>
      </c>
      <c r="AC403" s="2" t="str">
        <f t="shared" si="108"/>
        <v/>
      </c>
      <c r="AD403" s="2" t="str">
        <f t="shared" si="109"/>
        <v>(0)</v>
      </c>
      <c r="AE403" s="2" t="str">
        <f t="shared" si="110"/>
        <v/>
      </c>
      <c r="AF403" s="2" t="str">
        <f t="shared" si="111"/>
        <v/>
      </c>
      <c r="AG403" s="2" t="str">
        <f t="shared" si="112"/>
        <v/>
      </c>
      <c r="AH403" s="2" t="str">
        <f t="shared" si="113"/>
        <v/>
      </c>
    </row>
    <row r="404" spans="2:34" x14ac:dyDescent="0.25">
      <c r="B404" s="2" t="s">
        <v>753</v>
      </c>
      <c r="C404" s="2" t="s">
        <v>774</v>
      </c>
      <c r="D404" s="2" t="s">
        <v>0</v>
      </c>
      <c r="E404" s="2" t="s">
        <v>130</v>
      </c>
      <c r="F404" s="2" t="s">
        <v>754</v>
      </c>
      <c r="G404" s="2" t="s">
        <v>755</v>
      </c>
      <c r="H404" s="2" t="s">
        <v>775</v>
      </c>
      <c r="I404" s="2" t="s">
        <v>41</v>
      </c>
      <c r="J404" s="2">
        <v>1</v>
      </c>
      <c r="K404" s="2" t="s">
        <v>81</v>
      </c>
      <c r="L404" s="2" t="s">
        <v>40</v>
      </c>
      <c r="M404" s="2" t="s">
        <v>5292</v>
      </c>
      <c r="N404" s="2" t="s">
        <v>5281</v>
      </c>
      <c r="O404" s="2" t="s">
        <v>5202</v>
      </c>
      <c r="P404" s="2" t="s">
        <v>4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$S403+$R403+INDEX(Tables!$N$5:$Q$8,MATCH(MOD($S403+$R403,4),Tables!$M$5:$M$8,0),MATCH($R404,Tables!$N$4:$Q$4,0))</f>
        <v>1424</v>
      </c>
      <c r="T404" s="2" t="str">
        <f t="shared" si="99"/>
        <v>0590</v>
      </c>
      <c r="U404" s="2">
        <f t="shared" si="104"/>
        <v>356</v>
      </c>
      <c r="V404" s="2" t="str">
        <f t="shared" si="100"/>
        <v>164</v>
      </c>
      <c r="W404" s="2" t="str">
        <f t="shared" si="101"/>
        <v/>
      </c>
      <c r="X404" s="2" t="str">
        <f t="shared" si="105"/>
        <v/>
      </c>
      <c r="Y404" s="2" t="str">
        <f t="shared" si="102"/>
        <v/>
      </c>
      <c r="Z404" s="2" t="str">
        <f t="shared" si="103"/>
        <v>X</v>
      </c>
      <c r="AA404" s="2" t="str">
        <f t="shared" si="106"/>
        <v/>
      </c>
      <c r="AB404" s="2" t="str">
        <f t="shared" si="107"/>
        <v/>
      </c>
      <c r="AC404" s="2" t="str">
        <f t="shared" si="108"/>
        <v/>
      </c>
      <c r="AD404" s="2" t="str">
        <f t="shared" si="109"/>
        <v>(0)</v>
      </c>
      <c r="AE404" s="2" t="str">
        <f t="shared" si="110"/>
        <v/>
      </c>
      <c r="AF404" s="2" t="str">
        <f t="shared" si="111"/>
        <v/>
      </c>
      <c r="AG404" s="2" t="str">
        <f t="shared" si="112"/>
        <v/>
      </c>
      <c r="AH404" s="2" t="str">
        <f t="shared" si="113"/>
        <v/>
      </c>
    </row>
    <row r="405" spans="2:34" x14ac:dyDescent="0.25">
      <c r="B405" s="2" t="s">
        <v>753</v>
      </c>
      <c r="C405" s="2" t="s">
        <v>776</v>
      </c>
      <c r="D405" s="2" t="s">
        <v>0</v>
      </c>
      <c r="E405" s="2" t="s">
        <v>130</v>
      </c>
      <c r="F405" s="2" t="s">
        <v>754</v>
      </c>
      <c r="G405" s="2" t="s">
        <v>755</v>
      </c>
      <c r="H405" s="2" t="s">
        <v>777</v>
      </c>
      <c r="I405" s="2" t="s">
        <v>41</v>
      </c>
      <c r="J405" s="2">
        <v>1</v>
      </c>
      <c r="K405" s="2" t="s">
        <v>81</v>
      </c>
      <c r="L405" s="2" t="s">
        <v>40</v>
      </c>
      <c r="M405" s="2" t="s">
        <v>5292</v>
      </c>
      <c r="N405" s="2" t="s">
        <v>5281</v>
      </c>
      <c r="O405" s="2" t="s">
        <v>5203</v>
      </c>
      <c r="P405" s="2" t="s">
        <v>4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$S404+$R404+INDEX(Tables!$N$5:$Q$8,MATCH(MOD($S404+$R404,4),Tables!$M$5:$M$8,0),MATCH($R405,Tables!$N$4:$Q$4,0))</f>
        <v>1428</v>
      </c>
      <c r="T405" s="2" t="str">
        <f t="shared" si="99"/>
        <v>0594</v>
      </c>
      <c r="U405" s="2">
        <f t="shared" si="104"/>
        <v>357</v>
      </c>
      <c r="V405" s="2" t="str">
        <f t="shared" si="100"/>
        <v>165</v>
      </c>
      <c r="W405" s="2" t="str">
        <f t="shared" si="101"/>
        <v/>
      </c>
      <c r="X405" s="2" t="str">
        <f t="shared" si="105"/>
        <v/>
      </c>
      <c r="Y405" s="2" t="str">
        <f t="shared" si="102"/>
        <v/>
      </c>
      <c r="Z405" s="2" t="str">
        <f t="shared" si="103"/>
        <v>X</v>
      </c>
      <c r="AA405" s="2" t="str">
        <f t="shared" si="106"/>
        <v/>
      </c>
      <c r="AB405" s="2" t="str">
        <f t="shared" si="107"/>
        <v/>
      </c>
      <c r="AC405" s="2" t="str">
        <f t="shared" si="108"/>
        <v/>
      </c>
      <c r="AD405" s="2" t="str">
        <f t="shared" si="109"/>
        <v>(0)</v>
      </c>
      <c r="AE405" s="2" t="str">
        <f t="shared" si="110"/>
        <v/>
      </c>
      <c r="AF405" s="2" t="str">
        <f t="shared" si="111"/>
        <v/>
      </c>
      <c r="AG405" s="2" t="str">
        <f t="shared" si="112"/>
        <v/>
      </c>
      <c r="AH405" s="2" t="str">
        <f t="shared" si="113"/>
        <v/>
      </c>
    </row>
    <row r="406" spans="2:34" x14ac:dyDescent="0.25">
      <c r="B406" s="2" t="s">
        <v>753</v>
      </c>
      <c r="C406" s="2" t="s">
        <v>778</v>
      </c>
      <c r="D406" s="2" t="s">
        <v>0</v>
      </c>
      <c r="E406" s="2" t="s">
        <v>130</v>
      </c>
      <c r="F406" s="2" t="s">
        <v>754</v>
      </c>
      <c r="G406" s="2" t="s">
        <v>755</v>
      </c>
      <c r="H406" s="2" t="s">
        <v>779</v>
      </c>
      <c r="I406" s="2" t="s">
        <v>41</v>
      </c>
      <c r="J406" s="2">
        <v>1</v>
      </c>
      <c r="K406" s="2" t="s">
        <v>81</v>
      </c>
      <c r="L406" s="2" t="s">
        <v>40</v>
      </c>
      <c r="M406" s="2" t="s">
        <v>5292</v>
      </c>
      <c r="N406" s="2" t="s">
        <v>5281</v>
      </c>
      <c r="O406" s="2" t="s">
        <v>5204</v>
      </c>
      <c r="P406" s="2" t="s">
        <v>4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$S405+$R405+INDEX(Tables!$N$5:$Q$8,MATCH(MOD($S405+$R405,4),Tables!$M$5:$M$8,0),MATCH($R406,Tables!$N$4:$Q$4,0))</f>
        <v>1432</v>
      </c>
      <c r="T406" s="2" t="str">
        <f t="shared" si="99"/>
        <v>0598</v>
      </c>
      <c r="U406" s="2">
        <f t="shared" si="104"/>
        <v>358</v>
      </c>
      <c r="V406" s="2" t="str">
        <f t="shared" si="100"/>
        <v>166</v>
      </c>
      <c r="W406" s="2" t="str">
        <f t="shared" si="101"/>
        <v/>
      </c>
      <c r="X406" s="2" t="str">
        <f t="shared" si="105"/>
        <v/>
      </c>
      <c r="Y406" s="2" t="str">
        <f t="shared" si="102"/>
        <v/>
      </c>
      <c r="Z406" s="2" t="str">
        <f t="shared" si="103"/>
        <v>X</v>
      </c>
      <c r="AA406" s="2" t="str">
        <f t="shared" si="106"/>
        <v/>
      </c>
      <c r="AB406" s="2" t="str">
        <f t="shared" si="107"/>
        <v/>
      </c>
      <c r="AC406" s="2" t="str">
        <f t="shared" si="108"/>
        <v/>
      </c>
      <c r="AD406" s="2" t="str">
        <f t="shared" si="109"/>
        <v>(0)</v>
      </c>
      <c r="AE406" s="2" t="str">
        <f t="shared" si="110"/>
        <v/>
      </c>
      <c r="AF406" s="2" t="str">
        <f t="shared" si="111"/>
        <v/>
      </c>
      <c r="AG406" s="2" t="str">
        <f t="shared" si="112"/>
        <v/>
      </c>
      <c r="AH406" s="2" t="str">
        <f t="shared" si="113"/>
        <v/>
      </c>
    </row>
    <row r="407" spans="2:34" x14ac:dyDescent="0.25">
      <c r="B407" s="2" t="s">
        <v>753</v>
      </c>
      <c r="C407" s="2" t="s">
        <v>780</v>
      </c>
      <c r="D407" s="2" t="s">
        <v>0</v>
      </c>
      <c r="E407" s="2" t="s">
        <v>130</v>
      </c>
      <c r="F407" s="2" t="s">
        <v>754</v>
      </c>
      <c r="G407" s="2" t="s">
        <v>755</v>
      </c>
      <c r="H407" s="2" t="s">
        <v>781</v>
      </c>
      <c r="I407" s="2" t="s">
        <v>41</v>
      </c>
      <c r="J407" s="2">
        <v>1</v>
      </c>
      <c r="K407" s="2" t="s">
        <v>81</v>
      </c>
      <c r="L407" s="2" t="s">
        <v>40</v>
      </c>
      <c r="M407" s="2" t="s">
        <v>5292</v>
      </c>
      <c r="N407" s="2" t="s">
        <v>5281</v>
      </c>
      <c r="O407" s="2" t="s">
        <v>5205</v>
      </c>
      <c r="P407" s="2" t="s">
        <v>4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1436</v>
      </c>
      <c r="T407" s="2" t="str">
        <f t="shared" si="99"/>
        <v>059C</v>
      </c>
      <c r="U407" s="2">
        <f t="shared" si="104"/>
        <v>359</v>
      </c>
      <c r="V407" s="2" t="str">
        <f t="shared" si="100"/>
        <v>167</v>
      </c>
      <c r="W407" s="2" t="str">
        <f t="shared" si="101"/>
        <v/>
      </c>
      <c r="X407" s="2" t="str">
        <f t="shared" si="105"/>
        <v/>
      </c>
      <c r="Y407" s="2" t="str">
        <f t="shared" si="102"/>
        <v/>
      </c>
      <c r="Z407" s="2" t="str">
        <f t="shared" si="103"/>
        <v>X</v>
      </c>
      <c r="AA407" s="2" t="str">
        <f t="shared" si="106"/>
        <v/>
      </c>
      <c r="AB407" s="2" t="str">
        <f t="shared" si="107"/>
        <v/>
      </c>
      <c r="AC407" s="2" t="str">
        <f t="shared" si="108"/>
        <v/>
      </c>
      <c r="AD407" s="2" t="str">
        <f t="shared" si="109"/>
        <v>(0)</v>
      </c>
      <c r="AE407" s="2" t="str">
        <f t="shared" si="110"/>
        <v/>
      </c>
      <c r="AF407" s="2" t="str">
        <f t="shared" si="111"/>
        <v/>
      </c>
      <c r="AG407" s="2" t="str">
        <f t="shared" si="112"/>
        <v/>
      </c>
      <c r="AH407" s="2" t="str">
        <f t="shared" si="113"/>
        <v/>
      </c>
    </row>
    <row r="408" spans="2:34" x14ac:dyDescent="0.25">
      <c r="B408" s="2" t="s">
        <v>753</v>
      </c>
      <c r="C408" s="2" t="s">
        <v>782</v>
      </c>
      <c r="D408" s="2" t="s">
        <v>0</v>
      </c>
      <c r="E408" s="2" t="s">
        <v>130</v>
      </c>
      <c r="F408" s="2" t="s">
        <v>754</v>
      </c>
      <c r="G408" s="2" t="s">
        <v>755</v>
      </c>
      <c r="H408" s="2" t="s">
        <v>783</v>
      </c>
      <c r="I408" s="2" t="s">
        <v>41</v>
      </c>
      <c r="J408" s="2">
        <v>1</v>
      </c>
      <c r="K408" s="2" t="s">
        <v>81</v>
      </c>
      <c r="L408" s="2" t="s">
        <v>40</v>
      </c>
      <c r="M408" s="2" t="s">
        <v>5292</v>
      </c>
      <c r="N408" s="2" t="s">
        <v>5281</v>
      </c>
      <c r="O408" s="2" t="s">
        <v>5206</v>
      </c>
      <c r="P408" s="2" t="s">
        <v>4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1440</v>
      </c>
      <c r="T408" s="2" t="str">
        <f t="shared" si="99"/>
        <v>05A0</v>
      </c>
      <c r="U408" s="2">
        <f t="shared" si="104"/>
        <v>360</v>
      </c>
      <c r="V408" s="2" t="str">
        <f t="shared" si="100"/>
        <v>168</v>
      </c>
      <c r="W408" s="2" t="str">
        <f t="shared" si="101"/>
        <v/>
      </c>
      <c r="X408" s="2" t="str">
        <f t="shared" si="105"/>
        <v/>
      </c>
      <c r="Y408" s="2" t="str">
        <f t="shared" si="102"/>
        <v/>
      </c>
      <c r="Z408" s="2" t="str">
        <f t="shared" si="103"/>
        <v>X</v>
      </c>
      <c r="AA408" s="2" t="str">
        <f t="shared" si="106"/>
        <v/>
      </c>
      <c r="AB408" s="2" t="str">
        <f t="shared" si="107"/>
        <v/>
      </c>
      <c r="AC408" s="2" t="str">
        <f t="shared" si="108"/>
        <v/>
      </c>
      <c r="AD408" s="2" t="str">
        <f t="shared" si="109"/>
        <v>(0)</v>
      </c>
      <c r="AE408" s="2" t="str">
        <f t="shared" si="110"/>
        <v/>
      </c>
      <c r="AF408" s="2" t="str">
        <f t="shared" si="111"/>
        <v/>
      </c>
      <c r="AG408" s="2" t="str">
        <f t="shared" si="112"/>
        <v/>
      </c>
      <c r="AH408" s="2" t="str">
        <f t="shared" si="113"/>
        <v/>
      </c>
    </row>
    <row r="409" spans="2:34" x14ac:dyDescent="0.25">
      <c r="B409" s="2" t="s">
        <v>753</v>
      </c>
      <c r="C409" s="2" t="s">
        <v>784</v>
      </c>
      <c r="D409" s="2" t="s">
        <v>0</v>
      </c>
      <c r="E409" s="2" t="s">
        <v>130</v>
      </c>
      <c r="F409" s="2" t="s">
        <v>754</v>
      </c>
      <c r="G409" s="2" t="s">
        <v>755</v>
      </c>
      <c r="H409" s="2" t="s">
        <v>785</v>
      </c>
      <c r="I409" s="2" t="s">
        <v>41</v>
      </c>
      <c r="J409" s="2">
        <v>1</v>
      </c>
      <c r="K409" s="2" t="s">
        <v>81</v>
      </c>
      <c r="L409" s="2" t="s">
        <v>40</v>
      </c>
      <c r="M409" s="2" t="s">
        <v>5292</v>
      </c>
      <c r="N409" s="2" t="s">
        <v>5281</v>
      </c>
      <c r="O409" s="2" t="s">
        <v>5207</v>
      </c>
      <c r="P409" s="2" t="s">
        <v>4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1444</v>
      </c>
      <c r="T409" s="2" t="str">
        <f t="shared" si="99"/>
        <v>05A4</v>
      </c>
      <c r="U409" s="2">
        <f t="shared" si="104"/>
        <v>361</v>
      </c>
      <c r="V409" s="2" t="str">
        <f t="shared" si="100"/>
        <v>169</v>
      </c>
      <c r="W409" s="2" t="str">
        <f t="shared" si="101"/>
        <v/>
      </c>
      <c r="X409" s="2" t="str">
        <f t="shared" si="105"/>
        <v/>
      </c>
      <c r="Y409" s="2" t="str">
        <f t="shared" si="102"/>
        <v/>
      </c>
      <c r="Z409" s="2" t="str">
        <f t="shared" si="103"/>
        <v>X</v>
      </c>
      <c r="AA409" s="2" t="str">
        <f t="shared" si="106"/>
        <v/>
      </c>
      <c r="AB409" s="2" t="str">
        <f t="shared" si="107"/>
        <v/>
      </c>
      <c r="AC409" s="2" t="str">
        <f t="shared" si="108"/>
        <v/>
      </c>
      <c r="AD409" s="2" t="str">
        <f t="shared" si="109"/>
        <v>(0)</v>
      </c>
      <c r="AE409" s="2" t="str">
        <f t="shared" si="110"/>
        <v/>
      </c>
      <c r="AF409" s="2" t="str">
        <f t="shared" si="111"/>
        <v/>
      </c>
      <c r="AG409" s="2" t="str">
        <f t="shared" si="112"/>
        <v/>
      </c>
      <c r="AH409" s="2" t="str">
        <f t="shared" si="113"/>
        <v/>
      </c>
    </row>
    <row r="410" spans="2:34" x14ac:dyDescent="0.25">
      <c r="B410" s="2" t="s">
        <v>753</v>
      </c>
      <c r="C410" s="2" t="s">
        <v>786</v>
      </c>
      <c r="D410" s="2" t="s">
        <v>0</v>
      </c>
      <c r="E410" s="2" t="s">
        <v>130</v>
      </c>
      <c r="F410" s="2" t="s">
        <v>754</v>
      </c>
      <c r="G410" s="2" t="s">
        <v>755</v>
      </c>
      <c r="H410" s="2" t="s">
        <v>787</v>
      </c>
      <c r="I410" s="2" t="s">
        <v>41</v>
      </c>
      <c r="J410" s="2">
        <v>1</v>
      </c>
      <c r="K410" s="2" t="s">
        <v>81</v>
      </c>
      <c r="L410" s="2" t="s">
        <v>40</v>
      </c>
      <c r="M410" s="2" t="s">
        <v>5292</v>
      </c>
      <c r="N410" s="2" t="s">
        <v>5281</v>
      </c>
      <c r="O410" s="2" t="s">
        <v>5208</v>
      </c>
      <c r="P410" s="2" t="s">
        <v>4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1448</v>
      </c>
      <c r="T410" s="2" t="str">
        <f t="shared" si="99"/>
        <v>05A8</v>
      </c>
      <c r="U410" s="2">
        <f t="shared" si="104"/>
        <v>362</v>
      </c>
      <c r="V410" s="2" t="str">
        <f t="shared" si="100"/>
        <v>16A</v>
      </c>
      <c r="W410" s="2" t="str">
        <f t="shared" si="101"/>
        <v/>
      </c>
      <c r="X410" s="2" t="str">
        <f t="shared" si="105"/>
        <v/>
      </c>
      <c r="Y410" s="2" t="str">
        <f t="shared" si="102"/>
        <v/>
      </c>
      <c r="Z410" s="2" t="str">
        <f t="shared" si="103"/>
        <v>X</v>
      </c>
      <c r="AA410" s="2" t="str">
        <f t="shared" si="106"/>
        <v/>
      </c>
      <c r="AB410" s="2" t="str">
        <f t="shared" si="107"/>
        <v/>
      </c>
      <c r="AC410" s="2" t="str">
        <f t="shared" si="108"/>
        <v/>
      </c>
      <c r="AD410" s="2" t="str">
        <f t="shared" si="109"/>
        <v>(0)</v>
      </c>
      <c r="AE410" s="2" t="str">
        <f t="shared" si="110"/>
        <v/>
      </c>
      <c r="AF410" s="2" t="str">
        <f t="shared" si="111"/>
        <v/>
      </c>
      <c r="AG410" s="2" t="str">
        <f t="shared" si="112"/>
        <v/>
      </c>
      <c r="AH410" s="2" t="str">
        <f t="shared" si="113"/>
        <v/>
      </c>
    </row>
    <row r="411" spans="2:34" x14ac:dyDescent="0.25">
      <c r="B411" s="2" t="s">
        <v>753</v>
      </c>
      <c r="C411" s="2" t="s">
        <v>788</v>
      </c>
      <c r="D411" s="2" t="s">
        <v>0</v>
      </c>
      <c r="E411" s="2" t="s">
        <v>130</v>
      </c>
      <c r="F411" s="2" t="s">
        <v>754</v>
      </c>
      <c r="G411" s="2" t="s">
        <v>755</v>
      </c>
      <c r="H411" s="2" t="s">
        <v>789</v>
      </c>
      <c r="I411" s="2" t="s">
        <v>41</v>
      </c>
      <c r="J411" s="2">
        <v>1</v>
      </c>
      <c r="K411" s="2" t="s">
        <v>81</v>
      </c>
      <c r="L411" s="2" t="s">
        <v>40</v>
      </c>
      <c r="M411" s="2" t="s">
        <v>5292</v>
      </c>
      <c r="N411" s="2" t="s">
        <v>5281</v>
      </c>
      <c r="O411" s="2" t="s">
        <v>5209</v>
      </c>
      <c r="P411" s="2" t="s">
        <v>4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1452</v>
      </c>
      <c r="T411" s="2" t="str">
        <f t="shared" si="99"/>
        <v>05AC</v>
      </c>
      <c r="U411" s="2">
        <f t="shared" si="104"/>
        <v>363</v>
      </c>
      <c r="V411" s="2" t="str">
        <f t="shared" si="100"/>
        <v>16B</v>
      </c>
      <c r="W411" s="2" t="str">
        <f t="shared" si="101"/>
        <v/>
      </c>
      <c r="X411" s="2" t="str">
        <f t="shared" si="105"/>
        <v/>
      </c>
      <c r="Y411" s="2" t="str">
        <f t="shared" si="102"/>
        <v/>
      </c>
      <c r="Z411" s="2" t="str">
        <f t="shared" si="103"/>
        <v>X</v>
      </c>
      <c r="AA411" s="2" t="str">
        <f t="shared" si="106"/>
        <v/>
      </c>
      <c r="AB411" s="2" t="str">
        <f t="shared" si="107"/>
        <v/>
      </c>
      <c r="AC411" s="2" t="str">
        <f t="shared" si="108"/>
        <v/>
      </c>
      <c r="AD411" s="2" t="str">
        <f t="shared" si="109"/>
        <v>(0)</v>
      </c>
      <c r="AE411" s="2" t="str">
        <f t="shared" si="110"/>
        <v/>
      </c>
      <c r="AF411" s="2" t="str">
        <f t="shared" si="111"/>
        <v/>
      </c>
      <c r="AG411" s="2" t="str">
        <f t="shared" si="112"/>
        <v/>
      </c>
      <c r="AH411" s="2" t="str">
        <f t="shared" si="113"/>
        <v/>
      </c>
    </row>
    <row r="412" spans="2:34" x14ac:dyDescent="0.25">
      <c r="B412" s="2" t="s">
        <v>753</v>
      </c>
      <c r="C412" s="2" t="s">
        <v>790</v>
      </c>
      <c r="D412" s="2" t="s">
        <v>0</v>
      </c>
      <c r="E412" s="2" t="s">
        <v>130</v>
      </c>
      <c r="F412" s="2" t="s">
        <v>754</v>
      </c>
      <c r="G412" s="2" t="s">
        <v>755</v>
      </c>
      <c r="H412" s="2" t="s">
        <v>791</v>
      </c>
      <c r="I412" s="2" t="s">
        <v>41</v>
      </c>
      <c r="J412" s="2">
        <v>1</v>
      </c>
      <c r="K412" s="2" t="s">
        <v>81</v>
      </c>
      <c r="L412" s="2" t="s">
        <v>40</v>
      </c>
      <c r="M412" s="2" t="s">
        <v>5292</v>
      </c>
      <c r="N412" s="2" t="s">
        <v>5281</v>
      </c>
      <c r="O412" s="2" t="s">
        <v>5210</v>
      </c>
      <c r="P412" s="2" t="s">
        <v>4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1456</v>
      </c>
      <c r="T412" s="2" t="str">
        <f t="shared" si="99"/>
        <v>05B0</v>
      </c>
      <c r="U412" s="2">
        <f t="shared" si="104"/>
        <v>364</v>
      </c>
      <c r="V412" s="2" t="str">
        <f t="shared" si="100"/>
        <v>16C</v>
      </c>
      <c r="W412" s="2" t="str">
        <f t="shared" si="101"/>
        <v/>
      </c>
      <c r="X412" s="2" t="str">
        <f t="shared" si="105"/>
        <v/>
      </c>
      <c r="Y412" s="2" t="str">
        <f t="shared" si="102"/>
        <v/>
      </c>
      <c r="Z412" s="2" t="str">
        <f t="shared" si="103"/>
        <v>X</v>
      </c>
      <c r="AA412" s="2" t="str">
        <f t="shared" si="106"/>
        <v/>
      </c>
      <c r="AB412" s="2" t="str">
        <f t="shared" si="107"/>
        <v/>
      </c>
      <c r="AC412" s="2" t="str">
        <f t="shared" si="108"/>
        <v/>
      </c>
      <c r="AD412" s="2" t="str">
        <f t="shared" si="109"/>
        <v>(0)</v>
      </c>
      <c r="AE412" s="2" t="str">
        <f t="shared" si="110"/>
        <v/>
      </c>
      <c r="AF412" s="2" t="str">
        <f t="shared" si="111"/>
        <v/>
      </c>
      <c r="AG412" s="2" t="str">
        <f t="shared" si="112"/>
        <v/>
      </c>
      <c r="AH412" s="2" t="str">
        <f t="shared" si="113"/>
        <v/>
      </c>
    </row>
    <row r="413" spans="2:34" x14ac:dyDescent="0.25">
      <c r="B413" s="2" t="s">
        <v>753</v>
      </c>
      <c r="C413" s="2" t="s">
        <v>792</v>
      </c>
      <c r="D413" s="2" t="s">
        <v>0</v>
      </c>
      <c r="E413" s="2" t="s">
        <v>130</v>
      </c>
      <c r="F413" s="2" t="s">
        <v>754</v>
      </c>
      <c r="G413" s="2" t="s">
        <v>755</v>
      </c>
      <c r="H413" s="2" t="s">
        <v>793</v>
      </c>
      <c r="I413" s="2" t="s">
        <v>41</v>
      </c>
      <c r="J413" s="2">
        <v>1</v>
      </c>
      <c r="K413" s="2" t="s">
        <v>81</v>
      </c>
      <c r="L413" s="2" t="s">
        <v>40</v>
      </c>
      <c r="M413" s="2" t="s">
        <v>5292</v>
      </c>
      <c r="N413" s="2" t="s">
        <v>5281</v>
      </c>
      <c r="O413" s="2" t="s">
        <v>5211</v>
      </c>
      <c r="P413" s="2" t="s">
        <v>4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1460</v>
      </c>
      <c r="T413" s="2" t="str">
        <f t="shared" si="99"/>
        <v>05B4</v>
      </c>
      <c r="U413" s="2">
        <f t="shared" si="104"/>
        <v>365</v>
      </c>
      <c r="V413" s="2" t="str">
        <f t="shared" si="100"/>
        <v>16D</v>
      </c>
      <c r="W413" s="2" t="str">
        <f t="shared" si="101"/>
        <v/>
      </c>
      <c r="X413" s="2" t="str">
        <f t="shared" si="105"/>
        <v/>
      </c>
      <c r="Y413" s="2" t="str">
        <f t="shared" si="102"/>
        <v/>
      </c>
      <c r="Z413" s="2" t="str">
        <f t="shared" si="103"/>
        <v>X</v>
      </c>
      <c r="AA413" s="2" t="str">
        <f t="shared" si="106"/>
        <v/>
      </c>
      <c r="AB413" s="2" t="str">
        <f t="shared" si="107"/>
        <v/>
      </c>
      <c r="AC413" s="2" t="str">
        <f t="shared" si="108"/>
        <v/>
      </c>
      <c r="AD413" s="2" t="str">
        <f t="shared" si="109"/>
        <v>(0)</v>
      </c>
      <c r="AE413" s="2" t="str">
        <f t="shared" si="110"/>
        <v/>
      </c>
      <c r="AF413" s="2" t="str">
        <f t="shared" si="111"/>
        <v/>
      </c>
      <c r="AG413" s="2" t="str">
        <f t="shared" si="112"/>
        <v/>
      </c>
      <c r="AH413" s="2" t="str">
        <f t="shared" si="113"/>
        <v/>
      </c>
    </row>
    <row r="414" spans="2:34" x14ac:dyDescent="0.25">
      <c r="B414" s="2" t="s">
        <v>753</v>
      </c>
      <c r="C414" s="2" t="s">
        <v>794</v>
      </c>
      <c r="D414" s="2" t="s">
        <v>0</v>
      </c>
      <c r="E414" s="2" t="s">
        <v>130</v>
      </c>
      <c r="F414" s="2" t="s">
        <v>754</v>
      </c>
      <c r="G414" s="2" t="s">
        <v>755</v>
      </c>
      <c r="H414" s="2" t="s">
        <v>795</v>
      </c>
      <c r="I414" s="2" t="s">
        <v>41</v>
      </c>
      <c r="J414" s="2">
        <v>1</v>
      </c>
      <c r="K414" s="2" t="s">
        <v>81</v>
      </c>
      <c r="L414" s="2" t="s">
        <v>40</v>
      </c>
      <c r="M414" s="2" t="s">
        <v>5292</v>
      </c>
      <c r="N414" s="2" t="s">
        <v>5281</v>
      </c>
      <c r="O414" s="2" t="s">
        <v>5212</v>
      </c>
      <c r="P414" s="2" t="s">
        <v>4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1464</v>
      </c>
      <c r="T414" s="2" t="str">
        <f t="shared" si="99"/>
        <v>05B8</v>
      </c>
      <c r="U414" s="2">
        <f t="shared" si="104"/>
        <v>366</v>
      </c>
      <c r="V414" s="2" t="str">
        <f t="shared" si="100"/>
        <v>16E</v>
      </c>
      <c r="W414" s="2" t="str">
        <f t="shared" si="101"/>
        <v/>
      </c>
      <c r="X414" s="2" t="str">
        <f t="shared" si="105"/>
        <v/>
      </c>
      <c r="Y414" s="2" t="str">
        <f t="shared" si="102"/>
        <v/>
      </c>
      <c r="Z414" s="2" t="str">
        <f t="shared" si="103"/>
        <v>X</v>
      </c>
      <c r="AA414" s="2" t="str">
        <f t="shared" si="106"/>
        <v/>
      </c>
      <c r="AB414" s="2" t="str">
        <f t="shared" si="107"/>
        <v/>
      </c>
      <c r="AC414" s="2" t="str">
        <f t="shared" si="108"/>
        <v/>
      </c>
      <c r="AD414" s="2" t="str">
        <f t="shared" si="109"/>
        <v>(0)</v>
      </c>
      <c r="AE414" s="2" t="str">
        <f t="shared" si="110"/>
        <v/>
      </c>
      <c r="AF414" s="2" t="str">
        <f t="shared" si="111"/>
        <v/>
      </c>
      <c r="AG414" s="2" t="str">
        <f t="shared" si="112"/>
        <v/>
      </c>
      <c r="AH414" s="2" t="str">
        <f t="shared" si="113"/>
        <v/>
      </c>
    </row>
    <row r="415" spans="2:34" x14ac:dyDescent="0.25">
      <c r="B415" s="2" t="s">
        <v>753</v>
      </c>
      <c r="C415" s="2" t="s">
        <v>796</v>
      </c>
      <c r="D415" s="2" t="s">
        <v>0</v>
      </c>
      <c r="E415" s="2" t="s">
        <v>130</v>
      </c>
      <c r="F415" s="2" t="s">
        <v>754</v>
      </c>
      <c r="G415" s="2" t="s">
        <v>755</v>
      </c>
      <c r="H415" s="2" t="s">
        <v>797</v>
      </c>
      <c r="I415" s="2" t="s">
        <v>41</v>
      </c>
      <c r="J415" s="2">
        <v>1</v>
      </c>
      <c r="K415" s="2" t="s">
        <v>81</v>
      </c>
      <c r="L415" s="2" t="s">
        <v>40</v>
      </c>
      <c r="M415" s="2" t="s">
        <v>5292</v>
      </c>
      <c r="N415" s="2" t="s">
        <v>5281</v>
      </c>
      <c r="O415" s="2" t="s">
        <v>5213</v>
      </c>
      <c r="P415" s="2" t="s">
        <v>4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1468</v>
      </c>
      <c r="T415" s="2" t="str">
        <f t="shared" si="99"/>
        <v>05BC</v>
      </c>
      <c r="U415" s="2">
        <f t="shared" si="104"/>
        <v>367</v>
      </c>
      <c r="V415" s="2" t="str">
        <f t="shared" si="100"/>
        <v>16F</v>
      </c>
      <c r="W415" s="2" t="str">
        <f t="shared" si="101"/>
        <v/>
      </c>
      <c r="X415" s="2" t="str">
        <f t="shared" si="105"/>
        <v/>
      </c>
      <c r="Y415" s="2" t="str">
        <f t="shared" si="102"/>
        <v/>
      </c>
      <c r="Z415" s="2" t="str">
        <f t="shared" si="103"/>
        <v>X</v>
      </c>
      <c r="AA415" s="2" t="str">
        <f t="shared" si="106"/>
        <v/>
      </c>
      <c r="AB415" s="2" t="str">
        <f t="shared" si="107"/>
        <v/>
      </c>
      <c r="AC415" s="2" t="str">
        <f t="shared" si="108"/>
        <v/>
      </c>
      <c r="AD415" s="2" t="str">
        <f t="shared" si="109"/>
        <v>(0)</v>
      </c>
      <c r="AE415" s="2" t="str">
        <f t="shared" si="110"/>
        <v/>
      </c>
      <c r="AF415" s="2" t="str">
        <f t="shared" si="111"/>
        <v/>
      </c>
      <c r="AG415" s="2" t="str">
        <f t="shared" si="112"/>
        <v/>
      </c>
      <c r="AH415" s="2" t="str">
        <f t="shared" si="113"/>
        <v/>
      </c>
    </row>
    <row r="416" spans="2:34" x14ac:dyDescent="0.25">
      <c r="B416" s="2" t="s">
        <v>753</v>
      </c>
      <c r="C416" s="2" t="s">
        <v>798</v>
      </c>
      <c r="D416" s="2" t="s">
        <v>0</v>
      </c>
      <c r="E416" s="2" t="s">
        <v>130</v>
      </c>
      <c r="F416" s="2" t="s">
        <v>754</v>
      </c>
      <c r="G416" s="2" t="s">
        <v>755</v>
      </c>
      <c r="H416" s="2" t="s">
        <v>799</v>
      </c>
      <c r="I416" s="2" t="s">
        <v>41</v>
      </c>
      <c r="J416" s="2">
        <v>1</v>
      </c>
      <c r="K416" s="2" t="s">
        <v>81</v>
      </c>
      <c r="L416" s="2" t="s">
        <v>40</v>
      </c>
      <c r="M416" s="2" t="s">
        <v>5292</v>
      </c>
      <c r="N416" s="2" t="s">
        <v>5281</v>
      </c>
      <c r="O416" s="2" t="s">
        <v>5214</v>
      </c>
      <c r="P416" s="2" t="s">
        <v>4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1472</v>
      </c>
      <c r="T416" s="2" t="str">
        <f t="shared" si="99"/>
        <v>05C0</v>
      </c>
      <c r="U416" s="2">
        <f t="shared" si="104"/>
        <v>368</v>
      </c>
      <c r="V416" s="2" t="str">
        <f t="shared" si="100"/>
        <v>170</v>
      </c>
      <c r="W416" s="2" t="str">
        <f t="shared" si="101"/>
        <v/>
      </c>
      <c r="X416" s="2" t="str">
        <f t="shared" si="105"/>
        <v/>
      </c>
      <c r="Y416" s="2" t="str">
        <f t="shared" si="102"/>
        <v/>
      </c>
      <c r="Z416" s="2" t="str">
        <f t="shared" si="103"/>
        <v>X</v>
      </c>
      <c r="AA416" s="2" t="str">
        <f t="shared" si="106"/>
        <v/>
      </c>
      <c r="AB416" s="2" t="str">
        <f t="shared" si="107"/>
        <v/>
      </c>
      <c r="AC416" s="2" t="str">
        <f t="shared" si="108"/>
        <v/>
      </c>
      <c r="AD416" s="2" t="str">
        <f t="shared" si="109"/>
        <v>(0)</v>
      </c>
      <c r="AE416" s="2" t="str">
        <f t="shared" si="110"/>
        <v/>
      </c>
      <c r="AF416" s="2" t="str">
        <f t="shared" si="111"/>
        <v/>
      </c>
      <c r="AG416" s="2" t="str">
        <f t="shared" si="112"/>
        <v/>
      </c>
      <c r="AH416" s="2" t="str">
        <f t="shared" si="113"/>
        <v/>
      </c>
    </row>
    <row r="417" spans="2:34" x14ac:dyDescent="0.25">
      <c r="B417" s="2" t="s">
        <v>753</v>
      </c>
      <c r="C417" s="2" t="s">
        <v>800</v>
      </c>
      <c r="D417" s="2" t="s">
        <v>0</v>
      </c>
      <c r="E417" s="2" t="s">
        <v>130</v>
      </c>
      <c r="F417" s="2" t="s">
        <v>754</v>
      </c>
      <c r="G417" s="2" t="s">
        <v>755</v>
      </c>
      <c r="H417" s="2" t="s">
        <v>801</v>
      </c>
      <c r="I417" s="2" t="s">
        <v>41</v>
      </c>
      <c r="J417" s="2">
        <v>1</v>
      </c>
      <c r="K417" s="2" t="s">
        <v>81</v>
      </c>
      <c r="L417" s="2" t="s">
        <v>40</v>
      </c>
      <c r="M417" s="2" t="s">
        <v>5292</v>
      </c>
      <c r="N417" s="2" t="s">
        <v>5281</v>
      </c>
      <c r="O417" s="2" t="s">
        <v>5215</v>
      </c>
      <c r="P417" s="2" t="s">
        <v>4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1476</v>
      </c>
      <c r="T417" s="2" t="str">
        <f t="shared" si="99"/>
        <v>05C4</v>
      </c>
      <c r="U417" s="2">
        <f t="shared" si="104"/>
        <v>369</v>
      </c>
      <c r="V417" s="2" t="str">
        <f t="shared" si="100"/>
        <v>171</v>
      </c>
      <c r="W417" s="2" t="str">
        <f t="shared" si="101"/>
        <v/>
      </c>
      <c r="X417" s="2" t="str">
        <f t="shared" si="105"/>
        <v/>
      </c>
      <c r="Y417" s="2" t="str">
        <f t="shared" si="102"/>
        <v/>
      </c>
      <c r="Z417" s="2" t="str">
        <f t="shared" si="103"/>
        <v>X</v>
      </c>
      <c r="AA417" s="2" t="str">
        <f t="shared" si="106"/>
        <v/>
      </c>
      <c r="AB417" s="2" t="str">
        <f t="shared" si="107"/>
        <v/>
      </c>
      <c r="AC417" s="2" t="str">
        <f t="shared" si="108"/>
        <v/>
      </c>
      <c r="AD417" s="2" t="str">
        <f t="shared" si="109"/>
        <v>(0)</v>
      </c>
      <c r="AE417" s="2" t="str">
        <f t="shared" si="110"/>
        <v/>
      </c>
      <c r="AF417" s="2" t="str">
        <f t="shared" si="111"/>
        <v/>
      </c>
      <c r="AG417" s="2" t="str">
        <f t="shared" si="112"/>
        <v/>
      </c>
      <c r="AH417" s="2" t="str">
        <f t="shared" si="113"/>
        <v/>
      </c>
    </row>
    <row r="418" spans="2:34" x14ac:dyDescent="0.25">
      <c r="B418" s="2" t="s">
        <v>802</v>
      </c>
      <c r="C418" s="2" t="s">
        <v>340</v>
      </c>
      <c r="D418" s="2" t="s">
        <v>0</v>
      </c>
      <c r="E418" s="2" t="s">
        <v>130</v>
      </c>
      <c r="F418" s="2" t="s">
        <v>803</v>
      </c>
      <c r="G418" s="2" t="s">
        <v>804</v>
      </c>
      <c r="H418" s="2" t="s">
        <v>343</v>
      </c>
      <c r="I418" s="2" t="s">
        <v>41</v>
      </c>
      <c r="J418" s="2">
        <v>1</v>
      </c>
      <c r="K418" s="2" t="s">
        <v>81</v>
      </c>
      <c r="L418" s="2" t="s">
        <v>40</v>
      </c>
      <c r="M418" s="2" t="s">
        <v>5292</v>
      </c>
      <c r="N418" s="2" t="s">
        <v>5282</v>
      </c>
      <c r="O418" s="2" t="s">
        <v>5057</v>
      </c>
      <c r="P418" s="2" t="s">
        <v>4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1480</v>
      </c>
      <c r="T418" s="2" t="str">
        <f t="shared" si="99"/>
        <v>05C8</v>
      </c>
      <c r="U418" s="2">
        <f t="shared" si="104"/>
        <v>370</v>
      </c>
      <c r="V418" s="2" t="str">
        <f t="shared" si="100"/>
        <v>172</v>
      </c>
      <c r="W418" s="2" t="str">
        <f t="shared" si="101"/>
        <v/>
      </c>
      <c r="X418" s="2" t="str">
        <f t="shared" si="105"/>
        <v/>
      </c>
      <c r="Y418" s="2" t="str">
        <f t="shared" si="102"/>
        <v/>
      </c>
      <c r="Z418" s="2" t="str">
        <f t="shared" si="103"/>
        <v>X</v>
      </c>
      <c r="AA418" s="2" t="str">
        <f t="shared" si="106"/>
        <v/>
      </c>
      <c r="AB418" s="2" t="str">
        <f t="shared" si="107"/>
        <v/>
      </c>
      <c r="AC418" s="2" t="str">
        <f t="shared" si="108"/>
        <v/>
      </c>
      <c r="AD418" s="2" t="str">
        <f t="shared" si="109"/>
        <v>(0)</v>
      </c>
      <c r="AE418" s="2" t="str">
        <f t="shared" si="110"/>
        <v/>
      </c>
      <c r="AF418" s="2" t="str">
        <f t="shared" si="111"/>
        <v/>
      </c>
      <c r="AG418" s="2" t="str">
        <f t="shared" si="112"/>
        <v/>
      </c>
      <c r="AH418" s="2" t="str">
        <f t="shared" si="113"/>
        <v/>
      </c>
    </row>
    <row r="419" spans="2:34" x14ac:dyDescent="0.25">
      <c r="B419" s="2" t="s">
        <v>802</v>
      </c>
      <c r="C419" s="2" t="s">
        <v>344</v>
      </c>
      <c r="D419" s="2" t="s">
        <v>0</v>
      </c>
      <c r="E419" s="2" t="s">
        <v>130</v>
      </c>
      <c r="F419" s="2" t="s">
        <v>803</v>
      </c>
      <c r="G419" s="2" t="s">
        <v>804</v>
      </c>
      <c r="H419" s="2" t="s">
        <v>345</v>
      </c>
      <c r="I419" s="2" t="s">
        <v>41</v>
      </c>
      <c r="J419" s="2">
        <v>1</v>
      </c>
      <c r="K419" s="2" t="s">
        <v>81</v>
      </c>
      <c r="L419" s="2" t="s">
        <v>40</v>
      </c>
      <c r="M419" s="2" t="s">
        <v>5292</v>
      </c>
      <c r="N419" s="2" t="s">
        <v>5282</v>
      </c>
      <c r="O419" s="2" t="s">
        <v>5058</v>
      </c>
      <c r="P419" s="2" t="s">
        <v>4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1484</v>
      </c>
      <c r="T419" s="2" t="str">
        <f t="shared" si="99"/>
        <v>05CC</v>
      </c>
      <c r="U419" s="2">
        <f t="shared" si="104"/>
        <v>371</v>
      </c>
      <c r="V419" s="2" t="str">
        <f t="shared" si="100"/>
        <v>173</v>
      </c>
      <c r="W419" s="2" t="str">
        <f t="shared" si="101"/>
        <v/>
      </c>
      <c r="X419" s="2" t="str">
        <f t="shared" si="105"/>
        <v/>
      </c>
      <c r="Y419" s="2" t="str">
        <f t="shared" si="102"/>
        <v/>
      </c>
      <c r="Z419" s="2" t="str">
        <f t="shared" si="103"/>
        <v>X</v>
      </c>
      <c r="AA419" s="2" t="str">
        <f t="shared" si="106"/>
        <v/>
      </c>
      <c r="AB419" s="2" t="str">
        <f t="shared" si="107"/>
        <v/>
      </c>
      <c r="AC419" s="2" t="str">
        <f t="shared" si="108"/>
        <v/>
      </c>
      <c r="AD419" s="2" t="str">
        <f t="shared" si="109"/>
        <v>(0)</v>
      </c>
      <c r="AE419" s="2" t="str">
        <f t="shared" si="110"/>
        <v/>
      </c>
      <c r="AF419" s="2" t="str">
        <f t="shared" si="111"/>
        <v/>
      </c>
      <c r="AG419" s="2" t="str">
        <f t="shared" si="112"/>
        <v/>
      </c>
      <c r="AH419" s="2" t="str">
        <f t="shared" si="113"/>
        <v/>
      </c>
    </row>
    <row r="420" spans="2:34" x14ac:dyDescent="0.25">
      <c r="B420" s="2" t="s">
        <v>802</v>
      </c>
      <c r="C420" s="2" t="s">
        <v>346</v>
      </c>
      <c r="D420" s="2" t="s">
        <v>0</v>
      </c>
      <c r="E420" s="2" t="s">
        <v>130</v>
      </c>
      <c r="F420" s="2" t="s">
        <v>803</v>
      </c>
      <c r="G420" s="2" t="s">
        <v>804</v>
      </c>
      <c r="H420" s="2" t="s">
        <v>347</v>
      </c>
      <c r="I420" s="2" t="s">
        <v>41</v>
      </c>
      <c r="J420" s="2">
        <v>1</v>
      </c>
      <c r="K420" s="2" t="s">
        <v>81</v>
      </c>
      <c r="L420" s="2" t="s">
        <v>40</v>
      </c>
      <c r="M420" s="2" t="s">
        <v>5292</v>
      </c>
      <c r="N420" s="2" t="s">
        <v>5282</v>
      </c>
      <c r="O420" s="2" t="s">
        <v>5059</v>
      </c>
      <c r="P420" s="2" t="s">
        <v>4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1488</v>
      </c>
      <c r="T420" s="2" t="str">
        <f t="shared" si="99"/>
        <v>05D0</v>
      </c>
      <c r="U420" s="2">
        <f t="shared" si="104"/>
        <v>372</v>
      </c>
      <c r="V420" s="2" t="str">
        <f t="shared" si="100"/>
        <v>174</v>
      </c>
      <c r="W420" s="2" t="str">
        <f t="shared" si="101"/>
        <v/>
      </c>
      <c r="X420" s="2" t="str">
        <f t="shared" si="105"/>
        <v/>
      </c>
      <c r="Y420" s="2" t="str">
        <f t="shared" si="102"/>
        <v/>
      </c>
      <c r="Z420" s="2" t="str">
        <f t="shared" si="103"/>
        <v>X</v>
      </c>
      <c r="AA420" s="2" t="str">
        <f t="shared" si="106"/>
        <v/>
      </c>
      <c r="AB420" s="2" t="str">
        <f t="shared" si="107"/>
        <v/>
      </c>
      <c r="AC420" s="2" t="str">
        <f t="shared" si="108"/>
        <v/>
      </c>
      <c r="AD420" s="2" t="str">
        <f t="shared" si="109"/>
        <v>(0)</v>
      </c>
      <c r="AE420" s="2" t="str">
        <f t="shared" si="110"/>
        <v/>
      </c>
      <c r="AF420" s="2" t="str">
        <f t="shared" si="111"/>
        <v/>
      </c>
      <c r="AG420" s="2" t="str">
        <f t="shared" si="112"/>
        <v/>
      </c>
      <c r="AH420" s="2" t="str">
        <f t="shared" si="113"/>
        <v/>
      </c>
    </row>
    <row r="421" spans="2:34" x14ac:dyDescent="0.25">
      <c r="B421" s="2" t="s">
        <v>802</v>
      </c>
      <c r="C421" s="2" t="s">
        <v>348</v>
      </c>
      <c r="D421" s="2" t="s">
        <v>0</v>
      </c>
      <c r="E421" s="2" t="s">
        <v>130</v>
      </c>
      <c r="F421" s="2" t="s">
        <v>803</v>
      </c>
      <c r="G421" s="2" t="s">
        <v>804</v>
      </c>
      <c r="H421" s="2" t="s">
        <v>349</v>
      </c>
      <c r="I421" s="2" t="s">
        <v>41</v>
      </c>
      <c r="J421" s="2">
        <v>1</v>
      </c>
      <c r="K421" s="2" t="s">
        <v>81</v>
      </c>
      <c r="L421" s="2" t="s">
        <v>40</v>
      </c>
      <c r="M421" s="2" t="s">
        <v>5292</v>
      </c>
      <c r="N421" s="2" t="s">
        <v>5282</v>
      </c>
      <c r="O421" s="2" t="s">
        <v>5060</v>
      </c>
      <c r="P421" s="2" t="s">
        <v>4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1492</v>
      </c>
      <c r="T421" s="2" t="str">
        <f t="shared" si="99"/>
        <v>05D4</v>
      </c>
      <c r="U421" s="2">
        <f t="shared" si="104"/>
        <v>373</v>
      </c>
      <c r="V421" s="2" t="str">
        <f t="shared" si="100"/>
        <v>175</v>
      </c>
      <c r="W421" s="2" t="str">
        <f t="shared" si="101"/>
        <v/>
      </c>
      <c r="X421" s="2" t="str">
        <f t="shared" si="105"/>
        <v/>
      </c>
      <c r="Y421" s="2" t="str">
        <f t="shared" si="102"/>
        <v/>
      </c>
      <c r="Z421" s="2" t="str">
        <f t="shared" si="103"/>
        <v>X</v>
      </c>
      <c r="AA421" s="2" t="str">
        <f t="shared" si="106"/>
        <v/>
      </c>
      <c r="AB421" s="2" t="str">
        <f t="shared" si="107"/>
        <v/>
      </c>
      <c r="AC421" s="2" t="str">
        <f t="shared" si="108"/>
        <v/>
      </c>
      <c r="AD421" s="2" t="str">
        <f t="shared" si="109"/>
        <v>(0)</v>
      </c>
      <c r="AE421" s="2" t="str">
        <f t="shared" si="110"/>
        <v/>
      </c>
      <c r="AF421" s="2" t="str">
        <f t="shared" si="111"/>
        <v/>
      </c>
      <c r="AG421" s="2" t="str">
        <f t="shared" si="112"/>
        <v/>
      </c>
      <c r="AH421" s="2" t="str">
        <f t="shared" si="113"/>
        <v/>
      </c>
    </row>
    <row r="422" spans="2:34" x14ac:dyDescent="0.25">
      <c r="B422" s="2" t="s">
        <v>802</v>
      </c>
      <c r="C422" s="2" t="s">
        <v>350</v>
      </c>
      <c r="D422" s="2" t="s">
        <v>0</v>
      </c>
      <c r="E422" s="2" t="s">
        <v>130</v>
      </c>
      <c r="F422" s="2" t="s">
        <v>803</v>
      </c>
      <c r="G422" s="2" t="s">
        <v>804</v>
      </c>
      <c r="H422" s="2" t="s">
        <v>351</v>
      </c>
      <c r="I422" s="2" t="s">
        <v>41</v>
      </c>
      <c r="J422" s="2">
        <v>1</v>
      </c>
      <c r="K422" s="2" t="s">
        <v>81</v>
      </c>
      <c r="L422" s="2" t="s">
        <v>40</v>
      </c>
      <c r="M422" s="2" t="s">
        <v>5292</v>
      </c>
      <c r="N422" s="2" t="s">
        <v>5282</v>
      </c>
      <c r="O422" s="2" t="s">
        <v>5061</v>
      </c>
      <c r="P422" s="2" t="s">
        <v>4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1496</v>
      </c>
      <c r="T422" s="2" t="str">
        <f t="shared" si="99"/>
        <v>05D8</v>
      </c>
      <c r="U422" s="2">
        <f t="shared" si="104"/>
        <v>374</v>
      </c>
      <c r="V422" s="2" t="str">
        <f t="shared" si="100"/>
        <v>176</v>
      </c>
      <c r="W422" s="2" t="str">
        <f t="shared" si="101"/>
        <v/>
      </c>
      <c r="X422" s="2" t="str">
        <f t="shared" si="105"/>
        <v/>
      </c>
      <c r="Y422" s="2" t="str">
        <f t="shared" si="102"/>
        <v/>
      </c>
      <c r="Z422" s="2" t="str">
        <f t="shared" si="103"/>
        <v>X</v>
      </c>
      <c r="AA422" s="2" t="str">
        <f t="shared" si="106"/>
        <v/>
      </c>
      <c r="AB422" s="2" t="str">
        <f t="shared" si="107"/>
        <v/>
      </c>
      <c r="AC422" s="2" t="str">
        <f t="shared" si="108"/>
        <v/>
      </c>
      <c r="AD422" s="2" t="str">
        <f t="shared" si="109"/>
        <v>(0)</v>
      </c>
      <c r="AE422" s="2" t="str">
        <f t="shared" si="110"/>
        <v/>
      </c>
      <c r="AF422" s="2" t="str">
        <f t="shared" si="111"/>
        <v/>
      </c>
      <c r="AG422" s="2" t="str">
        <f t="shared" si="112"/>
        <v/>
      </c>
      <c r="AH422" s="2" t="str">
        <f t="shared" si="113"/>
        <v/>
      </c>
    </row>
    <row r="423" spans="2:34" x14ac:dyDescent="0.25">
      <c r="B423" s="2" t="s">
        <v>802</v>
      </c>
      <c r="C423" s="2" t="s">
        <v>352</v>
      </c>
      <c r="D423" s="2" t="s">
        <v>0</v>
      </c>
      <c r="E423" s="2" t="s">
        <v>130</v>
      </c>
      <c r="F423" s="2" t="s">
        <v>803</v>
      </c>
      <c r="G423" s="2" t="s">
        <v>804</v>
      </c>
      <c r="H423" s="2" t="s">
        <v>353</v>
      </c>
      <c r="I423" s="2" t="s">
        <v>41</v>
      </c>
      <c r="J423" s="2">
        <v>1</v>
      </c>
      <c r="K423" s="2" t="s">
        <v>81</v>
      </c>
      <c r="L423" s="2" t="s">
        <v>40</v>
      </c>
      <c r="M423" s="2" t="s">
        <v>5292</v>
      </c>
      <c r="N423" s="2" t="s">
        <v>5282</v>
      </c>
      <c r="O423" s="2" t="s">
        <v>5062</v>
      </c>
      <c r="P423" s="2" t="s">
        <v>4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1500</v>
      </c>
      <c r="T423" s="2" t="str">
        <f t="shared" si="99"/>
        <v>05DC</v>
      </c>
      <c r="U423" s="2">
        <f t="shared" si="104"/>
        <v>375</v>
      </c>
      <c r="V423" s="2" t="str">
        <f t="shared" si="100"/>
        <v>177</v>
      </c>
      <c r="W423" s="2" t="str">
        <f t="shared" si="101"/>
        <v/>
      </c>
      <c r="X423" s="2" t="str">
        <f t="shared" si="105"/>
        <v/>
      </c>
      <c r="Y423" s="2" t="str">
        <f t="shared" si="102"/>
        <v/>
      </c>
      <c r="Z423" s="2" t="str">
        <f t="shared" si="103"/>
        <v>X</v>
      </c>
      <c r="AA423" s="2" t="str">
        <f t="shared" si="106"/>
        <v/>
      </c>
      <c r="AB423" s="2" t="str">
        <f t="shared" si="107"/>
        <v/>
      </c>
      <c r="AC423" s="2" t="str">
        <f t="shared" si="108"/>
        <v/>
      </c>
      <c r="AD423" s="2" t="str">
        <f t="shared" si="109"/>
        <v>(0)</v>
      </c>
      <c r="AE423" s="2" t="str">
        <f t="shared" si="110"/>
        <v/>
      </c>
      <c r="AF423" s="2" t="str">
        <f t="shared" si="111"/>
        <v/>
      </c>
      <c r="AG423" s="2" t="str">
        <f t="shared" si="112"/>
        <v/>
      </c>
      <c r="AH423" s="2" t="str">
        <f t="shared" si="113"/>
        <v/>
      </c>
    </row>
    <row r="424" spans="2:34" x14ac:dyDescent="0.25">
      <c r="B424" s="2" t="s">
        <v>802</v>
      </c>
      <c r="C424" s="2" t="s">
        <v>354</v>
      </c>
      <c r="D424" s="2" t="s">
        <v>0</v>
      </c>
      <c r="E424" s="2" t="s">
        <v>130</v>
      </c>
      <c r="F424" s="2" t="s">
        <v>803</v>
      </c>
      <c r="G424" s="2" t="s">
        <v>804</v>
      </c>
      <c r="H424" s="2" t="s">
        <v>355</v>
      </c>
      <c r="I424" s="2" t="s">
        <v>41</v>
      </c>
      <c r="J424" s="2">
        <v>1</v>
      </c>
      <c r="K424" s="2" t="s">
        <v>81</v>
      </c>
      <c r="L424" s="2" t="s">
        <v>40</v>
      </c>
      <c r="M424" s="2" t="s">
        <v>5292</v>
      </c>
      <c r="N424" s="2" t="s">
        <v>5282</v>
      </c>
      <c r="O424" s="2" t="s">
        <v>5063</v>
      </c>
      <c r="P424" s="2" t="s">
        <v>4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1504</v>
      </c>
      <c r="T424" s="2" t="str">
        <f t="shared" si="99"/>
        <v>05E0</v>
      </c>
      <c r="U424" s="2">
        <f t="shared" si="104"/>
        <v>376</v>
      </c>
      <c r="V424" s="2" t="str">
        <f t="shared" si="100"/>
        <v>178</v>
      </c>
      <c r="W424" s="2" t="str">
        <f t="shared" si="101"/>
        <v/>
      </c>
      <c r="X424" s="2" t="str">
        <f t="shared" si="105"/>
        <v/>
      </c>
      <c r="Y424" s="2" t="str">
        <f t="shared" si="102"/>
        <v/>
      </c>
      <c r="Z424" s="2" t="str">
        <f t="shared" si="103"/>
        <v>X</v>
      </c>
      <c r="AA424" s="2" t="str">
        <f t="shared" si="106"/>
        <v/>
      </c>
      <c r="AB424" s="2" t="str">
        <f t="shared" si="107"/>
        <v/>
      </c>
      <c r="AC424" s="2" t="str">
        <f t="shared" si="108"/>
        <v/>
      </c>
      <c r="AD424" s="2" t="str">
        <f t="shared" si="109"/>
        <v>(0)</v>
      </c>
      <c r="AE424" s="2" t="str">
        <f t="shared" si="110"/>
        <v/>
      </c>
      <c r="AF424" s="2" t="str">
        <f t="shared" si="111"/>
        <v/>
      </c>
      <c r="AG424" s="2" t="str">
        <f t="shared" si="112"/>
        <v/>
      </c>
      <c r="AH424" s="2" t="str">
        <f t="shared" si="113"/>
        <v/>
      </c>
    </row>
    <row r="425" spans="2:34" x14ac:dyDescent="0.25">
      <c r="B425" s="2" t="s">
        <v>802</v>
      </c>
      <c r="C425" s="2" t="s">
        <v>356</v>
      </c>
      <c r="D425" s="2" t="s">
        <v>0</v>
      </c>
      <c r="E425" s="2" t="s">
        <v>130</v>
      </c>
      <c r="F425" s="2" t="s">
        <v>803</v>
      </c>
      <c r="G425" s="2" t="s">
        <v>804</v>
      </c>
      <c r="H425" s="2" t="s">
        <v>357</v>
      </c>
      <c r="I425" s="2" t="s">
        <v>41</v>
      </c>
      <c r="J425" s="2">
        <v>1</v>
      </c>
      <c r="K425" s="2" t="s">
        <v>81</v>
      </c>
      <c r="L425" s="2" t="s">
        <v>40</v>
      </c>
      <c r="M425" s="2" t="s">
        <v>5292</v>
      </c>
      <c r="N425" s="2" t="s">
        <v>5282</v>
      </c>
      <c r="O425" s="2" t="s">
        <v>5064</v>
      </c>
      <c r="P425" s="2" t="s">
        <v>4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1508</v>
      </c>
      <c r="T425" s="2" t="str">
        <f t="shared" si="99"/>
        <v>05E4</v>
      </c>
      <c r="U425" s="2">
        <f t="shared" si="104"/>
        <v>377</v>
      </c>
      <c r="V425" s="2" t="str">
        <f t="shared" si="100"/>
        <v>179</v>
      </c>
      <c r="W425" s="2" t="str">
        <f t="shared" si="101"/>
        <v/>
      </c>
      <c r="X425" s="2" t="str">
        <f t="shared" si="105"/>
        <v/>
      </c>
      <c r="Y425" s="2" t="str">
        <f t="shared" si="102"/>
        <v/>
      </c>
      <c r="Z425" s="2" t="str">
        <f t="shared" si="103"/>
        <v>X</v>
      </c>
      <c r="AA425" s="2" t="str">
        <f t="shared" si="106"/>
        <v/>
      </c>
      <c r="AB425" s="2" t="str">
        <f t="shared" si="107"/>
        <v/>
      </c>
      <c r="AC425" s="2" t="str">
        <f t="shared" si="108"/>
        <v/>
      </c>
      <c r="AD425" s="2" t="str">
        <f t="shared" si="109"/>
        <v>(0)</v>
      </c>
      <c r="AE425" s="2" t="str">
        <f t="shared" si="110"/>
        <v/>
      </c>
      <c r="AF425" s="2" t="str">
        <f t="shared" si="111"/>
        <v/>
      </c>
      <c r="AG425" s="2" t="str">
        <f t="shared" si="112"/>
        <v/>
      </c>
      <c r="AH425" s="2" t="str">
        <f t="shared" si="113"/>
        <v/>
      </c>
    </row>
    <row r="426" spans="2:34" x14ac:dyDescent="0.25">
      <c r="B426" s="2" t="s">
        <v>802</v>
      </c>
      <c r="C426" s="2" t="s">
        <v>358</v>
      </c>
      <c r="D426" s="2" t="s">
        <v>0</v>
      </c>
      <c r="E426" s="2" t="s">
        <v>130</v>
      </c>
      <c r="F426" s="2" t="s">
        <v>803</v>
      </c>
      <c r="G426" s="2" t="s">
        <v>804</v>
      </c>
      <c r="H426" s="2" t="s">
        <v>359</v>
      </c>
      <c r="I426" s="2" t="s">
        <v>41</v>
      </c>
      <c r="J426" s="2">
        <v>1</v>
      </c>
      <c r="K426" s="2" t="s">
        <v>81</v>
      </c>
      <c r="L426" s="2" t="s">
        <v>40</v>
      </c>
      <c r="M426" s="2" t="s">
        <v>5292</v>
      </c>
      <c r="N426" s="2" t="s">
        <v>5282</v>
      </c>
      <c r="O426" s="2" t="s">
        <v>5065</v>
      </c>
      <c r="P426" s="2" t="s">
        <v>4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1512</v>
      </c>
      <c r="T426" s="2" t="str">
        <f t="shared" si="99"/>
        <v>05E8</v>
      </c>
      <c r="U426" s="2">
        <f t="shared" si="104"/>
        <v>378</v>
      </c>
      <c r="V426" s="2" t="str">
        <f t="shared" si="100"/>
        <v>17A</v>
      </c>
      <c r="W426" s="2" t="str">
        <f t="shared" si="101"/>
        <v/>
      </c>
      <c r="X426" s="2" t="str">
        <f t="shared" si="105"/>
        <v/>
      </c>
      <c r="Y426" s="2" t="str">
        <f t="shared" si="102"/>
        <v/>
      </c>
      <c r="Z426" s="2" t="str">
        <f t="shared" si="103"/>
        <v>X</v>
      </c>
      <c r="AA426" s="2" t="str">
        <f t="shared" si="106"/>
        <v/>
      </c>
      <c r="AB426" s="2" t="str">
        <f t="shared" si="107"/>
        <v/>
      </c>
      <c r="AC426" s="2" t="str">
        <f t="shared" si="108"/>
        <v/>
      </c>
      <c r="AD426" s="2" t="str">
        <f t="shared" si="109"/>
        <v>(0)</v>
      </c>
      <c r="AE426" s="2" t="str">
        <f t="shared" si="110"/>
        <v/>
      </c>
      <c r="AF426" s="2" t="str">
        <f t="shared" si="111"/>
        <v/>
      </c>
      <c r="AG426" s="2" t="str">
        <f t="shared" si="112"/>
        <v/>
      </c>
      <c r="AH426" s="2" t="str">
        <f t="shared" si="113"/>
        <v/>
      </c>
    </row>
    <row r="427" spans="2:34" x14ac:dyDescent="0.25">
      <c r="B427" s="2" t="s">
        <v>802</v>
      </c>
      <c r="C427" s="2" t="s">
        <v>360</v>
      </c>
      <c r="D427" s="2" t="s">
        <v>0</v>
      </c>
      <c r="E427" s="2" t="s">
        <v>130</v>
      </c>
      <c r="F427" s="2" t="s">
        <v>803</v>
      </c>
      <c r="G427" s="2" t="s">
        <v>804</v>
      </c>
      <c r="H427" s="2" t="s">
        <v>361</v>
      </c>
      <c r="I427" s="2" t="s">
        <v>41</v>
      </c>
      <c r="J427" s="2">
        <v>1</v>
      </c>
      <c r="K427" s="2" t="s">
        <v>81</v>
      </c>
      <c r="L427" s="2" t="s">
        <v>40</v>
      </c>
      <c r="M427" s="2" t="s">
        <v>5292</v>
      </c>
      <c r="N427" s="2" t="s">
        <v>5282</v>
      </c>
      <c r="O427" s="2" t="s">
        <v>5066</v>
      </c>
      <c r="P427" s="2" t="s">
        <v>4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1516</v>
      </c>
      <c r="T427" s="2" t="str">
        <f t="shared" si="99"/>
        <v>05EC</v>
      </c>
      <c r="U427" s="2">
        <f t="shared" si="104"/>
        <v>379</v>
      </c>
      <c r="V427" s="2" t="str">
        <f t="shared" si="100"/>
        <v>17B</v>
      </c>
      <c r="W427" s="2" t="str">
        <f t="shared" si="101"/>
        <v/>
      </c>
      <c r="X427" s="2" t="str">
        <f t="shared" si="105"/>
        <v/>
      </c>
      <c r="Y427" s="2" t="str">
        <f t="shared" si="102"/>
        <v/>
      </c>
      <c r="Z427" s="2" t="str">
        <f t="shared" si="103"/>
        <v>X</v>
      </c>
      <c r="AA427" s="2" t="str">
        <f t="shared" si="106"/>
        <v/>
      </c>
      <c r="AB427" s="2" t="str">
        <f t="shared" si="107"/>
        <v/>
      </c>
      <c r="AC427" s="2" t="str">
        <f t="shared" si="108"/>
        <v/>
      </c>
      <c r="AD427" s="2" t="str">
        <f t="shared" si="109"/>
        <v>(0)</v>
      </c>
      <c r="AE427" s="2" t="str">
        <f t="shared" si="110"/>
        <v/>
      </c>
      <c r="AF427" s="2" t="str">
        <f t="shared" si="111"/>
        <v/>
      </c>
      <c r="AG427" s="2" t="str">
        <f t="shared" si="112"/>
        <v/>
      </c>
      <c r="AH427" s="2" t="str">
        <f t="shared" si="113"/>
        <v/>
      </c>
    </row>
    <row r="428" spans="2:34" x14ac:dyDescent="0.25">
      <c r="B428" s="2" t="s">
        <v>802</v>
      </c>
      <c r="C428" s="2" t="s">
        <v>362</v>
      </c>
      <c r="D428" s="2" t="s">
        <v>0</v>
      </c>
      <c r="E428" s="2" t="s">
        <v>130</v>
      </c>
      <c r="F428" s="2" t="s">
        <v>803</v>
      </c>
      <c r="G428" s="2" t="s">
        <v>804</v>
      </c>
      <c r="H428" s="2" t="s">
        <v>363</v>
      </c>
      <c r="I428" s="2" t="s">
        <v>41</v>
      </c>
      <c r="J428" s="2">
        <v>1</v>
      </c>
      <c r="K428" s="2" t="s">
        <v>81</v>
      </c>
      <c r="L428" s="2" t="s">
        <v>40</v>
      </c>
      <c r="M428" s="2" t="s">
        <v>5292</v>
      </c>
      <c r="N428" s="2" t="s">
        <v>5282</v>
      </c>
      <c r="O428" s="2" t="s">
        <v>5067</v>
      </c>
      <c r="P428" s="2" t="s">
        <v>4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1520</v>
      </c>
      <c r="T428" s="2" t="str">
        <f t="shared" si="99"/>
        <v>05F0</v>
      </c>
      <c r="U428" s="2">
        <f t="shared" si="104"/>
        <v>380</v>
      </c>
      <c r="V428" s="2" t="str">
        <f t="shared" si="100"/>
        <v>17C</v>
      </c>
      <c r="W428" s="2" t="str">
        <f t="shared" si="101"/>
        <v/>
      </c>
      <c r="X428" s="2" t="str">
        <f t="shared" si="105"/>
        <v/>
      </c>
      <c r="Y428" s="2" t="str">
        <f t="shared" si="102"/>
        <v/>
      </c>
      <c r="Z428" s="2" t="str">
        <f t="shared" si="103"/>
        <v>X</v>
      </c>
      <c r="AA428" s="2" t="str">
        <f t="shared" si="106"/>
        <v/>
      </c>
      <c r="AB428" s="2" t="str">
        <f t="shared" si="107"/>
        <v/>
      </c>
      <c r="AC428" s="2" t="str">
        <f t="shared" si="108"/>
        <v/>
      </c>
      <c r="AD428" s="2" t="str">
        <f t="shared" si="109"/>
        <v>(0)</v>
      </c>
      <c r="AE428" s="2" t="str">
        <f t="shared" si="110"/>
        <v/>
      </c>
      <c r="AF428" s="2" t="str">
        <f t="shared" si="111"/>
        <v/>
      </c>
      <c r="AG428" s="2" t="str">
        <f t="shared" si="112"/>
        <v/>
      </c>
      <c r="AH428" s="2" t="str">
        <f t="shared" si="113"/>
        <v/>
      </c>
    </row>
    <row r="429" spans="2:34" x14ac:dyDescent="0.25">
      <c r="B429" s="2" t="s">
        <v>802</v>
      </c>
      <c r="C429" s="2" t="s">
        <v>364</v>
      </c>
      <c r="D429" s="2" t="s">
        <v>0</v>
      </c>
      <c r="E429" s="2" t="s">
        <v>130</v>
      </c>
      <c r="F429" s="2" t="s">
        <v>803</v>
      </c>
      <c r="G429" s="2" t="s">
        <v>804</v>
      </c>
      <c r="H429" s="2" t="s">
        <v>365</v>
      </c>
      <c r="I429" s="2" t="s">
        <v>41</v>
      </c>
      <c r="J429" s="2">
        <v>1</v>
      </c>
      <c r="K429" s="2" t="s">
        <v>81</v>
      </c>
      <c r="L429" s="2" t="s">
        <v>40</v>
      </c>
      <c r="M429" s="2" t="s">
        <v>5292</v>
      </c>
      <c r="N429" s="2" t="s">
        <v>5282</v>
      </c>
      <c r="O429" s="2" t="s">
        <v>5068</v>
      </c>
      <c r="P429" s="2" t="s">
        <v>4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1524</v>
      </c>
      <c r="T429" s="2" t="str">
        <f t="shared" si="99"/>
        <v>05F4</v>
      </c>
      <c r="U429" s="2">
        <f t="shared" si="104"/>
        <v>381</v>
      </c>
      <c r="V429" s="2" t="str">
        <f t="shared" si="100"/>
        <v>17D</v>
      </c>
      <c r="W429" s="2" t="str">
        <f t="shared" si="101"/>
        <v/>
      </c>
      <c r="X429" s="2" t="str">
        <f t="shared" si="105"/>
        <v/>
      </c>
      <c r="Y429" s="2" t="str">
        <f t="shared" si="102"/>
        <v/>
      </c>
      <c r="Z429" s="2" t="str">
        <f t="shared" si="103"/>
        <v>X</v>
      </c>
      <c r="AA429" s="2" t="str">
        <f t="shared" si="106"/>
        <v/>
      </c>
      <c r="AB429" s="2" t="str">
        <f t="shared" si="107"/>
        <v/>
      </c>
      <c r="AC429" s="2" t="str">
        <f t="shared" si="108"/>
        <v/>
      </c>
      <c r="AD429" s="2" t="str">
        <f t="shared" si="109"/>
        <v>(0)</v>
      </c>
      <c r="AE429" s="2" t="str">
        <f t="shared" si="110"/>
        <v/>
      </c>
      <c r="AF429" s="2" t="str">
        <f t="shared" si="111"/>
        <v/>
      </c>
      <c r="AG429" s="2" t="str">
        <f t="shared" si="112"/>
        <v/>
      </c>
      <c r="AH429" s="2" t="str">
        <f t="shared" si="113"/>
        <v/>
      </c>
    </row>
    <row r="430" spans="2:34" x14ac:dyDescent="0.25">
      <c r="B430" s="2" t="s">
        <v>802</v>
      </c>
      <c r="C430" s="2" t="s">
        <v>366</v>
      </c>
      <c r="D430" s="2" t="s">
        <v>0</v>
      </c>
      <c r="E430" s="2" t="s">
        <v>130</v>
      </c>
      <c r="F430" s="2" t="s">
        <v>803</v>
      </c>
      <c r="G430" s="2" t="s">
        <v>804</v>
      </c>
      <c r="H430" s="2" t="s">
        <v>367</v>
      </c>
      <c r="I430" s="2" t="s">
        <v>41</v>
      </c>
      <c r="J430" s="2">
        <v>1</v>
      </c>
      <c r="K430" s="2" t="s">
        <v>81</v>
      </c>
      <c r="L430" s="2" t="s">
        <v>40</v>
      </c>
      <c r="M430" s="2" t="s">
        <v>5292</v>
      </c>
      <c r="N430" s="2" t="s">
        <v>5282</v>
      </c>
      <c r="O430" s="2" t="s">
        <v>5069</v>
      </c>
      <c r="P430" s="2" t="s">
        <v>4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1528</v>
      </c>
      <c r="T430" s="2" t="str">
        <f t="shared" si="99"/>
        <v>05F8</v>
      </c>
      <c r="U430" s="2">
        <f t="shared" si="104"/>
        <v>382</v>
      </c>
      <c r="V430" s="2" t="str">
        <f t="shared" si="100"/>
        <v>17E</v>
      </c>
      <c r="W430" s="2" t="str">
        <f t="shared" si="101"/>
        <v/>
      </c>
      <c r="X430" s="2" t="str">
        <f t="shared" si="105"/>
        <v/>
      </c>
      <c r="Y430" s="2" t="str">
        <f t="shared" si="102"/>
        <v/>
      </c>
      <c r="Z430" s="2" t="str">
        <f t="shared" si="103"/>
        <v>X</v>
      </c>
      <c r="AA430" s="2" t="str">
        <f t="shared" si="106"/>
        <v/>
      </c>
      <c r="AB430" s="2" t="str">
        <f t="shared" si="107"/>
        <v/>
      </c>
      <c r="AC430" s="2" t="str">
        <f t="shared" si="108"/>
        <v/>
      </c>
      <c r="AD430" s="2" t="str">
        <f t="shared" si="109"/>
        <v>(0)</v>
      </c>
      <c r="AE430" s="2" t="str">
        <f t="shared" si="110"/>
        <v/>
      </c>
      <c r="AF430" s="2" t="str">
        <f t="shared" si="111"/>
        <v/>
      </c>
      <c r="AG430" s="2" t="str">
        <f t="shared" si="112"/>
        <v/>
      </c>
      <c r="AH430" s="2" t="str">
        <f t="shared" si="113"/>
        <v/>
      </c>
    </row>
    <row r="431" spans="2:34" x14ac:dyDescent="0.25">
      <c r="B431" s="2" t="s">
        <v>802</v>
      </c>
      <c r="C431" s="2" t="s">
        <v>368</v>
      </c>
      <c r="D431" s="2" t="s">
        <v>0</v>
      </c>
      <c r="E431" s="2" t="s">
        <v>130</v>
      </c>
      <c r="F431" s="2" t="s">
        <v>803</v>
      </c>
      <c r="G431" s="2" t="s">
        <v>804</v>
      </c>
      <c r="H431" s="2" t="s">
        <v>369</v>
      </c>
      <c r="I431" s="2" t="s">
        <v>41</v>
      </c>
      <c r="J431" s="2">
        <v>1</v>
      </c>
      <c r="K431" s="2" t="s">
        <v>81</v>
      </c>
      <c r="L431" s="2" t="s">
        <v>40</v>
      </c>
      <c r="M431" s="2" t="s">
        <v>5292</v>
      </c>
      <c r="N431" s="2" t="s">
        <v>5282</v>
      </c>
      <c r="O431" s="2" t="s">
        <v>5070</v>
      </c>
      <c r="P431" s="2" t="s">
        <v>4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1532</v>
      </c>
      <c r="T431" s="2" t="str">
        <f t="shared" si="99"/>
        <v>05FC</v>
      </c>
      <c r="U431" s="2">
        <f t="shared" si="104"/>
        <v>383</v>
      </c>
      <c r="V431" s="2" t="str">
        <f t="shared" si="100"/>
        <v>17F</v>
      </c>
      <c r="W431" s="2" t="str">
        <f t="shared" si="101"/>
        <v/>
      </c>
      <c r="X431" s="2" t="str">
        <f t="shared" si="105"/>
        <v/>
      </c>
      <c r="Y431" s="2" t="str">
        <f t="shared" si="102"/>
        <v/>
      </c>
      <c r="Z431" s="2" t="str">
        <f t="shared" si="103"/>
        <v>X</v>
      </c>
      <c r="AA431" s="2" t="str">
        <f t="shared" si="106"/>
        <v/>
      </c>
      <c r="AB431" s="2" t="str">
        <f t="shared" si="107"/>
        <v/>
      </c>
      <c r="AC431" s="2" t="str">
        <f t="shared" si="108"/>
        <v/>
      </c>
      <c r="AD431" s="2" t="str">
        <f t="shared" si="109"/>
        <v>(0)</v>
      </c>
      <c r="AE431" s="2" t="str">
        <f t="shared" si="110"/>
        <v/>
      </c>
      <c r="AF431" s="2" t="str">
        <f t="shared" si="111"/>
        <v/>
      </c>
      <c r="AG431" s="2" t="str">
        <f t="shared" si="112"/>
        <v/>
      </c>
      <c r="AH431" s="2" t="str">
        <f t="shared" si="113"/>
        <v/>
      </c>
    </row>
    <row r="432" spans="2:34" x14ac:dyDescent="0.25">
      <c r="B432" s="2" t="s">
        <v>802</v>
      </c>
      <c r="C432" s="2" t="s">
        <v>370</v>
      </c>
      <c r="D432" s="2" t="s">
        <v>0</v>
      </c>
      <c r="E432" s="2" t="s">
        <v>130</v>
      </c>
      <c r="F432" s="2" t="s">
        <v>803</v>
      </c>
      <c r="G432" s="2" t="s">
        <v>804</v>
      </c>
      <c r="H432" s="2" t="s">
        <v>371</v>
      </c>
      <c r="I432" s="2" t="s">
        <v>41</v>
      </c>
      <c r="J432" s="2">
        <v>1</v>
      </c>
      <c r="K432" s="2" t="s">
        <v>81</v>
      </c>
      <c r="L432" s="2" t="s">
        <v>40</v>
      </c>
      <c r="M432" s="2" t="s">
        <v>5292</v>
      </c>
      <c r="N432" s="2" t="s">
        <v>5282</v>
      </c>
      <c r="O432" s="2" t="s">
        <v>5071</v>
      </c>
      <c r="P432" s="2" t="s">
        <v>4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1536</v>
      </c>
      <c r="T432" s="2" t="str">
        <f t="shared" si="99"/>
        <v>0600</v>
      </c>
      <c r="U432" s="2">
        <f t="shared" si="104"/>
        <v>384</v>
      </c>
      <c r="V432" s="2" t="str">
        <f t="shared" si="100"/>
        <v>180</v>
      </c>
      <c r="W432" s="2" t="str">
        <f t="shared" si="101"/>
        <v/>
      </c>
      <c r="X432" s="2" t="str">
        <f t="shared" si="105"/>
        <v/>
      </c>
      <c r="Y432" s="2" t="str">
        <f t="shared" si="102"/>
        <v/>
      </c>
      <c r="Z432" s="2" t="str">
        <f t="shared" si="103"/>
        <v>X</v>
      </c>
      <c r="AA432" s="2" t="str">
        <f t="shared" si="106"/>
        <v/>
      </c>
      <c r="AB432" s="2" t="str">
        <f t="shared" si="107"/>
        <v/>
      </c>
      <c r="AC432" s="2" t="str">
        <f t="shared" si="108"/>
        <v/>
      </c>
      <c r="AD432" s="2" t="str">
        <f t="shared" si="109"/>
        <v>(0)</v>
      </c>
      <c r="AE432" s="2" t="str">
        <f t="shared" si="110"/>
        <v/>
      </c>
      <c r="AF432" s="2" t="str">
        <f t="shared" si="111"/>
        <v/>
      </c>
      <c r="AG432" s="2" t="str">
        <f t="shared" si="112"/>
        <v/>
      </c>
      <c r="AH432" s="2" t="str">
        <f t="shared" si="113"/>
        <v/>
      </c>
    </row>
    <row r="433" spans="2:34" x14ac:dyDescent="0.25">
      <c r="B433" s="2" t="s">
        <v>802</v>
      </c>
      <c r="C433" s="2" t="s">
        <v>372</v>
      </c>
      <c r="D433" s="2" t="s">
        <v>0</v>
      </c>
      <c r="E433" s="2" t="s">
        <v>130</v>
      </c>
      <c r="F433" s="2" t="s">
        <v>803</v>
      </c>
      <c r="G433" s="2" t="s">
        <v>804</v>
      </c>
      <c r="H433" s="2" t="s">
        <v>373</v>
      </c>
      <c r="I433" s="2" t="s">
        <v>41</v>
      </c>
      <c r="J433" s="2">
        <v>1</v>
      </c>
      <c r="K433" s="2" t="s">
        <v>81</v>
      </c>
      <c r="L433" s="2" t="s">
        <v>40</v>
      </c>
      <c r="M433" s="2" t="s">
        <v>5292</v>
      </c>
      <c r="N433" s="2" t="s">
        <v>5282</v>
      </c>
      <c r="O433" s="2" t="s">
        <v>5072</v>
      </c>
      <c r="P433" s="2" t="s">
        <v>4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1540</v>
      </c>
      <c r="T433" s="2" t="str">
        <f t="shared" si="99"/>
        <v>0604</v>
      </c>
      <c r="U433" s="2">
        <f t="shared" si="104"/>
        <v>385</v>
      </c>
      <c r="V433" s="2" t="str">
        <f t="shared" si="100"/>
        <v>181</v>
      </c>
      <c r="W433" s="2" t="str">
        <f t="shared" si="101"/>
        <v/>
      </c>
      <c r="X433" s="2" t="str">
        <f t="shared" si="105"/>
        <v/>
      </c>
      <c r="Y433" s="2" t="str">
        <f t="shared" si="102"/>
        <v/>
      </c>
      <c r="Z433" s="2" t="str">
        <f t="shared" si="103"/>
        <v>X</v>
      </c>
      <c r="AA433" s="2" t="str">
        <f t="shared" si="106"/>
        <v/>
      </c>
      <c r="AB433" s="2" t="str">
        <f t="shared" si="107"/>
        <v/>
      </c>
      <c r="AC433" s="2" t="str">
        <f t="shared" si="108"/>
        <v/>
      </c>
      <c r="AD433" s="2" t="str">
        <f t="shared" si="109"/>
        <v>(0)</v>
      </c>
      <c r="AE433" s="2" t="str">
        <f t="shared" si="110"/>
        <v/>
      </c>
      <c r="AF433" s="2" t="str">
        <f t="shared" si="111"/>
        <v/>
      </c>
      <c r="AG433" s="2" t="str">
        <f t="shared" si="112"/>
        <v/>
      </c>
      <c r="AH433" s="2" t="str">
        <f t="shared" si="113"/>
        <v/>
      </c>
    </row>
    <row r="434" spans="2:34" x14ac:dyDescent="0.25">
      <c r="B434" s="2" t="s">
        <v>802</v>
      </c>
      <c r="C434" s="2" t="s">
        <v>374</v>
      </c>
      <c r="D434" s="2" t="s">
        <v>0</v>
      </c>
      <c r="E434" s="2" t="s">
        <v>130</v>
      </c>
      <c r="F434" s="2" t="s">
        <v>803</v>
      </c>
      <c r="G434" s="2" t="s">
        <v>804</v>
      </c>
      <c r="H434" s="2" t="s">
        <v>375</v>
      </c>
      <c r="I434" s="2" t="s">
        <v>41</v>
      </c>
      <c r="J434" s="2">
        <v>1</v>
      </c>
      <c r="K434" s="2" t="s">
        <v>81</v>
      </c>
      <c r="L434" s="2" t="s">
        <v>40</v>
      </c>
      <c r="M434" s="2" t="s">
        <v>5292</v>
      </c>
      <c r="N434" s="2" t="s">
        <v>5282</v>
      </c>
      <c r="O434" s="2" t="s">
        <v>5073</v>
      </c>
      <c r="P434" s="2" t="s">
        <v>4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1544</v>
      </c>
      <c r="T434" s="2" t="str">
        <f t="shared" si="99"/>
        <v>0608</v>
      </c>
      <c r="U434" s="2">
        <f t="shared" si="104"/>
        <v>386</v>
      </c>
      <c r="V434" s="2" t="str">
        <f t="shared" si="100"/>
        <v>182</v>
      </c>
      <c r="W434" s="2" t="str">
        <f t="shared" si="101"/>
        <v/>
      </c>
      <c r="X434" s="2" t="str">
        <f t="shared" si="105"/>
        <v/>
      </c>
      <c r="Y434" s="2" t="str">
        <f t="shared" si="102"/>
        <v/>
      </c>
      <c r="Z434" s="2" t="str">
        <f t="shared" si="103"/>
        <v>X</v>
      </c>
      <c r="AA434" s="2" t="str">
        <f t="shared" si="106"/>
        <v/>
      </c>
      <c r="AB434" s="2" t="str">
        <f t="shared" si="107"/>
        <v/>
      </c>
      <c r="AC434" s="2" t="str">
        <f t="shared" si="108"/>
        <v/>
      </c>
      <c r="AD434" s="2" t="str">
        <f t="shared" si="109"/>
        <v>(0)</v>
      </c>
      <c r="AE434" s="2" t="str">
        <f t="shared" si="110"/>
        <v/>
      </c>
      <c r="AF434" s="2" t="str">
        <f t="shared" si="111"/>
        <v/>
      </c>
      <c r="AG434" s="2" t="str">
        <f t="shared" si="112"/>
        <v/>
      </c>
      <c r="AH434" s="2" t="str">
        <f t="shared" si="113"/>
        <v/>
      </c>
    </row>
    <row r="435" spans="2:34" x14ac:dyDescent="0.25">
      <c r="B435" s="2" t="s">
        <v>802</v>
      </c>
      <c r="C435" s="2" t="s">
        <v>376</v>
      </c>
      <c r="D435" s="2" t="s">
        <v>0</v>
      </c>
      <c r="E435" s="2" t="s">
        <v>130</v>
      </c>
      <c r="F435" s="2" t="s">
        <v>803</v>
      </c>
      <c r="G435" s="2" t="s">
        <v>804</v>
      </c>
      <c r="H435" s="2" t="s">
        <v>377</v>
      </c>
      <c r="I435" s="2" t="s">
        <v>41</v>
      </c>
      <c r="J435" s="2">
        <v>1</v>
      </c>
      <c r="K435" s="2" t="s">
        <v>81</v>
      </c>
      <c r="L435" s="2" t="s">
        <v>40</v>
      </c>
      <c r="M435" s="2" t="s">
        <v>5292</v>
      </c>
      <c r="N435" s="2" t="s">
        <v>5282</v>
      </c>
      <c r="O435" s="2" t="s">
        <v>5074</v>
      </c>
      <c r="P435" s="2" t="s">
        <v>4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1548</v>
      </c>
      <c r="T435" s="2" t="str">
        <f t="shared" si="99"/>
        <v>060C</v>
      </c>
      <c r="U435" s="2">
        <f t="shared" si="104"/>
        <v>387</v>
      </c>
      <c r="V435" s="2" t="str">
        <f t="shared" si="100"/>
        <v>183</v>
      </c>
      <c r="W435" s="2" t="str">
        <f t="shared" si="101"/>
        <v/>
      </c>
      <c r="X435" s="2" t="str">
        <f t="shared" si="105"/>
        <v/>
      </c>
      <c r="Y435" s="2" t="str">
        <f t="shared" si="102"/>
        <v/>
      </c>
      <c r="Z435" s="2" t="str">
        <f t="shared" si="103"/>
        <v>X</v>
      </c>
      <c r="AA435" s="2" t="str">
        <f t="shared" si="106"/>
        <v/>
      </c>
      <c r="AB435" s="2" t="str">
        <f t="shared" si="107"/>
        <v/>
      </c>
      <c r="AC435" s="2" t="str">
        <f t="shared" si="108"/>
        <v/>
      </c>
      <c r="AD435" s="2" t="str">
        <f t="shared" si="109"/>
        <v>(0)</v>
      </c>
      <c r="AE435" s="2" t="str">
        <f t="shared" si="110"/>
        <v/>
      </c>
      <c r="AF435" s="2" t="str">
        <f t="shared" si="111"/>
        <v/>
      </c>
      <c r="AG435" s="2" t="str">
        <f t="shared" si="112"/>
        <v/>
      </c>
      <c r="AH435" s="2" t="str">
        <f t="shared" si="113"/>
        <v/>
      </c>
    </row>
    <row r="436" spans="2:34" x14ac:dyDescent="0.25">
      <c r="B436" s="2" t="s">
        <v>802</v>
      </c>
      <c r="C436" s="2" t="s">
        <v>378</v>
      </c>
      <c r="D436" s="2" t="s">
        <v>0</v>
      </c>
      <c r="E436" s="2" t="s">
        <v>130</v>
      </c>
      <c r="F436" s="2" t="s">
        <v>803</v>
      </c>
      <c r="G436" s="2" t="s">
        <v>804</v>
      </c>
      <c r="H436" s="2" t="s">
        <v>379</v>
      </c>
      <c r="I436" s="2" t="s">
        <v>41</v>
      </c>
      <c r="J436" s="2">
        <v>1</v>
      </c>
      <c r="K436" s="2" t="s">
        <v>81</v>
      </c>
      <c r="L436" s="2" t="s">
        <v>40</v>
      </c>
      <c r="M436" s="2" t="s">
        <v>5292</v>
      </c>
      <c r="N436" s="2" t="s">
        <v>5282</v>
      </c>
      <c r="O436" s="2" t="s">
        <v>5075</v>
      </c>
      <c r="P436" s="2" t="s">
        <v>4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1552</v>
      </c>
      <c r="T436" s="2" t="str">
        <f t="shared" si="99"/>
        <v>0610</v>
      </c>
      <c r="U436" s="2">
        <f t="shared" si="104"/>
        <v>388</v>
      </c>
      <c r="V436" s="2" t="str">
        <f t="shared" si="100"/>
        <v>184</v>
      </c>
      <c r="W436" s="2" t="str">
        <f t="shared" si="101"/>
        <v/>
      </c>
      <c r="X436" s="2" t="str">
        <f t="shared" si="105"/>
        <v/>
      </c>
      <c r="Y436" s="2" t="str">
        <f t="shared" si="102"/>
        <v/>
      </c>
      <c r="Z436" s="2" t="str">
        <f t="shared" si="103"/>
        <v>X</v>
      </c>
      <c r="AA436" s="2" t="str">
        <f t="shared" si="106"/>
        <v/>
      </c>
      <c r="AB436" s="2" t="str">
        <f t="shared" si="107"/>
        <v/>
      </c>
      <c r="AC436" s="2" t="str">
        <f t="shared" si="108"/>
        <v/>
      </c>
      <c r="AD436" s="2" t="str">
        <f t="shared" si="109"/>
        <v>(0)</v>
      </c>
      <c r="AE436" s="2" t="str">
        <f t="shared" si="110"/>
        <v/>
      </c>
      <c r="AF436" s="2" t="str">
        <f t="shared" si="111"/>
        <v/>
      </c>
      <c r="AG436" s="2" t="str">
        <f t="shared" si="112"/>
        <v/>
      </c>
      <c r="AH436" s="2" t="str">
        <f t="shared" si="113"/>
        <v/>
      </c>
    </row>
    <row r="437" spans="2:34" x14ac:dyDescent="0.25">
      <c r="B437" s="2" t="s">
        <v>802</v>
      </c>
      <c r="C437" s="2" t="s">
        <v>380</v>
      </c>
      <c r="D437" s="2" t="s">
        <v>0</v>
      </c>
      <c r="E437" s="2" t="s">
        <v>130</v>
      </c>
      <c r="F437" s="2" t="s">
        <v>803</v>
      </c>
      <c r="G437" s="2" t="s">
        <v>804</v>
      </c>
      <c r="H437" s="2" t="s">
        <v>381</v>
      </c>
      <c r="I437" s="2" t="s">
        <v>41</v>
      </c>
      <c r="J437" s="2">
        <v>1</v>
      </c>
      <c r="K437" s="2" t="s">
        <v>81</v>
      </c>
      <c r="L437" s="2" t="s">
        <v>40</v>
      </c>
      <c r="M437" s="2" t="s">
        <v>5292</v>
      </c>
      <c r="N437" s="2" t="s">
        <v>5282</v>
      </c>
      <c r="O437" s="2" t="s">
        <v>5076</v>
      </c>
      <c r="P437" s="2" t="s">
        <v>4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1556</v>
      </c>
      <c r="T437" s="2" t="str">
        <f t="shared" si="99"/>
        <v>0614</v>
      </c>
      <c r="U437" s="2">
        <f t="shared" si="104"/>
        <v>389</v>
      </c>
      <c r="V437" s="2" t="str">
        <f t="shared" si="100"/>
        <v>185</v>
      </c>
      <c r="W437" s="2" t="str">
        <f t="shared" si="101"/>
        <v/>
      </c>
      <c r="X437" s="2" t="str">
        <f t="shared" si="105"/>
        <v/>
      </c>
      <c r="Y437" s="2" t="str">
        <f t="shared" si="102"/>
        <v/>
      </c>
      <c r="Z437" s="2" t="str">
        <f t="shared" si="103"/>
        <v>X</v>
      </c>
      <c r="AA437" s="2" t="str">
        <f t="shared" si="106"/>
        <v/>
      </c>
      <c r="AB437" s="2" t="str">
        <f t="shared" si="107"/>
        <v/>
      </c>
      <c r="AC437" s="2" t="str">
        <f t="shared" si="108"/>
        <v/>
      </c>
      <c r="AD437" s="2" t="str">
        <f t="shared" si="109"/>
        <v>(0)</v>
      </c>
      <c r="AE437" s="2" t="str">
        <f t="shared" si="110"/>
        <v/>
      </c>
      <c r="AF437" s="2" t="str">
        <f t="shared" si="111"/>
        <v/>
      </c>
      <c r="AG437" s="2" t="str">
        <f t="shared" si="112"/>
        <v/>
      </c>
      <c r="AH437" s="2" t="str">
        <f t="shared" si="113"/>
        <v/>
      </c>
    </row>
    <row r="438" spans="2:34" x14ac:dyDescent="0.25">
      <c r="B438" s="2" t="s">
        <v>802</v>
      </c>
      <c r="C438" s="2" t="s">
        <v>382</v>
      </c>
      <c r="D438" s="2" t="s">
        <v>0</v>
      </c>
      <c r="E438" s="2" t="s">
        <v>130</v>
      </c>
      <c r="F438" s="2" t="s">
        <v>803</v>
      </c>
      <c r="G438" s="2" t="s">
        <v>804</v>
      </c>
      <c r="H438" s="2" t="s">
        <v>383</v>
      </c>
      <c r="I438" s="2" t="s">
        <v>41</v>
      </c>
      <c r="J438" s="2">
        <v>1</v>
      </c>
      <c r="K438" s="2" t="s">
        <v>81</v>
      </c>
      <c r="L438" s="2" t="s">
        <v>40</v>
      </c>
      <c r="M438" s="2" t="s">
        <v>5292</v>
      </c>
      <c r="N438" s="2" t="s">
        <v>5282</v>
      </c>
      <c r="O438" s="2" t="s">
        <v>5077</v>
      </c>
      <c r="P438" s="2" t="s">
        <v>4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1560</v>
      </c>
      <c r="T438" s="2" t="str">
        <f t="shared" si="99"/>
        <v>0618</v>
      </c>
      <c r="U438" s="2">
        <f t="shared" si="104"/>
        <v>390</v>
      </c>
      <c r="V438" s="2" t="str">
        <f t="shared" si="100"/>
        <v>186</v>
      </c>
      <c r="W438" s="2" t="str">
        <f t="shared" si="101"/>
        <v/>
      </c>
      <c r="X438" s="2" t="str">
        <f t="shared" si="105"/>
        <v/>
      </c>
      <c r="Y438" s="2" t="str">
        <f t="shared" si="102"/>
        <v/>
      </c>
      <c r="Z438" s="2" t="str">
        <f t="shared" si="103"/>
        <v>X</v>
      </c>
      <c r="AA438" s="2" t="str">
        <f t="shared" si="106"/>
        <v/>
      </c>
      <c r="AB438" s="2" t="str">
        <f t="shared" si="107"/>
        <v/>
      </c>
      <c r="AC438" s="2" t="str">
        <f t="shared" si="108"/>
        <v/>
      </c>
      <c r="AD438" s="2" t="str">
        <f t="shared" si="109"/>
        <v>(0)</v>
      </c>
      <c r="AE438" s="2" t="str">
        <f t="shared" si="110"/>
        <v/>
      </c>
      <c r="AF438" s="2" t="str">
        <f t="shared" si="111"/>
        <v/>
      </c>
      <c r="AG438" s="2" t="str">
        <f t="shared" si="112"/>
        <v/>
      </c>
      <c r="AH438" s="2" t="str">
        <f t="shared" si="113"/>
        <v/>
      </c>
    </row>
    <row r="439" spans="2:34" x14ac:dyDescent="0.25">
      <c r="B439" s="2" t="s">
        <v>802</v>
      </c>
      <c r="C439" s="2" t="s">
        <v>384</v>
      </c>
      <c r="D439" s="2" t="s">
        <v>0</v>
      </c>
      <c r="E439" s="2" t="s">
        <v>130</v>
      </c>
      <c r="F439" s="2" t="s">
        <v>803</v>
      </c>
      <c r="G439" s="2" t="s">
        <v>804</v>
      </c>
      <c r="H439" s="2" t="s">
        <v>385</v>
      </c>
      <c r="I439" s="2" t="s">
        <v>41</v>
      </c>
      <c r="J439" s="2">
        <v>1</v>
      </c>
      <c r="K439" s="2" t="s">
        <v>81</v>
      </c>
      <c r="L439" s="2" t="s">
        <v>40</v>
      </c>
      <c r="M439" s="2" t="s">
        <v>5292</v>
      </c>
      <c r="N439" s="2" t="s">
        <v>5282</v>
      </c>
      <c r="O439" s="2" t="s">
        <v>5078</v>
      </c>
      <c r="P439" s="2" t="s">
        <v>4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1564</v>
      </c>
      <c r="T439" s="2" t="str">
        <f t="shared" si="99"/>
        <v>061C</v>
      </c>
      <c r="U439" s="2">
        <f t="shared" si="104"/>
        <v>391</v>
      </c>
      <c r="V439" s="2" t="str">
        <f t="shared" si="100"/>
        <v>187</v>
      </c>
      <c r="W439" s="2" t="str">
        <f t="shared" si="101"/>
        <v/>
      </c>
      <c r="X439" s="2" t="str">
        <f t="shared" si="105"/>
        <v/>
      </c>
      <c r="Y439" s="2" t="str">
        <f t="shared" si="102"/>
        <v/>
      </c>
      <c r="Z439" s="2" t="str">
        <f t="shared" si="103"/>
        <v>X</v>
      </c>
      <c r="AA439" s="2" t="str">
        <f t="shared" si="106"/>
        <v/>
      </c>
      <c r="AB439" s="2" t="str">
        <f t="shared" si="107"/>
        <v/>
      </c>
      <c r="AC439" s="2" t="str">
        <f t="shared" si="108"/>
        <v/>
      </c>
      <c r="AD439" s="2" t="str">
        <f t="shared" si="109"/>
        <v>(0)</v>
      </c>
      <c r="AE439" s="2" t="str">
        <f t="shared" si="110"/>
        <v/>
      </c>
      <c r="AF439" s="2" t="str">
        <f t="shared" si="111"/>
        <v/>
      </c>
      <c r="AG439" s="2" t="str">
        <f t="shared" si="112"/>
        <v/>
      </c>
      <c r="AH439" s="2" t="str">
        <f t="shared" si="113"/>
        <v/>
      </c>
    </row>
    <row r="440" spans="2:34" x14ac:dyDescent="0.25">
      <c r="B440" s="2" t="s">
        <v>802</v>
      </c>
      <c r="C440" s="2" t="s">
        <v>386</v>
      </c>
      <c r="D440" s="2" t="s">
        <v>0</v>
      </c>
      <c r="E440" s="2" t="s">
        <v>130</v>
      </c>
      <c r="F440" s="2" t="s">
        <v>803</v>
      </c>
      <c r="G440" s="2" t="s">
        <v>804</v>
      </c>
      <c r="H440" s="2" t="s">
        <v>387</v>
      </c>
      <c r="I440" s="2" t="s">
        <v>41</v>
      </c>
      <c r="J440" s="2">
        <v>1</v>
      </c>
      <c r="K440" s="2" t="s">
        <v>81</v>
      </c>
      <c r="L440" s="2" t="s">
        <v>40</v>
      </c>
      <c r="M440" s="2" t="s">
        <v>5292</v>
      </c>
      <c r="N440" s="2" t="s">
        <v>5282</v>
      </c>
      <c r="O440" s="2" t="s">
        <v>5079</v>
      </c>
      <c r="P440" s="2" t="s">
        <v>4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1568</v>
      </c>
      <c r="T440" s="2" t="str">
        <f t="shared" si="99"/>
        <v>0620</v>
      </c>
      <c r="U440" s="2">
        <f t="shared" si="104"/>
        <v>392</v>
      </c>
      <c r="V440" s="2" t="str">
        <f t="shared" si="100"/>
        <v>188</v>
      </c>
      <c r="W440" s="2" t="str">
        <f t="shared" si="101"/>
        <v/>
      </c>
      <c r="X440" s="2" t="str">
        <f t="shared" si="105"/>
        <v/>
      </c>
      <c r="Y440" s="2" t="str">
        <f t="shared" si="102"/>
        <v/>
      </c>
      <c r="Z440" s="2" t="str">
        <f t="shared" si="103"/>
        <v>X</v>
      </c>
      <c r="AA440" s="2" t="str">
        <f t="shared" si="106"/>
        <v/>
      </c>
      <c r="AB440" s="2" t="str">
        <f t="shared" si="107"/>
        <v/>
      </c>
      <c r="AC440" s="2" t="str">
        <f t="shared" si="108"/>
        <v/>
      </c>
      <c r="AD440" s="2" t="str">
        <f t="shared" si="109"/>
        <v>(0)</v>
      </c>
      <c r="AE440" s="2" t="str">
        <f t="shared" si="110"/>
        <v/>
      </c>
      <c r="AF440" s="2" t="str">
        <f t="shared" si="111"/>
        <v/>
      </c>
      <c r="AG440" s="2" t="str">
        <f t="shared" si="112"/>
        <v/>
      </c>
      <c r="AH440" s="2" t="str">
        <f t="shared" si="113"/>
        <v/>
      </c>
    </row>
    <row r="441" spans="2:34" x14ac:dyDescent="0.25">
      <c r="B441" s="2" t="s">
        <v>802</v>
      </c>
      <c r="C441" s="2" t="s">
        <v>388</v>
      </c>
      <c r="D441" s="2" t="s">
        <v>0</v>
      </c>
      <c r="E441" s="2" t="s">
        <v>130</v>
      </c>
      <c r="F441" s="2" t="s">
        <v>803</v>
      </c>
      <c r="G441" s="2" t="s">
        <v>804</v>
      </c>
      <c r="H441" s="2" t="s">
        <v>389</v>
      </c>
      <c r="I441" s="2" t="s">
        <v>41</v>
      </c>
      <c r="J441" s="2">
        <v>1</v>
      </c>
      <c r="K441" s="2" t="s">
        <v>81</v>
      </c>
      <c r="L441" s="2" t="s">
        <v>40</v>
      </c>
      <c r="M441" s="2" t="s">
        <v>5292</v>
      </c>
      <c r="N441" s="2" t="s">
        <v>5282</v>
      </c>
      <c r="O441" s="2" t="s">
        <v>5080</v>
      </c>
      <c r="P441" s="2" t="s">
        <v>4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1572</v>
      </c>
      <c r="T441" s="2" t="str">
        <f t="shared" si="99"/>
        <v>0624</v>
      </c>
      <c r="U441" s="2">
        <f t="shared" si="104"/>
        <v>393</v>
      </c>
      <c r="V441" s="2" t="str">
        <f t="shared" si="100"/>
        <v>189</v>
      </c>
      <c r="W441" s="2" t="str">
        <f t="shared" si="101"/>
        <v/>
      </c>
      <c r="X441" s="2" t="str">
        <f t="shared" si="105"/>
        <v/>
      </c>
      <c r="Y441" s="2" t="str">
        <f t="shared" si="102"/>
        <v/>
      </c>
      <c r="Z441" s="2" t="str">
        <f t="shared" si="103"/>
        <v>X</v>
      </c>
      <c r="AA441" s="2" t="str">
        <f t="shared" si="106"/>
        <v/>
      </c>
      <c r="AB441" s="2" t="str">
        <f t="shared" si="107"/>
        <v/>
      </c>
      <c r="AC441" s="2" t="str">
        <f t="shared" si="108"/>
        <v/>
      </c>
      <c r="AD441" s="2" t="str">
        <f t="shared" si="109"/>
        <v>(0)</v>
      </c>
      <c r="AE441" s="2" t="str">
        <f t="shared" si="110"/>
        <v/>
      </c>
      <c r="AF441" s="2" t="str">
        <f t="shared" si="111"/>
        <v/>
      </c>
      <c r="AG441" s="2" t="str">
        <f t="shared" si="112"/>
        <v/>
      </c>
      <c r="AH441" s="2" t="str">
        <f t="shared" si="113"/>
        <v/>
      </c>
    </row>
    <row r="442" spans="2:34" x14ac:dyDescent="0.25">
      <c r="B442" s="2" t="s">
        <v>802</v>
      </c>
      <c r="C442" s="2" t="s">
        <v>390</v>
      </c>
      <c r="D442" s="2" t="s">
        <v>0</v>
      </c>
      <c r="E442" s="2" t="s">
        <v>130</v>
      </c>
      <c r="F442" s="2" t="s">
        <v>803</v>
      </c>
      <c r="G442" s="2" t="s">
        <v>804</v>
      </c>
      <c r="H442" s="2" t="s">
        <v>391</v>
      </c>
      <c r="I442" s="2" t="s">
        <v>41</v>
      </c>
      <c r="J442" s="2">
        <v>1</v>
      </c>
      <c r="K442" s="2" t="s">
        <v>81</v>
      </c>
      <c r="L442" s="2" t="s">
        <v>40</v>
      </c>
      <c r="M442" s="2" t="s">
        <v>5292</v>
      </c>
      <c r="N442" s="2" t="s">
        <v>5282</v>
      </c>
      <c r="O442" s="2" t="s">
        <v>5081</v>
      </c>
      <c r="P442" s="2" t="s">
        <v>4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1576</v>
      </c>
      <c r="T442" s="2" t="str">
        <f t="shared" si="99"/>
        <v>0628</v>
      </c>
      <c r="U442" s="2">
        <f t="shared" si="104"/>
        <v>394</v>
      </c>
      <c r="V442" s="2" t="str">
        <f t="shared" si="100"/>
        <v>18A</v>
      </c>
      <c r="W442" s="2" t="str">
        <f t="shared" si="101"/>
        <v/>
      </c>
      <c r="X442" s="2" t="str">
        <f t="shared" si="105"/>
        <v/>
      </c>
      <c r="Y442" s="2" t="str">
        <f t="shared" si="102"/>
        <v/>
      </c>
      <c r="Z442" s="2" t="str">
        <f t="shared" si="103"/>
        <v>X</v>
      </c>
      <c r="AA442" s="2" t="str">
        <f t="shared" si="106"/>
        <v/>
      </c>
      <c r="AB442" s="2" t="str">
        <f t="shared" si="107"/>
        <v/>
      </c>
      <c r="AC442" s="2" t="str">
        <f t="shared" si="108"/>
        <v/>
      </c>
      <c r="AD442" s="2" t="str">
        <f t="shared" si="109"/>
        <v>(0)</v>
      </c>
      <c r="AE442" s="2" t="str">
        <f t="shared" si="110"/>
        <v/>
      </c>
      <c r="AF442" s="2" t="str">
        <f t="shared" si="111"/>
        <v/>
      </c>
      <c r="AG442" s="2" t="str">
        <f t="shared" si="112"/>
        <v/>
      </c>
      <c r="AH442" s="2" t="str">
        <f t="shared" si="113"/>
        <v/>
      </c>
    </row>
    <row r="443" spans="2:34" x14ac:dyDescent="0.25">
      <c r="B443" s="2" t="s">
        <v>802</v>
      </c>
      <c r="C443" s="2" t="s">
        <v>392</v>
      </c>
      <c r="D443" s="2" t="s">
        <v>0</v>
      </c>
      <c r="E443" s="2" t="s">
        <v>130</v>
      </c>
      <c r="F443" s="2" t="s">
        <v>803</v>
      </c>
      <c r="G443" s="2" t="s">
        <v>804</v>
      </c>
      <c r="H443" s="2" t="s">
        <v>393</v>
      </c>
      <c r="I443" s="2" t="s">
        <v>41</v>
      </c>
      <c r="J443" s="2">
        <v>1</v>
      </c>
      <c r="K443" s="2" t="s">
        <v>81</v>
      </c>
      <c r="L443" s="2" t="s">
        <v>40</v>
      </c>
      <c r="M443" s="2" t="s">
        <v>5292</v>
      </c>
      <c r="N443" s="2" t="s">
        <v>5282</v>
      </c>
      <c r="O443" s="2" t="s">
        <v>5082</v>
      </c>
      <c r="P443" s="2" t="s">
        <v>4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1580</v>
      </c>
      <c r="T443" s="2" t="str">
        <f t="shared" si="99"/>
        <v>062C</v>
      </c>
      <c r="U443" s="2">
        <f t="shared" si="104"/>
        <v>395</v>
      </c>
      <c r="V443" s="2" t="str">
        <f t="shared" si="100"/>
        <v>18B</v>
      </c>
      <c r="W443" s="2" t="str">
        <f t="shared" si="101"/>
        <v/>
      </c>
      <c r="X443" s="2" t="str">
        <f t="shared" si="105"/>
        <v/>
      </c>
      <c r="Y443" s="2" t="str">
        <f t="shared" si="102"/>
        <v/>
      </c>
      <c r="Z443" s="2" t="str">
        <f t="shared" si="103"/>
        <v>X</v>
      </c>
      <c r="AA443" s="2" t="str">
        <f t="shared" si="106"/>
        <v/>
      </c>
      <c r="AB443" s="2" t="str">
        <f t="shared" si="107"/>
        <v/>
      </c>
      <c r="AC443" s="2" t="str">
        <f t="shared" si="108"/>
        <v/>
      </c>
      <c r="AD443" s="2" t="str">
        <f t="shared" si="109"/>
        <v>(0)</v>
      </c>
      <c r="AE443" s="2" t="str">
        <f t="shared" si="110"/>
        <v/>
      </c>
      <c r="AF443" s="2" t="str">
        <f t="shared" si="111"/>
        <v/>
      </c>
      <c r="AG443" s="2" t="str">
        <f t="shared" si="112"/>
        <v/>
      </c>
      <c r="AH443" s="2" t="str">
        <f t="shared" si="113"/>
        <v/>
      </c>
    </row>
    <row r="444" spans="2:34" x14ac:dyDescent="0.25">
      <c r="B444" s="2" t="s">
        <v>802</v>
      </c>
      <c r="C444" s="2" t="s">
        <v>394</v>
      </c>
      <c r="D444" s="2" t="s">
        <v>0</v>
      </c>
      <c r="E444" s="2" t="s">
        <v>130</v>
      </c>
      <c r="F444" s="2" t="s">
        <v>803</v>
      </c>
      <c r="G444" s="2" t="s">
        <v>804</v>
      </c>
      <c r="H444" s="2" t="s">
        <v>395</v>
      </c>
      <c r="I444" s="2" t="s">
        <v>41</v>
      </c>
      <c r="J444" s="2">
        <v>1</v>
      </c>
      <c r="K444" s="2" t="s">
        <v>81</v>
      </c>
      <c r="L444" s="2" t="s">
        <v>40</v>
      </c>
      <c r="M444" s="2" t="s">
        <v>5292</v>
      </c>
      <c r="N444" s="2" t="s">
        <v>5282</v>
      </c>
      <c r="O444" s="2" t="s">
        <v>5083</v>
      </c>
      <c r="P444" s="2" t="s">
        <v>4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1584</v>
      </c>
      <c r="T444" s="2" t="str">
        <f t="shared" si="99"/>
        <v>0630</v>
      </c>
      <c r="U444" s="2">
        <f t="shared" si="104"/>
        <v>396</v>
      </c>
      <c r="V444" s="2" t="str">
        <f t="shared" si="100"/>
        <v>18C</v>
      </c>
      <c r="W444" s="2" t="str">
        <f t="shared" si="101"/>
        <v/>
      </c>
      <c r="X444" s="2" t="str">
        <f t="shared" si="105"/>
        <v/>
      </c>
      <c r="Y444" s="2" t="str">
        <f t="shared" si="102"/>
        <v/>
      </c>
      <c r="Z444" s="2" t="str">
        <f t="shared" si="103"/>
        <v>X</v>
      </c>
      <c r="AA444" s="2" t="str">
        <f t="shared" si="106"/>
        <v/>
      </c>
      <c r="AB444" s="2" t="str">
        <f t="shared" si="107"/>
        <v/>
      </c>
      <c r="AC444" s="2" t="str">
        <f t="shared" si="108"/>
        <v/>
      </c>
      <c r="AD444" s="2" t="str">
        <f t="shared" si="109"/>
        <v>(0)</v>
      </c>
      <c r="AE444" s="2" t="str">
        <f t="shared" si="110"/>
        <v/>
      </c>
      <c r="AF444" s="2" t="str">
        <f t="shared" si="111"/>
        <v/>
      </c>
      <c r="AG444" s="2" t="str">
        <f t="shared" si="112"/>
        <v/>
      </c>
      <c r="AH444" s="2" t="str">
        <f t="shared" si="113"/>
        <v/>
      </c>
    </row>
    <row r="445" spans="2:34" x14ac:dyDescent="0.25">
      <c r="B445" s="2" t="s">
        <v>802</v>
      </c>
      <c r="C445" s="2" t="s">
        <v>396</v>
      </c>
      <c r="D445" s="2" t="s">
        <v>0</v>
      </c>
      <c r="E445" s="2" t="s">
        <v>130</v>
      </c>
      <c r="F445" s="2" t="s">
        <v>803</v>
      </c>
      <c r="G445" s="2" t="s">
        <v>804</v>
      </c>
      <c r="H445" s="2" t="s">
        <v>397</v>
      </c>
      <c r="I445" s="2" t="s">
        <v>41</v>
      </c>
      <c r="J445" s="2">
        <v>1</v>
      </c>
      <c r="K445" s="2" t="s">
        <v>81</v>
      </c>
      <c r="L445" s="2" t="s">
        <v>40</v>
      </c>
      <c r="M445" s="2" t="s">
        <v>5292</v>
      </c>
      <c r="N445" s="2" t="s">
        <v>5282</v>
      </c>
      <c r="O445" s="2" t="s">
        <v>5084</v>
      </c>
      <c r="P445" s="2" t="s">
        <v>4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1588</v>
      </c>
      <c r="T445" s="2" t="str">
        <f t="shared" si="99"/>
        <v>0634</v>
      </c>
      <c r="U445" s="2">
        <f t="shared" si="104"/>
        <v>397</v>
      </c>
      <c r="V445" s="2" t="str">
        <f t="shared" si="100"/>
        <v>18D</v>
      </c>
      <c r="W445" s="2" t="str">
        <f t="shared" si="101"/>
        <v/>
      </c>
      <c r="X445" s="2" t="str">
        <f t="shared" si="105"/>
        <v/>
      </c>
      <c r="Y445" s="2" t="str">
        <f t="shared" si="102"/>
        <v/>
      </c>
      <c r="Z445" s="2" t="str">
        <f t="shared" si="103"/>
        <v>X</v>
      </c>
      <c r="AA445" s="2" t="str">
        <f t="shared" si="106"/>
        <v/>
      </c>
      <c r="AB445" s="2" t="str">
        <f t="shared" si="107"/>
        <v/>
      </c>
      <c r="AC445" s="2" t="str">
        <f t="shared" si="108"/>
        <v/>
      </c>
      <c r="AD445" s="2" t="str">
        <f t="shared" si="109"/>
        <v>(0)</v>
      </c>
      <c r="AE445" s="2" t="str">
        <f t="shared" si="110"/>
        <v/>
      </c>
      <c r="AF445" s="2" t="str">
        <f t="shared" si="111"/>
        <v/>
      </c>
      <c r="AG445" s="2" t="str">
        <f t="shared" si="112"/>
        <v/>
      </c>
      <c r="AH445" s="2" t="str">
        <f t="shared" si="113"/>
        <v/>
      </c>
    </row>
    <row r="446" spans="2:34" x14ac:dyDescent="0.25">
      <c r="B446" s="2" t="s">
        <v>802</v>
      </c>
      <c r="C446" s="2" t="s">
        <v>398</v>
      </c>
      <c r="D446" s="2" t="s">
        <v>0</v>
      </c>
      <c r="E446" s="2" t="s">
        <v>130</v>
      </c>
      <c r="F446" s="2" t="s">
        <v>803</v>
      </c>
      <c r="G446" s="2" t="s">
        <v>804</v>
      </c>
      <c r="H446" s="2" t="s">
        <v>399</v>
      </c>
      <c r="I446" s="2" t="s">
        <v>41</v>
      </c>
      <c r="J446" s="2">
        <v>1</v>
      </c>
      <c r="K446" s="2" t="s">
        <v>81</v>
      </c>
      <c r="L446" s="2" t="s">
        <v>40</v>
      </c>
      <c r="M446" s="2" t="s">
        <v>5292</v>
      </c>
      <c r="N446" s="2" t="s">
        <v>5282</v>
      </c>
      <c r="O446" s="2" t="s">
        <v>5085</v>
      </c>
      <c r="P446" s="2" t="s">
        <v>4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1592</v>
      </c>
      <c r="T446" s="2" t="str">
        <f t="shared" si="99"/>
        <v>0638</v>
      </c>
      <c r="U446" s="2">
        <f t="shared" si="104"/>
        <v>398</v>
      </c>
      <c r="V446" s="2" t="str">
        <f t="shared" si="100"/>
        <v>18E</v>
      </c>
      <c r="W446" s="2" t="str">
        <f t="shared" si="101"/>
        <v/>
      </c>
      <c r="X446" s="2" t="str">
        <f t="shared" si="105"/>
        <v/>
      </c>
      <c r="Y446" s="2" t="str">
        <f t="shared" si="102"/>
        <v/>
      </c>
      <c r="Z446" s="2" t="str">
        <f t="shared" si="103"/>
        <v>X</v>
      </c>
      <c r="AA446" s="2" t="str">
        <f t="shared" si="106"/>
        <v/>
      </c>
      <c r="AB446" s="2" t="str">
        <f t="shared" si="107"/>
        <v/>
      </c>
      <c r="AC446" s="2" t="str">
        <f t="shared" si="108"/>
        <v/>
      </c>
      <c r="AD446" s="2" t="str">
        <f t="shared" si="109"/>
        <v>(0)</v>
      </c>
      <c r="AE446" s="2" t="str">
        <f t="shared" si="110"/>
        <v/>
      </c>
      <c r="AF446" s="2" t="str">
        <f t="shared" si="111"/>
        <v/>
      </c>
      <c r="AG446" s="2" t="str">
        <f t="shared" si="112"/>
        <v/>
      </c>
      <c r="AH446" s="2" t="str">
        <f t="shared" si="113"/>
        <v/>
      </c>
    </row>
    <row r="447" spans="2:34" x14ac:dyDescent="0.25">
      <c r="B447" s="2" t="s">
        <v>805</v>
      </c>
      <c r="C447" s="2" t="s">
        <v>401</v>
      </c>
      <c r="D447" s="2" t="s">
        <v>0</v>
      </c>
      <c r="E447" s="2" t="s">
        <v>130</v>
      </c>
      <c r="F447" s="2" t="s">
        <v>806</v>
      </c>
      <c r="G447" s="2" t="s">
        <v>807</v>
      </c>
      <c r="H447" s="2" t="s">
        <v>404</v>
      </c>
      <c r="I447" s="2" t="s">
        <v>41</v>
      </c>
      <c r="J447" s="2">
        <v>1</v>
      </c>
      <c r="K447" s="2" t="s">
        <v>81</v>
      </c>
      <c r="L447" s="2" t="s">
        <v>40</v>
      </c>
      <c r="M447" s="2" t="s">
        <v>5292</v>
      </c>
      <c r="N447" s="2" t="s">
        <v>5283</v>
      </c>
      <c r="O447" s="2" t="s">
        <v>5086</v>
      </c>
      <c r="P447" s="2" t="s">
        <v>4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1596</v>
      </c>
      <c r="T447" s="2" t="str">
        <f t="shared" si="99"/>
        <v>063C</v>
      </c>
      <c r="U447" s="2">
        <f t="shared" si="104"/>
        <v>399</v>
      </c>
      <c r="V447" s="2" t="str">
        <f t="shared" si="100"/>
        <v>18F</v>
      </c>
      <c r="W447" s="2" t="str">
        <f t="shared" si="101"/>
        <v/>
      </c>
      <c r="X447" s="2" t="str">
        <f t="shared" si="105"/>
        <v/>
      </c>
      <c r="Y447" s="2" t="str">
        <f t="shared" si="102"/>
        <v/>
      </c>
      <c r="Z447" s="2" t="str">
        <f t="shared" si="103"/>
        <v>X</v>
      </c>
      <c r="AA447" s="2" t="str">
        <f t="shared" si="106"/>
        <v/>
      </c>
      <c r="AB447" s="2" t="str">
        <f t="shared" si="107"/>
        <v/>
      </c>
      <c r="AC447" s="2" t="str">
        <f t="shared" si="108"/>
        <v/>
      </c>
      <c r="AD447" s="2" t="str">
        <f t="shared" si="109"/>
        <v>(0)</v>
      </c>
      <c r="AE447" s="2" t="str">
        <f t="shared" si="110"/>
        <v/>
      </c>
      <c r="AF447" s="2" t="str">
        <f t="shared" si="111"/>
        <v/>
      </c>
      <c r="AG447" s="2" t="str">
        <f t="shared" si="112"/>
        <v/>
      </c>
      <c r="AH447" s="2" t="str">
        <f t="shared" si="113"/>
        <v/>
      </c>
    </row>
    <row r="448" spans="2:34" x14ac:dyDescent="0.25">
      <c r="B448" s="2" t="s">
        <v>805</v>
      </c>
      <c r="C448" s="2" t="s">
        <v>405</v>
      </c>
      <c r="D448" s="2" t="s">
        <v>0</v>
      </c>
      <c r="E448" s="2" t="s">
        <v>130</v>
      </c>
      <c r="F448" s="2" t="s">
        <v>806</v>
      </c>
      <c r="G448" s="2" t="s">
        <v>807</v>
      </c>
      <c r="H448" s="2" t="s">
        <v>406</v>
      </c>
      <c r="I448" s="2" t="s">
        <v>41</v>
      </c>
      <c r="J448" s="2">
        <v>1</v>
      </c>
      <c r="K448" s="2" t="s">
        <v>81</v>
      </c>
      <c r="L448" s="2" t="s">
        <v>40</v>
      </c>
      <c r="M448" s="2" t="s">
        <v>5292</v>
      </c>
      <c r="N448" s="2" t="s">
        <v>5283</v>
      </c>
      <c r="O448" s="2" t="s">
        <v>5087</v>
      </c>
      <c r="P448" s="2" t="s">
        <v>4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1600</v>
      </c>
      <c r="T448" s="2" t="str">
        <f t="shared" si="99"/>
        <v>0640</v>
      </c>
      <c r="U448" s="2">
        <f t="shared" si="104"/>
        <v>400</v>
      </c>
      <c r="V448" s="2" t="str">
        <f t="shared" si="100"/>
        <v>190</v>
      </c>
      <c r="W448" s="2" t="str">
        <f t="shared" si="101"/>
        <v/>
      </c>
      <c r="X448" s="2" t="str">
        <f t="shared" si="105"/>
        <v/>
      </c>
      <c r="Y448" s="2" t="str">
        <f t="shared" si="102"/>
        <v/>
      </c>
      <c r="Z448" s="2" t="str">
        <f t="shared" si="103"/>
        <v>X</v>
      </c>
      <c r="AA448" s="2" t="str">
        <f t="shared" si="106"/>
        <v/>
      </c>
      <c r="AB448" s="2" t="str">
        <f t="shared" si="107"/>
        <v/>
      </c>
      <c r="AC448" s="2" t="str">
        <f t="shared" si="108"/>
        <v/>
      </c>
      <c r="AD448" s="2" t="str">
        <f t="shared" si="109"/>
        <v>(0)</v>
      </c>
      <c r="AE448" s="2" t="str">
        <f t="shared" si="110"/>
        <v/>
      </c>
      <c r="AF448" s="2" t="str">
        <f t="shared" si="111"/>
        <v/>
      </c>
      <c r="AG448" s="2" t="str">
        <f t="shared" si="112"/>
        <v/>
      </c>
      <c r="AH448" s="2" t="str">
        <f t="shared" si="113"/>
        <v/>
      </c>
    </row>
    <row r="449" spans="2:34" x14ac:dyDescent="0.25">
      <c r="B449" s="2" t="s">
        <v>805</v>
      </c>
      <c r="C449" s="2" t="s">
        <v>407</v>
      </c>
      <c r="D449" s="2" t="s">
        <v>0</v>
      </c>
      <c r="E449" s="2" t="s">
        <v>130</v>
      </c>
      <c r="F449" s="2" t="s">
        <v>806</v>
      </c>
      <c r="G449" s="2" t="s">
        <v>807</v>
      </c>
      <c r="H449" s="2" t="s">
        <v>408</v>
      </c>
      <c r="I449" s="2" t="s">
        <v>41</v>
      </c>
      <c r="J449" s="2">
        <v>1</v>
      </c>
      <c r="K449" s="2" t="s">
        <v>81</v>
      </c>
      <c r="L449" s="2" t="s">
        <v>40</v>
      </c>
      <c r="M449" s="2" t="s">
        <v>5292</v>
      </c>
      <c r="N449" s="2" t="s">
        <v>5283</v>
      </c>
      <c r="O449" s="2" t="s">
        <v>5088</v>
      </c>
      <c r="P449" s="2" t="s">
        <v>4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1604</v>
      </c>
      <c r="T449" s="2" t="str">
        <f t="shared" si="99"/>
        <v>0644</v>
      </c>
      <c r="U449" s="2">
        <f t="shared" si="104"/>
        <v>401</v>
      </c>
      <c r="V449" s="2" t="str">
        <f t="shared" si="100"/>
        <v>191</v>
      </c>
      <c r="W449" s="2" t="str">
        <f t="shared" si="101"/>
        <v/>
      </c>
      <c r="X449" s="2" t="str">
        <f t="shared" si="105"/>
        <v/>
      </c>
      <c r="Y449" s="2" t="str">
        <f t="shared" si="102"/>
        <v/>
      </c>
      <c r="Z449" s="2" t="str">
        <f t="shared" si="103"/>
        <v>X</v>
      </c>
      <c r="AA449" s="2" t="str">
        <f t="shared" si="106"/>
        <v/>
      </c>
      <c r="AB449" s="2" t="str">
        <f t="shared" si="107"/>
        <v/>
      </c>
      <c r="AC449" s="2" t="str">
        <f t="shared" si="108"/>
        <v/>
      </c>
      <c r="AD449" s="2" t="str">
        <f t="shared" si="109"/>
        <v>(0)</v>
      </c>
      <c r="AE449" s="2" t="str">
        <f t="shared" si="110"/>
        <v/>
      </c>
      <c r="AF449" s="2" t="str">
        <f t="shared" si="111"/>
        <v/>
      </c>
      <c r="AG449" s="2" t="str">
        <f t="shared" si="112"/>
        <v/>
      </c>
      <c r="AH449" s="2" t="str">
        <f t="shared" si="113"/>
        <v/>
      </c>
    </row>
    <row r="450" spans="2:34" x14ac:dyDescent="0.25">
      <c r="B450" s="2" t="s">
        <v>805</v>
      </c>
      <c r="C450" s="2" t="s">
        <v>409</v>
      </c>
      <c r="D450" s="2" t="s">
        <v>0</v>
      </c>
      <c r="E450" s="2" t="s">
        <v>130</v>
      </c>
      <c r="F450" s="2" t="s">
        <v>806</v>
      </c>
      <c r="G450" s="2" t="s">
        <v>807</v>
      </c>
      <c r="H450" s="2" t="s">
        <v>410</v>
      </c>
      <c r="I450" s="2" t="s">
        <v>41</v>
      </c>
      <c r="J450" s="2">
        <v>1</v>
      </c>
      <c r="K450" s="2" t="s">
        <v>81</v>
      </c>
      <c r="L450" s="2" t="s">
        <v>40</v>
      </c>
      <c r="M450" s="2" t="s">
        <v>5292</v>
      </c>
      <c r="N450" s="2" t="s">
        <v>5283</v>
      </c>
      <c r="O450" s="2" t="s">
        <v>5089</v>
      </c>
      <c r="P450" s="2" t="s">
        <v>4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1608</v>
      </c>
      <c r="T450" s="2" t="str">
        <f t="shared" si="99"/>
        <v>0648</v>
      </c>
      <c r="U450" s="2">
        <f t="shared" si="104"/>
        <v>402</v>
      </c>
      <c r="V450" s="2" t="str">
        <f t="shared" si="100"/>
        <v>192</v>
      </c>
      <c r="W450" s="2" t="str">
        <f t="shared" si="101"/>
        <v/>
      </c>
      <c r="X450" s="2" t="str">
        <f t="shared" si="105"/>
        <v/>
      </c>
      <c r="Y450" s="2" t="str">
        <f t="shared" si="102"/>
        <v/>
      </c>
      <c r="Z450" s="2" t="str">
        <f t="shared" si="103"/>
        <v>X</v>
      </c>
      <c r="AA450" s="2" t="str">
        <f t="shared" si="106"/>
        <v/>
      </c>
      <c r="AB450" s="2" t="str">
        <f t="shared" si="107"/>
        <v/>
      </c>
      <c r="AC450" s="2" t="str">
        <f t="shared" si="108"/>
        <v/>
      </c>
      <c r="AD450" s="2" t="str">
        <f t="shared" si="109"/>
        <v>(0)</v>
      </c>
      <c r="AE450" s="2" t="str">
        <f t="shared" si="110"/>
        <v/>
      </c>
      <c r="AF450" s="2" t="str">
        <f t="shared" si="111"/>
        <v/>
      </c>
      <c r="AG450" s="2" t="str">
        <f t="shared" si="112"/>
        <v/>
      </c>
      <c r="AH450" s="2" t="str">
        <f t="shared" si="113"/>
        <v/>
      </c>
    </row>
    <row r="451" spans="2:34" x14ac:dyDescent="0.25">
      <c r="B451" s="2" t="s">
        <v>805</v>
      </c>
      <c r="C451" s="2" t="s">
        <v>411</v>
      </c>
      <c r="D451" s="2" t="s">
        <v>0</v>
      </c>
      <c r="E451" s="2" t="s">
        <v>130</v>
      </c>
      <c r="F451" s="2" t="s">
        <v>806</v>
      </c>
      <c r="G451" s="2" t="s">
        <v>807</v>
      </c>
      <c r="H451" s="2" t="s">
        <v>412</v>
      </c>
      <c r="I451" s="2" t="s">
        <v>41</v>
      </c>
      <c r="J451" s="2">
        <v>1</v>
      </c>
      <c r="K451" s="2" t="s">
        <v>81</v>
      </c>
      <c r="L451" s="2" t="s">
        <v>40</v>
      </c>
      <c r="M451" s="2" t="s">
        <v>5292</v>
      </c>
      <c r="N451" s="2" t="s">
        <v>5283</v>
      </c>
      <c r="O451" s="2" t="s">
        <v>5090</v>
      </c>
      <c r="P451" s="2" t="s">
        <v>4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1612</v>
      </c>
      <c r="T451" s="2" t="str">
        <f t="shared" si="99"/>
        <v>064C</v>
      </c>
      <c r="U451" s="2">
        <f t="shared" si="104"/>
        <v>403</v>
      </c>
      <c r="V451" s="2" t="str">
        <f t="shared" si="100"/>
        <v>193</v>
      </c>
      <c r="W451" s="2" t="str">
        <f t="shared" si="101"/>
        <v/>
      </c>
      <c r="X451" s="2" t="str">
        <f t="shared" si="105"/>
        <v/>
      </c>
      <c r="Y451" s="2" t="str">
        <f t="shared" si="102"/>
        <v/>
      </c>
      <c r="Z451" s="2" t="str">
        <f t="shared" si="103"/>
        <v>X</v>
      </c>
      <c r="AA451" s="2" t="str">
        <f t="shared" si="106"/>
        <v/>
      </c>
      <c r="AB451" s="2" t="str">
        <f t="shared" si="107"/>
        <v/>
      </c>
      <c r="AC451" s="2" t="str">
        <f t="shared" si="108"/>
        <v/>
      </c>
      <c r="AD451" s="2" t="str">
        <f t="shared" si="109"/>
        <v>(0)</v>
      </c>
      <c r="AE451" s="2" t="str">
        <f t="shared" si="110"/>
        <v/>
      </c>
      <c r="AF451" s="2" t="str">
        <f t="shared" si="111"/>
        <v/>
      </c>
      <c r="AG451" s="2" t="str">
        <f t="shared" si="112"/>
        <v/>
      </c>
      <c r="AH451" s="2" t="str">
        <f t="shared" si="113"/>
        <v/>
      </c>
    </row>
    <row r="452" spans="2:34" x14ac:dyDescent="0.25">
      <c r="B452" s="2" t="s">
        <v>805</v>
      </c>
      <c r="C452" s="2" t="s">
        <v>413</v>
      </c>
      <c r="D452" s="2" t="s">
        <v>0</v>
      </c>
      <c r="E452" s="2" t="s">
        <v>130</v>
      </c>
      <c r="F452" s="2" t="s">
        <v>806</v>
      </c>
      <c r="G452" s="2" t="s">
        <v>807</v>
      </c>
      <c r="H452" s="2" t="s">
        <v>414</v>
      </c>
      <c r="I452" s="2" t="s">
        <v>41</v>
      </c>
      <c r="J452" s="2">
        <v>1</v>
      </c>
      <c r="K452" s="2" t="s">
        <v>81</v>
      </c>
      <c r="L452" s="2" t="s">
        <v>40</v>
      </c>
      <c r="M452" s="2" t="s">
        <v>5292</v>
      </c>
      <c r="N452" s="2" t="s">
        <v>5283</v>
      </c>
      <c r="O452" s="2" t="s">
        <v>5091</v>
      </c>
      <c r="P452" s="2" t="s">
        <v>4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1616</v>
      </c>
      <c r="T452" s="2" t="str">
        <f t="shared" si="99"/>
        <v>0650</v>
      </c>
      <c r="U452" s="2">
        <f t="shared" si="104"/>
        <v>404</v>
      </c>
      <c r="V452" s="2" t="str">
        <f t="shared" si="100"/>
        <v>194</v>
      </c>
      <c r="W452" s="2" t="str">
        <f t="shared" si="101"/>
        <v/>
      </c>
      <c r="X452" s="2" t="str">
        <f t="shared" si="105"/>
        <v/>
      </c>
      <c r="Y452" s="2" t="str">
        <f t="shared" si="102"/>
        <v/>
      </c>
      <c r="Z452" s="2" t="str">
        <f t="shared" si="103"/>
        <v>X</v>
      </c>
      <c r="AA452" s="2" t="str">
        <f t="shared" si="106"/>
        <v/>
      </c>
      <c r="AB452" s="2" t="str">
        <f t="shared" si="107"/>
        <v/>
      </c>
      <c r="AC452" s="2" t="str">
        <f t="shared" si="108"/>
        <v/>
      </c>
      <c r="AD452" s="2" t="str">
        <f t="shared" si="109"/>
        <v>(0)</v>
      </c>
      <c r="AE452" s="2" t="str">
        <f t="shared" si="110"/>
        <v/>
      </c>
      <c r="AF452" s="2" t="str">
        <f t="shared" si="111"/>
        <v/>
      </c>
      <c r="AG452" s="2" t="str">
        <f t="shared" si="112"/>
        <v/>
      </c>
      <c r="AH452" s="2" t="str">
        <f t="shared" si="113"/>
        <v/>
      </c>
    </row>
    <row r="453" spans="2:34" x14ac:dyDescent="0.25">
      <c r="B453" s="2" t="s">
        <v>805</v>
      </c>
      <c r="C453" s="2" t="s">
        <v>415</v>
      </c>
      <c r="D453" s="2" t="s">
        <v>0</v>
      </c>
      <c r="E453" s="2" t="s">
        <v>130</v>
      </c>
      <c r="F453" s="2" t="s">
        <v>806</v>
      </c>
      <c r="G453" s="2" t="s">
        <v>807</v>
      </c>
      <c r="H453" s="2" t="s">
        <v>416</v>
      </c>
      <c r="I453" s="2" t="s">
        <v>41</v>
      </c>
      <c r="J453" s="2">
        <v>1</v>
      </c>
      <c r="K453" s="2" t="s">
        <v>81</v>
      </c>
      <c r="L453" s="2" t="s">
        <v>40</v>
      </c>
      <c r="M453" s="2" t="s">
        <v>5292</v>
      </c>
      <c r="N453" s="2" t="s">
        <v>5283</v>
      </c>
      <c r="O453" s="2" t="s">
        <v>5092</v>
      </c>
      <c r="P453" s="2" t="s">
        <v>4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1620</v>
      </c>
      <c r="T453" s="2" t="str">
        <f t="shared" ref="T453:T516" si="114">DEC2HEX($S453,4)</f>
        <v>0654</v>
      </c>
      <c r="U453" s="2">
        <f t="shared" si="104"/>
        <v>405</v>
      </c>
      <c r="V453" s="2" t="str">
        <f t="shared" ref="V453:V516" si="115">DEC2HEX($U453,3)</f>
        <v>195</v>
      </c>
      <c r="W453" s="2" t="str">
        <f t="shared" ref="W453:W516" si="116">IF(MOD($S453,4)=3,"X",IF(AND(MOD($S453,4)=2,$J453&gt;8),"X",IF(AND(MOD($S453,4)=1,$J453&gt;16),"X",IF(AND(MOD($S453,4)=0,$J453&gt;24),"X",""))))</f>
        <v/>
      </c>
      <c r="X453" s="2" t="str">
        <f t="shared" si="105"/>
        <v/>
      </c>
      <c r="Y453" s="2" t="str">
        <f t="shared" ref="Y453:Y516" si="117">IF(MOD($S453,4)=1,"X",IF(AND(MOD($S453,4)=0,$J453&gt;8),"X",""))</f>
        <v/>
      </c>
      <c r="Z453" s="2" t="str">
        <f t="shared" ref="Z453:Z516" si="118">IF(MOD($S453,4)=0,"X","")</f>
        <v>X</v>
      </c>
      <c r="AA453" s="2" t="str">
        <f t="shared" si="106"/>
        <v/>
      </c>
      <c r="AB453" s="2" t="str">
        <f t="shared" si="107"/>
        <v/>
      </c>
      <c r="AC453" s="2" t="str">
        <f t="shared" si="108"/>
        <v/>
      </c>
      <c r="AD453" s="2" t="str">
        <f t="shared" si="109"/>
        <v>(0)</v>
      </c>
      <c r="AE453" s="2" t="str">
        <f t="shared" si="110"/>
        <v/>
      </c>
      <c r="AF453" s="2" t="str">
        <f t="shared" si="111"/>
        <v/>
      </c>
      <c r="AG453" s="2" t="str">
        <f t="shared" si="112"/>
        <v/>
      </c>
      <c r="AH453" s="2" t="str">
        <f t="shared" si="113"/>
        <v/>
      </c>
    </row>
    <row r="454" spans="2:34" x14ac:dyDescent="0.25">
      <c r="B454" s="2" t="s">
        <v>805</v>
      </c>
      <c r="C454" s="2" t="s">
        <v>417</v>
      </c>
      <c r="D454" s="2" t="s">
        <v>0</v>
      </c>
      <c r="E454" s="2" t="s">
        <v>130</v>
      </c>
      <c r="F454" s="2" t="s">
        <v>806</v>
      </c>
      <c r="G454" s="2" t="s">
        <v>807</v>
      </c>
      <c r="H454" s="2" t="s">
        <v>418</v>
      </c>
      <c r="I454" s="2" t="s">
        <v>41</v>
      </c>
      <c r="J454" s="2">
        <v>1</v>
      </c>
      <c r="K454" s="2" t="s">
        <v>81</v>
      </c>
      <c r="L454" s="2" t="s">
        <v>40</v>
      </c>
      <c r="M454" s="2" t="s">
        <v>5292</v>
      </c>
      <c r="N454" s="2" t="s">
        <v>5283</v>
      </c>
      <c r="O454" s="2" t="s">
        <v>5093</v>
      </c>
      <c r="P454" s="2" t="s">
        <v>4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1624</v>
      </c>
      <c r="T454" s="2" t="str">
        <f t="shared" si="114"/>
        <v>0658</v>
      </c>
      <c r="U454" s="2">
        <f t="shared" ref="U454:U517" si="119">ROUNDDOWN(S454/4,0)</f>
        <v>406</v>
      </c>
      <c r="V454" s="2" t="str">
        <f t="shared" si="115"/>
        <v>196</v>
      </c>
      <c r="W454" s="2" t="str">
        <f t="shared" si="116"/>
        <v/>
      </c>
      <c r="X454" s="2" t="str">
        <f t="shared" ref="X454:X517" si="120">IF(MOD($S454,4)=2,"X",IF(AND(MOD($S454,4)=1,$J454&gt;8),"X",IF(AND(MOD($S454,4)=0,$J454&gt;16),"X","")))</f>
        <v/>
      </c>
      <c r="Y454" s="2" t="str">
        <f t="shared" si="117"/>
        <v/>
      </c>
      <c r="Z454" s="2" t="str">
        <f t="shared" si="118"/>
        <v>X</v>
      </c>
      <c r="AA454" s="2" t="str">
        <f t="shared" ref="AA454:AA517" si="121">IF(W454="","",CONCATENATE("(",IF(($J454-COUNTIF($X454:$Z454,"X")*8)=1,"24)",CONCATENATE(IF(($J454-COUNTIF($X454:$Z454,"X")*8)&gt;=8,32,($J454-COUNTIF($X454:$Z454,"X")*8)+24)-1," downto 24)"))))</f>
        <v/>
      </c>
      <c r="AB454" s="2" t="str">
        <f t="shared" ref="AB454:AB517" si="122">IF(X454="","",CONCATENATE("(",IF(($J454-COUNTIF($Y454:$Z454,"X")*8)=1,"16)",CONCATENATE(IF(($J454-COUNTIF($Y454:$Z454,"X")*8)&gt;=8,24,($J454-COUNTIF($Y454:$Z454,"X")*8)+16)-1," downto 16)"))))</f>
        <v/>
      </c>
      <c r="AC454" s="2" t="str">
        <f t="shared" ref="AC454:AC517" si="123">IF(Y454="","",CONCATENATE("(",IF(($J454-COUNTIF($Z454,"X")*8)=1,"8)",CONCATENATE(IF(($J454-COUNTIF($Z454,"X")*8)&gt;=8,16,($J454-COUNTIF($Z454,"X")*8)+8)-1," downto 8)"))))</f>
        <v/>
      </c>
      <c r="AD454" s="2" t="str">
        <f t="shared" ref="AD454:AD517" si="124">IF(Z454="","",CONCATENATE("(",IF($J454=1,"0)",CONCATENATE(IF($J454&gt;=8,8,$J454)-1," downto 0)"))))</f>
        <v>(0)</v>
      </c>
      <c r="AE454" s="2" t="str">
        <f t="shared" ref="AE454:AE517" si="125">IF(W454="","",IF($J454&lt;=8,"",IF(($J454-COUNTIF($X454:$Z454,"X")*8)=1,CONCATENATE("(",($J454-1),")"),CONCATENATE("(",IF(($J454-COUNTIF($X454:$Z454,"X")*8)&gt;=8,COUNTIF($X454:$Z454,"X")*8+7,$J454-COUNTIF($X454:$Z454,"X")*8-1+COUNTIF($X454:$Z454,"X")*8)," downto ",COUNTIF($X454:$Z454,"X")*8,")"))))</f>
        <v/>
      </c>
      <c r="AF454" s="2" t="str">
        <f t="shared" ref="AF454:AF517" si="126">IF(X454="","",IF($J454&lt;=8,"",IF(($J454-COUNTIF($Y454:$Z454,"X")*8)=1,CONCATENATE("(",($J454-1),")"),CONCATENATE("(",IF(($J454-COUNTIF($Y454:$Z454,"X")*8)&gt;=8,COUNTIF($Y454:$Z454,"X")*8+7,$J454-COUNTIF($Y454:$Z454,"X")*8-1+COUNTIF($Y454:$Z454,"X")*8)," downto ",COUNTIF($Y454:$Z454,"X")*8,")"))))</f>
        <v/>
      </c>
      <c r="AG454" s="2" t="str">
        <f t="shared" ref="AG454:AG517" si="127">IF(Y454="","",IF($J454&lt;=8,"",IF(($J454-COUNTIF($Z454,"X")*8)=1,CONCATENATE("(",($J454-1),")"),CONCATENATE("(",IF(($J454-COUNTIF($Z454,"X")*8)&gt;=8,COUNTIF($Z454,"X")*8+7,$J454-COUNTIF($Z454,"X")*8-1+COUNTIF($Z454,"X")*8)," downto ",COUNTIF($Z454,"X")*8,")"))))</f>
        <v/>
      </c>
      <c r="AH454" s="2" t="str">
        <f t="shared" ref="AH454:AH517" si="128">IF(Z454="","",IF($J454&lt;=8,"",CONCATENATE("(",IF($J454&gt;=8,7,$J454-1)," downto ",0,")")))</f>
        <v/>
      </c>
    </row>
    <row r="455" spans="2:34" x14ac:dyDescent="0.25">
      <c r="B455" s="2" t="s">
        <v>808</v>
      </c>
      <c r="C455" s="2" t="s">
        <v>311</v>
      </c>
      <c r="D455" s="2" t="s">
        <v>0</v>
      </c>
      <c r="E455" s="2" t="s">
        <v>130</v>
      </c>
      <c r="F455" s="2" t="s">
        <v>809</v>
      </c>
      <c r="G455" s="2" t="s">
        <v>810</v>
      </c>
      <c r="H455" s="2" t="s">
        <v>312</v>
      </c>
      <c r="I455" s="2" t="s">
        <v>41</v>
      </c>
      <c r="J455" s="2">
        <v>1</v>
      </c>
      <c r="K455" s="2" t="s">
        <v>81</v>
      </c>
      <c r="L455" s="2" t="s">
        <v>40</v>
      </c>
      <c r="M455" s="2" t="s">
        <v>5292</v>
      </c>
      <c r="N455" s="2" t="s">
        <v>5284</v>
      </c>
      <c r="O455" s="2" t="s">
        <v>5044</v>
      </c>
      <c r="P455" s="2" t="s">
        <v>4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1628</v>
      </c>
      <c r="T455" s="2" t="str">
        <f t="shared" si="114"/>
        <v>065C</v>
      </c>
      <c r="U455" s="2">
        <f t="shared" si="119"/>
        <v>407</v>
      </c>
      <c r="V455" s="2" t="str">
        <f t="shared" si="115"/>
        <v>197</v>
      </c>
      <c r="W455" s="2" t="str">
        <f t="shared" si="116"/>
        <v/>
      </c>
      <c r="X455" s="2" t="str">
        <f t="shared" si="120"/>
        <v/>
      </c>
      <c r="Y455" s="2" t="str">
        <f t="shared" si="117"/>
        <v/>
      </c>
      <c r="Z455" s="2" t="str">
        <f t="shared" si="118"/>
        <v>X</v>
      </c>
      <c r="AA455" s="2" t="str">
        <f t="shared" si="121"/>
        <v/>
      </c>
      <c r="AB455" s="2" t="str">
        <f t="shared" si="122"/>
        <v/>
      </c>
      <c r="AC455" s="2" t="str">
        <f t="shared" si="123"/>
        <v/>
      </c>
      <c r="AD455" s="2" t="str">
        <f t="shared" si="124"/>
        <v>(0)</v>
      </c>
      <c r="AE455" s="2" t="str">
        <f t="shared" si="125"/>
        <v/>
      </c>
      <c r="AF455" s="2" t="str">
        <f t="shared" si="126"/>
        <v/>
      </c>
      <c r="AG455" s="2" t="str">
        <f t="shared" si="127"/>
        <v/>
      </c>
      <c r="AH455" s="2" t="str">
        <f t="shared" si="128"/>
        <v/>
      </c>
    </row>
    <row r="456" spans="2:34" x14ac:dyDescent="0.25">
      <c r="B456" s="2" t="s">
        <v>808</v>
      </c>
      <c r="C456" s="2" t="s">
        <v>313</v>
      </c>
      <c r="D456" s="2" t="s">
        <v>0</v>
      </c>
      <c r="E456" s="2" t="s">
        <v>130</v>
      </c>
      <c r="F456" s="2" t="s">
        <v>809</v>
      </c>
      <c r="G456" s="2" t="s">
        <v>810</v>
      </c>
      <c r="H456" s="2" t="s">
        <v>314</v>
      </c>
      <c r="I456" s="2" t="s">
        <v>41</v>
      </c>
      <c r="J456" s="2">
        <v>1</v>
      </c>
      <c r="K456" s="2" t="s">
        <v>81</v>
      </c>
      <c r="L456" s="2" t="s">
        <v>40</v>
      </c>
      <c r="M456" s="2" t="s">
        <v>5292</v>
      </c>
      <c r="N456" s="2" t="s">
        <v>5284</v>
      </c>
      <c r="O456" s="2" t="s">
        <v>5045</v>
      </c>
      <c r="P456" s="2" t="s">
        <v>4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1632</v>
      </c>
      <c r="T456" s="2" t="str">
        <f t="shared" si="114"/>
        <v>0660</v>
      </c>
      <c r="U456" s="2">
        <f t="shared" si="119"/>
        <v>408</v>
      </c>
      <c r="V456" s="2" t="str">
        <f t="shared" si="115"/>
        <v>198</v>
      </c>
      <c r="W456" s="2" t="str">
        <f t="shared" si="116"/>
        <v/>
      </c>
      <c r="X456" s="2" t="str">
        <f t="shared" si="120"/>
        <v/>
      </c>
      <c r="Y456" s="2" t="str">
        <f t="shared" si="117"/>
        <v/>
      </c>
      <c r="Z456" s="2" t="str">
        <f t="shared" si="118"/>
        <v>X</v>
      </c>
      <c r="AA456" s="2" t="str">
        <f t="shared" si="121"/>
        <v/>
      </c>
      <c r="AB456" s="2" t="str">
        <f t="shared" si="122"/>
        <v/>
      </c>
      <c r="AC456" s="2" t="str">
        <f t="shared" si="123"/>
        <v/>
      </c>
      <c r="AD456" s="2" t="str">
        <f t="shared" si="124"/>
        <v>(0)</v>
      </c>
      <c r="AE456" s="2" t="str">
        <f t="shared" si="125"/>
        <v/>
      </c>
      <c r="AF456" s="2" t="str">
        <f t="shared" si="126"/>
        <v/>
      </c>
      <c r="AG456" s="2" t="str">
        <f t="shared" si="127"/>
        <v/>
      </c>
      <c r="AH456" s="2" t="str">
        <f t="shared" si="128"/>
        <v/>
      </c>
    </row>
    <row r="457" spans="2:34" x14ac:dyDescent="0.25">
      <c r="B457" s="2" t="s">
        <v>808</v>
      </c>
      <c r="C457" s="2" t="s">
        <v>315</v>
      </c>
      <c r="D457" s="2" t="s">
        <v>0</v>
      </c>
      <c r="E457" s="2" t="s">
        <v>130</v>
      </c>
      <c r="F457" s="2" t="s">
        <v>809</v>
      </c>
      <c r="G457" s="2" t="s">
        <v>810</v>
      </c>
      <c r="H457" s="2" t="s">
        <v>316</v>
      </c>
      <c r="I457" s="2" t="s">
        <v>41</v>
      </c>
      <c r="J457" s="2">
        <v>1</v>
      </c>
      <c r="K457" s="2" t="s">
        <v>81</v>
      </c>
      <c r="L457" s="2" t="s">
        <v>40</v>
      </c>
      <c r="M457" s="2" t="s">
        <v>5292</v>
      </c>
      <c r="N457" s="2" t="s">
        <v>5284</v>
      </c>
      <c r="O457" s="2" t="s">
        <v>5046</v>
      </c>
      <c r="P457" s="2" t="s">
        <v>4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1636</v>
      </c>
      <c r="T457" s="2" t="str">
        <f t="shared" si="114"/>
        <v>0664</v>
      </c>
      <c r="U457" s="2">
        <f t="shared" si="119"/>
        <v>409</v>
      </c>
      <c r="V457" s="2" t="str">
        <f t="shared" si="115"/>
        <v>199</v>
      </c>
      <c r="W457" s="2" t="str">
        <f t="shared" si="116"/>
        <v/>
      </c>
      <c r="X457" s="2" t="str">
        <f t="shared" si="120"/>
        <v/>
      </c>
      <c r="Y457" s="2" t="str">
        <f t="shared" si="117"/>
        <v/>
      </c>
      <c r="Z457" s="2" t="str">
        <f t="shared" si="118"/>
        <v>X</v>
      </c>
      <c r="AA457" s="2" t="str">
        <f t="shared" si="121"/>
        <v/>
      </c>
      <c r="AB457" s="2" t="str">
        <f t="shared" si="122"/>
        <v/>
      </c>
      <c r="AC457" s="2" t="str">
        <f t="shared" si="123"/>
        <v/>
      </c>
      <c r="AD457" s="2" t="str">
        <f t="shared" si="124"/>
        <v>(0)</v>
      </c>
      <c r="AE457" s="2" t="str">
        <f t="shared" si="125"/>
        <v/>
      </c>
      <c r="AF457" s="2" t="str">
        <f t="shared" si="126"/>
        <v/>
      </c>
      <c r="AG457" s="2" t="str">
        <f t="shared" si="127"/>
        <v/>
      </c>
      <c r="AH457" s="2" t="str">
        <f t="shared" si="128"/>
        <v/>
      </c>
    </row>
    <row r="458" spans="2:34" x14ac:dyDescent="0.25">
      <c r="B458" s="2" t="s">
        <v>808</v>
      </c>
      <c r="C458" s="2" t="s">
        <v>317</v>
      </c>
      <c r="D458" s="2" t="s">
        <v>0</v>
      </c>
      <c r="E458" s="2" t="s">
        <v>130</v>
      </c>
      <c r="F458" s="2" t="s">
        <v>809</v>
      </c>
      <c r="G458" s="2" t="s">
        <v>810</v>
      </c>
      <c r="H458" s="2" t="s">
        <v>318</v>
      </c>
      <c r="I458" s="2" t="s">
        <v>41</v>
      </c>
      <c r="J458" s="2">
        <v>1</v>
      </c>
      <c r="K458" s="2" t="s">
        <v>81</v>
      </c>
      <c r="L458" s="2" t="s">
        <v>40</v>
      </c>
      <c r="M458" s="2" t="s">
        <v>5292</v>
      </c>
      <c r="N458" s="2" t="s">
        <v>5284</v>
      </c>
      <c r="O458" s="2" t="s">
        <v>5047</v>
      </c>
      <c r="P458" s="2" t="s">
        <v>4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1640</v>
      </c>
      <c r="T458" s="2" t="str">
        <f t="shared" si="114"/>
        <v>0668</v>
      </c>
      <c r="U458" s="2">
        <f t="shared" si="119"/>
        <v>410</v>
      </c>
      <c r="V458" s="2" t="str">
        <f t="shared" si="115"/>
        <v>19A</v>
      </c>
      <c r="W458" s="2" t="str">
        <f t="shared" si="116"/>
        <v/>
      </c>
      <c r="X458" s="2" t="str">
        <f t="shared" si="120"/>
        <v/>
      </c>
      <c r="Y458" s="2" t="str">
        <f t="shared" si="117"/>
        <v/>
      </c>
      <c r="Z458" s="2" t="str">
        <f t="shared" si="118"/>
        <v>X</v>
      </c>
      <c r="AA458" s="2" t="str">
        <f t="shared" si="121"/>
        <v/>
      </c>
      <c r="AB458" s="2" t="str">
        <f t="shared" si="122"/>
        <v/>
      </c>
      <c r="AC458" s="2" t="str">
        <f t="shared" si="123"/>
        <v/>
      </c>
      <c r="AD458" s="2" t="str">
        <f t="shared" si="124"/>
        <v>(0)</v>
      </c>
      <c r="AE458" s="2" t="str">
        <f t="shared" si="125"/>
        <v/>
      </c>
      <c r="AF458" s="2" t="str">
        <f t="shared" si="126"/>
        <v/>
      </c>
      <c r="AG458" s="2" t="str">
        <f t="shared" si="127"/>
        <v/>
      </c>
      <c r="AH458" s="2" t="str">
        <f t="shared" si="128"/>
        <v/>
      </c>
    </row>
    <row r="459" spans="2:34" x14ac:dyDescent="0.25">
      <c r="B459" s="2" t="s">
        <v>808</v>
      </c>
      <c r="C459" s="2" t="s">
        <v>319</v>
      </c>
      <c r="D459" s="2" t="s">
        <v>0</v>
      </c>
      <c r="E459" s="2" t="s">
        <v>130</v>
      </c>
      <c r="F459" s="2" t="s">
        <v>809</v>
      </c>
      <c r="G459" s="2" t="s">
        <v>810</v>
      </c>
      <c r="H459" s="2" t="s">
        <v>320</v>
      </c>
      <c r="I459" s="2" t="s">
        <v>41</v>
      </c>
      <c r="J459" s="2">
        <v>1</v>
      </c>
      <c r="K459" s="2" t="s">
        <v>81</v>
      </c>
      <c r="L459" s="2" t="s">
        <v>40</v>
      </c>
      <c r="M459" s="2" t="s">
        <v>5292</v>
      </c>
      <c r="N459" s="2" t="s">
        <v>5284</v>
      </c>
      <c r="O459" s="2" t="s">
        <v>5048</v>
      </c>
      <c r="P459" s="2" t="s">
        <v>4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1644</v>
      </c>
      <c r="T459" s="2" t="str">
        <f t="shared" si="114"/>
        <v>066C</v>
      </c>
      <c r="U459" s="2">
        <f t="shared" si="119"/>
        <v>411</v>
      </c>
      <c r="V459" s="2" t="str">
        <f t="shared" si="115"/>
        <v>19B</v>
      </c>
      <c r="W459" s="2" t="str">
        <f t="shared" si="116"/>
        <v/>
      </c>
      <c r="X459" s="2" t="str">
        <f t="shared" si="120"/>
        <v/>
      </c>
      <c r="Y459" s="2" t="str">
        <f t="shared" si="117"/>
        <v/>
      </c>
      <c r="Z459" s="2" t="str">
        <f t="shared" si="118"/>
        <v>X</v>
      </c>
      <c r="AA459" s="2" t="str">
        <f t="shared" si="121"/>
        <v/>
      </c>
      <c r="AB459" s="2" t="str">
        <f t="shared" si="122"/>
        <v/>
      </c>
      <c r="AC459" s="2" t="str">
        <f t="shared" si="123"/>
        <v/>
      </c>
      <c r="AD459" s="2" t="str">
        <f t="shared" si="124"/>
        <v>(0)</v>
      </c>
      <c r="AE459" s="2" t="str">
        <f t="shared" si="125"/>
        <v/>
      </c>
      <c r="AF459" s="2" t="str">
        <f t="shared" si="126"/>
        <v/>
      </c>
      <c r="AG459" s="2" t="str">
        <f t="shared" si="127"/>
        <v/>
      </c>
      <c r="AH459" s="2" t="str">
        <f t="shared" si="128"/>
        <v/>
      </c>
    </row>
    <row r="460" spans="2:34" x14ac:dyDescent="0.25">
      <c r="B460" s="2" t="s">
        <v>808</v>
      </c>
      <c r="C460" s="2" t="s">
        <v>321</v>
      </c>
      <c r="D460" s="2" t="s">
        <v>0</v>
      </c>
      <c r="E460" s="2" t="s">
        <v>130</v>
      </c>
      <c r="F460" s="2" t="s">
        <v>809</v>
      </c>
      <c r="G460" s="2" t="s">
        <v>810</v>
      </c>
      <c r="H460" s="2" t="s">
        <v>322</v>
      </c>
      <c r="I460" s="2" t="s">
        <v>41</v>
      </c>
      <c r="J460" s="2">
        <v>1</v>
      </c>
      <c r="K460" s="2" t="s">
        <v>81</v>
      </c>
      <c r="L460" s="2" t="s">
        <v>40</v>
      </c>
      <c r="M460" s="2" t="s">
        <v>5292</v>
      </c>
      <c r="N460" s="2" t="s">
        <v>5284</v>
      </c>
      <c r="O460" s="2" t="s">
        <v>5049</v>
      </c>
      <c r="P460" s="2" t="s">
        <v>4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1648</v>
      </c>
      <c r="T460" s="2" t="str">
        <f t="shared" si="114"/>
        <v>0670</v>
      </c>
      <c r="U460" s="2">
        <f t="shared" si="119"/>
        <v>412</v>
      </c>
      <c r="V460" s="2" t="str">
        <f t="shared" si="115"/>
        <v>19C</v>
      </c>
      <c r="W460" s="2" t="str">
        <f t="shared" si="116"/>
        <v/>
      </c>
      <c r="X460" s="2" t="str">
        <f t="shared" si="120"/>
        <v/>
      </c>
      <c r="Y460" s="2" t="str">
        <f t="shared" si="117"/>
        <v/>
      </c>
      <c r="Z460" s="2" t="str">
        <f t="shared" si="118"/>
        <v>X</v>
      </c>
      <c r="AA460" s="2" t="str">
        <f t="shared" si="121"/>
        <v/>
      </c>
      <c r="AB460" s="2" t="str">
        <f t="shared" si="122"/>
        <v/>
      </c>
      <c r="AC460" s="2" t="str">
        <f t="shared" si="123"/>
        <v/>
      </c>
      <c r="AD460" s="2" t="str">
        <f t="shared" si="124"/>
        <v>(0)</v>
      </c>
      <c r="AE460" s="2" t="str">
        <f t="shared" si="125"/>
        <v/>
      </c>
      <c r="AF460" s="2" t="str">
        <f t="shared" si="126"/>
        <v/>
      </c>
      <c r="AG460" s="2" t="str">
        <f t="shared" si="127"/>
        <v/>
      </c>
      <c r="AH460" s="2" t="str">
        <f t="shared" si="128"/>
        <v/>
      </c>
    </row>
    <row r="461" spans="2:34" x14ac:dyDescent="0.25">
      <c r="B461" s="2" t="s">
        <v>808</v>
      </c>
      <c r="C461" s="2" t="s">
        <v>323</v>
      </c>
      <c r="D461" s="2" t="s">
        <v>0</v>
      </c>
      <c r="E461" s="2" t="s">
        <v>130</v>
      </c>
      <c r="F461" s="2" t="s">
        <v>809</v>
      </c>
      <c r="G461" s="2" t="s">
        <v>810</v>
      </c>
      <c r="H461" s="2" t="s">
        <v>324</v>
      </c>
      <c r="I461" s="2" t="s">
        <v>41</v>
      </c>
      <c r="J461" s="2">
        <v>1</v>
      </c>
      <c r="K461" s="2" t="s">
        <v>81</v>
      </c>
      <c r="L461" s="2" t="s">
        <v>40</v>
      </c>
      <c r="M461" s="2" t="s">
        <v>5292</v>
      </c>
      <c r="N461" s="2" t="s">
        <v>5284</v>
      </c>
      <c r="O461" s="2" t="s">
        <v>5050</v>
      </c>
      <c r="P461" s="2" t="s">
        <v>4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1652</v>
      </c>
      <c r="T461" s="2" t="str">
        <f t="shared" si="114"/>
        <v>0674</v>
      </c>
      <c r="U461" s="2">
        <f t="shared" si="119"/>
        <v>413</v>
      </c>
      <c r="V461" s="2" t="str">
        <f t="shared" si="115"/>
        <v>19D</v>
      </c>
      <c r="W461" s="2" t="str">
        <f t="shared" si="116"/>
        <v/>
      </c>
      <c r="X461" s="2" t="str">
        <f t="shared" si="120"/>
        <v/>
      </c>
      <c r="Y461" s="2" t="str">
        <f t="shared" si="117"/>
        <v/>
      </c>
      <c r="Z461" s="2" t="str">
        <f t="shared" si="118"/>
        <v>X</v>
      </c>
      <c r="AA461" s="2" t="str">
        <f t="shared" si="121"/>
        <v/>
      </c>
      <c r="AB461" s="2" t="str">
        <f t="shared" si="122"/>
        <v/>
      </c>
      <c r="AC461" s="2" t="str">
        <f t="shared" si="123"/>
        <v/>
      </c>
      <c r="AD461" s="2" t="str">
        <f t="shared" si="124"/>
        <v>(0)</v>
      </c>
      <c r="AE461" s="2" t="str">
        <f t="shared" si="125"/>
        <v/>
      </c>
      <c r="AF461" s="2" t="str">
        <f t="shared" si="126"/>
        <v/>
      </c>
      <c r="AG461" s="2" t="str">
        <f t="shared" si="127"/>
        <v/>
      </c>
      <c r="AH461" s="2" t="str">
        <f t="shared" si="128"/>
        <v/>
      </c>
    </row>
    <row r="462" spans="2:34" x14ac:dyDescent="0.25">
      <c r="B462" s="2" t="s">
        <v>808</v>
      </c>
      <c r="C462" s="2" t="s">
        <v>756</v>
      </c>
      <c r="D462" s="2" t="s">
        <v>0</v>
      </c>
      <c r="E462" s="2" t="s">
        <v>130</v>
      </c>
      <c r="F462" s="2" t="s">
        <v>809</v>
      </c>
      <c r="G462" s="2" t="s">
        <v>810</v>
      </c>
      <c r="H462" s="2" t="s">
        <v>757</v>
      </c>
      <c r="I462" s="2" t="s">
        <v>41</v>
      </c>
      <c r="J462" s="2">
        <v>1</v>
      </c>
      <c r="K462" s="2" t="s">
        <v>81</v>
      </c>
      <c r="L462" s="2" t="s">
        <v>40</v>
      </c>
      <c r="M462" s="2" t="s">
        <v>5292</v>
      </c>
      <c r="N462" s="2" t="s">
        <v>5284</v>
      </c>
      <c r="O462" s="2" t="s">
        <v>5193</v>
      </c>
      <c r="P462" s="2" t="s">
        <v>4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1656</v>
      </c>
      <c r="T462" s="2" t="str">
        <f t="shared" si="114"/>
        <v>0678</v>
      </c>
      <c r="U462" s="2">
        <f t="shared" si="119"/>
        <v>414</v>
      </c>
      <c r="V462" s="2" t="str">
        <f t="shared" si="115"/>
        <v>19E</v>
      </c>
      <c r="W462" s="2" t="str">
        <f t="shared" si="116"/>
        <v/>
      </c>
      <c r="X462" s="2" t="str">
        <f t="shared" si="120"/>
        <v/>
      </c>
      <c r="Y462" s="2" t="str">
        <f t="shared" si="117"/>
        <v/>
      </c>
      <c r="Z462" s="2" t="str">
        <f t="shared" si="118"/>
        <v>X</v>
      </c>
      <c r="AA462" s="2" t="str">
        <f t="shared" si="121"/>
        <v/>
      </c>
      <c r="AB462" s="2" t="str">
        <f t="shared" si="122"/>
        <v/>
      </c>
      <c r="AC462" s="2" t="str">
        <f t="shared" si="123"/>
        <v/>
      </c>
      <c r="AD462" s="2" t="str">
        <f t="shared" si="124"/>
        <v>(0)</v>
      </c>
      <c r="AE462" s="2" t="str">
        <f t="shared" si="125"/>
        <v/>
      </c>
      <c r="AF462" s="2" t="str">
        <f t="shared" si="126"/>
        <v/>
      </c>
      <c r="AG462" s="2" t="str">
        <f t="shared" si="127"/>
        <v/>
      </c>
      <c r="AH462" s="2" t="str">
        <f t="shared" si="128"/>
        <v/>
      </c>
    </row>
    <row r="463" spans="2:34" x14ac:dyDescent="0.25">
      <c r="B463" s="2" t="s">
        <v>808</v>
      </c>
      <c r="C463" s="2" t="s">
        <v>758</v>
      </c>
      <c r="D463" s="2" t="s">
        <v>0</v>
      </c>
      <c r="E463" s="2" t="s">
        <v>130</v>
      </c>
      <c r="F463" s="2" t="s">
        <v>809</v>
      </c>
      <c r="G463" s="2" t="s">
        <v>810</v>
      </c>
      <c r="H463" s="2" t="s">
        <v>759</v>
      </c>
      <c r="I463" s="2" t="s">
        <v>41</v>
      </c>
      <c r="J463" s="2">
        <v>1</v>
      </c>
      <c r="K463" s="2" t="s">
        <v>81</v>
      </c>
      <c r="L463" s="2" t="s">
        <v>40</v>
      </c>
      <c r="M463" s="2" t="s">
        <v>5292</v>
      </c>
      <c r="N463" s="2" t="s">
        <v>5284</v>
      </c>
      <c r="O463" s="2" t="s">
        <v>5194</v>
      </c>
      <c r="P463" s="2" t="s">
        <v>4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1660</v>
      </c>
      <c r="T463" s="2" t="str">
        <f t="shared" si="114"/>
        <v>067C</v>
      </c>
      <c r="U463" s="2">
        <f t="shared" si="119"/>
        <v>415</v>
      </c>
      <c r="V463" s="2" t="str">
        <f t="shared" si="115"/>
        <v>19F</v>
      </c>
      <c r="W463" s="2" t="str">
        <f t="shared" si="116"/>
        <v/>
      </c>
      <c r="X463" s="2" t="str">
        <f t="shared" si="120"/>
        <v/>
      </c>
      <c r="Y463" s="2" t="str">
        <f t="shared" si="117"/>
        <v/>
      </c>
      <c r="Z463" s="2" t="str">
        <f t="shared" si="118"/>
        <v>X</v>
      </c>
      <c r="AA463" s="2" t="str">
        <f t="shared" si="121"/>
        <v/>
      </c>
      <c r="AB463" s="2" t="str">
        <f t="shared" si="122"/>
        <v/>
      </c>
      <c r="AC463" s="2" t="str">
        <f t="shared" si="123"/>
        <v/>
      </c>
      <c r="AD463" s="2" t="str">
        <f t="shared" si="124"/>
        <v>(0)</v>
      </c>
      <c r="AE463" s="2" t="str">
        <f t="shared" si="125"/>
        <v/>
      </c>
      <c r="AF463" s="2" t="str">
        <f t="shared" si="126"/>
        <v/>
      </c>
      <c r="AG463" s="2" t="str">
        <f t="shared" si="127"/>
        <v/>
      </c>
      <c r="AH463" s="2" t="str">
        <f t="shared" si="128"/>
        <v/>
      </c>
    </row>
    <row r="464" spans="2:34" x14ac:dyDescent="0.25">
      <c r="B464" s="2" t="s">
        <v>808</v>
      </c>
      <c r="C464" s="2" t="s">
        <v>760</v>
      </c>
      <c r="D464" s="2" t="s">
        <v>0</v>
      </c>
      <c r="E464" s="2" t="s">
        <v>130</v>
      </c>
      <c r="F464" s="2" t="s">
        <v>809</v>
      </c>
      <c r="G464" s="2" t="s">
        <v>810</v>
      </c>
      <c r="H464" s="2" t="s">
        <v>761</v>
      </c>
      <c r="I464" s="2" t="s">
        <v>41</v>
      </c>
      <c r="J464" s="2">
        <v>1</v>
      </c>
      <c r="K464" s="2" t="s">
        <v>81</v>
      </c>
      <c r="L464" s="2" t="s">
        <v>40</v>
      </c>
      <c r="M464" s="2" t="s">
        <v>5292</v>
      </c>
      <c r="N464" s="2" t="s">
        <v>5284</v>
      </c>
      <c r="O464" s="2" t="s">
        <v>5195</v>
      </c>
      <c r="P464" s="2" t="s">
        <v>4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1664</v>
      </c>
      <c r="T464" s="2" t="str">
        <f t="shared" si="114"/>
        <v>0680</v>
      </c>
      <c r="U464" s="2">
        <f t="shared" si="119"/>
        <v>416</v>
      </c>
      <c r="V464" s="2" t="str">
        <f t="shared" si="115"/>
        <v>1A0</v>
      </c>
      <c r="W464" s="2" t="str">
        <f t="shared" si="116"/>
        <v/>
      </c>
      <c r="X464" s="2" t="str">
        <f t="shared" si="120"/>
        <v/>
      </c>
      <c r="Y464" s="2" t="str">
        <f t="shared" si="117"/>
        <v/>
      </c>
      <c r="Z464" s="2" t="str">
        <f t="shared" si="118"/>
        <v>X</v>
      </c>
      <c r="AA464" s="2" t="str">
        <f t="shared" si="121"/>
        <v/>
      </c>
      <c r="AB464" s="2" t="str">
        <f t="shared" si="122"/>
        <v/>
      </c>
      <c r="AC464" s="2" t="str">
        <f t="shared" si="123"/>
        <v/>
      </c>
      <c r="AD464" s="2" t="str">
        <f t="shared" si="124"/>
        <v>(0)</v>
      </c>
      <c r="AE464" s="2" t="str">
        <f t="shared" si="125"/>
        <v/>
      </c>
      <c r="AF464" s="2" t="str">
        <f t="shared" si="126"/>
        <v/>
      </c>
      <c r="AG464" s="2" t="str">
        <f t="shared" si="127"/>
        <v/>
      </c>
      <c r="AH464" s="2" t="str">
        <f t="shared" si="128"/>
        <v/>
      </c>
    </row>
    <row r="465" spans="2:34" x14ac:dyDescent="0.25">
      <c r="B465" s="2" t="s">
        <v>808</v>
      </c>
      <c r="C465" s="2" t="s">
        <v>762</v>
      </c>
      <c r="D465" s="2" t="s">
        <v>0</v>
      </c>
      <c r="E465" s="2" t="s">
        <v>130</v>
      </c>
      <c r="F465" s="2" t="s">
        <v>809</v>
      </c>
      <c r="G465" s="2" t="s">
        <v>810</v>
      </c>
      <c r="H465" s="2" t="s">
        <v>763</v>
      </c>
      <c r="I465" s="2" t="s">
        <v>41</v>
      </c>
      <c r="J465" s="2">
        <v>1</v>
      </c>
      <c r="K465" s="2" t="s">
        <v>81</v>
      </c>
      <c r="L465" s="2" t="s">
        <v>40</v>
      </c>
      <c r="M465" s="2" t="s">
        <v>5292</v>
      </c>
      <c r="N465" s="2" t="s">
        <v>5284</v>
      </c>
      <c r="O465" s="2" t="s">
        <v>5196</v>
      </c>
      <c r="P465" s="2" t="s">
        <v>4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1668</v>
      </c>
      <c r="T465" s="2" t="str">
        <f t="shared" si="114"/>
        <v>0684</v>
      </c>
      <c r="U465" s="2">
        <f t="shared" si="119"/>
        <v>417</v>
      </c>
      <c r="V465" s="2" t="str">
        <f t="shared" si="115"/>
        <v>1A1</v>
      </c>
      <c r="W465" s="2" t="str">
        <f t="shared" si="116"/>
        <v/>
      </c>
      <c r="X465" s="2" t="str">
        <f t="shared" si="120"/>
        <v/>
      </c>
      <c r="Y465" s="2" t="str">
        <f t="shared" si="117"/>
        <v/>
      </c>
      <c r="Z465" s="2" t="str">
        <f t="shared" si="118"/>
        <v>X</v>
      </c>
      <c r="AA465" s="2" t="str">
        <f t="shared" si="121"/>
        <v/>
      </c>
      <c r="AB465" s="2" t="str">
        <f t="shared" si="122"/>
        <v/>
      </c>
      <c r="AC465" s="2" t="str">
        <f t="shared" si="123"/>
        <v/>
      </c>
      <c r="AD465" s="2" t="str">
        <f t="shared" si="124"/>
        <v>(0)</v>
      </c>
      <c r="AE465" s="2" t="str">
        <f t="shared" si="125"/>
        <v/>
      </c>
      <c r="AF465" s="2" t="str">
        <f t="shared" si="126"/>
        <v/>
      </c>
      <c r="AG465" s="2" t="str">
        <f t="shared" si="127"/>
        <v/>
      </c>
      <c r="AH465" s="2" t="str">
        <f t="shared" si="128"/>
        <v/>
      </c>
    </row>
    <row r="466" spans="2:34" x14ac:dyDescent="0.25">
      <c r="B466" s="2" t="s">
        <v>808</v>
      </c>
      <c r="C466" s="2" t="s">
        <v>764</v>
      </c>
      <c r="D466" s="2" t="s">
        <v>0</v>
      </c>
      <c r="E466" s="2" t="s">
        <v>130</v>
      </c>
      <c r="F466" s="2" t="s">
        <v>809</v>
      </c>
      <c r="G466" s="2" t="s">
        <v>810</v>
      </c>
      <c r="H466" s="2" t="s">
        <v>765</v>
      </c>
      <c r="I466" s="2" t="s">
        <v>41</v>
      </c>
      <c r="J466" s="2">
        <v>1</v>
      </c>
      <c r="K466" s="2" t="s">
        <v>81</v>
      </c>
      <c r="L466" s="2" t="s">
        <v>40</v>
      </c>
      <c r="M466" s="2" t="s">
        <v>5292</v>
      </c>
      <c r="N466" s="2" t="s">
        <v>5284</v>
      </c>
      <c r="O466" s="2" t="s">
        <v>5197</v>
      </c>
      <c r="P466" s="2" t="s">
        <v>4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1672</v>
      </c>
      <c r="T466" s="2" t="str">
        <f t="shared" si="114"/>
        <v>0688</v>
      </c>
      <c r="U466" s="2">
        <f t="shared" si="119"/>
        <v>418</v>
      </c>
      <c r="V466" s="2" t="str">
        <f t="shared" si="115"/>
        <v>1A2</v>
      </c>
      <c r="W466" s="2" t="str">
        <f t="shared" si="116"/>
        <v/>
      </c>
      <c r="X466" s="2" t="str">
        <f t="shared" si="120"/>
        <v/>
      </c>
      <c r="Y466" s="2" t="str">
        <f t="shared" si="117"/>
        <v/>
      </c>
      <c r="Z466" s="2" t="str">
        <f t="shared" si="118"/>
        <v>X</v>
      </c>
      <c r="AA466" s="2" t="str">
        <f t="shared" si="121"/>
        <v/>
      </c>
      <c r="AB466" s="2" t="str">
        <f t="shared" si="122"/>
        <v/>
      </c>
      <c r="AC466" s="2" t="str">
        <f t="shared" si="123"/>
        <v/>
      </c>
      <c r="AD466" s="2" t="str">
        <f t="shared" si="124"/>
        <v>(0)</v>
      </c>
      <c r="AE466" s="2" t="str">
        <f t="shared" si="125"/>
        <v/>
      </c>
      <c r="AF466" s="2" t="str">
        <f t="shared" si="126"/>
        <v/>
      </c>
      <c r="AG466" s="2" t="str">
        <f t="shared" si="127"/>
        <v/>
      </c>
      <c r="AH466" s="2" t="str">
        <f t="shared" si="128"/>
        <v/>
      </c>
    </row>
    <row r="467" spans="2:34" x14ac:dyDescent="0.25">
      <c r="B467" s="2" t="s">
        <v>808</v>
      </c>
      <c r="C467" s="2" t="s">
        <v>766</v>
      </c>
      <c r="D467" s="2" t="s">
        <v>0</v>
      </c>
      <c r="E467" s="2" t="s">
        <v>130</v>
      </c>
      <c r="F467" s="2" t="s">
        <v>809</v>
      </c>
      <c r="G467" s="2" t="s">
        <v>810</v>
      </c>
      <c r="H467" s="2" t="s">
        <v>767</v>
      </c>
      <c r="I467" s="2" t="s">
        <v>41</v>
      </c>
      <c r="J467" s="2">
        <v>1</v>
      </c>
      <c r="K467" s="2" t="s">
        <v>81</v>
      </c>
      <c r="L467" s="2" t="s">
        <v>40</v>
      </c>
      <c r="M467" s="2" t="s">
        <v>5292</v>
      </c>
      <c r="N467" s="2" t="s">
        <v>5284</v>
      </c>
      <c r="O467" s="2" t="s">
        <v>5198</v>
      </c>
      <c r="P467" s="2" t="s">
        <v>4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1676</v>
      </c>
      <c r="T467" s="2" t="str">
        <f t="shared" si="114"/>
        <v>068C</v>
      </c>
      <c r="U467" s="2">
        <f t="shared" si="119"/>
        <v>419</v>
      </c>
      <c r="V467" s="2" t="str">
        <f t="shared" si="115"/>
        <v>1A3</v>
      </c>
      <c r="W467" s="2" t="str">
        <f t="shared" si="116"/>
        <v/>
      </c>
      <c r="X467" s="2" t="str">
        <f t="shared" si="120"/>
        <v/>
      </c>
      <c r="Y467" s="2" t="str">
        <f t="shared" si="117"/>
        <v/>
      </c>
      <c r="Z467" s="2" t="str">
        <f t="shared" si="118"/>
        <v>X</v>
      </c>
      <c r="AA467" s="2" t="str">
        <f t="shared" si="121"/>
        <v/>
      </c>
      <c r="AB467" s="2" t="str">
        <f t="shared" si="122"/>
        <v/>
      </c>
      <c r="AC467" s="2" t="str">
        <f t="shared" si="123"/>
        <v/>
      </c>
      <c r="AD467" s="2" t="str">
        <f t="shared" si="124"/>
        <v>(0)</v>
      </c>
      <c r="AE467" s="2" t="str">
        <f t="shared" si="125"/>
        <v/>
      </c>
      <c r="AF467" s="2" t="str">
        <f t="shared" si="126"/>
        <v/>
      </c>
      <c r="AG467" s="2" t="str">
        <f t="shared" si="127"/>
        <v/>
      </c>
      <c r="AH467" s="2" t="str">
        <f t="shared" si="128"/>
        <v/>
      </c>
    </row>
    <row r="468" spans="2:34" x14ac:dyDescent="0.25">
      <c r="B468" s="2" t="s">
        <v>808</v>
      </c>
      <c r="C468" s="2" t="s">
        <v>768</v>
      </c>
      <c r="D468" s="2" t="s">
        <v>0</v>
      </c>
      <c r="E468" s="2" t="s">
        <v>130</v>
      </c>
      <c r="F468" s="2" t="s">
        <v>809</v>
      </c>
      <c r="G468" s="2" t="s">
        <v>810</v>
      </c>
      <c r="H468" s="2" t="s">
        <v>769</v>
      </c>
      <c r="I468" s="2" t="s">
        <v>41</v>
      </c>
      <c r="J468" s="2">
        <v>1</v>
      </c>
      <c r="K468" s="2" t="s">
        <v>81</v>
      </c>
      <c r="L468" s="2" t="s">
        <v>40</v>
      </c>
      <c r="M468" s="2" t="s">
        <v>5292</v>
      </c>
      <c r="N468" s="2" t="s">
        <v>5284</v>
      </c>
      <c r="O468" s="2" t="s">
        <v>5199</v>
      </c>
      <c r="P468" s="2" t="s">
        <v>4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1680</v>
      </c>
      <c r="T468" s="2" t="str">
        <f t="shared" si="114"/>
        <v>0690</v>
      </c>
      <c r="U468" s="2">
        <f t="shared" si="119"/>
        <v>420</v>
      </c>
      <c r="V468" s="2" t="str">
        <f t="shared" si="115"/>
        <v>1A4</v>
      </c>
      <c r="W468" s="2" t="str">
        <f t="shared" si="116"/>
        <v/>
      </c>
      <c r="X468" s="2" t="str">
        <f t="shared" si="120"/>
        <v/>
      </c>
      <c r="Y468" s="2" t="str">
        <f t="shared" si="117"/>
        <v/>
      </c>
      <c r="Z468" s="2" t="str">
        <f t="shared" si="118"/>
        <v>X</v>
      </c>
      <c r="AA468" s="2" t="str">
        <f t="shared" si="121"/>
        <v/>
      </c>
      <c r="AB468" s="2" t="str">
        <f t="shared" si="122"/>
        <v/>
      </c>
      <c r="AC468" s="2" t="str">
        <f t="shared" si="123"/>
        <v/>
      </c>
      <c r="AD468" s="2" t="str">
        <f t="shared" si="124"/>
        <v>(0)</v>
      </c>
      <c r="AE468" s="2" t="str">
        <f t="shared" si="125"/>
        <v/>
      </c>
      <c r="AF468" s="2" t="str">
        <f t="shared" si="126"/>
        <v/>
      </c>
      <c r="AG468" s="2" t="str">
        <f t="shared" si="127"/>
        <v/>
      </c>
      <c r="AH468" s="2" t="str">
        <f t="shared" si="128"/>
        <v/>
      </c>
    </row>
    <row r="469" spans="2:34" x14ac:dyDescent="0.25">
      <c r="B469" s="2" t="s">
        <v>808</v>
      </c>
      <c r="C469" s="2" t="s">
        <v>770</v>
      </c>
      <c r="D469" s="2" t="s">
        <v>0</v>
      </c>
      <c r="E469" s="2" t="s">
        <v>130</v>
      </c>
      <c r="F469" s="2" t="s">
        <v>809</v>
      </c>
      <c r="G469" s="2" t="s">
        <v>810</v>
      </c>
      <c r="H469" s="2" t="s">
        <v>771</v>
      </c>
      <c r="I469" s="2" t="s">
        <v>41</v>
      </c>
      <c r="J469" s="2">
        <v>1</v>
      </c>
      <c r="K469" s="2" t="s">
        <v>81</v>
      </c>
      <c r="L469" s="2" t="s">
        <v>40</v>
      </c>
      <c r="M469" s="2" t="s">
        <v>5292</v>
      </c>
      <c r="N469" s="2" t="s">
        <v>5284</v>
      </c>
      <c r="O469" s="2" t="s">
        <v>5200</v>
      </c>
      <c r="P469" s="2" t="s">
        <v>4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1684</v>
      </c>
      <c r="T469" s="2" t="str">
        <f t="shared" si="114"/>
        <v>0694</v>
      </c>
      <c r="U469" s="2">
        <f t="shared" si="119"/>
        <v>421</v>
      </c>
      <c r="V469" s="2" t="str">
        <f t="shared" si="115"/>
        <v>1A5</v>
      </c>
      <c r="W469" s="2" t="str">
        <f t="shared" si="116"/>
        <v/>
      </c>
      <c r="X469" s="2" t="str">
        <f t="shared" si="120"/>
        <v/>
      </c>
      <c r="Y469" s="2" t="str">
        <f t="shared" si="117"/>
        <v/>
      </c>
      <c r="Z469" s="2" t="str">
        <f t="shared" si="118"/>
        <v>X</v>
      </c>
      <c r="AA469" s="2" t="str">
        <f t="shared" si="121"/>
        <v/>
      </c>
      <c r="AB469" s="2" t="str">
        <f t="shared" si="122"/>
        <v/>
      </c>
      <c r="AC469" s="2" t="str">
        <f t="shared" si="123"/>
        <v/>
      </c>
      <c r="AD469" s="2" t="str">
        <f t="shared" si="124"/>
        <v>(0)</v>
      </c>
      <c r="AE469" s="2" t="str">
        <f t="shared" si="125"/>
        <v/>
      </c>
      <c r="AF469" s="2" t="str">
        <f t="shared" si="126"/>
        <v/>
      </c>
      <c r="AG469" s="2" t="str">
        <f t="shared" si="127"/>
        <v/>
      </c>
      <c r="AH469" s="2" t="str">
        <f t="shared" si="128"/>
        <v/>
      </c>
    </row>
    <row r="470" spans="2:34" x14ac:dyDescent="0.25">
      <c r="B470" s="2" t="s">
        <v>808</v>
      </c>
      <c r="C470" s="2" t="s">
        <v>772</v>
      </c>
      <c r="D470" s="2" t="s">
        <v>0</v>
      </c>
      <c r="E470" s="2" t="s">
        <v>130</v>
      </c>
      <c r="F470" s="2" t="s">
        <v>809</v>
      </c>
      <c r="G470" s="2" t="s">
        <v>810</v>
      </c>
      <c r="H470" s="2" t="s">
        <v>773</v>
      </c>
      <c r="I470" s="2" t="s">
        <v>41</v>
      </c>
      <c r="J470" s="2">
        <v>1</v>
      </c>
      <c r="K470" s="2" t="s">
        <v>81</v>
      </c>
      <c r="L470" s="2" t="s">
        <v>40</v>
      </c>
      <c r="M470" s="2" t="s">
        <v>5292</v>
      </c>
      <c r="N470" s="2" t="s">
        <v>5284</v>
      </c>
      <c r="O470" s="2" t="s">
        <v>5201</v>
      </c>
      <c r="P470" s="2" t="s">
        <v>4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1688</v>
      </c>
      <c r="T470" s="2" t="str">
        <f t="shared" si="114"/>
        <v>0698</v>
      </c>
      <c r="U470" s="2">
        <f t="shared" si="119"/>
        <v>422</v>
      </c>
      <c r="V470" s="2" t="str">
        <f t="shared" si="115"/>
        <v>1A6</v>
      </c>
      <c r="W470" s="2" t="str">
        <f t="shared" si="116"/>
        <v/>
      </c>
      <c r="X470" s="2" t="str">
        <f t="shared" si="120"/>
        <v/>
      </c>
      <c r="Y470" s="2" t="str">
        <f t="shared" si="117"/>
        <v/>
      </c>
      <c r="Z470" s="2" t="str">
        <f t="shared" si="118"/>
        <v>X</v>
      </c>
      <c r="AA470" s="2" t="str">
        <f t="shared" si="121"/>
        <v/>
      </c>
      <c r="AB470" s="2" t="str">
        <f t="shared" si="122"/>
        <v/>
      </c>
      <c r="AC470" s="2" t="str">
        <f t="shared" si="123"/>
        <v/>
      </c>
      <c r="AD470" s="2" t="str">
        <f t="shared" si="124"/>
        <v>(0)</v>
      </c>
      <c r="AE470" s="2" t="str">
        <f t="shared" si="125"/>
        <v/>
      </c>
      <c r="AF470" s="2" t="str">
        <f t="shared" si="126"/>
        <v/>
      </c>
      <c r="AG470" s="2" t="str">
        <f t="shared" si="127"/>
        <v/>
      </c>
      <c r="AH470" s="2" t="str">
        <f t="shared" si="128"/>
        <v/>
      </c>
    </row>
    <row r="471" spans="2:34" x14ac:dyDescent="0.25">
      <c r="B471" s="2" t="s">
        <v>808</v>
      </c>
      <c r="C471" s="2" t="s">
        <v>774</v>
      </c>
      <c r="D471" s="2" t="s">
        <v>0</v>
      </c>
      <c r="E471" s="2" t="s">
        <v>130</v>
      </c>
      <c r="F471" s="2" t="s">
        <v>809</v>
      </c>
      <c r="G471" s="2" t="s">
        <v>810</v>
      </c>
      <c r="H471" s="2" t="s">
        <v>775</v>
      </c>
      <c r="I471" s="2" t="s">
        <v>41</v>
      </c>
      <c r="J471" s="2">
        <v>1</v>
      </c>
      <c r="K471" s="2" t="s">
        <v>81</v>
      </c>
      <c r="L471" s="2" t="s">
        <v>40</v>
      </c>
      <c r="M471" s="2" t="s">
        <v>5292</v>
      </c>
      <c r="N471" s="2" t="s">
        <v>5284</v>
      </c>
      <c r="O471" s="2" t="s">
        <v>5202</v>
      </c>
      <c r="P471" s="2" t="s">
        <v>4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1692</v>
      </c>
      <c r="T471" s="2" t="str">
        <f t="shared" si="114"/>
        <v>069C</v>
      </c>
      <c r="U471" s="2">
        <f t="shared" si="119"/>
        <v>423</v>
      </c>
      <c r="V471" s="2" t="str">
        <f t="shared" si="115"/>
        <v>1A7</v>
      </c>
      <c r="W471" s="2" t="str">
        <f t="shared" si="116"/>
        <v/>
      </c>
      <c r="X471" s="2" t="str">
        <f t="shared" si="120"/>
        <v/>
      </c>
      <c r="Y471" s="2" t="str">
        <f t="shared" si="117"/>
        <v/>
      </c>
      <c r="Z471" s="2" t="str">
        <f t="shared" si="118"/>
        <v>X</v>
      </c>
      <c r="AA471" s="2" t="str">
        <f t="shared" si="121"/>
        <v/>
      </c>
      <c r="AB471" s="2" t="str">
        <f t="shared" si="122"/>
        <v/>
      </c>
      <c r="AC471" s="2" t="str">
        <f t="shared" si="123"/>
        <v/>
      </c>
      <c r="AD471" s="2" t="str">
        <f t="shared" si="124"/>
        <v>(0)</v>
      </c>
      <c r="AE471" s="2" t="str">
        <f t="shared" si="125"/>
        <v/>
      </c>
      <c r="AF471" s="2" t="str">
        <f t="shared" si="126"/>
        <v/>
      </c>
      <c r="AG471" s="2" t="str">
        <f t="shared" si="127"/>
        <v/>
      </c>
      <c r="AH471" s="2" t="str">
        <f t="shared" si="128"/>
        <v/>
      </c>
    </row>
    <row r="472" spans="2:34" x14ac:dyDescent="0.25">
      <c r="B472" s="2" t="s">
        <v>808</v>
      </c>
      <c r="C472" s="2" t="s">
        <v>776</v>
      </c>
      <c r="D472" s="2" t="s">
        <v>0</v>
      </c>
      <c r="E472" s="2" t="s">
        <v>130</v>
      </c>
      <c r="F472" s="2" t="s">
        <v>809</v>
      </c>
      <c r="G472" s="2" t="s">
        <v>810</v>
      </c>
      <c r="H472" s="2" t="s">
        <v>777</v>
      </c>
      <c r="I472" s="2" t="s">
        <v>41</v>
      </c>
      <c r="J472" s="2">
        <v>1</v>
      </c>
      <c r="K472" s="2" t="s">
        <v>81</v>
      </c>
      <c r="L472" s="2" t="s">
        <v>40</v>
      </c>
      <c r="M472" s="2" t="s">
        <v>5292</v>
      </c>
      <c r="N472" s="2" t="s">
        <v>5284</v>
      </c>
      <c r="O472" s="2" t="s">
        <v>5203</v>
      </c>
      <c r="P472" s="2" t="s">
        <v>4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1696</v>
      </c>
      <c r="T472" s="2" t="str">
        <f t="shared" si="114"/>
        <v>06A0</v>
      </c>
      <c r="U472" s="2">
        <f t="shared" si="119"/>
        <v>424</v>
      </c>
      <c r="V472" s="2" t="str">
        <f t="shared" si="115"/>
        <v>1A8</v>
      </c>
      <c r="W472" s="2" t="str">
        <f t="shared" si="116"/>
        <v/>
      </c>
      <c r="X472" s="2" t="str">
        <f t="shared" si="120"/>
        <v/>
      </c>
      <c r="Y472" s="2" t="str">
        <f t="shared" si="117"/>
        <v/>
      </c>
      <c r="Z472" s="2" t="str">
        <f t="shared" si="118"/>
        <v>X</v>
      </c>
      <c r="AA472" s="2" t="str">
        <f t="shared" si="121"/>
        <v/>
      </c>
      <c r="AB472" s="2" t="str">
        <f t="shared" si="122"/>
        <v/>
      </c>
      <c r="AC472" s="2" t="str">
        <f t="shared" si="123"/>
        <v/>
      </c>
      <c r="AD472" s="2" t="str">
        <f t="shared" si="124"/>
        <v>(0)</v>
      </c>
      <c r="AE472" s="2" t="str">
        <f t="shared" si="125"/>
        <v/>
      </c>
      <c r="AF472" s="2" t="str">
        <f t="shared" si="126"/>
        <v/>
      </c>
      <c r="AG472" s="2" t="str">
        <f t="shared" si="127"/>
        <v/>
      </c>
      <c r="AH472" s="2" t="str">
        <f t="shared" si="128"/>
        <v/>
      </c>
    </row>
    <row r="473" spans="2:34" x14ac:dyDescent="0.25">
      <c r="B473" s="2" t="s">
        <v>808</v>
      </c>
      <c r="C473" s="2" t="s">
        <v>778</v>
      </c>
      <c r="D473" s="2" t="s">
        <v>0</v>
      </c>
      <c r="E473" s="2" t="s">
        <v>130</v>
      </c>
      <c r="F473" s="2" t="s">
        <v>809</v>
      </c>
      <c r="G473" s="2" t="s">
        <v>810</v>
      </c>
      <c r="H473" s="2" t="s">
        <v>779</v>
      </c>
      <c r="I473" s="2" t="s">
        <v>41</v>
      </c>
      <c r="J473" s="2">
        <v>1</v>
      </c>
      <c r="K473" s="2" t="s">
        <v>81</v>
      </c>
      <c r="L473" s="2" t="s">
        <v>40</v>
      </c>
      <c r="M473" s="2" t="s">
        <v>5292</v>
      </c>
      <c r="N473" s="2" t="s">
        <v>5284</v>
      </c>
      <c r="O473" s="2" t="s">
        <v>5204</v>
      </c>
      <c r="P473" s="2" t="s">
        <v>4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1700</v>
      </c>
      <c r="T473" s="2" t="str">
        <f t="shared" si="114"/>
        <v>06A4</v>
      </c>
      <c r="U473" s="2">
        <f t="shared" si="119"/>
        <v>425</v>
      </c>
      <c r="V473" s="2" t="str">
        <f t="shared" si="115"/>
        <v>1A9</v>
      </c>
      <c r="W473" s="2" t="str">
        <f t="shared" si="116"/>
        <v/>
      </c>
      <c r="X473" s="2" t="str">
        <f t="shared" si="120"/>
        <v/>
      </c>
      <c r="Y473" s="2" t="str">
        <f t="shared" si="117"/>
        <v/>
      </c>
      <c r="Z473" s="2" t="str">
        <f t="shared" si="118"/>
        <v>X</v>
      </c>
      <c r="AA473" s="2" t="str">
        <f t="shared" si="121"/>
        <v/>
      </c>
      <c r="AB473" s="2" t="str">
        <f t="shared" si="122"/>
        <v/>
      </c>
      <c r="AC473" s="2" t="str">
        <f t="shared" si="123"/>
        <v/>
      </c>
      <c r="AD473" s="2" t="str">
        <f t="shared" si="124"/>
        <v>(0)</v>
      </c>
      <c r="AE473" s="2" t="str">
        <f t="shared" si="125"/>
        <v/>
      </c>
      <c r="AF473" s="2" t="str">
        <f t="shared" si="126"/>
        <v/>
      </c>
      <c r="AG473" s="2" t="str">
        <f t="shared" si="127"/>
        <v/>
      </c>
      <c r="AH473" s="2" t="str">
        <f t="shared" si="128"/>
        <v/>
      </c>
    </row>
    <row r="474" spans="2:34" x14ac:dyDescent="0.25">
      <c r="B474" s="2" t="s">
        <v>808</v>
      </c>
      <c r="C474" s="2" t="s">
        <v>780</v>
      </c>
      <c r="D474" s="2" t="s">
        <v>0</v>
      </c>
      <c r="E474" s="2" t="s">
        <v>130</v>
      </c>
      <c r="F474" s="2" t="s">
        <v>809</v>
      </c>
      <c r="G474" s="2" t="s">
        <v>810</v>
      </c>
      <c r="H474" s="2" t="s">
        <v>781</v>
      </c>
      <c r="I474" s="2" t="s">
        <v>41</v>
      </c>
      <c r="J474" s="2">
        <v>1</v>
      </c>
      <c r="K474" s="2" t="s">
        <v>81</v>
      </c>
      <c r="L474" s="2" t="s">
        <v>40</v>
      </c>
      <c r="M474" s="2" t="s">
        <v>5292</v>
      </c>
      <c r="N474" s="2" t="s">
        <v>5284</v>
      </c>
      <c r="O474" s="2" t="s">
        <v>5205</v>
      </c>
      <c r="P474" s="2" t="s">
        <v>4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1704</v>
      </c>
      <c r="T474" s="2" t="str">
        <f t="shared" si="114"/>
        <v>06A8</v>
      </c>
      <c r="U474" s="2">
        <f t="shared" si="119"/>
        <v>426</v>
      </c>
      <c r="V474" s="2" t="str">
        <f t="shared" si="115"/>
        <v>1AA</v>
      </c>
      <c r="W474" s="2" t="str">
        <f t="shared" si="116"/>
        <v/>
      </c>
      <c r="X474" s="2" t="str">
        <f t="shared" si="120"/>
        <v/>
      </c>
      <c r="Y474" s="2" t="str">
        <f t="shared" si="117"/>
        <v/>
      </c>
      <c r="Z474" s="2" t="str">
        <f t="shared" si="118"/>
        <v>X</v>
      </c>
      <c r="AA474" s="2" t="str">
        <f t="shared" si="121"/>
        <v/>
      </c>
      <c r="AB474" s="2" t="str">
        <f t="shared" si="122"/>
        <v/>
      </c>
      <c r="AC474" s="2" t="str">
        <f t="shared" si="123"/>
        <v/>
      </c>
      <c r="AD474" s="2" t="str">
        <f t="shared" si="124"/>
        <v>(0)</v>
      </c>
      <c r="AE474" s="2" t="str">
        <f t="shared" si="125"/>
        <v/>
      </c>
      <c r="AF474" s="2" t="str">
        <f t="shared" si="126"/>
        <v/>
      </c>
      <c r="AG474" s="2" t="str">
        <f t="shared" si="127"/>
        <v/>
      </c>
      <c r="AH474" s="2" t="str">
        <f t="shared" si="128"/>
        <v/>
      </c>
    </row>
    <row r="475" spans="2:34" x14ac:dyDescent="0.25">
      <c r="B475" s="2" t="s">
        <v>808</v>
      </c>
      <c r="C475" s="2" t="s">
        <v>782</v>
      </c>
      <c r="D475" s="2" t="s">
        <v>0</v>
      </c>
      <c r="E475" s="2" t="s">
        <v>130</v>
      </c>
      <c r="F475" s="2" t="s">
        <v>809</v>
      </c>
      <c r="G475" s="2" t="s">
        <v>810</v>
      </c>
      <c r="H475" s="2" t="s">
        <v>783</v>
      </c>
      <c r="I475" s="2" t="s">
        <v>41</v>
      </c>
      <c r="J475" s="2">
        <v>1</v>
      </c>
      <c r="K475" s="2" t="s">
        <v>81</v>
      </c>
      <c r="L475" s="2" t="s">
        <v>40</v>
      </c>
      <c r="M475" s="2" t="s">
        <v>5292</v>
      </c>
      <c r="N475" s="2" t="s">
        <v>5284</v>
      </c>
      <c r="O475" s="2" t="s">
        <v>5206</v>
      </c>
      <c r="P475" s="2" t="s">
        <v>4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1708</v>
      </c>
      <c r="T475" s="2" t="str">
        <f t="shared" si="114"/>
        <v>06AC</v>
      </c>
      <c r="U475" s="2">
        <f t="shared" si="119"/>
        <v>427</v>
      </c>
      <c r="V475" s="2" t="str">
        <f t="shared" si="115"/>
        <v>1AB</v>
      </c>
      <c r="W475" s="2" t="str">
        <f t="shared" si="116"/>
        <v/>
      </c>
      <c r="X475" s="2" t="str">
        <f t="shared" si="120"/>
        <v/>
      </c>
      <c r="Y475" s="2" t="str">
        <f t="shared" si="117"/>
        <v/>
      </c>
      <c r="Z475" s="2" t="str">
        <f t="shared" si="118"/>
        <v>X</v>
      </c>
      <c r="AA475" s="2" t="str">
        <f t="shared" si="121"/>
        <v/>
      </c>
      <c r="AB475" s="2" t="str">
        <f t="shared" si="122"/>
        <v/>
      </c>
      <c r="AC475" s="2" t="str">
        <f t="shared" si="123"/>
        <v/>
      </c>
      <c r="AD475" s="2" t="str">
        <f t="shared" si="124"/>
        <v>(0)</v>
      </c>
      <c r="AE475" s="2" t="str">
        <f t="shared" si="125"/>
        <v/>
      </c>
      <c r="AF475" s="2" t="str">
        <f t="shared" si="126"/>
        <v/>
      </c>
      <c r="AG475" s="2" t="str">
        <f t="shared" si="127"/>
        <v/>
      </c>
      <c r="AH475" s="2" t="str">
        <f t="shared" si="128"/>
        <v/>
      </c>
    </row>
    <row r="476" spans="2:34" x14ac:dyDescent="0.25">
      <c r="B476" s="2" t="s">
        <v>808</v>
      </c>
      <c r="C476" s="2" t="s">
        <v>784</v>
      </c>
      <c r="D476" s="2" t="s">
        <v>0</v>
      </c>
      <c r="E476" s="2" t="s">
        <v>130</v>
      </c>
      <c r="F476" s="2" t="s">
        <v>809</v>
      </c>
      <c r="G476" s="2" t="s">
        <v>810</v>
      </c>
      <c r="H476" s="2" t="s">
        <v>785</v>
      </c>
      <c r="I476" s="2" t="s">
        <v>41</v>
      </c>
      <c r="J476" s="2">
        <v>1</v>
      </c>
      <c r="K476" s="2" t="s">
        <v>81</v>
      </c>
      <c r="L476" s="2" t="s">
        <v>40</v>
      </c>
      <c r="M476" s="2" t="s">
        <v>5292</v>
      </c>
      <c r="N476" s="2" t="s">
        <v>5284</v>
      </c>
      <c r="O476" s="2" t="s">
        <v>5207</v>
      </c>
      <c r="P476" s="2" t="s">
        <v>4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1712</v>
      </c>
      <c r="T476" s="2" t="str">
        <f t="shared" si="114"/>
        <v>06B0</v>
      </c>
      <c r="U476" s="2">
        <f t="shared" si="119"/>
        <v>428</v>
      </c>
      <c r="V476" s="2" t="str">
        <f t="shared" si="115"/>
        <v>1AC</v>
      </c>
      <c r="W476" s="2" t="str">
        <f t="shared" si="116"/>
        <v/>
      </c>
      <c r="X476" s="2" t="str">
        <f t="shared" si="120"/>
        <v/>
      </c>
      <c r="Y476" s="2" t="str">
        <f t="shared" si="117"/>
        <v/>
      </c>
      <c r="Z476" s="2" t="str">
        <f t="shared" si="118"/>
        <v>X</v>
      </c>
      <c r="AA476" s="2" t="str">
        <f t="shared" si="121"/>
        <v/>
      </c>
      <c r="AB476" s="2" t="str">
        <f t="shared" si="122"/>
        <v/>
      </c>
      <c r="AC476" s="2" t="str">
        <f t="shared" si="123"/>
        <v/>
      </c>
      <c r="AD476" s="2" t="str">
        <f t="shared" si="124"/>
        <v>(0)</v>
      </c>
      <c r="AE476" s="2" t="str">
        <f t="shared" si="125"/>
        <v/>
      </c>
      <c r="AF476" s="2" t="str">
        <f t="shared" si="126"/>
        <v/>
      </c>
      <c r="AG476" s="2" t="str">
        <f t="shared" si="127"/>
        <v/>
      </c>
      <c r="AH476" s="2" t="str">
        <f t="shared" si="128"/>
        <v/>
      </c>
    </row>
    <row r="477" spans="2:34" x14ac:dyDescent="0.25">
      <c r="B477" s="2" t="s">
        <v>808</v>
      </c>
      <c r="C477" s="2" t="s">
        <v>786</v>
      </c>
      <c r="D477" s="2" t="s">
        <v>0</v>
      </c>
      <c r="E477" s="2" t="s">
        <v>130</v>
      </c>
      <c r="F477" s="2" t="s">
        <v>809</v>
      </c>
      <c r="G477" s="2" t="s">
        <v>810</v>
      </c>
      <c r="H477" s="2" t="s">
        <v>787</v>
      </c>
      <c r="I477" s="2" t="s">
        <v>41</v>
      </c>
      <c r="J477" s="2">
        <v>1</v>
      </c>
      <c r="K477" s="2" t="s">
        <v>81</v>
      </c>
      <c r="L477" s="2" t="s">
        <v>40</v>
      </c>
      <c r="M477" s="2" t="s">
        <v>5292</v>
      </c>
      <c r="N477" s="2" t="s">
        <v>5284</v>
      </c>
      <c r="O477" s="2" t="s">
        <v>5208</v>
      </c>
      <c r="P477" s="2" t="s">
        <v>4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1716</v>
      </c>
      <c r="T477" s="2" t="str">
        <f t="shared" si="114"/>
        <v>06B4</v>
      </c>
      <c r="U477" s="2">
        <f t="shared" si="119"/>
        <v>429</v>
      </c>
      <c r="V477" s="2" t="str">
        <f t="shared" si="115"/>
        <v>1AD</v>
      </c>
      <c r="W477" s="2" t="str">
        <f t="shared" si="116"/>
        <v/>
      </c>
      <c r="X477" s="2" t="str">
        <f t="shared" si="120"/>
        <v/>
      </c>
      <c r="Y477" s="2" t="str">
        <f t="shared" si="117"/>
        <v/>
      </c>
      <c r="Z477" s="2" t="str">
        <f t="shared" si="118"/>
        <v>X</v>
      </c>
      <c r="AA477" s="2" t="str">
        <f t="shared" si="121"/>
        <v/>
      </c>
      <c r="AB477" s="2" t="str">
        <f t="shared" si="122"/>
        <v/>
      </c>
      <c r="AC477" s="2" t="str">
        <f t="shared" si="123"/>
        <v/>
      </c>
      <c r="AD477" s="2" t="str">
        <f t="shared" si="124"/>
        <v>(0)</v>
      </c>
      <c r="AE477" s="2" t="str">
        <f t="shared" si="125"/>
        <v/>
      </c>
      <c r="AF477" s="2" t="str">
        <f t="shared" si="126"/>
        <v/>
      </c>
      <c r="AG477" s="2" t="str">
        <f t="shared" si="127"/>
        <v/>
      </c>
      <c r="AH477" s="2" t="str">
        <f t="shared" si="128"/>
        <v/>
      </c>
    </row>
    <row r="478" spans="2:34" x14ac:dyDescent="0.25">
      <c r="B478" s="2" t="s">
        <v>808</v>
      </c>
      <c r="C478" s="2" t="s">
        <v>788</v>
      </c>
      <c r="D478" s="2" t="s">
        <v>0</v>
      </c>
      <c r="E478" s="2" t="s">
        <v>130</v>
      </c>
      <c r="F478" s="2" t="s">
        <v>809</v>
      </c>
      <c r="G478" s="2" t="s">
        <v>810</v>
      </c>
      <c r="H478" s="2" t="s">
        <v>789</v>
      </c>
      <c r="I478" s="2" t="s">
        <v>41</v>
      </c>
      <c r="J478" s="2">
        <v>1</v>
      </c>
      <c r="K478" s="2" t="s">
        <v>81</v>
      </c>
      <c r="L478" s="2" t="s">
        <v>40</v>
      </c>
      <c r="M478" s="2" t="s">
        <v>5292</v>
      </c>
      <c r="N478" s="2" t="s">
        <v>5284</v>
      </c>
      <c r="O478" s="2" t="s">
        <v>5209</v>
      </c>
      <c r="P478" s="2" t="s">
        <v>4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1720</v>
      </c>
      <c r="T478" s="2" t="str">
        <f t="shared" si="114"/>
        <v>06B8</v>
      </c>
      <c r="U478" s="2">
        <f t="shared" si="119"/>
        <v>430</v>
      </c>
      <c r="V478" s="2" t="str">
        <f t="shared" si="115"/>
        <v>1AE</v>
      </c>
      <c r="W478" s="2" t="str">
        <f t="shared" si="116"/>
        <v/>
      </c>
      <c r="X478" s="2" t="str">
        <f t="shared" si="120"/>
        <v/>
      </c>
      <c r="Y478" s="2" t="str">
        <f t="shared" si="117"/>
        <v/>
      </c>
      <c r="Z478" s="2" t="str">
        <f t="shared" si="118"/>
        <v>X</v>
      </c>
      <c r="AA478" s="2" t="str">
        <f t="shared" si="121"/>
        <v/>
      </c>
      <c r="AB478" s="2" t="str">
        <f t="shared" si="122"/>
        <v/>
      </c>
      <c r="AC478" s="2" t="str">
        <f t="shared" si="123"/>
        <v/>
      </c>
      <c r="AD478" s="2" t="str">
        <f t="shared" si="124"/>
        <v>(0)</v>
      </c>
      <c r="AE478" s="2" t="str">
        <f t="shared" si="125"/>
        <v/>
      </c>
      <c r="AF478" s="2" t="str">
        <f t="shared" si="126"/>
        <v/>
      </c>
      <c r="AG478" s="2" t="str">
        <f t="shared" si="127"/>
        <v/>
      </c>
      <c r="AH478" s="2" t="str">
        <f t="shared" si="128"/>
        <v/>
      </c>
    </row>
    <row r="479" spans="2:34" x14ac:dyDescent="0.25">
      <c r="B479" s="2" t="s">
        <v>808</v>
      </c>
      <c r="C479" s="2" t="s">
        <v>790</v>
      </c>
      <c r="D479" s="2" t="s">
        <v>0</v>
      </c>
      <c r="E479" s="2" t="s">
        <v>130</v>
      </c>
      <c r="F479" s="2" t="s">
        <v>809</v>
      </c>
      <c r="G479" s="2" t="s">
        <v>810</v>
      </c>
      <c r="H479" s="2" t="s">
        <v>791</v>
      </c>
      <c r="I479" s="2" t="s">
        <v>41</v>
      </c>
      <c r="J479" s="2">
        <v>1</v>
      </c>
      <c r="K479" s="2" t="s">
        <v>81</v>
      </c>
      <c r="L479" s="2" t="s">
        <v>40</v>
      </c>
      <c r="M479" s="2" t="s">
        <v>5292</v>
      </c>
      <c r="N479" s="2" t="s">
        <v>5284</v>
      </c>
      <c r="O479" s="2" t="s">
        <v>5210</v>
      </c>
      <c r="P479" s="2" t="s">
        <v>4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1724</v>
      </c>
      <c r="T479" s="2" t="str">
        <f t="shared" si="114"/>
        <v>06BC</v>
      </c>
      <c r="U479" s="2">
        <f t="shared" si="119"/>
        <v>431</v>
      </c>
      <c r="V479" s="2" t="str">
        <f t="shared" si="115"/>
        <v>1AF</v>
      </c>
      <c r="W479" s="2" t="str">
        <f t="shared" si="116"/>
        <v/>
      </c>
      <c r="X479" s="2" t="str">
        <f t="shared" si="120"/>
        <v/>
      </c>
      <c r="Y479" s="2" t="str">
        <f t="shared" si="117"/>
        <v/>
      </c>
      <c r="Z479" s="2" t="str">
        <f t="shared" si="118"/>
        <v>X</v>
      </c>
      <c r="AA479" s="2" t="str">
        <f t="shared" si="121"/>
        <v/>
      </c>
      <c r="AB479" s="2" t="str">
        <f t="shared" si="122"/>
        <v/>
      </c>
      <c r="AC479" s="2" t="str">
        <f t="shared" si="123"/>
        <v/>
      </c>
      <c r="AD479" s="2" t="str">
        <f t="shared" si="124"/>
        <v>(0)</v>
      </c>
      <c r="AE479" s="2" t="str">
        <f t="shared" si="125"/>
        <v/>
      </c>
      <c r="AF479" s="2" t="str">
        <f t="shared" si="126"/>
        <v/>
      </c>
      <c r="AG479" s="2" t="str">
        <f t="shared" si="127"/>
        <v/>
      </c>
      <c r="AH479" s="2" t="str">
        <f t="shared" si="128"/>
        <v/>
      </c>
    </row>
    <row r="480" spans="2:34" x14ac:dyDescent="0.25">
      <c r="B480" s="2" t="s">
        <v>808</v>
      </c>
      <c r="C480" s="2" t="s">
        <v>792</v>
      </c>
      <c r="D480" s="2" t="s">
        <v>0</v>
      </c>
      <c r="E480" s="2" t="s">
        <v>130</v>
      </c>
      <c r="F480" s="2" t="s">
        <v>809</v>
      </c>
      <c r="G480" s="2" t="s">
        <v>810</v>
      </c>
      <c r="H480" s="2" t="s">
        <v>793</v>
      </c>
      <c r="I480" s="2" t="s">
        <v>41</v>
      </c>
      <c r="J480" s="2">
        <v>1</v>
      </c>
      <c r="K480" s="2" t="s">
        <v>81</v>
      </c>
      <c r="L480" s="2" t="s">
        <v>40</v>
      </c>
      <c r="M480" s="2" t="s">
        <v>5292</v>
      </c>
      <c r="N480" s="2" t="s">
        <v>5284</v>
      </c>
      <c r="O480" s="2" t="s">
        <v>5211</v>
      </c>
      <c r="P480" s="2" t="s">
        <v>4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1728</v>
      </c>
      <c r="T480" s="2" t="str">
        <f t="shared" si="114"/>
        <v>06C0</v>
      </c>
      <c r="U480" s="2">
        <f t="shared" si="119"/>
        <v>432</v>
      </c>
      <c r="V480" s="2" t="str">
        <f t="shared" si="115"/>
        <v>1B0</v>
      </c>
      <c r="W480" s="2" t="str">
        <f t="shared" si="116"/>
        <v/>
      </c>
      <c r="X480" s="2" t="str">
        <f t="shared" si="120"/>
        <v/>
      </c>
      <c r="Y480" s="2" t="str">
        <f t="shared" si="117"/>
        <v/>
      </c>
      <c r="Z480" s="2" t="str">
        <f t="shared" si="118"/>
        <v>X</v>
      </c>
      <c r="AA480" s="2" t="str">
        <f t="shared" si="121"/>
        <v/>
      </c>
      <c r="AB480" s="2" t="str">
        <f t="shared" si="122"/>
        <v/>
      </c>
      <c r="AC480" s="2" t="str">
        <f t="shared" si="123"/>
        <v/>
      </c>
      <c r="AD480" s="2" t="str">
        <f t="shared" si="124"/>
        <v>(0)</v>
      </c>
      <c r="AE480" s="2" t="str">
        <f t="shared" si="125"/>
        <v/>
      </c>
      <c r="AF480" s="2" t="str">
        <f t="shared" si="126"/>
        <v/>
      </c>
      <c r="AG480" s="2" t="str">
        <f t="shared" si="127"/>
        <v/>
      </c>
      <c r="AH480" s="2" t="str">
        <f t="shared" si="128"/>
        <v/>
      </c>
    </row>
    <row r="481" spans="2:34" x14ac:dyDescent="0.25">
      <c r="B481" s="2" t="s">
        <v>808</v>
      </c>
      <c r="C481" s="2" t="s">
        <v>794</v>
      </c>
      <c r="D481" s="2" t="s">
        <v>0</v>
      </c>
      <c r="E481" s="2" t="s">
        <v>130</v>
      </c>
      <c r="F481" s="2" t="s">
        <v>809</v>
      </c>
      <c r="G481" s="2" t="s">
        <v>810</v>
      </c>
      <c r="H481" s="2" t="s">
        <v>795</v>
      </c>
      <c r="I481" s="2" t="s">
        <v>41</v>
      </c>
      <c r="J481" s="2">
        <v>1</v>
      </c>
      <c r="K481" s="2" t="s">
        <v>81</v>
      </c>
      <c r="L481" s="2" t="s">
        <v>40</v>
      </c>
      <c r="M481" s="2" t="s">
        <v>5292</v>
      </c>
      <c r="N481" s="2" t="s">
        <v>5284</v>
      </c>
      <c r="O481" s="2" t="s">
        <v>5212</v>
      </c>
      <c r="P481" s="2" t="s">
        <v>4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1732</v>
      </c>
      <c r="T481" s="2" t="str">
        <f t="shared" si="114"/>
        <v>06C4</v>
      </c>
      <c r="U481" s="2">
        <f t="shared" si="119"/>
        <v>433</v>
      </c>
      <c r="V481" s="2" t="str">
        <f t="shared" si="115"/>
        <v>1B1</v>
      </c>
      <c r="W481" s="2" t="str">
        <f t="shared" si="116"/>
        <v/>
      </c>
      <c r="X481" s="2" t="str">
        <f t="shared" si="120"/>
        <v/>
      </c>
      <c r="Y481" s="2" t="str">
        <f t="shared" si="117"/>
        <v/>
      </c>
      <c r="Z481" s="2" t="str">
        <f t="shared" si="118"/>
        <v>X</v>
      </c>
      <c r="AA481" s="2" t="str">
        <f t="shared" si="121"/>
        <v/>
      </c>
      <c r="AB481" s="2" t="str">
        <f t="shared" si="122"/>
        <v/>
      </c>
      <c r="AC481" s="2" t="str">
        <f t="shared" si="123"/>
        <v/>
      </c>
      <c r="AD481" s="2" t="str">
        <f t="shared" si="124"/>
        <v>(0)</v>
      </c>
      <c r="AE481" s="2" t="str">
        <f t="shared" si="125"/>
        <v/>
      </c>
      <c r="AF481" s="2" t="str">
        <f t="shared" si="126"/>
        <v/>
      </c>
      <c r="AG481" s="2" t="str">
        <f t="shared" si="127"/>
        <v/>
      </c>
      <c r="AH481" s="2" t="str">
        <f t="shared" si="128"/>
        <v/>
      </c>
    </row>
    <row r="482" spans="2:34" x14ac:dyDescent="0.25">
      <c r="B482" s="2" t="s">
        <v>808</v>
      </c>
      <c r="C482" s="2" t="s">
        <v>796</v>
      </c>
      <c r="D482" s="2" t="s">
        <v>0</v>
      </c>
      <c r="E482" s="2" t="s">
        <v>130</v>
      </c>
      <c r="F482" s="2" t="s">
        <v>809</v>
      </c>
      <c r="G482" s="2" t="s">
        <v>810</v>
      </c>
      <c r="H482" s="2" t="s">
        <v>797</v>
      </c>
      <c r="I482" s="2" t="s">
        <v>41</v>
      </c>
      <c r="J482" s="2">
        <v>1</v>
      </c>
      <c r="K482" s="2" t="s">
        <v>81</v>
      </c>
      <c r="L482" s="2" t="s">
        <v>40</v>
      </c>
      <c r="M482" s="2" t="s">
        <v>5292</v>
      </c>
      <c r="N482" s="2" t="s">
        <v>5284</v>
      </c>
      <c r="O482" s="2" t="s">
        <v>5213</v>
      </c>
      <c r="P482" s="2" t="s">
        <v>4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1736</v>
      </c>
      <c r="T482" s="2" t="str">
        <f t="shared" si="114"/>
        <v>06C8</v>
      </c>
      <c r="U482" s="2">
        <f t="shared" si="119"/>
        <v>434</v>
      </c>
      <c r="V482" s="2" t="str">
        <f t="shared" si="115"/>
        <v>1B2</v>
      </c>
      <c r="W482" s="2" t="str">
        <f t="shared" si="116"/>
        <v/>
      </c>
      <c r="X482" s="2" t="str">
        <f t="shared" si="120"/>
        <v/>
      </c>
      <c r="Y482" s="2" t="str">
        <f t="shared" si="117"/>
        <v/>
      </c>
      <c r="Z482" s="2" t="str">
        <f t="shared" si="118"/>
        <v>X</v>
      </c>
      <c r="AA482" s="2" t="str">
        <f t="shared" si="121"/>
        <v/>
      </c>
      <c r="AB482" s="2" t="str">
        <f t="shared" si="122"/>
        <v/>
      </c>
      <c r="AC482" s="2" t="str">
        <f t="shared" si="123"/>
        <v/>
      </c>
      <c r="AD482" s="2" t="str">
        <f t="shared" si="124"/>
        <v>(0)</v>
      </c>
      <c r="AE482" s="2" t="str">
        <f t="shared" si="125"/>
        <v/>
      </c>
      <c r="AF482" s="2" t="str">
        <f t="shared" si="126"/>
        <v/>
      </c>
      <c r="AG482" s="2" t="str">
        <f t="shared" si="127"/>
        <v/>
      </c>
      <c r="AH482" s="2" t="str">
        <f t="shared" si="128"/>
        <v/>
      </c>
    </row>
    <row r="483" spans="2:34" x14ac:dyDescent="0.25">
      <c r="B483" s="2" t="s">
        <v>808</v>
      </c>
      <c r="C483" s="2" t="s">
        <v>798</v>
      </c>
      <c r="D483" s="2" t="s">
        <v>0</v>
      </c>
      <c r="E483" s="2" t="s">
        <v>130</v>
      </c>
      <c r="F483" s="2" t="s">
        <v>809</v>
      </c>
      <c r="G483" s="2" t="s">
        <v>810</v>
      </c>
      <c r="H483" s="2" t="s">
        <v>799</v>
      </c>
      <c r="I483" s="2" t="s">
        <v>41</v>
      </c>
      <c r="J483" s="2">
        <v>1</v>
      </c>
      <c r="K483" s="2" t="s">
        <v>81</v>
      </c>
      <c r="L483" s="2" t="s">
        <v>40</v>
      </c>
      <c r="M483" s="2" t="s">
        <v>5292</v>
      </c>
      <c r="N483" s="2" t="s">
        <v>5284</v>
      </c>
      <c r="O483" s="2" t="s">
        <v>5214</v>
      </c>
      <c r="P483" s="2" t="s">
        <v>4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1740</v>
      </c>
      <c r="T483" s="2" t="str">
        <f t="shared" si="114"/>
        <v>06CC</v>
      </c>
      <c r="U483" s="2">
        <f t="shared" si="119"/>
        <v>435</v>
      </c>
      <c r="V483" s="2" t="str">
        <f t="shared" si="115"/>
        <v>1B3</v>
      </c>
      <c r="W483" s="2" t="str">
        <f t="shared" si="116"/>
        <v/>
      </c>
      <c r="X483" s="2" t="str">
        <f t="shared" si="120"/>
        <v/>
      </c>
      <c r="Y483" s="2" t="str">
        <f t="shared" si="117"/>
        <v/>
      </c>
      <c r="Z483" s="2" t="str">
        <f t="shared" si="118"/>
        <v>X</v>
      </c>
      <c r="AA483" s="2" t="str">
        <f t="shared" si="121"/>
        <v/>
      </c>
      <c r="AB483" s="2" t="str">
        <f t="shared" si="122"/>
        <v/>
      </c>
      <c r="AC483" s="2" t="str">
        <f t="shared" si="123"/>
        <v/>
      </c>
      <c r="AD483" s="2" t="str">
        <f t="shared" si="124"/>
        <v>(0)</v>
      </c>
      <c r="AE483" s="2" t="str">
        <f t="shared" si="125"/>
        <v/>
      </c>
      <c r="AF483" s="2" t="str">
        <f t="shared" si="126"/>
        <v/>
      </c>
      <c r="AG483" s="2" t="str">
        <f t="shared" si="127"/>
        <v/>
      </c>
      <c r="AH483" s="2" t="str">
        <f t="shared" si="128"/>
        <v/>
      </c>
    </row>
    <row r="484" spans="2:34" x14ac:dyDescent="0.25">
      <c r="B484" s="2" t="s">
        <v>808</v>
      </c>
      <c r="C484" s="2" t="s">
        <v>800</v>
      </c>
      <c r="D484" s="2" t="s">
        <v>0</v>
      </c>
      <c r="E484" s="2" t="s">
        <v>130</v>
      </c>
      <c r="F484" s="2" t="s">
        <v>809</v>
      </c>
      <c r="G484" s="2" t="s">
        <v>810</v>
      </c>
      <c r="H484" s="2" t="s">
        <v>801</v>
      </c>
      <c r="I484" s="2" t="s">
        <v>41</v>
      </c>
      <c r="J484" s="2">
        <v>1</v>
      </c>
      <c r="K484" s="2" t="s">
        <v>81</v>
      </c>
      <c r="L484" s="2" t="s">
        <v>40</v>
      </c>
      <c r="M484" s="2" t="s">
        <v>5292</v>
      </c>
      <c r="N484" s="2" t="s">
        <v>5284</v>
      </c>
      <c r="O484" s="2" t="s">
        <v>5215</v>
      </c>
      <c r="P484" s="2" t="s">
        <v>4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1744</v>
      </c>
      <c r="T484" s="2" t="str">
        <f t="shared" si="114"/>
        <v>06D0</v>
      </c>
      <c r="U484" s="2">
        <f t="shared" si="119"/>
        <v>436</v>
      </c>
      <c r="V484" s="2" t="str">
        <f t="shared" si="115"/>
        <v>1B4</v>
      </c>
      <c r="W484" s="2" t="str">
        <f t="shared" si="116"/>
        <v/>
      </c>
      <c r="X484" s="2" t="str">
        <f t="shared" si="120"/>
        <v/>
      </c>
      <c r="Y484" s="2" t="str">
        <f t="shared" si="117"/>
        <v/>
      </c>
      <c r="Z484" s="2" t="str">
        <f t="shared" si="118"/>
        <v>X</v>
      </c>
      <c r="AA484" s="2" t="str">
        <f t="shared" si="121"/>
        <v/>
      </c>
      <c r="AB484" s="2" t="str">
        <f t="shared" si="122"/>
        <v/>
      </c>
      <c r="AC484" s="2" t="str">
        <f t="shared" si="123"/>
        <v/>
      </c>
      <c r="AD484" s="2" t="str">
        <f t="shared" si="124"/>
        <v>(0)</v>
      </c>
      <c r="AE484" s="2" t="str">
        <f t="shared" si="125"/>
        <v/>
      </c>
      <c r="AF484" s="2" t="str">
        <f t="shared" si="126"/>
        <v/>
      </c>
      <c r="AG484" s="2" t="str">
        <f t="shared" si="127"/>
        <v/>
      </c>
      <c r="AH484" s="2" t="str">
        <f t="shared" si="128"/>
        <v/>
      </c>
    </row>
    <row r="485" spans="2:34" x14ac:dyDescent="0.25">
      <c r="B485" s="2" t="s">
        <v>811</v>
      </c>
      <c r="C485" s="2" t="s">
        <v>340</v>
      </c>
      <c r="D485" s="2" t="s">
        <v>0</v>
      </c>
      <c r="E485" s="2" t="s">
        <v>130</v>
      </c>
      <c r="F485" s="2" t="s">
        <v>812</v>
      </c>
      <c r="G485" s="2" t="s">
        <v>813</v>
      </c>
      <c r="H485" s="2" t="s">
        <v>343</v>
      </c>
      <c r="I485" s="2" t="s">
        <v>41</v>
      </c>
      <c r="J485" s="2">
        <v>1</v>
      </c>
      <c r="K485" s="2" t="s">
        <v>81</v>
      </c>
      <c r="L485" s="2" t="s">
        <v>40</v>
      </c>
      <c r="M485" s="2" t="s">
        <v>5292</v>
      </c>
      <c r="N485" s="2" t="s">
        <v>5285</v>
      </c>
      <c r="O485" s="2" t="s">
        <v>5057</v>
      </c>
      <c r="P485" s="2" t="s">
        <v>4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1748</v>
      </c>
      <c r="T485" s="2" t="str">
        <f t="shared" si="114"/>
        <v>06D4</v>
      </c>
      <c r="U485" s="2">
        <f t="shared" si="119"/>
        <v>437</v>
      </c>
      <c r="V485" s="2" t="str">
        <f t="shared" si="115"/>
        <v>1B5</v>
      </c>
      <c r="W485" s="2" t="str">
        <f t="shared" si="116"/>
        <v/>
      </c>
      <c r="X485" s="2" t="str">
        <f t="shared" si="120"/>
        <v/>
      </c>
      <c r="Y485" s="2" t="str">
        <f t="shared" si="117"/>
        <v/>
      </c>
      <c r="Z485" s="2" t="str">
        <f t="shared" si="118"/>
        <v>X</v>
      </c>
      <c r="AA485" s="2" t="str">
        <f t="shared" si="121"/>
        <v/>
      </c>
      <c r="AB485" s="2" t="str">
        <f t="shared" si="122"/>
        <v/>
      </c>
      <c r="AC485" s="2" t="str">
        <f t="shared" si="123"/>
        <v/>
      </c>
      <c r="AD485" s="2" t="str">
        <f t="shared" si="124"/>
        <v>(0)</v>
      </c>
      <c r="AE485" s="2" t="str">
        <f t="shared" si="125"/>
        <v/>
      </c>
      <c r="AF485" s="2" t="str">
        <f t="shared" si="126"/>
        <v/>
      </c>
      <c r="AG485" s="2" t="str">
        <f t="shared" si="127"/>
        <v/>
      </c>
      <c r="AH485" s="2" t="str">
        <f t="shared" si="128"/>
        <v/>
      </c>
    </row>
    <row r="486" spans="2:34" x14ac:dyDescent="0.25">
      <c r="B486" s="2" t="s">
        <v>811</v>
      </c>
      <c r="C486" s="2" t="s">
        <v>344</v>
      </c>
      <c r="D486" s="2" t="s">
        <v>0</v>
      </c>
      <c r="E486" s="2" t="s">
        <v>130</v>
      </c>
      <c r="F486" s="2" t="s">
        <v>812</v>
      </c>
      <c r="G486" s="2" t="s">
        <v>813</v>
      </c>
      <c r="H486" s="2" t="s">
        <v>345</v>
      </c>
      <c r="I486" s="2" t="s">
        <v>41</v>
      </c>
      <c r="J486" s="2">
        <v>1</v>
      </c>
      <c r="K486" s="2" t="s">
        <v>81</v>
      </c>
      <c r="L486" s="2" t="s">
        <v>40</v>
      </c>
      <c r="M486" s="2" t="s">
        <v>5292</v>
      </c>
      <c r="N486" s="2" t="s">
        <v>5285</v>
      </c>
      <c r="O486" s="2" t="s">
        <v>5058</v>
      </c>
      <c r="P486" s="2" t="s">
        <v>4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1752</v>
      </c>
      <c r="T486" s="2" t="str">
        <f t="shared" si="114"/>
        <v>06D8</v>
      </c>
      <c r="U486" s="2">
        <f t="shared" si="119"/>
        <v>438</v>
      </c>
      <c r="V486" s="2" t="str">
        <f t="shared" si="115"/>
        <v>1B6</v>
      </c>
      <c r="W486" s="2" t="str">
        <f t="shared" si="116"/>
        <v/>
      </c>
      <c r="X486" s="2" t="str">
        <f t="shared" si="120"/>
        <v/>
      </c>
      <c r="Y486" s="2" t="str">
        <f t="shared" si="117"/>
        <v/>
      </c>
      <c r="Z486" s="2" t="str">
        <f t="shared" si="118"/>
        <v>X</v>
      </c>
      <c r="AA486" s="2" t="str">
        <f t="shared" si="121"/>
        <v/>
      </c>
      <c r="AB486" s="2" t="str">
        <f t="shared" si="122"/>
        <v/>
      </c>
      <c r="AC486" s="2" t="str">
        <f t="shared" si="123"/>
        <v/>
      </c>
      <c r="AD486" s="2" t="str">
        <f t="shared" si="124"/>
        <v>(0)</v>
      </c>
      <c r="AE486" s="2" t="str">
        <f t="shared" si="125"/>
        <v/>
      </c>
      <c r="AF486" s="2" t="str">
        <f t="shared" si="126"/>
        <v/>
      </c>
      <c r="AG486" s="2" t="str">
        <f t="shared" si="127"/>
        <v/>
      </c>
      <c r="AH486" s="2" t="str">
        <f t="shared" si="128"/>
        <v/>
      </c>
    </row>
    <row r="487" spans="2:34" x14ac:dyDescent="0.25">
      <c r="B487" s="2" t="s">
        <v>811</v>
      </c>
      <c r="C487" s="2" t="s">
        <v>346</v>
      </c>
      <c r="D487" s="2" t="s">
        <v>0</v>
      </c>
      <c r="E487" s="2" t="s">
        <v>130</v>
      </c>
      <c r="F487" s="2" t="s">
        <v>812</v>
      </c>
      <c r="G487" s="2" t="s">
        <v>813</v>
      </c>
      <c r="H487" s="2" t="s">
        <v>347</v>
      </c>
      <c r="I487" s="2" t="s">
        <v>41</v>
      </c>
      <c r="J487" s="2">
        <v>1</v>
      </c>
      <c r="K487" s="2" t="s">
        <v>81</v>
      </c>
      <c r="L487" s="2" t="s">
        <v>40</v>
      </c>
      <c r="M487" s="2" t="s">
        <v>5292</v>
      </c>
      <c r="N487" s="2" t="s">
        <v>5285</v>
      </c>
      <c r="O487" s="2" t="s">
        <v>5059</v>
      </c>
      <c r="P487" s="2" t="s">
        <v>4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1756</v>
      </c>
      <c r="T487" s="2" t="str">
        <f t="shared" si="114"/>
        <v>06DC</v>
      </c>
      <c r="U487" s="2">
        <f t="shared" si="119"/>
        <v>439</v>
      </c>
      <c r="V487" s="2" t="str">
        <f t="shared" si="115"/>
        <v>1B7</v>
      </c>
      <c r="W487" s="2" t="str">
        <f t="shared" si="116"/>
        <v/>
      </c>
      <c r="X487" s="2" t="str">
        <f t="shared" si="120"/>
        <v/>
      </c>
      <c r="Y487" s="2" t="str">
        <f t="shared" si="117"/>
        <v/>
      </c>
      <c r="Z487" s="2" t="str">
        <f t="shared" si="118"/>
        <v>X</v>
      </c>
      <c r="AA487" s="2" t="str">
        <f t="shared" si="121"/>
        <v/>
      </c>
      <c r="AB487" s="2" t="str">
        <f t="shared" si="122"/>
        <v/>
      </c>
      <c r="AC487" s="2" t="str">
        <f t="shared" si="123"/>
        <v/>
      </c>
      <c r="AD487" s="2" t="str">
        <f t="shared" si="124"/>
        <v>(0)</v>
      </c>
      <c r="AE487" s="2" t="str">
        <f t="shared" si="125"/>
        <v/>
      </c>
      <c r="AF487" s="2" t="str">
        <f t="shared" si="126"/>
        <v/>
      </c>
      <c r="AG487" s="2" t="str">
        <f t="shared" si="127"/>
        <v/>
      </c>
      <c r="AH487" s="2" t="str">
        <f t="shared" si="128"/>
        <v/>
      </c>
    </row>
    <row r="488" spans="2:34" x14ac:dyDescent="0.25">
      <c r="B488" s="2" t="s">
        <v>811</v>
      </c>
      <c r="C488" s="2" t="s">
        <v>348</v>
      </c>
      <c r="D488" s="2" t="s">
        <v>0</v>
      </c>
      <c r="E488" s="2" t="s">
        <v>130</v>
      </c>
      <c r="F488" s="2" t="s">
        <v>812</v>
      </c>
      <c r="G488" s="2" t="s">
        <v>813</v>
      </c>
      <c r="H488" s="2" t="s">
        <v>349</v>
      </c>
      <c r="I488" s="2" t="s">
        <v>41</v>
      </c>
      <c r="J488" s="2">
        <v>1</v>
      </c>
      <c r="K488" s="2" t="s">
        <v>81</v>
      </c>
      <c r="L488" s="2" t="s">
        <v>40</v>
      </c>
      <c r="M488" s="2" t="s">
        <v>5292</v>
      </c>
      <c r="N488" s="2" t="s">
        <v>5285</v>
      </c>
      <c r="O488" s="2" t="s">
        <v>5060</v>
      </c>
      <c r="P488" s="2" t="s">
        <v>4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1760</v>
      </c>
      <c r="T488" s="2" t="str">
        <f t="shared" si="114"/>
        <v>06E0</v>
      </c>
      <c r="U488" s="2">
        <f t="shared" si="119"/>
        <v>440</v>
      </c>
      <c r="V488" s="2" t="str">
        <f t="shared" si="115"/>
        <v>1B8</v>
      </c>
      <c r="W488" s="2" t="str">
        <f t="shared" si="116"/>
        <v/>
      </c>
      <c r="X488" s="2" t="str">
        <f t="shared" si="120"/>
        <v/>
      </c>
      <c r="Y488" s="2" t="str">
        <f t="shared" si="117"/>
        <v/>
      </c>
      <c r="Z488" s="2" t="str">
        <f t="shared" si="118"/>
        <v>X</v>
      </c>
      <c r="AA488" s="2" t="str">
        <f t="shared" si="121"/>
        <v/>
      </c>
      <c r="AB488" s="2" t="str">
        <f t="shared" si="122"/>
        <v/>
      </c>
      <c r="AC488" s="2" t="str">
        <f t="shared" si="123"/>
        <v/>
      </c>
      <c r="AD488" s="2" t="str">
        <f t="shared" si="124"/>
        <v>(0)</v>
      </c>
      <c r="AE488" s="2" t="str">
        <f t="shared" si="125"/>
        <v/>
      </c>
      <c r="AF488" s="2" t="str">
        <f t="shared" si="126"/>
        <v/>
      </c>
      <c r="AG488" s="2" t="str">
        <f t="shared" si="127"/>
        <v/>
      </c>
      <c r="AH488" s="2" t="str">
        <f t="shared" si="128"/>
        <v/>
      </c>
    </row>
    <row r="489" spans="2:34" x14ac:dyDescent="0.25">
      <c r="B489" s="2" t="s">
        <v>811</v>
      </c>
      <c r="C489" s="2" t="s">
        <v>350</v>
      </c>
      <c r="D489" s="2" t="s">
        <v>0</v>
      </c>
      <c r="E489" s="2" t="s">
        <v>130</v>
      </c>
      <c r="F489" s="2" t="s">
        <v>812</v>
      </c>
      <c r="G489" s="2" t="s">
        <v>813</v>
      </c>
      <c r="H489" s="2" t="s">
        <v>351</v>
      </c>
      <c r="I489" s="2" t="s">
        <v>41</v>
      </c>
      <c r="J489" s="2">
        <v>1</v>
      </c>
      <c r="K489" s="2" t="s">
        <v>81</v>
      </c>
      <c r="L489" s="2" t="s">
        <v>40</v>
      </c>
      <c r="M489" s="2" t="s">
        <v>5292</v>
      </c>
      <c r="N489" s="2" t="s">
        <v>5285</v>
      </c>
      <c r="O489" s="2" t="s">
        <v>5061</v>
      </c>
      <c r="P489" s="2" t="s">
        <v>4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1764</v>
      </c>
      <c r="T489" s="2" t="str">
        <f t="shared" si="114"/>
        <v>06E4</v>
      </c>
      <c r="U489" s="2">
        <f t="shared" si="119"/>
        <v>441</v>
      </c>
      <c r="V489" s="2" t="str">
        <f t="shared" si="115"/>
        <v>1B9</v>
      </c>
      <c r="W489" s="2" t="str">
        <f t="shared" si="116"/>
        <v/>
      </c>
      <c r="X489" s="2" t="str">
        <f t="shared" si="120"/>
        <v/>
      </c>
      <c r="Y489" s="2" t="str">
        <f t="shared" si="117"/>
        <v/>
      </c>
      <c r="Z489" s="2" t="str">
        <f t="shared" si="118"/>
        <v>X</v>
      </c>
      <c r="AA489" s="2" t="str">
        <f t="shared" si="121"/>
        <v/>
      </c>
      <c r="AB489" s="2" t="str">
        <f t="shared" si="122"/>
        <v/>
      </c>
      <c r="AC489" s="2" t="str">
        <f t="shared" si="123"/>
        <v/>
      </c>
      <c r="AD489" s="2" t="str">
        <f t="shared" si="124"/>
        <v>(0)</v>
      </c>
      <c r="AE489" s="2" t="str">
        <f t="shared" si="125"/>
        <v/>
      </c>
      <c r="AF489" s="2" t="str">
        <f t="shared" si="126"/>
        <v/>
      </c>
      <c r="AG489" s="2" t="str">
        <f t="shared" si="127"/>
        <v/>
      </c>
      <c r="AH489" s="2" t="str">
        <f t="shared" si="128"/>
        <v/>
      </c>
    </row>
    <row r="490" spans="2:34" x14ac:dyDescent="0.25">
      <c r="B490" s="2" t="s">
        <v>811</v>
      </c>
      <c r="C490" s="2" t="s">
        <v>352</v>
      </c>
      <c r="D490" s="2" t="s">
        <v>0</v>
      </c>
      <c r="E490" s="2" t="s">
        <v>130</v>
      </c>
      <c r="F490" s="2" t="s">
        <v>812</v>
      </c>
      <c r="G490" s="2" t="s">
        <v>813</v>
      </c>
      <c r="H490" s="2" t="s">
        <v>353</v>
      </c>
      <c r="I490" s="2" t="s">
        <v>41</v>
      </c>
      <c r="J490" s="2">
        <v>1</v>
      </c>
      <c r="K490" s="2" t="s">
        <v>81</v>
      </c>
      <c r="L490" s="2" t="s">
        <v>40</v>
      </c>
      <c r="M490" s="2" t="s">
        <v>5292</v>
      </c>
      <c r="N490" s="2" t="s">
        <v>5285</v>
      </c>
      <c r="O490" s="2" t="s">
        <v>5062</v>
      </c>
      <c r="P490" s="2" t="s">
        <v>4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1768</v>
      </c>
      <c r="T490" s="2" t="str">
        <f t="shared" si="114"/>
        <v>06E8</v>
      </c>
      <c r="U490" s="2">
        <f t="shared" si="119"/>
        <v>442</v>
      </c>
      <c r="V490" s="2" t="str">
        <f t="shared" si="115"/>
        <v>1BA</v>
      </c>
      <c r="W490" s="2" t="str">
        <f t="shared" si="116"/>
        <v/>
      </c>
      <c r="X490" s="2" t="str">
        <f t="shared" si="120"/>
        <v/>
      </c>
      <c r="Y490" s="2" t="str">
        <f t="shared" si="117"/>
        <v/>
      </c>
      <c r="Z490" s="2" t="str">
        <f t="shared" si="118"/>
        <v>X</v>
      </c>
      <c r="AA490" s="2" t="str">
        <f t="shared" si="121"/>
        <v/>
      </c>
      <c r="AB490" s="2" t="str">
        <f t="shared" si="122"/>
        <v/>
      </c>
      <c r="AC490" s="2" t="str">
        <f t="shared" si="123"/>
        <v/>
      </c>
      <c r="AD490" s="2" t="str">
        <f t="shared" si="124"/>
        <v>(0)</v>
      </c>
      <c r="AE490" s="2" t="str">
        <f t="shared" si="125"/>
        <v/>
      </c>
      <c r="AF490" s="2" t="str">
        <f t="shared" si="126"/>
        <v/>
      </c>
      <c r="AG490" s="2" t="str">
        <f t="shared" si="127"/>
        <v/>
      </c>
      <c r="AH490" s="2" t="str">
        <f t="shared" si="128"/>
        <v/>
      </c>
    </row>
    <row r="491" spans="2:34" x14ac:dyDescent="0.25">
      <c r="B491" s="2" t="s">
        <v>811</v>
      </c>
      <c r="C491" s="2" t="s">
        <v>354</v>
      </c>
      <c r="D491" s="2" t="s">
        <v>0</v>
      </c>
      <c r="E491" s="2" t="s">
        <v>130</v>
      </c>
      <c r="F491" s="2" t="s">
        <v>812</v>
      </c>
      <c r="G491" s="2" t="s">
        <v>813</v>
      </c>
      <c r="H491" s="2" t="s">
        <v>355</v>
      </c>
      <c r="I491" s="2" t="s">
        <v>41</v>
      </c>
      <c r="J491" s="2">
        <v>1</v>
      </c>
      <c r="K491" s="2" t="s">
        <v>81</v>
      </c>
      <c r="L491" s="2" t="s">
        <v>40</v>
      </c>
      <c r="M491" s="2" t="s">
        <v>5292</v>
      </c>
      <c r="N491" s="2" t="s">
        <v>5285</v>
      </c>
      <c r="O491" s="2" t="s">
        <v>5063</v>
      </c>
      <c r="P491" s="2" t="s">
        <v>4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1772</v>
      </c>
      <c r="T491" s="2" t="str">
        <f t="shared" si="114"/>
        <v>06EC</v>
      </c>
      <c r="U491" s="2">
        <f t="shared" si="119"/>
        <v>443</v>
      </c>
      <c r="V491" s="2" t="str">
        <f t="shared" si="115"/>
        <v>1BB</v>
      </c>
      <c r="W491" s="2" t="str">
        <f t="shared" si="116"/>
        <v/>
      </c>
      <c r="X491" s="2" t="str">
        <f t="shared" si="120"/>
        <v/>
      </c>
      <c r="Y491" s="2" t="str">
        <f t="shared" si="117"/>
        <v/>
      </c>
      <c r="Z491" s="2" t="str">
        <f t="shared" si="118"/>
        <v>X</v>
      </c>
      <c r="AA491" s="2" t="str">
        <f t="shared" si="121"/>
        <v/>
      </c>
      <c r="AB491" s="2" t="str">
        <f t="shared" si="122"/>
        <v/>
      </c>
      <c r="AC491" s="2" t="str">
        <f t="shared" si="123"/>
        <v/>
      </c>
      <c r="AD491" s="2" t="str">
        <f t="shared" si="124"/>
        <v>(0)</v>
      </c>
      <c r="AE491" s="2" t="str">
        <f t="shared" si="125"/>
        <v/>
      </c>
      <c r="AF491" s="2" t="str">
        <f t="shared" si="126"/>
        <v/>
      </c>
      <c r="AG491" s="2" t="str">
        <f t="shared" si="127"/>
        <v/>
      </c>
      <c r="AH491" s="2" t="str">
        <f t="shared" si="128"/>
        <v/>
      </c>
    </row>
    <row r="492" spans="2:34" x14ac:dyDescent="0.25">
      <c r="B492" s="2" t="s">
        <v>811</v>
      </c>
      <c r="C492" s="2" t="s">
        <v>356</v>
      </c>
      <c r="D492" s="2" t="s">
        <v>0</v>
      </c>
      <c r="E492" s="2" t="s">
        <v>130</v>
      </c>
      <c r="F492" s="2" t="s">
        <v>812</v>
      </c>
      <c r="G492" s="2" t="s">
        <v>813</v>
      </c>
      <c r="H492" s="2" t="s">
        <v>357</v>
      </c>
      <c r="I492" s="2" t="s">
        <v>41</v>
      </c>
      <c r="J492" s="2">
        <v>1</v>
      </c>
      <c r="K492" s="2" t="s">
        <v>81</v>
      </c>
      <c r="L492" s="2" t="s">
        <v>40</v>
      </c>
      <c r="M492" s="2" t="s">
        <v>5292</v>
      </c>
      <c r="N492" s="2" t="s">
        <v>5285</v>
      </c>
      <c r="O492" s="2" t="s">
        <v>5064</v>
      </c>
      <c r="P492" s="2" t="s">
        <v>4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1776</v>
      </c>
      <c r="T492" s="2" t="str">
        <f t="shared" si="114"/>
        <v>06F0</v>
      </c>
      <c r="U492" s="2">
        <f t="shared" si="119"/>
        <v>444</v>
      </c>
      <c r="V492" s="2" t="str">
        <f t="shared" si="115"/>
        <v>1BC</v>
      </c>
      <c r="W492" s="2" t="str">
        <f t="shared" si="116"/>
        <v/>
      </c>
      <c r="X492" s="2" t="str">
        <f t="shared" si="120"/>
        <v/>
      </c>
      <c r="Y492" s="2" t="str">
        <f t="shared" si="117"/>
        <v/>
      </c>
      <c r="Z492" s="2" t="str">
        <f t="shared" si="118"/>
        <v>X</v>
      </c>
      <c r="AA492" s="2" t="str">
        <f t="shared" si="121"/>
        <v/>
      </c>
      <c r="AB492" s="2" t="str">
        <f t="shared" si="122"/>
        <v/>
      </c>
      <c r="AC492" s="2" t="str">
        <f t="shared" si="123"/>
        <v/>
      </c>
      <c r="AD492" s="2" t="str">
        <f t="shared" si="124"/>
        <v>(0)</v>
      </c>
      <c r="AE492" s="2" t="str">
        <f t="shared" si="125"/>
        <v/>
      </c>
      <c r="AF492" s="2" t="str">
        <f t="shared" si="126"/>
        <v/>
      </c>
      <c r="AG492" s="2" t="str">
        <f t="shared" si="127"/>
        <v/>
      </c>
      <c r="AH492" s="2" t="str">
        <f t="shared" si="128"/>
        <v/>
      </c>
    </row>
    <row r="493" spans="2:34" x14ac:dyDescent="0.25">
      <c r="B493" s="2" t="s">
        <v>811</v>
      </c>
      <c r="C493" s="2" t="s">
        <v>358</v>
      </c>
      <c r="D493" s="2" t="s">
        <v>0</v>
      </c>
      <c r="E493" s="2" t="s">
        <v>130</v>
      </c>
      <c r="F493" s="2" t="s">
        <v>812</v>
      </c>
      <c r="G493" s="2" t="s">
        <v>813</v>
      </c>
      <c r="H493" s="2" t="s">
        <v>359</v>
      </c>
      <c r="I493" s="2" t="s">
        <v>41</v>
      </c>
      <c r="J493" s="2">
        <v>1</v>
      </c>
      <c r="K493" s="2" t="s">
        <v>81</v>
      </c>
      <c r="L493" s="2" t="s">
        <v>40</v>
      </c>
      <c r="M493" s="2" t="s">
        <v>5292</v>
      </c>
      <c r="N493" s="2" t="s">
        <v>5285</v>
      </c>
      <c r="O493" s="2" t="s">
        <v>5065</v>
      </c>
      <c r="P493" s="2" t="s">
        <v>4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1780</v>
      </c>
      <c r="T493" s="2" t="str">
        <f t="shared" si="114"/>
        <v>06F4</v>
      </c>
      <c r="U493" s="2">
        <f t="shared" si="119"/>
        <v>445</v>
      </c>
      <c r="V493" s="2" t="str">
        <f t="shared" si="115"/>
        <v>1BD</v>
      </c>
      <c r="W493" s="2" t="str">
        <f t="shared" si="116"/>
        <v/>
      </c>
      <c r="X493" s="2" t="str">
        <f t="shared" si="120"/>
        <v/>
      </c>
      <c r="Y493" s="2" t="str">
        <f t="shared" si="117"/>
        <v/>
      </c>
      <c r="Z493" s="2" t="str">
        <f t="shared" si="118"/>
        <v>X</v>
      </c>
      <c r="AA493" s="2" t="str">
        <f t="shared" si="121"/>
        <v/>
      </c>
      <c r="AB493" s="2" t="str">
        <f t="shared" si="122"/>
        <v/>
      </c>
      <c r="AC493" s="2" t="str">
        <f t="shared" si="123"/>
        <v/>
      </c>
      <c r="AD493" s="2" t="str">
        <f t="shared" si="124"/>
        <v>(0)</v>
      </c>
      <c r="AE493" s="2" t="str">
        <f t="shared" si="125"/>
        <v/>
      </c>
      <c r="AF493" s="2" t="str">
        <f t="shared" si="126"/>
        <v/>
      </c>
      <c r="AG493" s="2" t="str">
        <f t="shared" si="127"/>
        <v/>
      </c>
      <c r="AH493" s="2" t="str">
        <f t="shared" si="128"/>
        <v/>
      </c>
    </row>
    <row r="494" spans="2:34" x14ac:dyDescent="0.25">
      <c r="B494" s="2" t="s">
        <v>811</v>
      </c>
      <c r="C494" s="2" t="s">
        <v>360</v>
      </c>
      <c r="D494" s="2" t="s">
        <v>0</v>
      </c>
      <c r="E494" s="2" t="s">
        <v>130</v>
      </c>
      <c r="F494" s="2" t="s">
        <v>812</v>
      </c>
      <c r="G494" s="2" t="s">
        <v>813</v>
      </c>
      <c r="H494" s="2" t="s">
        <v>361</v>
      </c>
      <c r="I494" s="2" t="s">
        <v>41</v>
      </c>
      <c r="J494" s="2">
        <v>1</v>
      </c>
      <c r="K494" s="2" t="s">
        <v>81</v>
      </c>
      <c r="L494" s="2" t="s">
        <v>40</v>
      </c>
      <c r="M494" s="2" t="s">
        <v>5292</v>
      </c>
      <c r="N494" s="2" t="s">
        <v>5285</v>
      </c>
      <c r="O494" s="2" t="s">
        <v>5066</v>
      </c>
      <c r="P494" s="2" t="s">
        <v>4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1784</v>
      </c>
      <c r="T494" s="2" t="str">
        <f t="shared" si="114"/>
        <v>06F8</v>
      </c>
      <c r="U494" s="2">
        <f t="shared" si="119"/>
        <v>446</v>
      </c>
      <c r="V494" s="2" t="str">
        <f t="shared" si="115"/>
        <v>1BE</v>
      </c>
      <c r="W494" s="2" t="str">
        <f t="shared" si="116"/>
        <v/>
      </c>
      <c r="X494" s="2" t="str">
        <f t="shared" si="120"/>
        <v/>
      </c>
      <c r="Y494" s="2" t="str">
        <f t="shared" si="117"/>
        <v/>
      </c>
      <c r="Z494" s="2" t="str">
        <f t="shared" si="118"/>
        <v>X</v>
      </c>
      <c r="AA494" s="2" t="str">
        <f t="shared" si="121"/>
        <v/>
      </c>
      <c r="AB494" s="2" t="str">
        <f t="shared" si="122"/>
        <v/>
      </c>
      <c r="AC494" s="2" t="str">
        <f t="shared" si="123"/>
        <v/>
      </c>
      <c r="AD494" s="2" t="str">
        <f t="shared" si="124"/>
        <v>(0)</v>
      </c>
      <c r="AE494" s="2" t="str">
        <f t="shared" si="125"/>
        <v/>
      </c>
      <c r="AF494" s="2" t="str">
        <f t="shared" si="126"/>
        <v/>
      </c>
      <c r="AG494" s="2" t="str">
        <f t="shared" si="127"/>
        <v/>
      </c>
      <c r="AH494" s="2" t="str">
        <f t="shared" si="128"/>
        <v/>
      </c>
    </row>
    <row r="495" spans="2:34" x14ac:dyDescent="0.25">
      <c r="B495" s="2" t="s">
        <v>811</v>
      </c>
      <c r="C495" s="2" t="s">
        <v>362</v>
      </c>
      <c r="D495" s="2" t="s">
        <v>0</v>
      </c>
      <c r="E495" s="2" t="s">
        <v>130</v>
      </c>
      <c r="F495" s="2" t="s">
        <v>812</v>
      </c>
      <c r="G495" s="2" t="s">
        <v>813</v>
      </c>
      <c r="H495" s="2" t="s">
        <v>363</v>
      </c>
      <c r="I495" s="2" t="s">
        <v>41</v>
      </c>
      <c r="J495" s="2">
        <v>1</v>
      </c>
      <c r="K495" s="2" t="s">
        <v>81</v>
      </c>
      <c r="L495" s="2" t="s">
        <v>40</v>
      </c>
      <c r="M495" s="2" t="s">
        <v>5292</v>
      </c>
      <c r="N495" s="2" t="s">
        <v>5285</v>
      </c>
      <c r="O495" s="2" t="s">
        <v>5067</v>
      </c>
      <c r="P495" s="2" t="s">
        <v>4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1788</v>
      </c>
      <c r="T495" s="2" t="str">
        <f t="shared" si="114"/>
        <v>06FC</v>
      </c>
      <c r="U495" s="2">
        <f t="shared" si="119"/>
        <v>447</v>
      </c>
      <c r="V495" s="2" t="str">
        <f t="shared" si="115"/>
        <v>1BF</v>
      </c>
      <c r="W495" s="2" t="str">
        <f t="shared" si="116"/>
        <v/>
      </c>
      <c r="X495" s="2" t="str">
        <f t="shared" si="120"/>
        <v/>
      </c>
      <c r="Y495" s="2" t="str">
        <f t="shared" si="117"/>
        <v/>
      </c>
      <c r="Z495" s="2" t="str">
        <f t="shared" si="118"/>
        <v>X</v>
      </c>
      <c r="AA495" s="2" t="str">
        <f t="shared" si="121"/>
        <v/>
      </c>
      <c r="AB495" s="2" t="str">
        <f t="shared" si="122"/>
        <v/>
      </c>
      <c r="AC495" s="2" t="str">
        <f t="shared" si="123"/>
        <v/>
      </c>
      <c r="AD495" s="2" t="str">
        <f t="shared" si="124"/>
        <v>(0)</v>
      </c>
      <c r="AE495" s="2" t="str">
        <f t="shared" si="125"/>
        <v/>
      </c>
      <c r="AF495" s="2" t="str">
        <f t="shared" si="126"/>
        <v/>
      </c>
      <c r="AG495" s="2" t="str">
        <f t="shared" si="127"/>
        <v/>
      </c>
      <c r="AH495" s="2" t="str">
        <f t="shared" si="128"/>
        <v/>
      </c>
    </row>
    <row r="496" spans="2:34" x14ac:dyDescent="0.25">
      <c r="B496" s="2" t="s">
        <v>811</v>
      </c>
      <c r="C496" s="2" t="s">
        <v>364</v>
      </c>
      <c r="D496" s="2" t="s">
        <v>0</v>
      </c>
      <c r="E496" s="2" t="s">
        <v>130</v>
      </c>
      <c r="F496" s="2" t="s">
        <v>812</v>
      </c>
      <c r="G496" s="2" t="s">
        <v>813</v>
      </c>
      <c r="H496" s="2" t="s">
        <v>365</v>
      </c>
      <c r="I496" s="2" t="s">
        <v>41</v>
      </c>
      <c r="J496" s="2">
        <v>1</v>
      </c>
      <c r="K496" s="2" t="s">
        <v>81</v>
      </c>
      <c r="L496" s="2" t="s">
        <v>40</v>
      </c>
      <c r="M496" s="2" t="s">
        <v>5292</v>
      </c>
      <c r="N496" s="2" t="s">
        <v>5285</v>
      </c>
      <c r="O496" s="2" t="s">
        <v>5068</v>
      </c>
      <c r="P496" s="2" t="s">
        <v>4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1792</v>
      </c>
      <c r="T496" s="2" t="str">
        <f t="shared" si="114"/>
        <v>0700</v>
      </c>
      <c r="U496" s="2">
        <f t="shared" si="119"/>
        <v>448</v>
      </c>
      <c r="V496" s="2" t="str">
        <f t="shared" si="115"/>
        <v>1C0</v>
      </c>
      <c r="W496" s="2" t="str">
        <f t="shared" si="116"/>
        <v/>
      </c>
      <c r="X496" s="2" t="str">
        <f t="shared" si="120"/>
        <v/>
      </c>
      <c r="Y496" s="2" t="str">
        <f t="shared" si="117"/>
        <v/>
      </c>
      <c r="Z496" s="2" t="str">
        <f t="shared" si="118"/>
        <v>X</v>
      </c>
      <c r="AA496" s="2" t="str">
        <f t="shared" si="121"/>
        <v/>
      </c>
      <c r="AB496" s="2" t="str">
        <f t="shared" si="122"/>
        <v/>
      </c>
      <c r="AC496" s="2" t="str">
        <f t="shared" si="123"/>
        <v/>
      </c>
      <c r="AD496" s="2" t="str">
        <f t="shared" si="124"/>
        <v>(0)</v>
      </c>
      <c r="AE496" s="2" t="str">
        <f t="shared" si="125"/>
        <v/>
      </c>
      <c r="AF496" s="2" t="str">
        <f t="shared" si="126"/>
        <v/>
      </c>
      <c r="AG496" s="2" t="str">
        <f t="shared" si="127"/>
        <v/>
      </c>
      <c r="AH496" s="2" t="str">
        <f t="shared" si="128"/>
        <v/>
      </c>
    </row>
    <row r="497" spans="2:34" x14ac:dyDescent="0.25">
      <c r="B497" s="2" t="s">
        <v>811</v>
      </c>
      <c r="C497" s="2" t="s">
        <v>366</v>
      </c>
      <c r="D497" s="2" t="s">
        <v>0</v>
      </c>
      <c r="E497" s="2" t="s">
        <v>130</v>
      </c>
      <c r="F497" s="2" t="s">
        <v>812</v>
      </c>
      <c r="G497" s="2" t="s">
        <v>813</v>
      </c>
      <c r="H497" s="2" t="s">
        <v>367</v>
      </c>
      <c r="I497" s="2" t="s">
        <v>41</v>
      </c>
      <c r="J497" s="2">
        <v>1</v>
      </c>
      <c r="K497" s="2" t="s">
        <v>81</v>
      </c>
      <c r="L497" s="2" t="s">
        <v>40</v>
      </c>
      <c r="M497" s="2" t="s">
        <v>5292</v>
      </c>
      <c r="N497" s="2" t="s">
        <v>5285</v>
      </c>
      <c r="O497" s="2" t="s">
        <v>5069</v>
      </c>
      <c r="P497" s="2" t="s">
        <v>4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1796</v>
      </c>
      <c r="T497" s="2" t="str">
        <f t="shared" si="114"/>
        <v>0704</v>
      </c>
      <c r="U497" s="2">
        <f t="shared" si="119"/>
        <v>449</v>
      </c>
      <c r="V497" s="2" t="str">
        <f t="shared" si="115"/>
        <v>1C1</v>
      </c>
      <c r="W497" s="2" t="str">
        <f t="shared" si="116"/>
        <v/>
      </c>
      <c r="X497" s="2" t="str">
        <f t="shared" si="120"/>
        <v/>
      </c>
      <c r="Y497" s="2" t="str">
        <f t="shared" si="117"/>
        <v/>
      </c>
      <c r="Z497" s="2" t="str">
        <f t="shared" si="118"/>
        <v>X</v>
      </c>
      <c r="AA497" s="2" t="str">
        <f t="shared" si="121"/>
        <v/>
      </c>
      <c r="AB497" s="2" t="str">
        <f t="shared" si="122"/>
        <v/>
      </c>
      <c r="AC497" s="2" t="str">
        <f t="shared" si="123"/>
        <v/>
      </c>
      <c r="AD497" s="2" t="str">
        <f t="shared" si="124"/>
        <v>(0)</v>
      </c>
      <c r="AE497" s="2" t="str">
        <f t="shared" si="125"/>
        <v/>
      </c>
      <c r="AF497" s="2" t="str">
        <f t="shared" si="126"/>
        <v/>
      </c>
      <c r="AG497" s="2" t="str">
        <f t="shared" si="127"/>
        <v/>
      </c>
      <c r="AH497" s="2" t="str">
        <f t="shared" si="128"/>
        <v/>
      </c>
    </row>
    <row r="498" spans="2:34" x14ac:dyDescent="0.25">
      <c r="B498" s="2" t="s">
        <v>811</v>
      </c>
      <c r="C498" s="2" t="s">
        <v>368</v>
      </c>
      <c r="D498" s="2" t="s">
        <v>0</v>
      </c>
      <c r="E498" s="2" t="s">
        <v>130</v>
      </c>
      <c r="F498" s="2" t="s">
        <v>812</v>
      </c>
      <c r="G498" s="2" t="s">
        <v>813</v>
      </c>
      <c r="H498" s="2" t="s">
        <v>369</v>
      </c>
      <c r="I498" s="2" t="s">
        <v>41</v>
      </c>
      <c r="J498" s="2">
        <v>1</v>
      </c>
      <c r="K498" s="2" t="s">
        <v>81</v>
      </c>
      <c r="L498" s="2" t="s">
        <v>40</v>
      </c>
      <c r="M498" s="2" t="s">
        <v>5292</v>
      </c>
      <c r="N498" s="2" t="s">
        <v>5285</v>
      </c>
      <c r="O498" s="2" t="s">
        <v>5070</v>
      </c>
      <c r="P498" s="2" t="s">
        <v>4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1800</v>
      </c>
      <c r="T498" s="2" t="str">
        <f t="shared" si="114"/>
        <v>0708</v>
      </c>
      <c r="U498" s="2">
        <f t="shared" si="119"/>
        <v>450</v>
      </c>
      <c r="V498" s="2" t="str">
        <f t="shared" si="115"/>
        <v>1C2</v>
      </c>
      <c r="W498" s="2" t="str">
        <f t="shared" si="116"/>
        <v/>
      </c>
      <c r="X498" s="2" t="str">
        <f t="shared" si="120"/>
        <v/>
      </c>
      <c r="Y498" s="2" t="str">
        <f t="shared" si="117"/>
        <v/>
      </c>
      <c r="Z498" s="2" t="str">
        <f t="shared" si="118"/>
        <v>X</v>
      </c>
      <c r="AA498" s="2" t="str">
        <f t="shared" si="121"/>
        <v/>
      </c>
      <c r="AB498" s="2" t="str">
        <f t="shared" si="122"/>
        <v/>
      </c>
      <c r="AC498" s="2" t="str">
        <f t="shared" si="123"/>
        <v/>
      </c>
      <c r="AD498" s="2" t="str">
        <f t="shared" si="124"/>
        <v>(0)</v>
      </c>
      <c r="AE498" s="2" t="str">
        <f t="shared" si="125"/>
        <v/>
      </c>
      <c r="AF498" s="2" t="str">
        <f t="shared" si="126"/>
        <v/>
      </c>
      <c r="AG498" s="2" t="str">
        <f t="shared" si="127"/>
        <v/>
      </c>
      <c r="AH498" s="2" t="str">
        <f t="shared" si="128"/>
        <v/>
      </c>
    </row>
    <row r="499" spans="2:34" x14ac:dyDescent="0.25">
      <c r="B499" s="2" t="s">
        <v>811</v>
      </c>
      <c r="C499" s="2" t="s">
        <v>370</v>
      </c>
      <c r="D499" s="2" t="s">
        <v>0</v>
      </c>
      <c r="E499" s="2" t="s">
        <v>130</v>
      </c>
      <c r="F499" s="2" t="s">
        <v>812</v>
      </c>
      <c r="G499" s="2" t="s">
        <v>813</v>
      </c>
      <c r="H499" s="2" t="s">
        <v>371</v>
      </c>
      <c r="I499" s="2" t="s">
        <v>41</v>
      </c>
      <c r="J499" s="2">
        <v>1</v>
      </c>
      <c r="K499" s="2" t="s">
        <v>81</v>
      </c>
      <c r="L499" s="2" t="s">
        <v>40</v>
      </c>
      <c r="M499" s="2" t="s">
        <v>5292</v>
      </c>
      <c r="N499" s="2" t="s">
        <v>5285</v>
      </c>
      <c r="O499" s="2" t="s">
        <v>5071</v>
      </c>
      <c r="P499" s="2" t="s">
        <v>4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1804</v>
      </c>
      <c r="T499" s="2" t="str">
        <f t="shared" si="114"/>
        <v>070C</v>
      </c>
      <c r="U499" s="2">
        <f t="shared" si="119"/>
        <v>451</v>
      </c>
      <c r="V499" s="2" t="str">
        <f t="shared" si="115"/>
        <v>1C3</v>
      </c>
      <c r="W499" s="2" t="str">
        <f t="shared" si="116"/>
        <v/>
      </c>
      <c r="X499" s="2" t="str">
        <f t="shared" si="120"/>
        <v/>
      </c>
      <c r="Y499" s="2" t="str">
        <f t="shared" si="117"/>
        <v/>
      </c>
      <c r="Z499" s="2" t="str">
        <f t="shared" si="118"/>
        <v>X</v>
      </c>
      <c r="AA499" s="2" t="str">
        <f t="shared" si="121"/>
        <v/>
      </c>
      <c r="AB499" s="2" t="str">
        <f t="shared" si="122"/>
        <v/>
      </c>
      <c r="AC499" s="2" t="str">
        <f t="shared" si="123"/>
        <v/>
      </c>
      <c r="AD499" s="2" t="str">
        <f t="shared" si="124"/>
        <v>(0)</v>
      </c>
      <c r="AE499" s="2" t="str">
        <f t="shared" si="125"/>
        <v/>
      </c>
      <c r="AF499" s="2" t="str">
        <f t="shared" si="126"/>
        <v/>
      </c>
      <c r="AG499" s="2" t="str">
        <f t="shared" si="127"/>
        <v/>
      </c>
      <c r="AH499" s="2" t="str">
        <f t="shared" si="128"/>
        <v/>
      </c>
    </row>
    <row r="500" spans="2:34" x14ac:dyDescent="0.25">
      <c r="B500" s="2" t="s">
        <v>811</v>
      </c>
      <c r="C500" s="2" t="s">
        <v>372</v>
      </c>
      <c r="D500" s="2" t="s">
        <v>0</v>
      </c>
      <c r="E500" s="2" t="s">
        <v>130</v>
      </c>
      <c r="F500" s="2" t="s">
        <v>812</v>
      </c>
      <c r="G500" s="2" t="s">
        <v>813</v>
      </c>
      <c r="H500" s="2" t="s">
        <v>373</v>
      </c>
      <c r="I500" s="2" t="s">
        <v>41</v>
      </c>
      <c r="J500" s="2">
        <v>1</v>
      </c>
      <c r="K500" s="2" t="s">
        <v>81</v>
      </c>
      <c r="L500" s="2" t="s">
        <v>40</v>
      </c>
      <c r="M500" s="2" t="s">
        <v>5292</v>
      </c>
      <c r="N500" s="2" t="s">
        <v>5285</v>
      </c>
      <c r="O500" s="2" t="s">
        <v>5072</v>
      </c>
      <c r="P500" s="2" t="s">
        <v>4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1808</v>
      </c>
      <c r="T500" s="2" t="str">
        <f t="shared" si="114"/>
        <v>0710</v>
      </c>
      <c r="U500" s="2">
        <f t="shared" si="119"/>
        <v>452</v>
      </c>
      <c r="V500" s="2" t="str">
        <f t="shared" si="115"/>
        <v>1C4</v>
      </c>
      <c r="W500" s="2" t="str">
        <f t="shared" si="116"/>
        <v/>
      </c>
      <c r="X500" s="2" t="str">
        <f t="shared" si="120"/>
        <v/>
      </c>
      <c r="Y500" s="2" t="str">
        <f t="shared" si="117"/>
        <v/>
      </c>
      <c r="Z500" s="2" t="str">
        <f t="shared" si="118"/>
        <v>X</v>
      </c>
      <c r="AA500" s="2" t="str">
        <f t="shared" si="121"/>
        <v/>
      </c>
      <c r="AB500" s="2" t="str">
        <f t="shared" si="122"/>
        <v/>
      </c>
      <c r="AC500" s="2" t="str">
        <f t="shared" si="123"/>
        <v/>
      </c>
      <c r="AD500" s="2" t="str">
        <f t="shared" si="124"/>
        <v>(0)</v>
      </c>
      <c r="AE500" s="2" t="str">
        <f t="shared" si="125"/>
        <v/>
      </c>
      <c r="AF500" s="2" t="str">
        <f t="shared" si="126"/>
        <v/>
      </c>
      <c r="AG500" s="2" t="str">
        <f t="shared" si="127"/>
        <v/>
      </c>
      <c r="AH500" s="2" t="str">
        <f t="shared" si="128"/>
        <v/>
      </c>
    </row>
    <row r="501" spans="2:34" x14ac:dyDescent="0.25">
      <c r="B501" s="2" t="s">
        <v>811</v>
      </c>
      <c r="C501" s="2" t="s">
        <v>374</v>
      </c>
      <c r="D501" s="2" t="s">
        <v>0</v>
      </c>
      <c r="E501" s="2" t="s">
        <v>130</v>
      </c>
      <c r="F501" s="2" t="s">
        <v>812</v>
      </c>
      <c r="G501" s="2" t="s">
        <v>813</v>
      </c>
      <c r="H501" s="2" t="s">
        <v>375</v>
      </c>
      <c r="I501" s="2" t="s">
        <v>41</v>
      </c>
      <c r="J501" s="2">
        <v>1</v>
      </c>
      <c r="K501" s="2" t="s">
        <v>81</v>
      </c>
      <c r="L501" s="2" t="s">
        <v>40</v>
      </c>
      <c r="M501" s="2" t="s">
        <v>5292</v>
      </c>
      <c r="N501" s="2" t="s">
        <v>5285</v>
      </c>
      <c r="O501" s="2" t="s">
        <v>5073</v>
      </c>
      <c r="P501" s="2" t="s">
        <v>4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1812</v>
      </c>
      <c r="T501" s="2" t="str">
        <f t="shared" si="114"/>
        <v>0714</v>
      </c>
      <c r="U501" s="2">
        <f t="shared" si="119"/>
        <v>453</v>
      </c>
      <c r="V501" s="2" t="str">
        <f t="shared" si="115"/>
        <v>1C5</v>
      </c>
      <c r="W501" s="2" t="str">
        <f t="shared" si="116"/>
        <v/>
      </c>
      <c r="X501" s="2" t="str">
        <f t="shared" si="120"/>
        <v/>
      </c>
      <c r="Y501" s="2" t="str">
        <f t="shared" si="117"/>
        <v/>
      </c>
      <c r="Z501" s="2" t="str">
        <f t="shared" si="118"/>
        <v>X</v>
      </c>
      <c r="AA501" s="2" t="str">
        <f t="shared" si="121"/>
        <v/>
      </c>
      <c r="AB501" s="2" t="str">
        <f t="shared" si="122"/>
        <v/>
      </c>
      <c r="AC501" s="2" t="str">
        <f t="shared" si="123"/>
        <v/>
      </c>
      <c r="AD501" s="2" t="str">
        <f t="shared" si="124"/>
        <v>(0)</v>
      </c>
      <c r="AE501" s="2" t="str">
        <f t="shared" si="125"/>
        <v/>
      </c>
      <c r="AF501" s="2" t="str">
        <f t="shared" si="126"/>
        <v/>
      </c>
      <c r="AG501" s="2" t="str">
        <f t="shared" si="127"/>
        <v/>
      </c>
      <c r="AH501" s="2" t="str">
        <f t="shared" si="128"/>
        <v/>
      </c>
    </row>
    <row r="502" spans="2:34" x14ac:dyDescent="0.25">
      <c r="B502" s="2" t="s">
        <v>811</v>
      </c>
      <c r="C502" s="2" t="s">
        <v>376</v>
      </c>
      <c r="D502" s="2" t="s">
        <v>0</v>
      </c>
      <c r="E502" s="2" t="s">
        <v>130</v>
      </c>
      <c r="F502" s="2" t="s">
        <v>812</v>
      </c>
      <c r="G502" s="2" t="s">
        <v>813</v>
      </c>
      <c r="H502" s="2" t="s">
        <v>377</v>
      </c>
      <c r="I502" s="2" t="s">
        <v>41</v>
      </c>
      <c r="J502" s="2">
        <v>1</v>
      </c>
      <c r="K502" s="2" t="s">
        <v>81</v>
      </c>
      <c r="L502" s="2" t="s">
        <v>40</v>
      </c>
      <c r="M502" s="2" t="s">
        <v>5292</v>
      </c>
      <c r="N502" s="2" t="s">
        <v>5285</v>
      </c>
      <c r="O502" s="2" t="s">
        <v>5074</v>
      </c>
      <c r="P502" s="2" t="s">
        <v>4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1816</v>
      </c>
      <c r="T502" s="2" t="str">
        <f t="shared" si="114"/>
        <v>0718</v>
      </c>
      <c r="U502" s="2">
        <f t="shared" si="119"/>
        <v>454</v>
      </c>
      <c r="V502" s="2" t="str">
        <f t="shared" si="115"/>
        <v>1C6</v>
      </c>
      <c r="W502" s="2" t="str">
        <f t="shared" si="116"/>
        <v/>
      </c>
      <c r="X502" s="2" t="str">
        <f t="shared" si="120"/>
        <v/>
      </c>
      <c r="Y502" s="2" t="str">
        <f t="shared" si="117"/>
        <v/>
      </c>
      <c r="Z502" s="2" t="str">
        <f t="shared" si="118"/>
        <v>X</v>
      </c>
      <c r="AA502" s="2" t="str">
        <f t="shared" si="121"/>
        <v/>
      </c>
      <c r="AB502" s="2" t="str">
        <f t="shared" si="122"/>
        <v/>
      </c>
      <c r="AC502" s="2" t="str">
        <f t="shared" si="123"/>
        <v/>
      </c>
      <c r="AD502" s="2" t="str">
        <f t="shared" si="124"/>
        <v>(0)</v>
      </c>
      <c r="AE502" s="2" t="str">
        <f t="shared" si="125"/>
        <v/>
      </c>
      <c r="AF502" s="2" t="str">
        <f t="shared" si="126"/>
        <v/>
      </c>
      <c r="AG502" s="2" t="str">
        <f t="shared" si="127"/>
        <v/>
      </c>
      <c r="AH502" s="2" t="str">
        <f t="shared" si="128"/>
        <v/>
      </c>
    </row>
    <row r="503" spans="2:34" x14ac:dyDescent="0.25">
      <c r="B503" s="2" t="s">
        <v>811</v>
      </c>
      <c r="C503" s="2" t="s">
        <v>378</v>
      </c>
      <c r="D503" s="2" t="s">
        <v>0</v>
      </c>
      <c r="E503" s="2" t="s">
        <v>130</v>
      </c>
      <c r="F503" s="2" t="s">
        <v>812</v>
      </c>
      <c r="G503" s="2" t="s">
        <v>813</v>
      </c>
      <c r="H503" s="2" t="s">
        <v>379</v>
      </c>
      <c r="I503" s="2" t="s">
        <v>41</v>
      </c>
      <c r="J503" s="2">
        <v>1</v>
      </c>
      <c r="K503" s="2" t="s">
        <v>81</v>
      </c>
      <c r="L503" s="2" t="s">
        <v>40</v>
      </c>
      <c r="M503" s="2" t="s">
        <v>5292</v>
      </c>
      <c r="N503" s="2" t="s">
        <v>5285</v>
      </c>
      <c r="O503" s="2" t="s">
        <v>5075</v>
      </c>
      <c r="P503" s="2" t="s">
        <v>4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1820</v>
      </c>
      <c r="T503" s="2" t="str">
        <f t="shared" si="114"/>
        <v>071C</v>
      </c>
      <c r="U503" s="2">
        <f t="shared" si="119"/>
        <v>455</v>
      </c>
      <c r="V503" s="2" t="str">
        <f t="shared" si="115"/>
        <v>1C7</v>
      </c>
      <c r="W503" s="2" t="str">
        <f t="shared" si="116"/>
        <v/>
      </c>
      <c r="X503" s="2" t="str">
        <f t="shared" si="120"/>
        <v/>
      </c>
      <c r="Y503" s="2" t="str">
        <f t="shared" si="117"/>
        <v/>
      </c>
      <c r="Z503" s="2" t="str">
        <f t="shared" si="118"/>
        <v>X</v>
      </c>
      <c r="AA503" s="2" t="str">
        <f t="shared" si="121"/>
        <v/>
      </c>
      <c r="AB503" s="2" t="str">
        <f t="shared" si="122"/>
        <v/>
      </c>
      <c r="AC503" s="2" t="str">
        <f t="shared" si="123"/>
        <v/>
      </c>
      <c r="AD503" s="2" t="str">
        <f t="shared" si="124"/>
        <v>(0)</v>
      </c>
      <c r="AE503" s="2" t="str">
        <f t="shared" si="125"/>
        <v/>
      </c>
      <c r="AF503" s="2" t="str">
        <f t="shared" si="126"/>
        <v/>
      </c>
      <c r="AG503" s="2" t="str">
        <f t="shared" si="127"/>
        <v/>
      </c>
      <c r="AH503" s="2" t="str">
        <f t="shared" si="128"/>
        <v/>
      </c>
    </row>
    <row r="504" spans="2:34" x14ac:dyDescent="0.25">
      <c r="B504" s="2" t="s">
        <v>811</v>
      </c>
      <c r="C504" s="2" t="s">
        <v>380</v>
      </c>
      <c r="D504" s="2" t="s">
        <v>0</v>
      </c>
      <c r="E504" s="2" t="s">
        <v>130</v>
      </c>
      <c r="F504" s="2" t="s">
        <v>812</v>
      </c>
      <c r="G504" s="2" t="s">
        <v>813</v>
      </c>
      <c r="H504" s="2" t="s">
        <v>381</v>
      </c>
      <c r="I504" s="2" t="s">
        <v>41</v>
      </c>
      <c r="J504" s="2">
        <v>1</v>
      </c>
      <c r="K504" s="2" t="s">
        <v>81</v>
      </c>
      <c r="L504" s="2" t="s">
        <v>40</v>
      </c>
      <c r="M504" s="2" t="s">
        <v>5292</v>
      </c>
      <c r="N504" s="2" t="s">
        <v>5285</v>
      </c>
      <c r="O504" s="2" t="s">
        <v>5076</v>
      </c>
      <c r="P504" s="2" t="s">
        <v>4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1824</v>
      </c>
      <c r="T504" s="2" t="str">
        <f t="shared" si="114"/>
        <v>0720</v>
      </c>
      <c r="U504" s="2">
        <f t="shared" si="119"/>
        <v>456</v>
      </c>
      <c r="V504" s="2" t="str">
        <f t="shared" si="115"/>
        <v>1C8</v>
      </c>
      <c r="W504" s="2" t="str">
        <f t="shared" si="116"/>
        <v/>
      </c>
      <c r="X504" s="2" t="str">
        <f t="shared" si="120"/>
        <v/>
      </c>
      <c r="Y504" s="2" t="str">
        <f t="shared" si="117"/>
        <v/>
      </c>
      <c r="Z504" s="2" t="str">
        <f t="shared" si="118"/>
        <v>X</v>
      </c>
      <c r="AA504" s="2" t="str">
        <f t="shared" si="121"/>
        <v/>
      </c>
      <c r="AB504" s="2" t="str">
        <f t="shared" si="122"/>
        <v/>
      </c>
      <c r="AC504" s="2" t="str">
        <f t="shared" si="123"/>
        <v/>
      </c>
      <c r="AD504" s="2" t="str">
        <f t="shared" si="124"/>
        <v>(0)</v>
      </c>
      <c r="AE504" s="2" t="str">
        <f t="shared" si="125"/>
        <v/>
      </c>
      <c r="AF504" s="2" t="str">
        <f t="shared" si="126"/>
        <v/>
      </c>
      <c r="AG504" s="2" t="str">
        <f t="shared" si="127"/>
        <v/>
      </c>
      <c r="AH504" s="2" t="str">
        <f t="shared" si="128"/>
        <v/>
      </c>
    </row>
    <row r="505" spans="2:34" x14ac:dyDescent="0.25">
      <c r="B505" s="2" t="s">
        <v>811</v>
      </c>
      <c r="C505" s="2" t="s">
        <v>382</v>
      </c>
      <c r="D505" s="2" t="s">
        <v>0</v>
      </c>
      <c r="E505" s="2" t="s">
        <v>130</v>
      </c>
      <c r="F505" s="2" t="s">
        <v>812</v>
      </c>
      <c r="G505" s="2" t="s">
        <v>813</v>
      </c>
      <c r="H505" s="2" t="s">
        <v>383</v>
      </c>
      <c r="I505" s="2" t="s">
        <v>41</v>
      </c>
      <c r="J505" s="2">
        <v>1</v>
      </c>
      <c r="K505" s="2" t="s">
        <v>81</v>
      </c>
      <c r="L505" s="2" t="s">
        <v>40</v>
      </c>
      <c r="M505" s="2" t="s">
        <v>5292</v>
      </c>
      <c r="N505" s="2" t="s">
        <v>5285</v>
      </c>
      <c r="O505" s="2" t="s">
        <v>5077</v>
      </c>
      <c r="P505" s="2" t="s">
        <v>4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1828</v>
      </c>
      <c r="T505" s="2" t="str">
        <f t="shared" si="114"/>
        <v>0724</v>
      </c>
      <c r="U505" s="2">
        <f t="shared" si="119"/>
        <v>457</v>
      </c>
      <c r="V505" s="2" t="str">
        <f t="shared" si="115"/>
        <v>1C9</v>
      </c>
      <c r="W505" s="2" t="str">
        <f t="shared" si="116"/>
        <v/>
      </c>
      <c r="X505" s="2" t="str">
        <f t="shared" si="120"/>
        <v/>
      </c>
      <c r="Y505" s="2" t="str">
        <f t="shared" si="117"/>
        <v/>
      </c>
      <c r="Z505" s="2" t="str">
        <f t="shared" si="118"/>
        <v>X</v>
      </c>
      <c r="AA505" s="2" t="str">
        <f t="shared" si="121"/>
        <v/>
      </c>
      <c r="AB505" s="2" t="str">
        <f t="shared" si="122"/>
        <v/>
      </c>
      <c r="AC505" s="2" t="str">
        <f t="shared" si="123"/>
        <v/>
      </c>
      <c r="AD505" s="2" t="str">
        <f t="shared" si="124"/>
        <v>(0)</v>
      </c>
      <c r="AE505" s="2" t="str">
        <f t="shared" si="125"/>
        <v/>
      </c>
      <c r="AF505" s="2" t="str">
        <f t="shared" si="126"/>
        <v/>
      </c>
      <c r="AG505" s="2" t="str">
        <f t="shared" si="127"/>
        <v/>
      </c>
      <c r="AH505" s="2" t="str">
        <f t="shared" si="128"/>
        <v/>
      </c>
    </row>
    <row r="506" spans="2:34" x14ac:dyDescent="0.25">
      <c r="B506" s="2" t="s">
        <v>811</v>
      </c>
      <c r="C506" s="2" t="s">
        <v>384</v>
      </c>
      <c r="D506" s="2" t="s">
        <v>0</v>
      </c>
      <c r="E506" s="2" t="s">
        <v>130</v>
      </c>
      <c r="F506" s="2" t="s">
        <v>812</v>
      </c>
      <c r="G506" s="2" t="s">
        <v>813</v>
      </c>
      <c r="H506" s="2" t="s">
        <v>385</v>
      </c>
      <c r="I506" s="2" t="s">
        <v>41</v>
      </c>
      <c r="J506" s="2">
        <v>1</v>
      </c>
      <c r="K506" s="2" t="s">
        <v>81</v>
      </c>
      <c r="L506" s="2" t="s">
        <v>40</v>
      </c>
      <c r="M506" s="2" t="s">
        <v>5292</v>
      </c>
      <c r="N506" s="2" t="s">
        <v>5285</v>
      </c>
      <c r="O506" s="2" t="s">
        <v>5078</v>
      </c>
      <c r="P506" s="2" t="s">
        <v>4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1832</v>
      </c>
      <c r="T506" s="2" t="str">
        <f t="shared" si="114"/>
        <v>0728</v>
      </c>
      <c r="U506" s="2">
        <f t="shared" si="119"/>
        <v>458</v>
      </c>
      <c r="V506" s="2" t="str">
        <f t="shared" si="115"/>
        <v>1CA</v>
      </c>
      <c r="W506" s="2" t="str">
        <f t="shared" si="116"/>
        <v/>
      </c>
      <c r="X506" s="2" t="str">
        <f t="shared" si="120"/>
        <v/>
      </c>
      <c r="Y506" s="2" t="str">
        <f t="shared" si="117"/>
        <v/>
      </c>
      <c r="Z506" s="2" t="str">
        <f t="shared" si="118"/>
        <v>X</v>
      </c>
      <c r="AA506" s="2" t="str">
        <f t="shared" si="121"/>
        <v/>
      </c>
      <c r="AB506" s="2" t="str">
        <f t="shared" si="122"/>
        <v/>
      </c>
      <c r="AC506" s="2" t="str">
        <f t="shared" si="123"/>
        <v/>
      </c>
      <c r="AD506" s="2" t="str">
        <f t="shared" si="124"/>
        <v>(0)</v>
      </c>
      <c r="AE506" s="2" t="str">
        <f t="shared" si="125"/>
        <v/>
      </c>
      <c r="AF506" s="2" t="str">
        <f t="shared" si="126"/>
        <v/>
      </c>
      <c r="AG506" s="2" t="str">
        <f t="shared" si="127"/>
        <v/>
      </c>
      <c r="AH506" s="2" t="str">
        <f t="shared" si="128"/>
        <v/>
      </c>
    </row>
    <row r="507" spans="2:34" x14ac:dyDescent="0.25">
      <c r="B507" s="2" t="s">
        <v>811</v>
      </c>
      <c r="C507" s="2" t="s">
        <v>386</v>
      </c>
      <c r="D507" s="2" t="s">
        <v>0</v>
      </c>
      <c r="E507" s="2" t="s">
        <v>130</v>
      </c>
      <c r="F507" s="2" t="s">
        <v>812</v>
      </c>
      <c r="G507" s="2" t="s">
        <v>813</v>
      </c>
      <c r="H507" s="2" t="s">
        <v>387</v>
      </c>
      <c r="I507" s="2" t="s">
        <v>41</v>
      </c>
      <c r="J507" s="2">
        <v>1</v>
      </c>
      <c r="K507" s="2" t="s">
        <v>81</v>
      </c>
      <c r="L507" s="2" t="s">
        <v>40</v>
      </c>
      <c r="M507" s="2" t="s">
        <v>5292</v>
      </c>
      <c r="N507" s="2" t="s">
        <v>5285</v>
      </c>
      <c r="O507" s="2" t="s">
        <v>5079</v>
      </c>
      <c r="P507" s="2" t="s">
        <v>4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1836</v>
      </c>
      <c r="T507" s="2" t="str">
        <f t="shared" si="114"/>
        <v>072C</v>
      </c>
      <c r="U507" s="2">
        <f t="shared" si="119"/>
        <v>459</v>
      </c>
      <c r="V507" s="2" t="str">
        <f t="shared" si="115"/>
        <v>1CB</v>
      </c>
      <c r="W507" s="2" t="str">
        <f t="shared" si="116"/>
        <v/>
      </c>
      <c r="X507" s="2" t="str">
        <f t="shared" si="120"/>
        <v/>
      </c>
      <c r="Y507" s="2" t="str">
        <f t="shared" si="117"/>
        <v/>
      </c>
      <c r="Z507" s="2" t="str">
        <f t="shared" si="118"/>
        <v>X</v>
      </c>
      <c r="AA507" s="2" t="str">
        <f t="shared" si="121"/>
        <v/>
      </c>
      <c r="AB507" s="2" t="str">
        <f t="shared" si="122"/>
        <v/>
      </c>
      <c r="AC507" s="2" t="str">
        <f t="shared" si="123"/>
        <v/>
      </c>
      <c r="AD507" s="2" t="str">
        <f t="shared" si="124"/>
        <v>(0)</v>
      </c>
      <c r="AE507" s="2" t="str">
        <f t="shared" si="125"/>
        <v/>
      </c>
      <c r="AF507" s="2" t="str">
        <f t="shared" si="126"/>
        <v/>
      </c>
      <c r="AG507" s="2" t="str">
        <f t="shared" si="127"/>
        <v/>
      </c>
      <c r="AH507" s="2" t="str">
        <f t="shared" si="128"/>
        <v/>
      </c>
    </row>
    <row r="508" spans="2:34" x14ac:dyDescent="0.25">
      <c r="B508" s="2" t="s">
        <v>811</v>
      </c>
      <c r="C508" s="2" t="s">
        <v>388</v>
      </c>
      <c r="D508" s="2" t="s">
        <v>0</v>
      </c>
      <c r="E508" s="2" t="s">
        <v>130</v>
      </c>
      <c r="F508" s="2" t="s">
        <v>812</v>
      </c>
      <c r="G508" s="2" t="s">
        <v>813</v>
      </c>
      <c r="H508" s="2" t="s">
        <v>389</v>
      </c>
      <c r="I508" s="2" t="s">
        <v>41</v>
      </c>
      <c r="J508" s="2">
        <v>1</v>
      </c>
      <c r="K508" s="2" t="s">
        <v>81</v>
      </c>
      <c r="L508" s="2" t="s">
        <v>40</v>
      </c>
      <c r="M508" s="2" t="s">
        <v>5292</v>
      </c>
      <c r="N508" s="2" t="s">
        <v>5285</v>
      </c>
      <c r="O508" s="2" t="s">
        <v>5080</v>
      </c>
      <c r="P508" s="2" t="s">
        <v>4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1840</v>
      </c>
      <c r="T508" s="2" t="str">
        <f t="shared" si="114"/>
        <v>0730</v>
      </c>
      <c r="U508" s="2">
        <f t="shared" si="119"/>
        <v>460</v>
      </c>
      <c r="V508" s="2" t="str">
        <f t="shared" si="115"/>
        <v>1CC</v>
      </c>
      <c r="W508" s="2" t="str">
        <f t="shared" si="116"/>
        <v/>
      </c>
      <c r="X508" s="2" t="str">
        <f t="shared" si="120"/>
        <v/>
      </c>
      <c r="Y508" s="2" t="str">
        <f t="shared" si="117"/>
        <v/>
      </c>
      <c r="Z508" s="2" t="str">
        <f t="shared" si="118"/>
        <v>X</v>
      </c>
      <c r="AA508" s="2" t="str">
        <f t="shared" si="121"/>
        <v/>
      </c>
      <c r="AB508" s="2" t="str">
        <f t="shared" si="122"/>
        <v/>
      </c>
      <c r="AC508" s="2" t="str">
        <f t="shared" si="123"/>
        <v/>
      </c>
      <c r="AD508" s="2" t="str">
        <f t="shared" si="124"/>
        <v>(0)</v>
      </c>
      <c r="AE508" s="2" t="str">
        <f t="shared" si="125"/>
        <v/>
      </c>
      <c r="AF508" s="2" t="str">
        <f t="shared" si="126"/>
        <v/>
      </c>
      <c r="AG508" s="2" t="str">
        <f t="shared" si="127"/>
        <v/>
      </c>
      <c r="AH508" s="2" t="str">
        <f t="shared" si="128"/>
        <v/>
      </c>
    </row>
    <row r="509" spans="2:34" x14ac:dyDescent="0.25">
      <c r="B509" s="2" t="s">
        <v>811</v>
      </c>
      <c r="C509" s="2" t="s">
        <v>390</v>
      </c>
      <c r="D509" s="2" t="s">
        <v>0</v>
      </c>
      <c r="E509" s="2" t="s">
        <v>130</v>
      </c>
      <c r="F509" s="2" t="s">
        <v>812</v>
      </c>
      <c r="G509" s="2" t="s">
        <v>813</v>
      </c>
      <c r="H509" s="2" t="s">
        <v>391</v>
      </c>
      <c r="I509" s="2" t="s">
        <v>41</v>
      </c>
      <c r="J509" s="2">
        <v>1</v>
      </c>
      <c r="K509" s="2" t="s">
        <v>81</v>
      </c>
      <c r="L509" s="2" t="s">
        <v>40</v>
      </c>
      <c r="M509" s="2" t="s">
        <v>5292</v>
      </c>
      <c r="N509" s="2" t="s">
        <v>5285</v>
      </c>
      <c r="O509" s="2" t="s">
        <v>5081</v>
      </c>
      <c r="P509" s="2" t="s">
        <v>4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1844</v>
      </c>
      <c r="T509" s="2" t="str">
        <f t="shared" si="114"/>
        <v>0734</v>
      </c>
      <c r="U509" s="2">
        <f t="shared" si="119"/>
        <v>461</v>
      </c>
      <c r="V509" s="2" t="str">
        <f t="shared" si="115"/>
        <v>1CD</v>
      </c>
      <c r="W509" s="2" t="str">
        <f t="shared" si="116"/>
        <v/>
      </c>
      <c r="X509" s="2" t="str">
        <f t="shared" si="120"/>
        <v/>
      </c>
      <c r="Y509" s="2" t="str">
        <f t="shared" si="117"/>
        <v/>
      </c>
      <c r="Z509" s="2" t="str">
        <f t="shared" si="118"/>
        <v>X</v>
      </c>
      <c r="AA509" s="2" t="str">
        <f t="shared" si="121"/>
        <v/>
      </c>
      <c r="AB509" s="2" t="str">
        <f t="shared" si="122"/>
        <v/>
      </c>
      <c r="AC509" s="2" t="str">
        <f t="shared" si="123"/>
        <v/>
      </c>
      <c r="AD509" s="2" t="str">
        <f t="shared" si="124"/>
        <v>(0)</v>
      </c>
      <c r="AE509" s="2" t="str">
        <f t="shared" si="125"/>
        <v/>
      </c>
      <c r="AF509" s="2" t="str">
        <f t="shared" si="126"/>
        <v/>
      </c>
      <c r="AG509" s="2" t="str">
        <f t="shared" si="127"/>
        <v/>
      </c>
      <c r="AH509" s="2" t="str">
        <f t="shared" si="128"/>
        <v/>
      </c>
    </row>
    <row r="510" spans="2:34" x14ac:dyDescent="0.25">
      <c r="B510" s="2" t="s">
        <v>811</v>
      </c>
      <c r="C510" s="2" t="s">
        <v>392</v>
      </c>
      <c r="D510" s="2" t="s">
        <v>0</v>
      </c>
      <c r="E510" s="2" t="s">
        <v>130</v>
      </c>
      <c r="F510" s="2" t="s">
        <v>812</v>
      </c>
      <c r="G510" s="2" t="s">
        <v>813</v>
      </c>
      <c r="H510" s="2" t="s">
        <v>393</v>
      </c>
      <c r="I510" s="2" t="s">
        <v>41</v>
      </c>
      <c r="J510" s="2">
        <v>1</v>
      </c>
      <c r="K510" s="2" t="s">
        <v>81</v>
      </c>
      <c r="L510" s="2" t="s">
        <v>40</v>
      </c>
      <c r="M510" s="2" t="s">
        <v>5292</v>
      </c>
      <c r="N510" s="2" t="s">
        <v>5285</v>
      </c>
      <c r="O510" s="2" t="s">
        <v>5082</v>
      </c>
      <c r="P510" s="2" t="s">
        <v>4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1848</v>
      </c>
      <c r="T510" s="2" t="str">
        <f t="shared" si="114"/>
        <v>0738</v>
      </c>
      <c r="U510" s="2">
        <f t="shared" si="119"/>
        <v>462</v>
      </c>
      <c r="V510" s="2" t="str">
        <f t="shared" si="115"/>
        <v>1CE</v>
      </c>
      <c r="W510" s="2" t="str">
        <f t="shared" si="116"/>
        <v/>
      </c>
      <c r="X510" s="2" t="str">
        <f t="shared" si="120"/>
        <v/>
      </c>
      <c r="Y510" s="2" t="str">
        <f t="shared" si="117"/>
        <v/>
      </c>
      <c r="Z510" s="2" t="str">
        <f t="shared" si="118"/>
        <v>X</v>
      </c>
      <c r="AA510" s="2" t="str">
        <f t="shared" si="121"/>
        <v/>
      </c>
      <c r="AB510" s="2" t="str">
        <f t="shared" si="122"/>
        <v/>
      </c>
      <c r="AC510" s="2" t="str">
        <f t="shared" si="123"/>
        <v/>
      </c>
      <c r="AD510" s="2" t="str">
        <f t="shared" si="124"/>
        <v>(0)</v>
      </c>
      <c r="AE510" s="2" t="str">
        <f t="shared" si="125"/>
        <v/>
      </c>
      <c r="AF510" s="2" t="str">
        <f t="shared" si="126"/>
        <v/>
      </c>
      <c r="AG510" s="2" t="str">
        <f t="shared" si="127"/>
        <v/>
      </c>
      <c r="AH510" s="2" t="str">
        <f t="shared" si="128"/>
        <v/>
      </c>
    </row>
    <row r="511" spans="2:34" x14ac:dyDescent="0.25">
      <c r="B511" s="2" t="s">
        <v>811</v>
      </c>
      <c r="C511" s="2" t="s">
        <v>394</v>
      </c>
      <c r="D511" s="2" t="s">
        <v>0</v>
      </c>
      <c r="E511" s="2" t="s">
        <v>130</v>
      </c>
      <c r="F511" s="2" t="s">
        <v>812</v>
      </c>
      <c r="G511" s="2" t="s">
        <v>813</v>
      </c>
      <c r="H511" s="2" t="s">
        <v>395</v>
      </c>
      <c r="I511" s="2" t="s">
        <v>41</v>
      </c>
      <c r="J511" s="2">
        <v>1</v>
      </c>
      <c r="K511" s="2" t="s">
        <v>81</v>
      </c>
      <c r="L511" s="2" t="s">
        <v>40</v>
      </c>
      <c r="M511" s="2" t="s">
        <v>5292</v>
      </c>
      <c r="N511" s="2" t="s">
        <v>5285</v>
      </c>
      <c r="O511" s="2" t="s">
        <v>5083</v>
      </c>
      <c r="P511" s="2" t="s">
        <v>4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1852</v>
      </c>
      <c r="T511" s="2" t="str">
        <f t="shared" si="114"/>
        <v>073C</v>
      </c>
      <c r="U511" s="2">
        <f t="shared" si="119"/>
        <v>463</v>
      </c>
      <c r="V511" s="2" t="str">
        <f t="shared" si="115"/>
        <v>1CF</v>
      </c>
      <c r="W511" s="2" t="str">
        <f t="shared" si="116"/>
        <v/>
      </c>
      <c r="X511" s="2" t="str">
        <f t="shared" si="120"/>
        <v/>
      </c>
      <c r="Y511" s="2" t="str">
        <f t="shared" si="117"/>
        <v/>
      </c>
      <c r="Z511" s="2" t="str">
        <f t="shared" si="118"/>
        <v>X</v>
      </c>
      <c r="AA511" s="2" t="str">
        <f t="shared" si="121"/>
        <v/>
      </c>
      <c r="AB511" s="2" t="str">
        <f t="shared" si="122"/>
        <v/>
      </c>
      <c r="AC511" s="2" t="str">
        <f t="shared" si="123"/>
        <v/>
      </c>
      <c r="AD511" s="2" t="str">
        <f t="shared" si="124"/>
        <v>(0)</v>
      </c>
      <c r="AE511" s="2" t="str">
        <f t="shared" si="125"/>
        <v/>
      </c>
      <c r="AF511" s="2" t="str">
        <f t="shared" si="126"/>
        <v/>
      </c>
      <c r="AG511" s="2" t="str">
        <f t="shared" si="127"/>
        <v/>
      </c>
      <c r="AH511" s="2" t="str">
        <f t="shared" si="128"/>
        <v/>
      </c>
    </row>
    <row r="512" spans="2:34" x14ac:dyDescent="0.25">
      <c r="B512" s="2" t="s">
        <v>811</v>
      </c>
      <c r="C512" s="2" t="s">
        <v>396</v>
      </c>
      <c r="D512" s="2" t="s">
        <v>0</v>
      </c>
      <c r="E512" s="2" t="s">
        <v>130</v>
      </c>
      <c r="F512" s="2" t="s">
        <v>812</v>
      </c>
      <c r="G512" s="2" t="s">
        <v>813</v>
      </c>
      <c r="H512" s="2" t="s">
        <v>397</v>
      </c>
      <c r="I512" s="2" t="s">
        <v>41</v>
      </c>
      <c r="J512" s="2">
        <v>1</v>
      </c>
      <c r="K512" s="2" t="s">
        <v>81</v>
      </c>
      <c r="L512" s="2" t="s">
        <v>40</v>
      </c>
      <c r="M512" s="2" t="s">
        <v>5292</v>
      </c>
      <c r="N512" s="2" t="s">
        <v>5285</v>
      </c>
      <c r="O512" s="2" t="s">
        <v>5084</v>
      </c>
      <c r="P512" s="2" t="s">
        <v>4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1856</v>
      </c>
      <c r="T512" s="2" t="str">
        <f t="shared" si="114"/>
        <v>0740</v>
      </c>
      <c r="U512" s="2">
        <f t="shared" si="119"/>
        <v>464</v>
      </c>
      <c r="V512" s="2" t="str">
        <f t="shared" si="115"/>
        <v>1D0</v>
      </c>
      <c r="W512" s="2" t="str">
        <f t="shared" si="116"/>
        <v/>
      </c>
      <c r="X512" s="2" t="str">
        <f t="shared" si="120"/>
        <v/>
      </c>
      <c r="Y512" s="2" t="str">
        <f t="shared" si="117"/>
        <v/>
      </c>
      <c r="Z512" s="2" t="str">
        <f t="shared" si="118"/>
        <v>X</v>
      </c>
      <c r="AA512" s="2" t="str">
        <f t="shared" si="121"/>
        <v/>
      </c>
      <c r="AB512" s="2" t="str">
        <f t="shared" si="122"/>
        <v/>
      </c>
      <c r="AC512" s="2" t="str">
        <f t="shared" si="123"/>
        <v/>
      </c>
      <c r="AD512" s="2" t="str">
        <f t="shared" si="124"/>
        <v>(0)</v>
      </c>
      <c r="AE512" s="2" t="str">
        <f t="shared" si="125"/>
        <v/>
      </c>
      <c r="AF512" s="2" t="str">
        <f t="shared" si="126"/>
        <v/>
      </c>
      <c r="AG512" s="2" t="str">
        <f t="shared" si="127"/>
        <v/>
      </c>
      <c r="AH512" s="2" t="str">
        <f t="shared" si="128"/>
        <v/>
      </c>
    </row>
    <row r="513" spans="2:34" x14ac:dyDescent="0.25">
      <c r="B513" s="2" t="s">
        <v>811</v>
      </c>
      <c r="C513" s="2" t="s">
        <v>398</v>
      </c>
      <c r="D513" s="2" t="s">
        <v>0</v>
      </c>
      <c r="E513" s="2" t="s">
        <v>130</v>
      </c>
      <c r="F513" s="2" t="s">
        <v>812</v>
      </c>
      <c r="G513" s="2" t="s">
        <v>813</v>
      </c>
      <c r="H513" s="2" t="s">
        <v>399</v>
      </c>
      <c r="I513" s="2" t="s">
        <v>41</v>
      </c>
      <c r="J513" s="2">
        <v>1</v>
      </c>
      <c r="K513" s="2" t="s">
        <v>81</v>
      </c>
      <c r="L513" s="2" t="s">
        <v>40</v>
      </c>
      <c r="M513" s="2" t="s">
        <v>5292</v>
      </c>
      <c r="N513" s="2" t="s">
        <v>5285</v>
      </c>
      <c r="O513" s="2" t="s">
        <v>5085</v>
      </c>
      <c r="P513" s="2" t="s">
        <v>4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1860</v>
      </c>
      <c r="T513" s="2" t="str">
        <f t="shared" si="114"/>
        <v>0744</v>
      </c>
      <c r="U513" s="2">
        <f t="shared" si="119"/>
        <v>465</v>
      </c>
      <c r="V513" s="2" t="str">
        <f t="shared" si="115"/>
        <v>1D1</v>
      </c>
      <c r="W513" s="2" t="str">
        <f t="shared" si="116"/>
        <v/>
      </c>
      <c r="X513" s="2" t="str">
        <f t="shared" si="120"/>
        <v/>
      </c>
      <c r="Y513" s="2" t="str">
        <f t="shared" si="117"/>
        <v/>
      </c>
      <c r="Z513" s="2" t="str">
        <f t="shared" si="118"/>
        <v>X</v>
      </c>
      <c r="AA513" s="2" t="str">
        <f t="shared" si="121"/>
        <v/>
      </c>
      <c r="AB513" s="2" t="str">
        <f t="shared" si="122"/>
        <v/>
      </c>
      <c r="AC513" s="2" t="str">
        <f t="shared" si="123"/>
        <v/>
      </c>
      <c r="AD513" s="2" t="str">
        <f t="shared" si="124"/>
        <v>(0)</v>
      </c>
      <c r="AE513" s="2" t="str">
        <f t="shared" si="125"/>
        <v/>
      </c>
      <c r="AF513" s="2" t="str">
        <f t="shared" si="126"/>
        <v/>
      </c>
      <c r="AG513" s="2" t="str">
        <f t="shared" si="127"/>
        <v/>
      </c>
      <c r="AH513" s="2" t="str">
        <f t="shared" si="128"/>
        <v/>
      </c>
    </row>
    <row r="514" spans="2:34" x14ac:dyDescent="0.25">
      <c r="B514" s="2" t="s">
        <v>814</v>
      </c>
      <c r="C514" s="2" t="s">
        <v>401</v>
      </c>
      <c r="D514" s="2" t="s">
        <v>0</v>
      </c>
      <c r="E514" s="2" t="s">
        <v>130</v>
      </c>
      <c r="F514" s="2" t="s">
        <v>815</v>
      </c>
      <c r="G514" s="2" t="s">
        <v>816</v>
      </c>
      <c r="H514" s="2" t="s">
        <v>404</v>
      </c>
      <c r="I514" s="2" t="s">
        <v>41</v>
      </c>
      <c r="J514" s="2">
        <v>1</v>
      </c>
      <c r="K514" s="2" t="s">
        <v>81</v>
      </c>
      <c r="L514" s="2" t="s">
        <v>40</v>
      </c>
      <c r="M514" s="2" t="s">
        <v>5292</v>
      </c>
      <c r="N514" s="2" t="s">
        <v>5286</v>
      </c>
      <c r="O514" s="2" t="s">
        <v>5086</v>
      </c>
      <c r="P514" s="2" t="s">
        <v>4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1864</v>
      </c>
      <c r="T514" s="2" t="str">
        <f t="shared" si="114"/>
        <v>0748</v>
      </c>
      <c r="U514" s="2">
        <f t="shared" si="119"/>
        <v>466</v>
      </c>
      <c r="V514" s="2" t="str">
        <f t="shared" si="115"/>
        <v>1D2</v>
      </c>
      <c r="W514" s="2" t="str">
        <f t="shared" si="116"/>
        <v/>
      </c>
      <c r="X514" s="2" t="str">
        <f t="shared" si="120"/>
        <v/>
      </c>
      <c r="Y514" s="2" t="str">
        <f t="shared" si="117"/>
        <v/>
      </c>
      <c r="Z514" s="2" t="str">
        <f t="shared" si="118"/>
        <v>X</v>
      </c>
      <c r="AA514" s="2" t="str">
        <f t="shared" si="121"/>
        <v/>
      </c>
      <c r="AB514" s="2" t="str">
        <f t="shared" si="122"/>
        <v/>
      </c>
      <c r="AC514" s="2" t="str">
        <f t="shared" si="123"/>
        <v/>
      </c>
      <c r="AD514" s="2" t="str">
        <f t="shared" si="124"/>
        <v>(0)</v>
      </c>
      <c r="AE514" s="2" t="str">
        <f t="shared" si="125"/>
        <v/>
      </c>
      <c r="AF514" s="2" t="str">
        <f t="shared" si="126"/>
        <v/>
      </c>
      <c r="AG514" s="2" t="str">
        <f t="shared" si="127"/>
        <v/>
      </c>
      <c r="AH514" s="2" t="str">
        <f t="shared" si="128"/>
        <v/>
      </c>
    </row>
    <row r="515" spans="2:34" x14ac:dyDescent="0.25">
      <c r="B515" s="2" t="s">
        <v>814</v>
      </c>
      <c r="C515" s="2" t="s">
        <v>405</v>
      </c>
      <c r="D515" s="2" t="s">
        <v>0</v>
      </c>
      <c r="E515" s="2" t="s">
        <v>130</v>
      </c>
      <c r="F515" s="2" t="s">
        <v>815</v>
      </c>
      <c r="G515" s="2" t="s">
        <v>816</v>
      </c>
      <c r="H515" s="2" t="s">
        <v>406</v>
      </c>
      <c r="I515" s="2" t="s">
        <v>41</v>
      </c>
      <c r="J515" s="2">
        <v>1</v>
      </c>
      <c r="K515" s="2" t="s">
        <v>81</v>
      </c>
      <c r="L515" s="2" t="s">
        <v>40</v>
      </c>
      <c r="M515" s="2" t="s">
        <v>5292</v>
      </c>
      <c r="N515" s="2" t="s">
        <v>5286</v>
      </c>
      <c r="O515" s="2" t="s">
        <v>5087</v>
      </c>
      <c r="P515" s="2" t="s">
        <v>4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1868</v>
      </c>
      <c r="T515" s="2" t="str">
        <f t="shared" si="114"/>
        <v>074C</v>
      </c>
      <c r="U515" s="2">
        <f t="shared" si="119"/>
        <v>467</v>
      </c>
      <c r="V515" s="2" t="str">
        <f t="shared" si="115"/>
        <v>1D3</v>
      </c>
      <c r="W515" s="2" t="str">
        <f t="shared" si="116"/>
        <v/>
      </c>
      <c r="X515" s="2" t="str">
        <f t="shared" si="120"/>
        <v/>
      </c>
      <c r="Y515" s="2" t="str">
        <f t="shared" si="117"/>
        <v/>
      </c>
      <c r="Z515" s="2" t="str">
        <f t="shared" si="118"/>
        <v>X</v>
      </c>
      <c r="AA515" s="2" t="str">
        <f t="shared" si="121"/>
        <v/>
      </c>
      <c r="AB515" s="2" t="str">
        <f t="shared" si="122"/>
        <v/>
      </c>
      <c r="AC515" s="2" t="str">
        <f t="shared" si="123"/>
        <v/>
      </c>
      <c r="AD515" s="2" t="str">
        <f t="shared" si="124"/>
        <v>(0)</v>
      </c>
      <c r="AE515" s="2" t="str">
        <f t="shared" si="125"/>
        <v/>
      </c>
      <c r="AF515" s="2" t="str">
        <f t="shared" si="126"/>
        <v/>
      </c>
      <c r="AG515" s="2" t="str">
        <f t="shared" si="127"/>
        <v/>
      </c>
      <c r="AH515" s="2" t="str">
        <f t="shared" si="128"/>
        <v/>
      </c>
    </row>
    <row r="516" spans="2:34" x14ac:dyDescent="0.25">
      <c r="B516" s="2" t="s">
        <v>814</v>
      </c>
      <c r="C516" s="2" t="s">
        <v>407</v>
      </c>
      <c r="D516" s="2" t="s">
        <v>0</v>
      </c>
      <c r="E516" s="2" t="s">
        <v>130</v>
      </c>
      <c r="F516" s="2" t="s">
        <v>815</v>
      </c>
      <c r="G516" s="2" t="s">
        <v>816</v>
      </c>
      <c r="H516" s="2" t="s">
        <v>408</v>
      </c>
      <c r="I516" s="2" t="s">
        <v>41</v>
      </c>
      <c r="J516" s="2">
        <v>1</v>
      </c>
      <c r="K516" s="2" t="s">
        <v>81</v>
      </c>
      <c r="L516" s="2" t="s">
        <v>40</v>
      </c>
      <c r="M516" s="2" t="s">
        <v>5292</v>
      </c>
      <c r="N516" s="2" t="s">
        <v>5286</v>
      </c>
      <c r="O516" s="2" t="s">
        <v>5088</v>
      </c>
      <c r="P516" s="2" t="s">
        <v>4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1872</v>
      </c>
      <c r="T516" s="2" t="str">
        <f t="shared" si="114"/>
        <v>0750</v>
      </c>
      <c r="U516" s="2">
        <f t="shared" si="119"/>
        <v>468</v>
      </c>
      <c r="V516" s="2" t="str">
        <f t="shared" si="115"/>
        <v>1D4</v>
      </c>
      <c r="W516" s="2" t="str">
        <f t="shared" si="116"/>
        <v/>
      </c>
      <c r="X516" s="2" t="str">
        <f t="shared" si="120"/>
        <v/>
      </c>
      <c r="Y516" s="2" t="str">
        <f t="shared" si="117"/>
        <v/>
      </c>
      <c r="Z516" s="2" t="str">
        <f t="shared" si="118"/>
        <v>X</v>
      </c>
      <c r="AA516" s="2" t="str">
        <f t="shared" si="121"/>
        <v/>
      </c>
      <c r="AB516" s="2" t="str">
        <f t="shared" si="122"/>
        <v/>
      </c>
      <c r="AC516" s="2" t="str">
        <f t="shared" si="123"/>
        <v/>
      </c>
      <c r="AD516" s="2" t="str">
        <f t="shared" si="124"/>
        <v>(0)</v>
      </c>
      <c r="AE516" s="2" t="str">
        <f t="shared" si="125"/>
        <v/>
      </c>
      <c r="AF516" s="2" t="str">
        <f t="shared" si="126"/>
        <v/>
      </c>
      <c r="AG516" s="2" t="str">
        <f t="shared" si="127"/>
        <v/>
      </c>
      <c r="AH516" s="2" t="str">
        <f t="shared" si="128"/>
        <v/>
      </c>
    </row>
    <row r="517" spans="2:34" x14ac:dyDescent="0.25">
      <c r="B517" s="2" t="s">
        <v>814</v>
      </c>
      <c r="C517" s="2" t="s">
        <v>409</v>
      </c>
      <c r="D517" s="2" t="s">
        <v>0</v>
      </c>
      <c r="E517" s="2" t="s">
        <v>130</v>
      </c>
      <c r="F517" s="2" t="s">
        <v>815</v>
      </c>
      <c r="G517" s="2" t="s">
        <v>816</v>
      </c>
      <c r="H517" s="2" t="s">
        <v>410</v>
      </c>
      <c r="I517" s="2" t="s">
        <v>41</v>
      </c>
      <c r="J517" s="2">
        <v>1</v>
      </c>
      <c r="K517" s="2" t="s">
        <v>81</v>
      </c>
      <c r="L517" s="2" t="s">
        <v>40</v>
      </c>
      <c r="M517" s="2" t="s">
        <v>5292</v>
      </c>
      <c r="N517" s="2" t="s">
        <v>5286</v>
      </c>
      <c r="O517" s="2" t="s">
        <v>5089</v>
      </c>
      <c r="P517" s="2" t="s">
        <v>4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1876</v>
      </c>
      <c r="T517" s="2" t="str">
        <f t="shared" ref="T517:T528" si="129">DEC2HEX($S517,4)</f>
        <v>0754</v>
      </c>
      <c r="U517" s="2">
        <f t="shared" si="119"/>
        <v>469</v>
      </c>
      <c r="V517" s="2" t="str">
        <f t="shared" ref="V517:V528" si="130">DEC2HEX($U517,3)</f>
        <v>1D5</v>
      </c>
      <c r="W517" s="2" t="str">
        <f t="shared" ref="W517:W528" si="131">IF(MOD($S517,4)=3,"X",IF(AND(MOD($S517,4)=2,$J517&gt;8),"X",IF(AND(MOD($S517,4)=1,$J517&gt;16),"X",IF(AND(MOD($S517,4)=0,$J517&gt;24),"X",""))))</f>
        <v/>
      </c>
      <c r="X517" s="2" t="str">
        <f t="shared" si="120"/>
        <v/>
      </c>
      <c r="Y517" s="2" t="str">
        <f t="shared" ref="Y517:Y528" si="132">IF(MOD($S517,4)=1,"X",IF(AND(MOD($S517,4)=0,$J517&gt;8),"X",""))</f>
        <v/>
      </c>
      <c r="Z517" s="2" t="str">
        <f t="shared" ref="Z517:Z528" si="133">IF(MOD($S517,4)=0,"X","")</f>
        <v>X</v>
      </c>
      <c r="AA517" s="2" t="str">
        <f t="shared" si="121"/>
        <v/>
      </c>
      <c r="AB517" s="2" t="str">
        <f t="shared" si="122"/>
        <v/>
      </c>
      <c r="AC517" s="2" t="str">
        <f t="shared" si="123"/>
        <v/>
      </c>
      <c r="AD517" s="2" t="str">
        <f t="shared" si="124"/>
        <v>(0)</v>
      </c>
      <c r="AE517" s="2" t="str">
        <f t="shared" si="125"/>
        <v/>
      </c>
      <c r="AF517" s="2" t="str">
        <f t="shared" si="126"/>
        <v/>
      </c>
      <c r="AG517" s="2" t="str">
        <f t="shared" si="127"/>
        <v/>
      </c>
      <c r="AH517" s="2" t="str">
        <f t="shared" si="128"/>
        <v/>
      </c>
    </row>
    <row r="518" spans="2:34" x14ac:dyDescent="0.25">
      <c r="B518" s="2" t="s">
        <v>814</v>
      </c>
      <c r="C518" s="2" t="s">
        <v>411</v>
      </c>
      <c r="D518" s="2" t="s">
        <v>0</v>
      </c>
      <c r="E518" s="2" t="s">
        <v>130</v>
      </c>
      <c r="F518" s="2" t="s">
        <v>815</v>
      </c>
      <c r="G518" s="2" t="s">
        <v>816</v>
      </c>
      <c r="H518" s="2" t="s">
        <v>412</v>
      </c>
      <c r="I518" s="2" t="s">
        <v>41</v>
      </c>
      <c r="J518" s="2">
        <v>1</v>
      </c>
      <c r="K518" s="2" t="s">
        <v>81</v>
      </c>
      <c r="L518" s="2" t="s">
        <v>40</v>
      </c>
      <c r="M518" s="2" t="s">
        <v>5292</v>
      </c>
      <c r="N518" s="2" t="s">
        <v>5286</v>
      </c>
      <c r="O518" s="2" t="s">
        <v>5090</v>
      </c>
      <c r="P518" s="2" t="s">
        <v>4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1880</v>
      </c>
      <c r="T518" s="2" t="str">
        <f t="shared" si="129"/>
        <v>0758</v>
      </c>
      <c r="U518" s="2">
        <f t="shared" ref="U518:U528" si="134">ROUNDDOWN(S518/4,0)</f>
        <v>470</v>
      </c>
      <c r="V518" s="2" t="str">
        <f t="shared" si="130"/>
        <v>1D6</v>
      </c>
      <c r="W518" s="2" t="str">
        <f t="shared" si="131"/>
        <v/>
      </c>
      <c r="X518" s="2" t="str">
        <f t="shared" ref="X518:X528" si="135">IF(MOD($S518,4)=2,"X",IF(AND(MOD($S518,4)=1,$J518&gt;8),"X",IF(AND(MOD($S518,4)=0,$J518&gt;16),"X","")))</f>
        <v/>
      </c>
      <c r="Y518" s="2" t="str">
        <f t="shared" si="132"/>
        <v/>
      </c>
      <c r="Z518" s="2" t="str">
        <f t="shared" si="133"/>
        <v>X</v>
      </c>
      <c r="AA518" s="2" t="str">
        <f t="shared" ref="AA518:AA528" si="136">IF(W518="","",CONCATENATE("(",IF(($J518-COUNTIF($X518:$Z518,"X")*8)=1,"24)",CONCATENATE(IF(($J518-COUNTIF($X518:$Z518,"X")*8)&gt;=8,32,($J518-COUNTIF($X518:$Z518,"X")*8)+24)-1," downto 24)"))))</f>
        <v/>
      </c>
      <c r="AB518" s="2" t="str">
        <f t="shared" ref="AB518:AB528" si="137">IF(X518="","",CONCATENATE("(",IF(($J518-COUNTIF($Y518:$Z518,"X")*8)=1,"16)",CONCATENATE(IF(($J518-COUNTIF($Y518:$Z518,"X")*8)&gt;=8,24,($J518-COUNTIF($Y518:$Z518,"X")*8)+16)-1," downto 16)"))))</f>
        <v/>
      </c>
      <c r="AC518" s="2" t="str">
        <f t="shared" ref="AC518:AC528" si="138">IF(Y518="","",CONCATENATE("(",IF(($J518-COUNTIF($Z518,"X")*8)=1,"8)",CONCATENATE(IF(($J518-COUNTIF($Z518,"X")*8)&gt;=8,16,($J518-COUNTIF($Z518,"X")*8)+8)-1," downto 8)"))))</f>
        <v/>
      </c>
      <c r="AD518" s="2" t="str">
        <f t="shared" ref="AD518:AD528" si="139">IF(Z518="","",CONCATENATE("(",IF($J518=1,"0)",CONCATENATE(IF($J518&gt;=8,8,$J518)-1," downto 0)"))))</f>
        <v>(0)</v>
      </c>
      <c r="AE518" s="2" t="str">
        <f t="shared" ref="AE518:AE528" si="140">IF(W518="","",IF($J518&lt;=8,"",IF(($J518-COUNTIF($X518:$Z518,"X")*8)=1,CONCATENATE("(",($J518-1),")"),CONCATENATE("(",IF(($J518-COUNTIF($X518:$Z518,"X")*8)&gt;=8,COUNTIF($X518:$Z518,"X")*8+7,$J518-COUNTIF($X518:$Z518,"X")*8-1+COUNTIF($X518:$Z518,"X")*8)," downto ",COUNTIF($X518:$Z518,"X")*8,")"))))</f>
        <v/>
      </c>
      <c r="AF518" s="2" t="str">
        <f t="shared" ref="AF518:AF528" si="141">IF(X518="","",IF($J518&lt;=8,"",IF(($J518-COUNTIF($Y518:$Z518,"X")*8)=1,CONCATENATE("(",($J518-1),")"),CONCATENATE("(",IF(($J518-COUNTIF($Y518:$Z518,"X")*8)&gt;=8,COUNTIF($Y518:$Z518,"X")*8+7,$J518-COUNTIF($Y518:$Z518,"X")*8-1+COUNTIF($Y518:$Z518,"X")*8)," downto ",COUNTIF($Y518:$Z518,"X")*8,")"))))</f>
        <v/>
      </c>
      <c r="AG518" s="2" t="str">
        <f t="shared" ref="AG518:AG528" si="142">IF(Y518="","",IF($J518&lt;=8,"",IF(($J518-COUNTIF($Z518,"X")*8)=1,CONCATENATE("(",($J518-1),")"),CONCATENATE("(",IF(($J518-COUNTIF($Z518,"X")*8)&gt;=8,COUNTIF($Z518,"X")*8+7,$J518-COUNTIF($Z518,"X")*8-1+COUNTIF($Z518,"X")*8)," downto ",COUNTIF($Z518,"X")*8,")"))))</f>
        <v/>
      </c>
      <c r="AH518" s="2" t="str">
        <f t="shared" ref="AH518:AH528" si="143">IF(Z518="","",IF($J518&lt;=8,"",CONCATENATE("(",IF($J518&gt;=8,7,$J518-1)," downto ",0,")")))</f>
        <v/>
      </c>
    </row>
    <row r="519" spans="2:34" x14ac:dyDescent="0.25">
      <c r="B519" s="2" t="s">
        <v>814</v>
      </c>
      <c r="C519" s="2" t="s">
        <v>413</v>
      </c>
      <c r="D519" s="2" t="s">
        <v>0</v>
      </c>
      <c r="E519" s="2" t="s">
        <v>130</v>
      </c>
      <c r="F519" s="2" t="s">
        <v>815</v>
      </c>
      <c r="G519" s="2" t="s">
        <v>816</v>
      </c>
      <c r="H519" s="2" t="s">
        <v>414</v>
      </c>
      <c r="I519" s="2" t="s">
        <v>41</v>
      </c>
      <c r="J519" s="2">
        <v>1</v>
      </c>
      <c r="K519" s="2" t="s">
        <v>81</v>
      </c>
      <c r="L519" s="2" t="s">
        <v>40</v>
      </c>
      <c r="M519" s="2" t="s">
        <v>5292</v>
      </c>
      <c r="N519" s="2" t="s">
        <v>5286</v>
      </c>
      <c r="O519" s="2" t="s">
        <v>5091</v>
      </c>
      <c r="P519" s="2" t="s">
        <v>4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1884</v>
      </c>
      <c r="T519" s="2" t="str">
        <f t="shared" si="129"/>
        <v>075C</v>
      </c>
      <c r="U519" s="2">
        <f t="shared" si="134"/>
        <v>471</v>
      </c>
      <c r="V519" s="2" t="str">
        <f t="shared" si="130"/>
        <v>1D7</v>
      </c>
      <c r="W519" s="2" t="str">
        <f t="shared" si="131"/>
        <v/>
      </c>
      <c r="X519" s="2" t="str">
        <f t="shared" si="135"/>
        <v/>
      </c>
      <c r="Y519" s="2" t="str">
        <f t="shared" si="132"/>
        <v/>
      </c>
      <c r="Z519" s="2" t="str">
        <f t="shared" si="133"/>
        <v>X</v>
      </c>
      <c r="AA519" s="2" t="str">
        <f t="shared" si="136"/>
        <v/>
      </c>
      <c r="AB519" s="2" t="str">
        <f t="shared" si="137"/>
        <v/>
      </c>
      <c r="AC519" s="2" t="str">
        <f t="shared" si="138"/>
        <v/>
      </c>
      <c r="AD519" s="2" t="str">
        <f t="shared" si="139"/>
        <v>(0)</v>
      </c>
      <c r="AE519" s="2" t="str">
        <f t="shared" si="140"/>
        <v/>
      </c>
      <c r="AF519" s="2" t="str">
        <f t="shared" si="141"/>
        <v/>
      </c>
      <c r="AG519" s="2" t="str">
        <f t="shared" si="142"/>
        <v/>
      </c>
      <c r="AH519" s="2" t="str">
        <f t="shared" si="143"/>
        <v/>
      </c>
    </row>
    <row r="520" spans="2:34" x14ac:dyDescent="0.25">
      <c r="B520" s="2" t="s">
        <v>814</v>
      </c>
      <c r="C520" s="2" t="s">
        <v>415</v>
      </c>
      <c r="D520" s="2" t="s">
        <v>0</v>
      </c>
      <c r="E520" s="2" t="s">
        <v>130</v>
      </c>
      <c r="F520" s="2" t="s">
        <v>815</v>
      </c>
      <c r="G520" s="2" t="s">
        <v>816</v>
      </c>
      <c r="H520" s="2" t="s">
        <v>416</v>
      </c>
      <c r="I520" s="2" t="s">
        <v>41</v>
      </c>
      <c r="J520" s="2">
        <v>1</v>
      </c>
      <c r="K520" s="2" t="s">
        <v>81</v>
      </c>
      <c r="L520" s="2" t="s">
        <v>40</v>
      </c>
      <c r="M520" s="2" t="s">
        <v>5292</v>
      </c>
      <c r="N520" s="2" t="s">
        <v>5286</v>
      </c>
      <c r="O520" s="2" t="s">
        <v>5092</v>
      </c>
      <c r="P520" s="2" t="s">
        <v>4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1888</v>
      </c>
      <c r="T520" s="2" t="str">
        <f t="shared" si="129"/>
        <v>0760</v>
      </c>
      <c r="U520" s="2">
        <f t="shared" si="134"/>
        <v>472</v>
      </c>
      <c r="V520" s="2" t="str">
        <f t="shared" si="130"/>
        <v>1D8</v>
      </c>
      <c r="W520" s="2" t="str">
        <f t="shared" si="131"/>
        <v/>
      </c>
      <c r="X520" s="2" t="str">
        <f t="shared" si="135"/>
        <v/>
      </c>
      <c r="Y520" s="2" t="str">
        <f t="shared" si="132"/>
        <v/>
      </c>
      <c r="Z520" s="2" t="str">
        <f t="shared" si="133"/>
        <v>X</v>
      </c>
      <c r="AA520" s="2" t="str">
        <f t="shared" si="136"/>
        <v/>
      </c>
      <c r="AB520" s="2" t="str">
        <f t="shared" si="137"/>
        <v/>
      </c>
      <c r="AC520" s="2" t="str">
        <f t="shared" si="138"/>
        <v/>
      </c>
      <c r="AD520" s="2" t="str">
        <f t="shared" si="139"/>
        <v>(0)</v>
      </c>
      <c r="AE520" s="2" t="str">
        <f t="shared" si="140"/>
        <v/>
      </c>
      <c r="AF520" s="2" t="str">
        <f t="shared" si="141"/>
        <v/>
      </c>
      <c r="AG520" s="2" t="str">
        <f t="shared" si="142"/>
        <v/>
      </c>
      <c r="AH520" s="2" t="str">
        <f t="shared" si="143"/>
        <v/>
      </c>
    </row>
    <row r="521" spans="2:34" x14ac:dyDescent="0.25">
      <c r="B521" s="2" t="s">
        <v>814</v>
      </c>
      <c r="C521" s="2" t="s">
        <v>417</v>
      </c>
      <c r="D521" s="2" t="s">
        <v>0</v>
      </c>
      <c r="E521" s="2" t="s">
        <v>130</v>
      </c>
      <c r="F521" s="2" t="s">
        <v>815</v>
      </c>
      <c r="G521" s="2" t="s">
        <v>816</v>
      </c>
      <c r="H521" s="2" t="s">
        <v>418</v>
      </c>
      <c r="I521" s="2" t="s">
        <v>41</v>
      </c>
      <c r="J521" s="2">
        <v>1</v>
      </c>
      <c r="K521" s="2" t="s">
        <v>81</v>
      </c>
      <c r="L521" s="2" t="s">
        <v>40</v>
      </c>
      <c r="M521" s="2" t="s">
        <v>5292</v>
      </c>
      <c r="N521" s="2" t="s">
        <v>5286</v>
      </c>
      <c r="O521" s="2" t="s">
        <v>5093</v>
      </c>
      <c r="P521" s="2" t="s">
        <v>4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1892</v>
      </c>
      <c r="T521" s="2" t="str">
        <f t="shared" si="129"/>
        <v>0764</v>
      </c>
      <c r="U521" s="2">
        <f t="shared" si="134"/>
        <v>473</v>
      </c>
      <c r="V521" s="2" t="str">
        <f t="shared" si="130"/>
        <v>1D9</v>
      </c>
      <c r="W521" s="2" t="str">
        <f t="shared" si="131"/>
        <v/>
      </c>
      <c r="X521" s="2" t="str">
        <f t="shared" si="135"/>
        <v/>
      </c>
      <c r="Y521" s="2" t="str">
        <f t="shared" si="132"/>
        <v/>
      </c>
      <c r="Z521" s="2" t="str">
        <f t="shared" si="133"/>
        <v>X</v>
      </c>
      <c r="AA521" s="2" t="str">
        <f t="shared" si="136"/>
        <v/>
      </c>
      <c r="AB521" s="2" t="str">
        <f t="shared" si="137"/>
        <v/>
      </c>
      <c r="AC521" s="2" t="str">
        <f t="shared" si="138"/>
        <v/>
      </c>
      <c r="AD521" s="2" t="str">
        <f t="shared" si="139"/>
        <v>(0)</v>
      </c>
      <c r="AE521" s="2" t="str">
        <f t="shared" si="140"/>
        <v/>
      </c>
      <c r="AF521" s="2" t="str">
        <f t="shared" si="141"/>
        <v/>
      </c>
      <c r="AG521" s="2" t="str">
        <f t="shared" si="142"/>
        <v/>
      </c>
      <c r="AH521" s="2" t="str">
        <f t="shared" si="143"/>
        <v/>
      </c>
    </row>
    <row r="522" spans="2:34" x14ac:dyDescent="0.25">
      <c r="B522" s="2" t="s">
        <v>817</v>
      </c>
      <c r="C522" s="2" t="s">
        <v>818</v>
      </c>
      <c r="D522" s="2" t="s">
        <v>0</v>
      </c>
      <c r="E522" s="2" t="s">
        <v>130</v>
      </c>
      <c r="F522" s="2" t="s">
        <v>819</v>
      </c>
      <c r="G522" s="2" t="s">
        <v>820</v>
      </c>
      <c r="H522" s="2" t="s">
        <v>821</v>
      </c>
      <c r="I522" s="2" t="s">
        <v>41</v>
      </c>
      <c r="J522" s="2">
        <v>8</v>
      </c>
      <c r="K522" s="2" t="s">
        <v>132</v>
      </c>
      <c r="L522" s="2" t="s">
        <v>40</v>
      </c>
      <c r="M522" s="2" t="s">
        <v>5292</v>
      </c>
      <c r="N522" s="2" t="s">
        <v>5287</v>
      </c>
      <c r="O522" s="2" t="s">
        <v>5216</v>
      </c>
      <c r="P522" s="2" t="s">
        <v>47</v>
      </c>
      <c r="Q522" s="2">
        <f>INDEX(Tables!$C$4:$C$28,MATCH($P522,Tables!$B$4:$B$28,0))</f>
        <v>8</v>
      </c>
      <c r="R522" s="2">
        <f>INDEX(Tables!$D$4:$D$28,MATCH($P522,Tables!$B$4:$B$28,0))</f>
        <v>1</v>
      </c>
      <c r="S522" s="2">
        <f>$S521+$R521+INDEX(Tables!$N$5:$Q$8,MATCH(MOD($S521+$R521,4),Tables!$M$5:$M$8,0),MATCH($R522,Tables!$N$4:$Q$4,0))</f>
        <v>1896</v>
      </c>
      <c r="T522" s="2" t="str">
        <f t="shared" si="129"/>
        <v>0768</v>
      </c>
      <c r="U522" s="2">
        <f t="shared" si="134"/>
        <v>474</v>
      </c>
      <c r="V522" s="2" t="str">
        <f t="shared" si="130"/>
        <v>1DA</v>
      </c>
      <c r="W522" s="2" t="str">
        <f t="shared" si="131"/>
        <v/>
      </c>
      <c r="X522" s="2" t="str">
        <f t="shared" si="135"/>
        <v/>
      </c>
      <c r="Y522" s="2" t="str">
        <f t="shared" si="132"/>
        <v/>
      </c>
      <c r="Z522" s="2" t="str">
        <f t="shared" si="133"/>
        <v>X</v>
      </c>
      <c r="AA522" s="2" t="str">
        <f t="shared" si="136"/>
        <v/>
      </c>
      <c r="AB522" s="2" t="str">
        <f t="shared" si="137"/>
        <v/>
      </c>
      <c r="AC522" s="2" t="str">
        <f t="shared" si="138"/>
        <v/>
      </c>
      <c r="AD522" s="2" t="str">
        <f t="shared" si="139"/>
        <v>(7 downto 0)</v>
      </c>
      <c r="AE522" s="2" t="str">
        <f t="shared" si="140"/>
        <v/>
      </c>
      <c r="AF522" s="2" t="str">
        <f t="shared" si="141"/>
        <v/>
      </c>
      <c r="AG522" s="2" t="str">
        <f t="shared" si="142"/>
        <v/>
      </c>
      <c r="AH522" s="2" t="str">
        <f t="shared" si="143"/>
        <v/>
      </c>
    </row>
    <row r="523" spans="2:34" x14ac:dyDescent="0.25">
      <c r="B523" s="2" t="s">
        <v>817</v>
      </c>
      <c r="C523" s="2" t="s">
        <v>822</v>
      </c>
      <c r="D523" s="2" t="s">
        <v>0</v>
      </c>
      <c r="E523" s="2" t="s">
        <v>130</v>
      </c>
      <c r="F523" s="2" t="s">
        <v>819</v>
      </c>
      <c r="G523" s="2" t="s">
        <v>820</v>
      </c>
      <c r="H523" s="2" t="s">
        <v>823</v>
      </c>
      <c r="I523" s="2" t="s">
        <v>41</v>
      </c>
      <c r="J523" s="2">
        <v>8</v>
      </c>
      <c r="K523" s="2" t="s">
        <v>132</v>
      </c>
      <c r="L523" s="2" t="s">
        <v>40</v>
      </c>
      <c r="M523" s="2" t="s">
        <v>5292</v>
      </c>
      <c r="N523" s="2" t="s">
        <v>5287</v>
      </c>
      <c r="O523" s="2" t="s">
        <v>5217</v>
      </c>
      <c r="P523" s="2" t="s">
        <v>47</v>
      </c>
      <c r="Q523" s="2">
        <f>INDEX(Tables!$C$4:$C$28,MATCH($P523,Tables!$B$4:$B$28,0))</f>
        <v>8</v>
      </c>
      <c r="R523" s="2">
        <f>INDEX(Tables!$D$4:$D$28,MATCH($P523,Tables!$B$4:$B$28,0))</f>
        <v>1</v>
      </c>
      <c r="S523" s="2">
        <f>$S522+$R522+INDEX(Tables!$N$5:$Q$8,MATCH(MOD($S522+$R522,4),Tables!$M$5:$M$8,0),MATCH($R523,Tables!$N$4:$Q$4,0))</f>
        <v>1897</v>
      </c>
      <c r="T523" s="2" t="str">
        <f t="shared" si="129"/>
        <v>0769</v>
      </c>
      <c r="U523" s="2">
        <f t="shared" si="134"/>
        <v>474</v>
      </c>
      <c r="V523" s="2" t="str">
        <f t="shared" si="130"/>
        <v>1DA</v>
      </c>
      <c r="W523" s="2" t="str">
        <f t="shared" si="131"/>
        <v/>
      </c>
      <c r="X523" s="2" t="str">
        <f t="shared" si="135"/>
        <v/>
      </c>
      <c r="Y523" s="2" t="str">
        <f t="shared" si="132"/>
        <v>X</v>
      </c>
      <c r="Z523" s="2" t="str">
        <f t="shared" si="133"/>
        <v/>
      </c>
      <c r="AA523" s="2" t="str">
        <f t="shared" si="136"/>
        <v/>
      </c>
      <c r="AB523" s="2" t="str">
        <f t="shared" si="137"/>
        <v/>
      </c>
      <c r="AC523" s="2" t="str">
        <f t="shared" si="138"/>
        <v>(15 downto 8)</v>
      </c>
      <c r="AD523" s="2" t="str">
        <f t="shared" si="139"/>
        <v/>
      </c>
      <c r="AE523" s="2" t="str">
        <f t="shared" si="140"/>
        <v/>
      </c>
      <c r="AF523" s="2" t="str">
        <f t="shared" si="141"/>
        <v/>
      </c>
      <c r="AG523" s="2" t="str">
        <f t="shared" si="142"/>
        <v/>
      </c>
      <c r="AH523" s="2" t="str">
        <f t="shared" si="143"/>
        <v/>
      </c>
    </row>
    <row r="524" spans="2:34" x14ac:dyDescent="0.25">
      <c r="B524" s="2" t="s">
        <v>824</v>
      </c>
      <c r="C524" s="2" t="s">
        <v>825</v>
      </c>
      <c r="D524" s="2" t="s">
        <v>0</v>
      </c>
      <c r="E524" s="2" t="s">
        <v>130</v>
      </c>
      <c r="F524" s="2" t="s">
        <v>826</v>
      </c>
      <c r="G524" s="2" t="s">
        <v>827</v>
      </c>
      <c r="H524" s="2" t="s">
        <v>828</v>
      </c>
      <c r="I524" s="2" t="s">
        <v>41</v>
      </c>
      <c r="J524" s="2">
        <v>16</v>
      </c>
      <c r="K524" s="2" t="s">
        <v>132</v>
      </c>
      <c r="L524" s="2" t="s">
        <v>40</v>
      </c>
      <c r="M524" s="2" t="s">
        <v>5292</v>
      </c>
      <c r="N524" s="2" t="s">
        <v>5288</v>
      </c>
      <c r="O524" s="2" t="s">
        <v>5218</v>
      </c>
      <c r="P524" s="2" t="s">
        <v>49</v>
      </c>
      <c r="Q524" s="2">
        <f>INDEX(Tables!$C$4:$C$28,MATCH($P524,Tables!$B$4:$B$28,0))</f>
        <v>16</v>
      </c>
      <c r="R524" s="2">
        <f>INDEX(Tables!$D$4:$D$28,MATCH($P524,Tables!$B$4:$B$28,0))</f>
        <v>2</v>
      </c>
      <c r="S524" s="2">
        <f>$S523+$R523+INDEX(Tables!$N$5:$Q$8,MATCH(MOD($S523+$R523,4),Tables!$M$5:$M$8,0),MATCH($R524,Tables!$N$4:$Q$4,0))</f>
        <v>1898</v>
      </c>
      <c r="T524" s="2" t="str">
        <f t="shared" si="129"/>
        <v>076A</v>
      </c>
      <c r="U524" s="2">
        <f t="shared" si="134"/>
        <v>474</v>
      </c>
      <c r="V524" s="2" t="str">
        <f t="shared" si="130"/>
        <v>1DA</v>
      </c>
      <c r="W524" s="2" t="str">
        <f t="shared" si="131"/>
        <v>X</v>
      </c>
      <c r="X524" s="2" t="str">
        <f t="shared" si="135"/>
        <v>X</v>
      </c>
      <c r="Y524" s="2" t="str">
        <f t="shared" si="132"/>
        <v/>
      </c>
      <c r="Z524" s="2" t="str">
        <f t="shared" si="133"/>
        <v/>
      </c>
      <c r="AA524" s="2" t="str">
        <f t="shared" si="136"/>
        <v>(31 downto 24)</v>
      </c>
      <c r="AB524" s="2" t="str">
        <f t="shared" si="137"/>
        <v>(23 downto 16)</v>
      </c>
      <c r="AC524" s="2" t="str">
        <f t="shared" si="138"/>
        <v/>
      </c>
      <c r="AD524" s="2" t="str">
        <f t="shared" si="139"/>
        <v/>
      </c>
      <c r="AE524" s="2" t="str">
        <f t="shared" si="140"/>
        <v>(15 downto 8)</v>
      </c>
      <c r="AF524" s="2" t="str">
        <f t="shared" si="141"/>
        <v>(7 downto 0)</v>
      </c>
      <c r="AG524" s="2" t="str">
        <f t="shared" si="142"/>
        <v/>
      </c>
      <c r="AH524" s="2" t="str">
        <f t="shared" si="143"/>
        <v/>
      </c>
    </row>
    <row r="525" spans="2:34" x14ac:dyDescent="0.25">
      <c r="B525" s="2" t="s">
        <v>824</v>
      </c>
      <c r="C525" s="2" t="s">
        <v>829</v>
      </c>
      <c r="D525" s="2" t="s">
        <v>0</v>
      </c>
      <c r="E525" s="2" t="s">
        <v>130</v>
      </c>
      <c r="F525" s="2" t="s">
        <v>826</v>
      </c>
      <c r="G525" s="2" t="s">
        <v>827</v>
      </c>
      <c r="H525" s="2" t="s">
        <v>830</v>
      </c>
      <c r="I525" s="2" t="s">
        <v>41</v>
      </c>
      <c r="J525" s="2">
        <v>16</v>
      </c>
      <c r="K525" s="2" t="s">
        <v>132</v>
      </c>
      <c r="L525" s="2" t="s">
        <v>40</v>
      </c>
      <c r="M525" s="2" t="s">
        <v>5292</v>
      </c>
      <c r="N525" s="2" t="s">
        <v>5288</v>
      </c>
      <c r="O525" s="2" t="s">
        <v>5219</v>
      </c>
      <c r="P525" s="2" t="s">
        <v>49</v>
      </c>
      <c r="Q525" s="2">
        <f>INDEX(Tables!$C$4:$C$28,MATCH($P525,Tables!$B$4:$B$28,0))</f>
        <v>16</v>
      </c>
      <c r="R525" s="2">
        <f>INDEX(Tables!$D$4:$D$28,MATCH($P525,Tables!$B$4:$B$28,0))</f>
        <v>2</v>
      </c>
      <c r="S525" s="2">
        <f>$S524+$R524+INDEX(Tables!$N$5:$Q$8,MATCH(MOD($S524+$R524,4),Tables!$M$5:$M$8,0),MATCH($R525,Tables!$N$4:$Q$4,0))</f>
        <v>1900</v>
      </c>
      <c r="T525" s="2" t="str">
        <f t="shared" si="129"/>
        <v>076C</v>
      </c>
      <c r="U525" s="2">
        <f t="shared" si="134"/>
        <v>475</v>
      </c>
      <c r="V525" s="2" t="str">
        <f t="shared" si="130"/>
        <v>1DB</v>
      </c>
      <c r="W525" s="2" t="str">
        <f t="shared" si="131"/>
        <v/>
      </c>
      <c r="X525" s="2" t="str">
        <f t="shared" si="135"/>
        <v/>
      </c>
      <c r="Y525" s="2" t="str">
        <f t="shared" si="132"/>
        <v>X</v>
      </c>
      <c r="Z525" s="2" t="str">
        <f t="shared" si="133"/>
        <v>X</v>
      </c>
      <c r="AA525" s="2" t="str">
        <f t="shared" si="136"/>
        <v/>
      </c>
      <c r="AB525" s="2" t="str">
        <f t="shared" si="137"/>
        <v/>
      </c>
      <c r="AC525" s="2" t="str">
        <f t="shared" si="138"/>
        <v>(15 downto 8)</v>
      </c>
      <c r="AD525" s="2" t="str">
        <f t="shared" si="139"/>
        <v>(7 downto 0)</v>
      </c>
      <c r="AE525" s="2" t="str">
        <f t="shared" si="140"/>
        <v/>
      </c>
      <c r="AF525" s="2" t="str">
        <f t="shared" si="141"/>
        <v/>
      </c>
      <c r="AG525" s="2" t="str">
        <f t="shared" si="142"/>
        <v>(15 downto 8)</v>
      </c>
      <c r="AH525" s="2" t="str">
        <f t="shared" si="143"/>
        <v>(7 downto 0)</v>
      </c>
    </row>
    <row r="526" spans="2:34" x14ac:dyDescent="0.25">
      <c r="B526" s="2" t="s">
        <v>831</v>
      </c>
      <c r="C526" s="2" t="s">
        <v>832</v>
      </c>
      <c r="D526" s="2" t="s">
        <v>0</v>
      </c>
      <c r="E526" s="2" t="s">
        <v>130</v>
      </c>
      <c r="F526" s="2" t="s">
        <v>833</v>
      </c>
      <c r="G526" s="2" t="s">
        <v>834</v>
      </c>
      <c r="H526" s="2" t="s">
        <v>835</v>
      </c>
      <c r="I526" s="2" t="s">
        <v>41</v>
      </c>
      <c r="J526" s="2">
        <v>16</v>
      </c>
      <c r="K526" s="2" t="s">
        <v>132</v>
      </c>
      <c r="L526" s="2" t="s">
        <v>40</v>
      </c>
      <c r="M526" s="2" t="s">
        <v>5292</v>
      </c>
      <c r="N526" s="2" t="s">
        <v>5289</v>
      </c>
      <c r="O526" s="2" t="s">
        <v>5220</v>
      </c>
      <c r="P526" s="2" t="s">
        <v>49</v>
      </c>
      <c r="Q526" s="2">
        <f>INDEX(Tables!$C$4:$C$28,MATCH($P526,Tables!$B$4:$B$28,0))</f>
        <v>16</v>
      </c>
      <c r="R526" s="2">
        <f>INDEX(Tables!$D$4:$D$28,MATCH($P526,Tables!$B$4:$B$28,0))</f>
        <v>2</v>
      </c>
      <c r="S526" s="2">
        <f>$S525+$R525+INDEX(Tables!$N$5:$Q$8,MATCH(MOD($S525+$R525,4),Tables!$M$5:$M$8,0),MATCH($R526,Tables!$N$4:$Q$4,0))</f>
        <v>1902</v>
      </c>
      <c r="T526" s="2" t="str">
        <f t="shared" si="129"/>
        <v>076E</v>
      </c>
      <c r="U526" s="2">
        <f t="shared" si="134"/>
        <v>475</v>
      </c>
      <c r="V526" s="2" t="str">
        <f t="shared" si="130"/>
        <v>1DB</v>
      </c>
      <c r="W526" s="2" t="str">
        <f t="shared" si="131"/>
        <v>X</v>
      </c>
      <c r="X526" s="2" t="str">
        <f t="shared" si="135"/>
        <v>X</v>
      </c>
      <c r="Y526" s="2" t="str">
        <f t="shared" si="132"/>
        <v/>
      </c>
      <c r="Z526" s="2" t="str">
        <f t="shared" si="133"/>
        <v/>
      </c>
      <c r="AA526" s="2" t="str">
        <f t="shared" si="136"/>
        <v>(31 downto 24)</v>
      </c>
      <c r="AB526" s="2" t="str">
        <f t="shared" si="137"/>
        <v>(23 downto 16)</v>
      </c>
      <c r="AC526" s="2" t="str">
        <f t="shared" si="138"/>
        <v/>
      </c>
      <c r="AD526" s="2" t="str">
        <f t="shared" si="139"/>
        <v/>
      </c>
      <c r="AE526" s="2" t="str">
        <f t="shared" si="140"/>
        <v>(15 downto 8)</v>
      </c>
      <c r="AF526" s="2" t="str">
        <f t="shared" si="141"/>
        <v>(7 downto 0)</v>
      </c>
      <c r="AG526" s="2" t="str">
        <f t="shared" si="142"/>
        <v/>
      </c>
      <c r="AH526" s="2" t="str">
        <f t="shared" si="143"/>
        <v/>
      </c>
    </row>
    <row r="527" spans="2:34" x14ac:dyDescent="0.25">
      <c r="B527" s="2" t="s">
        <v>831</v>
      </c>
      <c r="C527" s="2" t="s">
        <v>836</v>
      </c>
      <c r="D527" s="2" t="s">
        <v>0</v>
      </c>
      <c r="E527" s="2" t="s">
        <v>130</v>
      </c>
      <c r="F527" s="2" t="s">
        <v>833</v>
      </c>
      <c r="G527" s="2" t="s">
        <v>834</v>
      </c>
      <c r="H527" s="2" t="s">
        <v>837</v>
      </c>
      <c r="I527" s="2" t="s">
        <v>41</v>
      </c>
      <c r="J527" s="2">
        <v>8</v>
      </c>
      <c r="K527" s="2" t="s">
        <v>132</v>
      </c>
      <c r="L527" s="2" t="s">
        <v>40</v>
      </c>
      <c r="M527" s="2" t="s">
        <v>5292</v>
      </c>
      <c r="N527" s="2" t="s">
        <v>5289</v>
      </c>
      <c r="O527" s="2" t="s">
        <v>5221</v>
      </c>
      <c r="P527" s="2" t="s">
        <v>47</v>
      </c>
      <c r="Q527" s="2">
        <f>INDEX(Tables!$C$4:$C$28,MATCH($P527,Tables!$B$4:$B$28,0))</f>
        <v>8</v>
      </c>
      <c r="R527" s="2">
        <f>INDEX(Tables!$D$4:$D$28,MATCH($P527,Tables!$B$4:$B$28,0))</f>
        <v>1</v>
      </c>
      <c r="S527" s="2">
        <f>$S526+$R526+INDEX(Tables!$N$5:$Q$8,MATCH(MOD($S526+$R526,4),Tables!$M$5:$M$8,0),MATCH($R527,Tables!$N$4:$Q$4,0))</f>
        <v>1904</v>
      </c>
      <c r="T527" s="2" t="str">
        <f t="shared" si="129"/>
        <v>0770</v>
      </c>
      <c r="U527" s="2">
        <f t="shared" si="134"/>
        <v>476</v>
      </c>
      <c r="V527" s="2" t="str">
        <f t="shared" si="130"/>
        <v>1DC</v>
      </c>
      <c r="W527" s="2" t="str">
        <f t="shared" si="131"/>
        <v/>
      </c>
      <c r="X527" s="2" t="str">
        <f t="shared" si="135"/>
        <v/>
      </c>
      <c r="Y527" s="2" t="str">
        <f t="shared" si="132"/>
        <v/>
      </c>
      <c r="Z527" s="2" t="str">
        <f t="shared" si="133"/>
        <v>X</v>
      </c>
      <c r="AA527" s="2" t="str">
        <f t="shared" si="136"/>
        <v/>
      </c>
      <c r="AB527" s="2" t="str">
        <f t="shared" si="137"/>
        <v/>
      </c>
      <c r="AC527" s="2" t="str">
        <f t="shared" si="138"/>
        <v/>
      </c>
      <c r="AD527" s="2" t="str">
        <f t="shared" si="139"/>
        <v>(7 downto 0)</v>
      </c>
      <c r="AE527" s="2" t="str">
        <f t="shared" si="140"/>
        <v/>
      </c>
      <c r="AF527" s="2" t="str">
        <f t="shared" si="141"/>
        <v/>
      </c>
      <c r="AG527" s="2" t="str">
        <f t="shared" si="142"/>
        <v/>
      </c>
      <c r="AH527" s="2" t="str">
        <f t="shared" si="143"/>
        <v/>
      </c>
    </row>
    <row r="528" spans="2:34" x14ac:dyDescent="0.25">
      <c r="B528" s="2" t="s">
        <v>831</v>
      </c>
      <c r="C528" s="2" t="s">
        <v>838</v>
      </c>
      <c r="D528" s="2" t="s">
        <v>0</v>
      </c>
      <c r="E528" s="2" t="s">
        <v>130</v>
      </c>
      <c r="F528" s="2" t="s">
        <v>833</v>
      </c>
      <c r="G528" s="2" t="s">
        <v>834</v>
      </c>
      <c r="H528" s="2" t="s">
        <v>839</v>
      </c>
      <c r="I528" s="2" t="s">
        <v>41</v>
      </c>
      <c r="J528" s="2">
        <v>16</v>
      </c>
      <c r="K528" s="2" t="s">
        <v>132</v>
      </c>
      <c r="L528" s="2" t="s">
        <v>40</v>
      </c>
      <c r="M528" s="2" t="s">
        <v>5292</v>
      </c>
      <c r="N528" s="2" t="s">
        <v>5289</v>
      </c>
      <c r="O528" s="2" t="s">
        <v>5222</v>
      </c>
      <c r="P528" s="2" t="s">
        <v>49</v>
      </c>
      <c r="Q528" s="2">
        <f>INDEX(Tables!$C$4:$C$28,MATCH($P528,Tables!$B$4:$B$28,0))</f>
        <v>16</v>
      </c>
      <c r="R528" s="2">
        <f>INDEX(Tables!$D$4:$D$28,MATCH($P528,Tables!$B$4:$B$28,0))</f>
        <v>2</v>
      </c>
      <c r="S528" s="2">
        <f>$S527+$R527+INDEX(Tables!$N$5:$Q$8,MATCH(MOD($S527+$R527,4),Tables!$M$5:$M$8,0),MATCH($R528,Tables!$N$4:$Q$4,0))</f>
        <v>1906</v>
      </c>
      <c r="T528" s="2" t="str">
        <f t="shared" si="129"/>
        <v>0772</v>
      </c>
      <c r="U528" s="2">
        <f t="shared" si="134"/>
        <v>476</v>
      </c>
      <c r="V528" s="2" t="str">
        <f t="shared" si="130"/>
        <v>1DC</v>
      </c>
      <c r="W528" s="2" t="str">
        <f t="shared" si="131"/>
        <v>X</v>
      </c>
      <c r="X528" s="2" t="str">
        <f t="shared" si="135"/>
        <v>X</v>
      </c>
      <c r="Y528" s="2" t="str">
        <f t="shared" si="132"/>
        <v/>
      </c>
      <c r="Z528" s="2" t="str">
        <f t="shared" si="133"/>
        <v/>
      </c>
      <c r="AA528" s="2" t="str">
        <f t="shared" si="136"/>
        <v>(31 downto 24)</v>
      </c>
      <c r="AB528" s="2" t="str">
        <f t="shared" si="137"/>
        <v>(23 downto 16)</v>
      </c>
      <c r="AC528" s="2" t="str">
        <f t="shared" si="138"/>
        <v/>
      </c>
      <c r="AD528" s="2" t="str">
        <f t="shared" si="139"/>
        <v/>
      </c>
      <c r="AE528" s="2" t="str">
        <f t="shared" si="140"/>
        <v>(15 downto 8)</v>
      </c>
      <c r="AF528" s="2" t="str">
        <f t="shared" si="141"/>
        <v>(7 downto 0)</v>
      </c>
      <c r="AG528" s="2" t="str">
        <f t="shared" si="142"/>
        <v/>
      </c>
      <c r="AH528" s="2" t="str">
        <f t="shared" si="143"/>
        <v/>
      </c>
    </row>
  </sheetData>
  <autoFilter ref="B3:AH528" xr:uid="{5048BD3A-30B2-44ED-8167-D68E25A5F1C7}"/>
  <sortState xmlns:xlrd2="http://schemas.microsoft.com/office/spreadsheetml/2017/richdata2" ref="B5:AH105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9"/>
      <c r="I2" s="27" t="s">
        <v>85</v>
      </c>
      <c r="J2" s="27"/>
      <c r="K2" s="9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8" t="s">
        <v>51</v>
      </c>
      <c r="G3" s="8" t="s">
        <v>92</v>
      </c>
      <c r="H3" s="8"/>
      <c r="I3" s="7" t="s">
        <v>86</v>
      </c>
      <c r="J3" s="7" t="s">
        <v>87</v>
      </c>
      <c r="K3" s="12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4">
        <v>0</v>
      </c>
      <c r="O5" s="15">
        <v>0</v>
      </c>
      <c r="P5" s="15">
        <v>0</v>
      </c>
      <c r="Q5" s="16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7">
        <v>0</v>
      </c>
      <c r="O6" s="18">
        <v>1</v>
      </c>
      <c r="P6" s="18">
        <v>3</v>
      </c>
      <c r="Q6" s="19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7">
        <v>0</v>
      </c>
      <c r="O7" s="18">
        <v>0</v>
      </c>
      <c r="P7" s="18">
        <v>2</v>
      </c>
      <c r="Q7" s="19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0">
        <v>0</v>
      </c>
      <c r="O8" s="21">
        <v>1</v>
      </c>
      <c r="P8" s="21">
        <v>1</v>
      </c>
      <c r="Q8" s="22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87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3" t="s">
        <v>112</v>
      </c>
      <c r="H2" s="1" t="s">
        <v>103</v>
      </c>
      <c r="I2" s="1"/>
    </row>
    <row r="3" spans="2:9" x14ac:dyDescent="0.25">
      <c r="B3" s="2" t="s">
        <v>840</v>
      </c>
      <c r="H3" t="s">
        <v>114</v>
      </c>
    </row>
    <row r="5" spans="2:9" x14ac:dyDescent="0.25">
      <c r="B5" s="13" t="s">
        <v>113</v>
      </c>
      <c r="H5" t="s">
        <v>115</v>
      </c>
    </row>
    <row r="6" spans="2:9" x14ac:dyDescent="0.25">
      <c r="B6" s="2" t="s">
        <v>841</v>
      </c>
      <c r="H6" t="s">
        <v>4973</v>
      </c>
    </row>
    <row r="7" spans="2:9" x14ac:dyDescent="0.25">
      <c r="H7" t="s">
        <v>4974</v>
      </c>
    </row>
    <row r="8" spans="2:9" x14ac:dyDescent="0.25">
      <c r="B8" s="13" t="s">
        <v>111</v>
      </c>
    </row>
    <row r="9" spans="2:9" x14ac:dyDescent="0.25">
      <c r="B9" s="2">
        <v>512</v>
      </c>
      <c r="H9" t="s">
        <v>104</v>
      </c>
    </row>
    <row r="11" spans="2:9" x14ac:dyDescent="0.25">
      <c r="B11" s="11"/>
      <c r="H11" t="s">
        <v>842</v>
      </c>
    </row>
    <row r="12" spans="2:9" x14ac:dyDescent="0.25">
      <c r="H12" t="s">
        <v>843</v>
      </c>
    </row>
    <row r="13" spans="2:9" x14ac:dyDescent="0.25">
      <c r="H13" t="s">
        <v>844</v>
      </c>
    </row>
    <row r="14" spans="2:9" x14ac:dyDescent="0.25">
      <c r="B14" s="11"/>
      <c r="H14" t="s">
        <v>845</v>
      </c>
    </row>
    <row r="15" spans="2:9" x14ac:dyDescent="0.25">
      <c r="H15" t="s">
        <v>846</v>
      </c>
    </row>
    <row r="16" spans="2:9" x14ac:dyDescent="0.25">
      <c r="H16" t="s">
        <v>847</v>
      </c>
    </row>
    <row r="17" spans="2:8" x14ac:dyDescent="0.25">
      <c r="B17" s="11"/>
      <c r="H17" t="s">
        <v>848</v>
      </c>
    </row>
    <row r="18" spans="2:8" x14ac:dyDescent="0.25">
      <c r="H18" t="s">
        <v>849</v>
      </c>
    </row>
    <row r="19" spans="2:8" x14ac:dyDescent="0.25">
      <c r="H19" t="s">
        <v>850</v>
      </c>
    </row>
    <row r="20" spans="2:8" x14ac:dyDescent="0.25">
      <c r="B20" s="11"/>
      <c r="H20" t="s">
        <v>851</v>
      </c>
    </row>
    <row r="21" spans="2:8" x14ac:dyDescent="0.25">
      <c r="H21" t="s">
        <v>852</v>
      </c>
    </row>
    <row r="22" spans="2:8" x14ac:dyDescent="0.25">
      <c r="H22" t="s">
        <v>853</v>
      </c>
    </row>
    <row r="23" spans="2:8" x14ac:dyDescent="0.25">
      <c r="H23" t="s">
        <v>854</v>
      </c>
    </row>
    <row r="24" spans="2:8" x14ac:dyDescent="0.25">
      <c r="H24" t="s">
        <v>855</v>
      </c>
    </row>
    <row r="25" spans="2:8" x14ac:dyDescent="0.25">
      <c r="H25" t="s">
        <v>856</v>
      </c>
    </row>
    <row r="26" spans="2:8" x14ac:dyDescent="0.25">
      <c r="H26" t="s">
        <v>857</v>
      </c>
    </row>
    <row r="27" spans="2:8" x14ac:dyDescent="0.25">
      <c r="H27" t="s">
        <v>858</v>
      </c>
    </row>
    <row r="28" spans="2:8" x14ac:dyDescent="0.25">
      <c r="H28" t="s">
        <v>859</v>
      </c>
    </row>
    <row r="29" spans="2:8" x14ac:dyDescent="0.25">
      <c r="H29" t="s">
        <v>860</v>
      </c>
    </row>
    <row r="30" spans="2:8" x14ac:dyDescent="0.25">
      <c r="H30" t="s">
        <v>861</v>
      </c>
    </row>
    <row r="31" spans="2:8" x14ac:dyDescent="0.25">
      <c r="H31" t="s">
        <v>862</v>
      </c>
    </row>
    <row r="32" spans="2:8" x14ac:dyDescent="0.25">
      <c r="H32" t="s">
        <v>863</v>
      </c>
    </row>
    <row r="33" spans="8:8" x14ac:dyDescent="0.25">
      <c r="H33" t="s">
        <v>864</v>
      </c>
    </row>
    <row r="34" spans="8:8" x14ac:dyDescent="0.25">
      <c r="H34" t="s">
        <v>865</v>
      </c>
    </row>
    <row r="35" spans="8:8" x14ac:dyDescent="0.25">
      <c r="H35" t="s">
        <v>866</v>
      </c>
    </row>
    <row r="36" spans="8:8" x14ac:dyDescent="0.25">
      <c r="H36" t="s">
        <v>867</v>
      </c>
    </row>
    <row r="37" spans="8:8" x14ac:dyDescent="0.25">
      <c r="H37" t="s">
        <v>868</v>
      </c>
    </row>
    <row r="39" spans="8:8" x14ac:dyDescent="0.25">
      <c r="H39" t="s">
        <v>869</v>
      </c>
    </row>
    <row r="40" spans="8:8" x14ac:dyDescent="0.25">
      <c r="H40" t="s">
        <v>870</v>
      </c>
    </row>
    <row r="41" spans="8:8" x14ac:dyDescent="0.25">
      <c r="H41" t="s">
        <v>871</v>
      </c>
    </row>
    <row r="42" spans="8:8" x14ac:dyDescent="0.25">
      <c r="H42" t="s">
        <v>872</v>
      </c>
    </row>
    <row r="44" spans="8:8" x14ac:dyDescent="0.25">
      <c r="H44" t="s">
        <v>873</v>
      </c>
    </row>
    <row r="45" spans="8:8" x14ac:dyDescent="0.25">
      <c r="H45" t="s">
        <v>874</v>
      </c>
    </row>
    <row r="46" spans="8:8" x14ac:dyDescent="0.25">
      <c r="H46" t="s">
        <v>875</v>
      </c>
    </row>
    <row r="47" spans="8:8" x14ac:dyDescent="0.25">
      <c r="H47" t="s">
        <v>876</v>
      </c>
    </row>
    <row r="48" spans="8:8" x14ac:dyDescent="0.25">
      <c r="H48" t="s">
        <v>877</v>
      </c>
    </row>
    <row r="49" spans="8:8" x14ac:dyDescent="0.25">
      <c r="H49" t="s">
        <v>878</v>
      </c>
    </row>
    <row r="50" spans="8:8" x14ac:dyDescent="0.25">
      <c r="H50" t="s">
        <v>879</v>
      </c>
    </row>
    <row r="52" spans="8:8" x14ac:dyDescent="0.25">
      <c r="H52" t="s">
        <v>880</v>
      </c>
    </row>
    <row r="53" spans="8:8" x14ac:dyDescent="0.25">
      <c r="H53" t="s">
        <v>881</v>
      </c>
    </row>
    <row r="54" spans="8:8" x14ac:dyDescent="0.25">
      <c r="H54" t="s">
        <v>882</v>
      </c>
    </row>
    <row r="55" spans="8:8" x14ac:dyDescent="0.25">
      <c r="H55" t="s">
        <v>4900</v>
      </c>
    </row>
    <row r="56" spans="8:8" x14ac:dyDescent="0.25">
      <c r="H56" t="s">
        <v>883</v>
      </c>
    </row>
    <row r="57" spans="8:8" x14ac:dyDescent="0.25">
      <c r="H57" t="s">
        <v>884</v>
      </c>
    </row>
    <row r="58" spans="8:8" x14ac:dyDescent="0.25">
      <c r="H58" t="s">
        <v>885</v>
      </c>
    </row>
    <row r="59" spans="8:8" x14ac:dyDescent="0.25">
      <c r="H59" t="s">
        <v>886</v>
      </c>
    </row>
    <row r="60" spans="8:8" x14ac:dyDescent="0.25">
      <c r="H60" t="s">
        <v>887</v>
      </c>
    </row>
    <row r="61" spans="8:8" x14ac:dyDescent="0.25">
      <c r="H61" t="s">
        <v>888</v>
      </c>
    </row>
    <row r="62" spans="8:8" x14ac:dyDescent="0.25">
      <c r="H62" t="s">
        <v>889</v>
      </c>
    </row>
    <row r="64" spans="8:8" x14ac:dyDescent="0.25">
      <c r="H64" t="s">
        <v>890</v>
      </c>
    </row>
    <row r="65" spans="8:8" x14ac:dyDescent="0.25">
      <c r="H65" t="s">
        <v>891</v>
      </c>
    </row>
    <row r="66" spans="8:8" x14ac:dyDescent="0.25">
      <c r="H66" t="s">
        <v>845</v>
      </c>
    </row>
    <row r="67" spans="8:8" x14ac:dyDescent="0.25">
      <c r="H67" t="s">
        <v>892</v>
      </c>
    </row>
    <row r="68" spans="8:8" x14ac:dyDescent="0.25">
      <c r="H68" t="s">
        <v>893</v>
      </c>
    </row>
    <row r="69" spans="8:8" x14ac:dyDescent="0.25">
      <c r="H69" t="s">
        <v>894</v>
      </c>
    </row>
    <row r="70" spans="8:8" x14ac:dyDescent="0.25">
      <c r="H70" t="s">
        <v>895</v>
      </c>
    </row>
    <row r="71" spans="8:8" x14ac:dyDescent="0.25">
      <c r="H71" t="s">
        <v>896</v>
      </c>
    </row>
    <row r="72" spans="8:8" x14ac:dyDescent="0.25">
      <c r="H72" t="s">
        <v>897</v>
      </c>
    </row>
    <row r="73" spans="8:8" x14ac:dyDescent="0.25">
      <c r="H73" t="s">
        <v>898</v>
      </c>
    </row>
    <row r="74" spans="8:8" x14ac:dyDescent="0.25">
      <c r="H74" t="s">
        <v>899</v>
      </c>
    </row>
    <row r="75" spans="8:8" x14ac:dyDescent="0.25">
      <c r="H75" t="s">
        <v>888</v>
      </c>
    </row>
    <row r="76" spans="8:8" x14ac:dyDescent="0.25">
      <c r="H76" t="s">
        <v>900</v>
      </c>
    </row>
    <row r="78" spans="8:8" x14ac:dyDescent="0.25">
      <c r="H78" t="s">
        <v>901</v>
      </c>
    </row>
    <row r="79" spans="8:8" x14ac:dyDescent="0.25">
      <c r="H79" t="s">
        <v>902</v>
      </c>
    </row>
    <row r="80" spans="8:8" x14ac:dyDescent="0.25">
      <c r="H80" t="s">
        <v>903</v>
      </c>
    </row>
    <row r="81" spans="8:8" x14ac:dyDescent="0.25">
      <c r="H81" t="s">
        <v>904</v>
      </c>
    </row>
    <row r="82" spans="8:8" x14ac:dyDescent="0.25">
      <c r="H82" t="s">
        <v>895</v>
      </c>
    </row>
    <row r="83" spans="8:8" x14ac:dyDescent="0.25">
      <c r="H83" t="s">
        <v>905</v>
      </c>
    </row>
    <row r="84" spans="8:8" x14ac:dyDescent="0.25">
      <c r="H84" t="s">
        <v>906</v>
      </c>
    </row>
    <row r="86" spans="8:8" x14ac:dyDescent="0.25">
      <c r="H86" t="s">
        <v>907</v>
      </c>
    </row>
    <row r="87" spans="8:8" x14ac:dyDescent="0.25">
      <c r="H87" t="s">
        <v>908</v>
      </c>
    </row>
    <row r="88" spans="8:8" x14ac:dyDescent="0.25">
      <c r="H88" t="s">
        <v>903</v>
      </c>
    </row>
    <row r="89" spans="8:8" x14ac:dyDescent="0.25">
      <c r="H89" t="s">
        <v>909</v>
      </c>
    </row>
    <row r="90" spans="8:8" x14ac:dyDescent="0.25">
      <c r="H90" t="s">
        <v>910</v>
      </c>
    </row>
    <row r="91" spans="8:8" x14ac:dyDescent="0.25">
      <c r="H91" t="s">
        <v>911</v>
      </c>
    </row>
    <row r="93" spans="8:8" x14ac:dyDescent="0.25">
      <c r="H93" t="s">
        <v>912</v>
      </c>
    </row>
    <row r="94" spans="8:8" x14ac:dyDescent="0.25">
      <c r="H94" t="s">
        <v>913</v>
      </c>
    </row>
    <row r="95" spans="8:8" x14ac:dyDescent="0.25">
      <c r="H95" t="s">
        <v>914</v>
      </c>
    </row>
    <row r="96" spans="8:8" x14ac:dyDescent="0.25">
      <c r="H96" t="s">
        <v>915</v>
      </c>
    </row>
    <row r="97" spans="8:8" x14ac:dyDescent="0.25">
      <c r="H97" t="s">
        <v>916</v>
      </c>
    </row>
    <row r="98" spans="8:8" x14ac:dyDescent="0.25">
      <c r="H98" t="s">
        <v>917</v>
      </c>
    </row>
    <row r="99" spans="8:8" x14ac:dyDescent="0.25">
      <c r="H99" t="s">
        <v>918</v>
      </c>
    </row>
    <row r="101" spans="8:8" x14ac:dyDescent="0.25">
      <c r="H101" t="s">
        <v>919</v>
      </c>
    </row>
    <row r="102" spans="8:8" x14ac:dyDescent="0.25">
      <c r="H102" t="s">
        <v>920</v>
      </c>
    </row>
    <row r="103" spans="8:8" x14ac:dyDescent="0.25">
      <c r="H103" t="s">
        <v>921</v>
      </c>
    </row>
    <row r="104" spans="8:8" x14ac:dyDescent="0.25">
      <c r="H104" t="s">
        <v>922</v>
      </c>
    </row>
    <row r="105" spans="8:8" x14ac:dyDescent="0.25">
      <c r="H105" t="s">
        <v>923</v>
      </c>
    </row>
    <row r="106" spans="8:8" x14ac:dyDescent="0.25">
      <c r="H106" t="s">
        <v>924</v>
      </c>
    </row>
    <row r="107" spans="8:8" x14ac:dyDescent="0.25">
      <c r="H107" t="s">
        <v>925</v>
      </c>
    </row>
    <row r="109" spans="8:8" x14ac:dyDescent="0.25">
      <c r="H109" t="s">
        <v>926</v>
      </c>
    </row>
    <row r="110" spans="8:8" x14ac:dyDescent="0.25">
      <c r="H110" t="s">
        <v>927</v>
      </c>
    </row>
    <row r="111" spans="8:8" x14ac:dyDescent="0.25">
      <c r="H111" t="s">
        <v>928</v>
      </c>
    </row>
    <row r="112" spans="8:8" x14ac:dyDescent="0.25">
      <c r="H112" t="s">
        <v>929</v>
      </c>
    </row>
    <row r="113" spans="8:8" x14ac:dyDescent="0.25">
      <c r="H113" t="s">
        <v>930</v>
      </c>
    </row>
    <row r="115" spans="8:8" x14ac:dyDescent="0.25">
      <c r="H115" t="s">
        <v>931</v>
      </c>
    </row>
    <row r="116" spans="8:8" x14ac:dyDescent="0.25">
      <c r="H116" t="s">
        <v>932</v>
      </c>
    </row>
    <row r="117" spans="8:8" x14ac:dyDescent="0.25">
      <c r="H117" t="s">
        <v>143</v>
      </c>
    </row>
    <row r="118" spans="8:8" x14ac:dyDescent="0.25">
      <c r="H118" t="s">
        <v>933</v>
      </c>
    </row>
    <row r="120" spans="8:8" x14ac:dyDescent="0.25">
      <c r="H120" t="s">
        <v>934</v>
      </c>
    </row>
    <row r="121" spans="8:8" x14ac:dyDescent="0.25">
      <c r="H121" t="s">
        <v>935</v>
      </c>
    </row>
    <row r="122" spans="8:8" x14ac:dyDescent="0.25">
      <c r="H122" t="s">
        <v>936</v>
      </c>
    </row>
    <row r="123" spans="8:8" x14ac:dyDescent="0.25">
      <c r="H123" t="s">
        <v>937</v>
      </c>
    </row>
    <row r="124" spans="8:8" x14ac:dyDescent="0.25">
      <c r="H124" t="s">
        <v>938</v>
      </c>
    </row>
    <row r="125" spans="8:8" x14ac:dyDescent="0.25">
      <c r="H125" t="s">
        <v>939</v>
      </c>
    </row>
    <row r="126" spans="8:8" x14ac:dyDescent="0.25">
      <c r="H126" t="s">
        <v>940</v>
      </c>
    </row>
    <row r="127" spans="8:8" x14ac:dyDescent="0.25">
      <c r="H127" t="s">
        <v>941</v>
      </c>
    </row>
    <row r="128" spans="8:8" x14ac:dyDescent="0.25">
      <c r="H128" t="s">
        <v>942</v>
      </c>
    </row>
    <row r="129" spans="8:8" x14ac:dyDescent="0.25">
      <c r="H129" t="s">
        <v>943</v>
      </c>
    </row>
    <row r="130" spans="8:8" x14ac:dyDescent="0.25">
      <c r="H130" t="s">
        <v>944</v>
      </c>
    </row>
    <row r="131" spans="8:8" x14ac:dyDescent="0.25">
      <c r="H131" t="s">
        <v>945</v>
      </c>
    </row>
    <row r="133" spans="8:8" x14ac:dyDescent="0.25">
      <c r="H133" t="s">
        <v>946</v>
      </c>
    </row>
    <row r="134" spans="8:8" x14ac:dyDescent="0.25">
      <c r="H134" t="s">
        <v>947</v>
      </c>
    </row>
    <row r="135" spans="8:8" x14ac:dyDescent="0.25">
      <c r="H135" t="s">
        <v>948</v>
      </c>
    </row>
    <row r="136" spans="8:8" x14ac:dyDescent="0.25">
      <c r="H136" t="s">
        <v>949</v>
      </c>
    </row>
    <row r="137" spans="8:8" x14ac:dyDescent="0.25">
      <c r="H137" t="s">
        <v>950</v>
      </c>
    </row>
    <row r="138" spans="8:8" x14ac:dyDescent="0.25">
      <c r="H138" t="s">
        <v>951</v>
      </c>
    </row>
    <row r="139" spans="8:8" x14ac:dyDescent="0.25">
      <c r="H139" t="s">
        <v>952</v>
      </c>
    </row>
    <row r="140" spans="8:8" x14ac:dyDescent="0.25">
      <c r="H140" t="s">
        <v>953</v>
      </c>
    </row>
    <row r="141" spans="8:8" x14ac:dyDescent="0.25">
      <c r="H141" t="s">
        <v>954</v>
      </c>
    </row>
    <row r="142" spans="8:8" x14ac:dyDescent="0.25">
      <c r="H142" t="s">
        <v>852</v>
      </c>
    </row>
    <row r="143" spans="8:8" x14ac:dyDescent="0.25">
      <c r="H143" t="s">
        <v>955</v>
      </c>
    </row>
    <row r="144" spans="8:8" x14ac:dyDescent="0.25">
      <c r="H144" t="s">
        <v>956</v>
      </c>
    </row>
    <row r="145" spans="8:8" x14ac:dyDescent="0.25">
      <c r="H145" t="s">
        <v>957</v>
      </c>
    </row>
    <row r="146" spans="8:8" x14ac:dyDescent="0.25">
      <c r="H146" t="s">
        <v>958</v>
      </c>
    </row>
    <row r="147" spans="8:8" x14ac:dyDescent="0.25">
      <c r="H147" t="s">
        <v>959</v>
      </c>
    </row>
    <row r="148" spans="8:8" x14ac:dyDescent="0.25">
      <c r="H148" t="s">
        <v>960</v>
      </c>
    </row>
    <row r="149" spans="8:8" x14ac:dyDescent="0.25">
      <c r="H149" t="s">
        <v>961</v>
      </c>
    </row>
    <row r="150" spans="8:8" x14ac:dyDescent="0.25">
      <c r="H150" t="s">
        <v>962</v>
      </c>
    </row>
    <row r="152" spans="8:8" x14ac:dyDescent="0.25">
      <c r="H152" t="s">
        <v>963</v>
      </c>
    </row>
    <row r="153" spans="8:8" x14ac:dyDescent="0.25">
      <c r="H153" t="s">
        <v>964</v>
      </c>
    </row>
    <row r="154" spans="8:8" x14ac:dyDescent="0.25">
      <c r="H154" t="s">
        <v>965</v>
      </c>
    </row>
    <row r="155" spans="8:8" x14ac:dyDescent="0.25">
      <c r="H155" t="s">
        <v>966</v>
      </c>
    </row>
    <row r="156" spans="8:8" x14ac:dyDescent="0.25">
      <c r="H156" t="s">
        <v>967</v>
      </c>
    </row>
    <row r="157" spans="8:8" x14ac:dyDescent="0.25">
      <c r="H157" t="s">
        <v>968</v>
      </c>
    </row>
    <row r="158" spans="8:8" x14ac:dyDescent="0.25">
      <c r="H158" t="s">
        <v>969</v>
      </c>
    </row>
    <row r="159" spans="8:8" x14ac:dyDescent="0.25">
      <c r="H159" t="s">
        <v>970</v>
      </c>
    </row>
    <row r="160" spans="8:8" x14ac:dyDescent="0.25">
      <c r="H160" t="s">
        <v>971</v>
      </c>
    </row>
    <row r="161" spans="8:8" x14ac:dyDescent="0.25">
      <c r="H161" t="s">
        <v>972</v>
      </c>
    </row>
    <row r="162" spans="8:8" x14ac:dyDescent="0.25">
      <c r="H162" t="s">
        <v>973</v>
      </c>
    </row>
    <row r="163" spans="8:8" x14ac:dyDescent="0.25">
      <c r="H163" t="s">
        <v>974</v>
      </c>
    </row>
    <row r="164" spans="8:8" x14ac:dyDescent="0.25">
      <c r="H164" t="s">
        <v>975</v>
      </c>
    </row>
    <row r="165" spans="8:8" x14ac:dyDescent="0.25">
      <c r="H165" t="s">
        <v>976</v>
      </c>
    </row>
    <row r="166" spans="8:8" x14ac:dyDescent="0.25">
      <c r="H166" t="s">
        <v>977</v>
      </c>
    </row>
    <row r="167" spans="8:8" x14ac:dyDescent="0.25">
      <c r="H167" t="s">
        <v>978</v>
      </c>
    </row>
    <row r="168" spans="8:8" x14ac:dyDescent="0.25">
      <c r="H168" t="s">
        <v>979</v>
      </c>
    </row>
    <row r="169" spans="8:8" x14ac:dyDescent="0.25">
      <c r="H169" t="s">
        <v>980</v>
      </c>
    </row>
    <row r="170" spans="8:8" x14ac:dyDescent="0.25">
      <c r="H170" t="s">
        <v>845</v>
      </c>
    </row>
    <row r="171" spans="8:8" x14ac:dyDescent="0.25">
      <c r="H171" t="s">
        <v>981</v>
      </c>
    </row>
    <row r="172" spans="8:8" x14ac:dyDescent="0.25">
      <c r="H172" t="s">
        <v>982</v>
      </c>
    </row>
    <row r="173" spans="8:8" x14ac:dyDescent="0.25">
      <c r="H173" t="s">
        <v>983</v>
      </c>
    </row>
    <row r="174" spans="8:8" x14ac:dyDescent="0.25">
      <c r="H174" t="s">
        <v>984</v>
      </c>
    </row>
    <row r="175" spans="8:8" x14ac:dyDescent="0.25">
      <c r="H175" t="s">
        <v>852</v>
      </c>
    </row>
    <row r="176" spans="8:8" x14ac:dyDescent="0.25">
      <c r="H176" t="s">
        <v>985</v>
      </c>
    </row>
    <row r="177" spans="8:8" x14ac:dyDescent="0.25">
      <c r="H177" t="s">
        <v>986</v>
      </c>
    </row>
    <row r="178" spans="8:8" x14ac:dyDescent="0.25">
      <c r="H178" t="s">
        <v>987</v>
      </c>
    </row>
    <row r="179" spans="8:8" x14ac:dyDescent="0.25">
      <c r="H179" t="s">
        <v>988</v>
      </c>
    </row>
    <row r="180" spans="8:8" x14ac:dyDescent="0.25">
      <c r="H180" t="s">
        <v>989</v>
      </c>
    </row>
    <row r="181" spans="8:8" x14ac:dyDescent="0.25">
      <c r="H181" t="s">
        <v>990</v>
      </c>
    </row>
    <row r="182" spans="8:8" x14ac:dyDescent="0.25">
      <c r="H182" t="s">
        <v>991</v>
      </c>
    </row>
    <row r="183" spans="8:8" x14ac:dyDescent="0.25">
      <c r="H183" t="s">
        <v>992</v>
      </c>
    </row>
    <row r="184" spans="8:8" x14ac:dyDescent="0.25">
      <c r="H184" t="s">
        <v>993</v>
      </c>
    </row>
    <row r="185" spans="8:8" x14ac:dyDescent="0.25">
      <c r="H185" t="s">
        <v>994</v>
      </c>
    </row>
    <row r="187" spans="8:8" x14ac:dyDescent="0.25">
      <c r="H187" t="s">
        <v>995</v>
      </c>
    </row>
    <row r="188" spans="8:8" x14ac:dyDescent="0.25">
      <c r="H188" t="s">
        <v>996</v>
      </c>
    </row>
    <row r="189" spans="8:8" x14ac:dyDescent="0.25">
      <c r="H189" t="s">
        <v>997</v>
      </c>
    </row>
    <row r="190" spans="8:8" x14ac:dyDescent="0.25">
      <c r="H190" t="s">
        <v>998</v>
      </c>
    </row>
    <row r="191" spans="8:8" x14ac:dyDescent="0.25">
      <c r="H191" t="s">
        <v>999</v>
      </c>
    </row>
    <row r="192" spans="8:8" x14ac:dyDescent="0.25">
      <c r="H192" t="s">
        <v>1000</v>
      </c>
    </row>
    <row r="193" spans="8:8" x14ac:dyDescent="0.25">
      <c r="H193" t="s">
        <v>1001</v>
      </c>
    </row>
    <row r="194" spans="8:8" x14ac:dyDescent="0.25">
      <c r="H194" t="s">
        <v>1002</v>
      </c>
    </row>
    <row r="195" spans="8:8" x14ac:dyDescent="0.25">
      <c r="H195" t="s">
        <v>1003</v>
      </c>
    </row>
    <row r="196" spans="8:8" x14ac:dyDescent="0.25">
      <c r="H196" t="s">
        <v>1004</v>
      </c>
    </row>
    <row r="197" spans="8:8" x14ac:dyDescent="0.25">
      <c r="H197" t="s">
        <v>1005</v>
      </c>
    </row>
    <row r="198" spans="8:8" x14ac:dyDescent="0.25">
      <c r="H198" t="s">
        <v>1006</v>
      </c>
    </row>
    <row r="200" spans="8:8" x14ac:dyDescent="0.25">
      <c r="H200" t="s">
        <v>1007</v>
      </c>
    </row>
    <row r="201" spans="8:8" x14ac:dyDescent="0.25">
      <c r="H201" t="s">
        <v>1008</v>
      </c>
    </row>
    <row r="202" spans="8:8" x14ac:dyDescent="0.25">
      <c r="H202" t="s">
        <v>948</v>
      </c>
    </row>
    <row r="203" spans="8:8" x14ac:dyDescent="0.25">
      <c r="H203" t="s">
        <v>949</v>
      </c>
    </row>
    <row r="204" spans="8:8" x14ac:dyDescent="0.25">
      <c r="H204" t="s">
        <v>950</v>
      </c>
    </row>
    <row r="205" spans="8:8" x14ac:dyDescent="0.25">
      <c r="H205" t="s">
        <v>951</v>
      </c>
    </row>
    <row r="206" spans="8:8" x14ac:dyDescent="0.25">
      <c r="H206" t="s">
        <v>952</v>
      </c>
    </row>
    <row r="207" spans="8:8" x14ac:dyDescent="0.25">
      <c r="H207" t="s">
        <v>953</v>
      </c>
    </row>
    <row r="208" spans="8:8" x14ac:dyDescent="0.25">
      <c r="H208" t="s">
        <v>954</v>
      </c>
    </row>
    <row r="209" spans="8:8" x14ac:dyDescent="0.25">
      <c r="H209" t="s">
        <v>852</v>
      </c>
    </row>
    <row r="210" spans="8:8" x14ac:dyDescent="0.25">
      <c r="H210" t="s">
        <v>955</v>
      </c>
    </row>
    <row r="211" spans="8:8" x14ac:dyDescent="0.25">
      <c r="H211" t="s">
        <v>956</v>
      </c>
    </row>
    <row r="212" spans="8:8" x14ac:dyDescent="0.25">
      <c r="H212" t="s">
        <v>957</v>
      </c>
    </row>
    <row r="213" spans="8:8" x14ac:dyDescent="0.25">
      <c r="H213" t="s">
        <v>958</v>
      </c>
    </row>
    <row r="214" spans="8:8" x14ac:dyDescent="0.25">
      <c r="H214" t="s">
        <v>959</v>
      </c>
    </row>
    <row r="215" spans="8:8" x14ac:dyDescent="0.25">
      <c r="H215" t="s">
        <v>960</v>
      </c>
    </row>
    <row r="216" spans="8:8" x14ac:dyDescent="0.25">
      <c r="H216" t="s">
        <v>961</v>
      </c>
    </row>
    <row r="217" spans="8:8" x14ac:dyDescent="0.25">
      <c r="H217" t="s">
        <v>1009</v>
      </c>
    </row>
    <row r="219" spans="8:8" x14ac:dyDescent="0.25">
      <c r="H219" t="s">
        <v>1010</v>
      </c>
    </row>
    <row r="220" spans="8:8" x14ac:dyDescent="0.25">
      <c r="H220" t="s">
        <v>1011</v>
      </c>
    </row>
    <row r="221" spans="8:8" x14ac:dyDescent="0.25">
      <c r="H221" t="s">
        <v>965</v>
      </c>
    </row>
    <row r="222" spans="8:8" x14ac:dyDescent="0.25">
      <c r="H222" t="s">
        <v>966</v>
      </c>
    </row>
    <row r="223" spans="8:8" x14ac:dyDescent="0.25">
      <c r="H223" t="s">
        <v>967</v>
      </c>
    </row>
    <row r="224" spans="8:8" x14ac:dyDescent="0.25">
      <c r="H224" t="s">
        <v>968</v>
      </c>
    </row>
    <row r="225" spans="8:8" x14ac:dyDescent="0.25">
      <c r="H225" t="s">
        <v>969</v>
      </c>
    </row>
    <row r="226" spans="8:8" x14ac:dyDescent="0.25">
      <c r="H226" t="s">
        <v>970</v>
      </c>
    </row>
    <row r="227" spans="8:8" x14ac:dyDescent="0.25">
      <c r="H227" t="s">
        <v>971</v>
      </c>
    </row>
    <row r="228" spans="8:8" x14ac:dyDescent="0.25">
      <c r="H228" t="s">
        <v>972</v>
      </c>
    </row>
    <row r="229" spans="8:8" x14ac:dyDescent="0.25">
      <c r="H229" t="s">
        <v>973</v>
      </c>
    </row>
    <row r="230" spans="8:8" x14ac:dyDescent="0.25">
      <c r="H230" t="s">
        <v>974</v>
      </c>
    </row>
    <row r="231" spans="8:8" x14ac:dyDescent="0.25">
      <c r="H231" t="s">
        <v>975</v>
      </c>
    </row>
    <row r="232" spans="8:8" x14ac:dyDescent="0.25">
      <c r="H232" t="s">
        <v>976</v>
      </c>
    </row>
    <row r="233" spans="8:8" x14ac:dyDescent="0.25">
      <c r="H233" t="s">
        <v>977</v>
      </c>
    </row>
    <row r="234" spans="8:8" x14ac:dyDescent="0.25">
      <c r="H234" t="s">
        <v>978</v>
      </c>
    </row>
    <row r="235" spans="8:8" x14ac:dyDescent="0.25">
      <c r="H235" t="s">
        <v>979</v>
      </c>
    </row>
    <row r="236" spans="8:8" x14ac:dyDescent="0.25">
      <c r="H236" t="s">
        <v>980</v>
      </c>
    </row>
    <row r="237" spans="8:8" x14ac:dyDescent="0.25">
      <c r="H237" t="s">
        <v>845</v>
      </c>
    </row>
    <row r="238" spans="8:8" x14ac:dyDescent="0.25">
      <c r="H238" t="s">
        <v>981</v>
      </c>
    </row>
    <row r="239" spans="8:8" x14ac:dyDescent="0.25">
      <c r="H239" t="s">
        <v>982</v>
      </c>
    </row>
    <row r="240" spans="8:8" x14ac:dyDescent="0.25">
      <c r="H240" t="s">
        <v>983</v>
      </c>
    </row>
    <row r="241" spans="8:8" x14ac:dyDescent="0.25">
      <c r="H241" t="s">
        <v>984</v>
      </c>
    </row>
    <row r="242" spans="8:8" x14ac:dyDescent="0.25">
      <c r="H242" t="s">
        <v>852</v>
      </c>
    </row>
    <row r="243" spans="8:8" x14ac:dyDescent="0.25">
      <c r="H243" t="s">
        <v>985</v>
      </c>
    </row>
    <row r="244" spans="8:8" x14ac:dyDescent="0.25">
      <c r="H244" t="s">
        <v>986</v>
      </c>
    </row>
    <row r="245" spans="8:8" x14ac:dyDescent="0.25">
      <c r="H245" t="s">
        <v>987</v>
      </c>
    </row>
    <row r="246" spans="8:8" x14ac:dyDescent="0.25">
      <c r="H246" t="s">
        <v>988</v>
      </c>
    </row>
    <row r="247" spans="8:8" x14ac:dyDescent="0.25">
      <c r="H247" t="s">
        <v>989</v>
      </c>
    </row>
    <row r="248" spans="8:8" x14ac:dyDescent="0.25">
      <c r="H248" t="s">
        <v>990</v>
      </c>
    </row>
    <row r="249" spans="8:8" x14ac:dyDescent="0.25">
      <c r="H249" t="s">
        <v>991</v>
      </c>
    </row>
    <row r="250" spans="8:8" x14ac:dyDescent="0.25">
      <c r="H250" t="s">
        <v>992</v>
      </c>
    </row>
    <row r="251" spans="8:8" x14ac:dyDescent="0.25">
      <c r="H251" t="s">
        <v>993</v>
      </c>
    </row>
    <row r="252" spans="8:8" x14ac:dyDescent="0.25">
      <c r="H252" t="s">
        <v>1012</v>
      </c>
    </row>
    <row r="254" spans="8:8" x14ac:dyDescent="0.25">
      <c r="H254" t="s">
        <v>1013</v>
      </c>
    </row>
    <row r="255" spans="8:8" x14ac:dyDescent="0.25">
      <c r="H255" t="s">
        <v>1014</v>
      </c>
    </row>
    <row r="256" spans="8:8" x14ac:dyDescent="0.25">
      <c r="H256" t="s">
        <v>997</v>
      </c>
    </row>
    <row r="257" spans="8:8" x14ac:dyDescent="0.25">
      <c r="H257" t="s">
        <v>998</v>
      </c>
    </row>
    <row r="258" spans="8:8" x14ac:dyDescent="0.25">
      <c r="H258" t="s">
        <v>999</v>
      </c>
    </row>
    <row r="259" spans="8:8" x14ac:dyDescent="0.25">
      <c r="H259" t="s">
        <v>1000</v>
      </c>
    </row>
    <row r="260" spans="8:8" x14ac:dyDescent="0.25">
      <c r="H260" t="s">
        <v>1001</v>
      </c>
    </row>
    <row r="261" spans="8:8" x14ac:dyDescent="0.25">
      <c r="H261" t="s">
        <v>1002</v>
      </c>
    </row>
    <row r="262" spans="8:8" x14ac:dyDescent="0.25">
      <c r="H262" t="s">
        <v>1003</v>
      </c>
    </row>
    <row r="263" spans="8:8" x14ac:dyDescent="0.25">
      <c r="H263" t="s">
        <v>1004</v>
      </c>
    </row>
    <row r="264" spans="8:8" x14ac:dyDescent="0.25">
      <c r="H264" t="s">
        <v>1005</v>
      </c>
    </row>
    <row r="265" spans="8:8" x14ac:dyDescent="0.25">
      <c r="H265" t="s">
        <v>1015</v>
      </c>
    </row>
    <row r="267" spans="8:8" x14ac:dyDescent="0.25">
      <c r="H267" t="s">
        <v>1016</v>
      </c>
    </row>
    <row r="268" spans="8:8" x14ac:dyDescent="0.25">
      <c r="H268" t="s">
        <v>1017</v>
      </c>
    </row>
    <row r="269" spans="8:8" x14ac:dyDescent="0.25">
      <c r="H269" t="s">
        <v>143</v>
      </c>
    </row>
    <row r="270" spans="8:8" x14ac:dyDescent="0.25">
      <c r="H270" t="s">
        <v>1018</v>
      </c>
    </row>
    <row r="272" spans="8:8" x14ac:dyDescent="0.25">
      <c r="H272" t="s">
        <v>1019</v>
      </c>
    </row>
    <row r="273" spans="8:8" x14ac:dyDescent="0.25">
      <c r="H273" t="s">
        <v>1020</v>
      </c>
    </row>
    <row r="274" spans="8:8" x14ac:dyDescent="0.25">
      <c r="H274" t="s">
        <v>143</v>
      </c>
    </row>
    <row r="275" spans="8:8" x14ac:dyDescent="0.25">
      <c r="H275" t="s">
        <v>1021</v>
      </c>
    </row>
    <row r="277" spans="8:8" x14ac:dyDescent="0.25">
      <c r="H277" t="s">
        <v>1022</v>
      </c>
    </row>
    <row r="278" spans="8:8" x14ac:dyDescent="0.25">
      <c r="H278" t="s">
        <v>1023</v>
      </c>
    </row>
    <row r="279" spans="8:8" x14ac:dyDescent="0.25">
      <c r="H279" t="s">
        <v>845</v>
      </c>
    </row>
    <row r="280" spans="8:8" x14ac:dyDescent="0.25">
      <c r="H280" t="s">
        <v>1024</v>
      </c>
    </row>
    <row r="281" spans="8:8" x14ac:dyDescent="0.25">
      <c r="H281" t="s">
        <v>1025</v>
      </c>
    </row>
    <row r="282" spans="8:8" x14ac:dyDescent="0.25">
      <c r="H282" t="s">
        <v>1026</v>
      </c>
    </row>
    <row r="283" spans="8:8" x14ac:dyDescent="0.25">
      <c r="H283" t="s">
        <v>1027</v>
      </c>
    </row>
    <row r="284" spans="8:8" x14ac:dyDescent="0.25">
      <c r="H284" t="s">
        <v>1028</v>
      </c>
    </row>
    <row r="285" spans="8:8" x14ac:dyDescent="0.25">
      <c r="H285" t="s">
        <v>1029</v>
      </c>
    </row>
    <row r="286" spans="8:8" x14ac:dyDescent="0.25">
      <c r="H286" t="s">
        <v>1030</v>
      </c>
    </row>
    <row r="287" spans="8:8" x14ac:dyDescent="0.25">
      <c r="H287" t="s">
        <v>1031</v>
      </c>
    </row>
    <row r="288" spans="8:8" x14ac:dyDescent="0.25">
      <c r="H288" t="s">
        <v>1032</v>
      </c>
    </row>
    <row r="289" spans="8:8" x14ac:dyDescent="0.25">
      <c r="H289" t="s">
        <v>1033</v>
      </c>
    </row>
    <row r="290" spans="8:8" x14ac:dyDescent="0.25">
      <c r="H290" t="s">
        <v>1034</v>
      </c>
    </row>
    <row r="291" spans="8:8" x14ac:dyDescent="0.25">
      <c r="H291" t="s">
        <v>1035</v>
      </c>
    </row>
    <row r="292" spans="8:8" x14ac:dyDescent="0.25">
      <c r="H292" t="s">
        <v>1036</v>
      </c>
    </row>
    <row r="293" spans="8:8" x14ac:dyDescent="0.25">
      <c r="H293" t="s">
        <v>1037</v>
      </c>
    </row>
    <row r="294" spans="8:8" x14ac:dyDescent="0.25">
      <c r="H294" t="s">
        <v>1038</v>
      </c>
    </row>
    <row r="295" spans="8:8" x14ac:dyDescent="0.25">
      <c r="H295" t="s">
        <v>1039</v>
      </c>
    </row>
    <row r="296" spans="8:8" x14ac:dyDescent="0.25">
      <c r="H296" t="s">
        <v>1040</v>
      </c>
    </row>
    <row r="297" spans="8:8" x14ac:dyDescent="0.25">
      <c r="H297" t="s">
        <v>1041</v>
      </c>
    </row>
    <row r="298" spans="8:8" x14ac:dyDescent="0.25">
      <c r="H298" t="s">
        <v>1042</v>
      </c>
    </row>
    <row r="299" spans="8:8" x14ac:dyDescent="0.25">
      <c r="H299" t="s">
        <v>1043</v>
      </c>
    </row>
    <row r="300" spans="8:8" x14ac:dyDescent="0.25">
      <c r="H300" t="s">
        <v>1044</v>
      </c>
    </row>
    <row r="301" spans="8:8" x14ac:dyDescent="0.25">
      <c r="H301" t="s">
        <v>1045</v>
      </c>
    </row>
    <row r="302" spans="8:8" x14ac:dyDescent="0.25">
      <c r="H302" t="s">
        <v>852</v>
      </c>
    </row>
    <row r="303" spans="8:8" x14ac:dyDescent="0.25">
      <c r="H303" t="s">
        <v>1046</v>
      </c>
    </row>
    <row r="304" spans="8:8" x14ac:dyDescent="0.25">
      <c r="H304" t="s">
        <v>1047</v>
      </c>
    </row>
    <row r="306" spans="8:8" x14ac:dyDescent="0.25">
      <c r="H306" t="s">
        <v>1048</v>
      </c>
    </row>
    <row r="307" spans="8:8" x14ac:dyDescent="0.25">
      <c r="H307" t="s">
        <v>1049</v>
      </c>
    </row>
    <row r="308" spans="8:8" x14ac:dyDescent="0.25">
      <c r="H308" t="s">
        <v>1050</v>
      </c>
    </row>
    <row r="309" spans="8:8" x14ac:dyDescent="0.25">
      <c r="H309" t="s">
        <v>948</v>
      </c>
    </row>
    <row r="310" spans="8:8" x14ac:dyDescent="0.25">
      <c r="H310" t="s">
        <v>1051</v>
      </c>
    </row>
    <row r="311" spans="8:8" x14ac:dyDescent="0.25">
      <c r="H311" t="s">
        <v>1052</v>
      </c>
    </row>
    <row r="312" spans="8:8" x14ac:dyDescent="0.25">
      <c r="H312" t="s">
        <v>852</v>
      </c>
    </row>
    <row r="313" spans="8:8" x14ac:dyDescent="0.25">
      <c r="H313" t="s">
        <v>1053</v>
      </c>
    </row>
    <row r="314" spans="8:8" x14ac:dyDescent="0.25">
      <c r="H314" t="s">
        <v>1054</v>
      </c>
    </row>
    <row r="316" spans="8:8" x14ac:dyDescent="0.25">
      <c r="H316" t="s">
        <v>1055</v>
      </c>
    </row>
    <row r="317" spans="8:8" x14ac:dyDescent="0.25">
      <c r="H317" t="s">
        <v>1056</v>
      </c>
    </row>
    <row r="318" spans="8:8" x14ac:dyDescent="0.25">
      <c r="H318" t="s">
        <v>1057</v>
      </c>
    </row>
    <row r="319" spans="8:8" x14ac:dyDescent="0.25">
      <c r="H319" t="s">
        <v>1058</v>
      </c>
    </row>
    <row r="320" spans="8:8" x14ac:dyDescent="0.25">
      <c r="H320" t="s">
        <v>1059</v>
      </c>
    </row>
    <row r="321" spans="8:8" x14ac:dyDescent="0.25">
      <c r="H321" t="s">
        <v>1060</v>
      </c>
    </row>
    <row r="322" spans="8:8" x14ac:dyDescent="0.25">
      <c r="H322" t="s">
        <v>1061</v>
      </c>
    </row>
    <row r="324" spans="8:8" x14ac:dyDescent="0.25">
      <c r="H324" t="s">
        <v>1062</v>
      </c>
    </row>
    <row r="325" spans="8:8" x14ac:dyDescent="0.25">
      <c r="H325" t="s">
        <v>1063</v>
      </c>
    </row>
    <row r="326" spans="8:8" x14ac:dyDescent="0.25">
      <c r="H326" t="s">
        <v>1064</v>
      </c>
    </row>
    <row r="327" spans="8:8" x14ac:dyDescent="0.25">
      <c r="H327" t="s">
        <v>1065</v>
      </c>
    </row>
    <row r="328" spans="8:8" x14ac:dyDescent="0.25">
      <c r="H328" t="s">
        <v>1058</v>
      </c>
    </row>
    <row r="329" spans="8:8" x14ac:dyDescent="0.25">
      <c r="H329" t="s">
        <v>1066</v>
      </c>
    </row>
    <row r="330" spans="8:8" x14ac:dyDescent="0.25">
      <c r="H330" t="s">
        <v>1067</v>
      </c>
    </row>
    <row r="332" spans="8:8" x14ac:dyDescent="0.25">
      <c r="H332" t="s">
        <v>1068</v>
      </c>
    </row>
    <row r="333" spans="8:8" x14ac:dyDescent="0.25">
      <c r="H333" t="s">
        <v>1069</v>
      </c>
    </row>
    <row r="334" spans="8:8" x14ac:dyDescent="0.25">
      <c r="H334" t="s">
        <v>845</v>
      </c>
    </row>
    <row r="335" spans="8:8" x14ac:dyDescent="0.25">
      <c r="H335" t="s">
        <v>1070</v>
      </c>
    </row>
    <row r="336" spans="8:8" x14ac:dyDescent="0.25">
      <c r="H336" t="s">
        <v>1071</v>
      </c>
    </row>
    <row r="337" spans="8:8" x14ac:dyDescent="0.25">
      <c r="H337" t="s">
        <v>1072</v>
      </c>
    </row>
    <row r="338" spans="8:8" x14ac:dyDescent="0.25">
      <c r="H338" t="s">
        <v>1073</v>
      </c>
    </row>
    <row r="340" spans="8:8" x14ac:dyDescent="0.25">
      <c r="H340" t="s">
        <v>1074</v>
      </c>
    </row>
    <row r="341" spans="8:8" x14ac:dyDescent="0.25">
      <c r="H341" t="s">
        <v>1075</v>
      </c>
    </row>
    <row r="342" spans="8:8" x14ac:dyDescent="0.25">
      <c r="H342" t="s">
        <v>1076</v>
      </c>
    </row>
    <row r="343" spans="8:8" x14ac:dyDescent="0.25">
      <c r="H343" t="s">
        <v>1077</v>
      </c>
    </row>
    <row r="344" spans="8:8" x14ac:dyDescent="0.25">
      <c r="H344" t="s">
        <v>1078</v>
      </c>
    </row>
    <row r="345" spans="8:8" x14ac:dyDescent="0.25">
      <c r="H345" t="s">
        <v>1079</v>
      </c>
    </row>
    <row r="346" spans="8:8" x14ac:dyDescent="0.25">
      <c r="H346" t="s">
        <v>888</v>
      </c>
    </row>
    <row r="347" spans="8:8" x14ac:dyDescent="0.25">
      <c r="H347" t="s">
        <v>1080</v>
      </c>
    </row>
    <row r="349" spans="8:8" x14ac:dyDescent="0.25">
      <c r="H349" t="s">
        <v>1081</v>
      </c>
    </row>
    <row r="350" spans="8:8" x14ac:dyDescent="0.25">
      <c r="H350" t="s">
        <v>1082</v>
      </c>
    </row>
    <row r="351" spans="8:8" x14ac:dyDescent="0.25">
      <c r="H351" t="s">
        <v>1083</v>
      </c>
    </row>
    <row r="352" spans="8:8" x14ac:dyDescent="0.25">
      <c r="H352" t="s">
        <v>1084</v>
      </c>
    </row>
    <row r="353" spans="8:8" x14ac:dyDescent="0.25">
      <c r="H353" t="s">
        <v>1085</v>
      </c>
    </row>
    <row r="354" spans="8:8" x14ac:dyDescent="0.25">
      <c r="H354" t="s">
        <v>1086</v>
      </c>
    </row>
    <row r="355" spans="8:8" x14ac:dyDescent="0.25">
      <c r="H355" t="s">
        <v>1087</v>
      </c>
    </row>
    <row r="357" spans="8:8" x14ac:dyDescent="0.25">
      <c r="H357" t="s">
        <v>1088</v>
      </c>
    </row>
    <row r="358" spans="8:8" x14ac:dyDescent="0.25">
      <c r="H358" t="s">
        <v>1089</v>
      </c>
    </row>
    <row r="359" spans="8:8" x14ac:dyDescent="0.25">
      <c r="H359" t="s">
        <v>1090</v>
      </c>
    </row>
    <row r="360" spans="8:8" x14ac:dyDescent="0.25">
      <c r="H360" t="s">
        <v>1091</v>
      </c>
    </row>
    <row r="361" spans="8:8" x14ac:dyDescent="0.25">
      <c r="H361" t="s">
        <v>1092</v>
      </c>
    </row>
    <row r="362" spans="8:8" x14ac:dyDescent="0.25">
      <c r="H362" t="s">
        <v>1093</v>
      </c>
    </row>
    <row r="363" spans="8:8" x14ac:dyDescent="0.25">
      <c r="H363" t="s">
        <v>1094</v>
      </c>
    </row>
    <row r="365" spans="8:8" x14ac:dyDescent="0.25">
      <c r="H365" t="s">
        <v>1095</v>
      </c>
    </row>
    <row r="366" spans="8:8" x14ac:dyDescent="0.25">
      <c r="H366" t="s">
        <v>1096</v>
      </c>
    </row>
    <row r="367" spans="8:8" x14ac:dyDescent="0.25">
      <c r="H367" t="s">
        <v>1097</v>
      </c>
    </row>
    <row r="368" spans="8:8" x14ac:dyDescent="0.25">
      <c r="H368" t="s">
        <v>1098</v>
      </c>
    </row>
    <row r="369" spans="8:8" x14ac:dyDescent="0.25">
      <c r="H369" t="s">
        <v>1099</v>
      </c>
    </row>
    <row r="370" spans="8:8" x14ac:dyDescent="0.25">
      <c r="H370" t="s">
        <v>1100</v>
      </c>
    </row>
    <row r="371" spans="8:8" x14ac:dyDescent="0.25">
      <c r="H371" t="s">
        <v>1101</v>
      </c>
    </row>
    <row r="373" spans="8:8" x14ac:dyDescent="0.25">
      <c r="H373" t="s">
        <v>1102</v>
      </c>
    </row>
    <row r="374" spans="8:8" x14ac:dyDescent="0.25">
      <c r="H374" t="s">
        <v>1103</v>
      </c>
    </row>
    <row r="375" spans="8:8" x14ac:dyDescent="0.25">
      <c r="H375" t="s">
        <v>1104</v>
      </c>
    </row>
    <row r="376" spans="8:8" x14ac:dyDescent="0.25">
      <c r="H376" t="s">
        <v>1105</v>
      </c>
    </row>
    <row r="377" spans="8:8" x14ac:dyDescent="0.25">
      <c r="H377" t="s">
        <v>1106</v>
      </c>
    </row>
    <row r="378" spans="8:8" x14ac:dyDescent="0.25">
      <c r="H378" t="s">
        <v>1058</v>
      </c>
    </row>
    <row r="379" spans="8:8" x14ac:dyDescent="0.25">
      <c r="H379" t="s">
        <v>1107</v>
      </c>
    </row>
    <row r="380" spans="8:8" x14ac:dyDescent="0.25">
      <c r="H380" t="s">
        <v>1108</v>
      </c>
    </row>
    <row r="382" spans="8:8" x14ac:dyDescent="0.25">
      <c r="H382" t="s">
        <v>1109</v>
      </c>
    </row>
    <row r="383" spans="8:8" x14ac:dyDescent="0.25">
      <c r="H383" t="s">
        <v>1110</v>
      </c>
    </row>
    <row r="384" spans="8:8" x14ac:dyDescent="0.25">
      <c r="H384" t="s">
        <v>1111</v>
      </c>
    </row>
    <row r="385" spans="8:8" x14ac:dyDescent="0.25">
      <c r="H385" t="s">
        <v>948</v>
      </c>
    </row>
    <row r="386" spans="8:8" x14ac:dyDescent="0.25">
      <c r="H386" t="s">
        <v>1112</v>
      </c>
    </row>
    <row r="387" spans="8:8" x14ac:dyDescent="0.25">
      <c r="H387" t="s">
        <v>910</v>
      </c>
    </row>
    <row r="388" spans="8:8" x14ac:dyDescent="0.25">
      <c r="H388" t="s">
        <v>1113</v>
      </c>
    </row>
    <row r="390" spans="8:8" x14ac:dyDescent="0.25">
      <c r="H390" t="s">
        <v>1114</v>
      </c>
    </row>
    <row r="391" spans="8:8" x14ac:dyDescent="0.25">
      <c r="H391" t="s">
        <v>1115</v>
      </c>
    </row>
    <row r="392" spans="8:8" x14ac:dyDescent="0.25">
      <c r="H392" t="s">
        <v>143</v>
      </c>
    </row>
    <row r="393" spans="8:8" x14ac:dyDescent="0.25">
      <c r="H393" t="s">
        <v>1116</v>
      </c>
    </row>
    <row r="395" spans="8:8" x14ac:dyDescent="0.25">
      <c r="H395" t="s">
        <v>1117</v>
      </c>
    </row>
    <row r="396" spans="8:8" x14ac:dyDescent="0.25">
      <c r="H396" t="s">
        <v>1118</v>
      </c>
    </row>
    <row r="397" spans="8:8" x14ac:dyDescent="0.25">
      <c r="H397" t="s">
        <v>143</v>
      </c>
    </row>
    <row r="398" spans="8:8" x14ac:dyDescent="0.25">
      <c r="H398" t="s">
        <v>1119</v>
      </c>
    </row>
    <row r="400" spans="8:8" x14ac:dyDescent="0.25">
      <c r="H400" t="s">
        <v>1120</v>
      </c>
    </row>
    <row r="401" spans="8:8" x14ac:dyDescent="0.25">
      <c r="H401" t="s">
        <v>1121</v>
      </c>
    </row>
    <row r="402" spans="8:8" x14ac:dyDescent="0.25">
      <c r="H402" t="s">
        <v>845</v>
      </c>
    </row>
    <row r="403" spans="8:8" x14ac:dyDescent="0.25">
      <c r="H403" t="s">
        <v>1122</v>
      </c>
    </row>
    <row r="404" spans="8:8" x14ac:dyDescent="0.25">
      <c r="H404" t="s">
        <v>1123</v>
      </c>
    </row>
    <row r="405" spans="8:8" x14ac:dyDescent="0.25">
      <c r="H405" t="s">
        <v>852</v>
      </c>
    </row>
    <row r="406" spans="8:8" x14ac:dyDescent="0.25">
      <c r="H406" t="s">
        <v>1124</v>
      </c>
    </row>
    <row r="407" spans="8:8" x14ac:dyDescent="0.25">
      <c r="H407" t="s">
        <v>1125</v>
      </c>
    </row>
    <row r="409" spans="8:8" x14ac:dyDescent="0.25">
      <c r="H409" t="s">
        <v>1126</v>
      </c>
    </row>
    <row r="410" spans="8:8" x14ac:dyDescent="0.25">
      <c r="H410" t="s">
        <v>1127</v>
      </c>
    </row>
    <row r="411" spans="8:8" x14ac:dyDescent="0.25">
      <c r="H411" t="s">
        <v>4898</v>
      </c>
    </row>
    <row r="412" spans="8:8" x14ac:dyDescent="0.25">
      <c r="H412" t="s">
        <v>1128</v>
      </c>
    </row>
    <row r="413" spans="8:8" x14ac:dyDescent="0.25">
      <c r="H413" t="s">
        <v>1129</v>
      </c>
    </row>
    <row r="414" spans="8:8" x14ac:dyDescent="0.25">
      <c r="H414" t="s">
        <v>1130</v>
      </c>
    </row>
    <row r="415" spans="8:8" x14ac:dyDescent="0.25">
      <c r="H415" t="s">
        <v>1131</v>
      </c>
    </row>
    <row r="416" spans="8:8" x14ac:dyDescent="0.25">
      <c r="H416" t="s">
        <v>1132</v>
      </c>
    </row>
    <row r="418" spans="8:8" x14ac:dyDescent="0.25">
      <c r="H418" t="s">
        <v>1133</v>
      </c>
    </row>
    <row r="419" spans="8:8" x14ac:dyDescent="0.25">
      <c r="H419" t="s">
        <v>1134</v>
      </c>
    </row>
    <row r="420" spans="8:8" x14ac:dyDescent="0.25">
      <c r="H420" t="s">
        <v>4898</v>
      </c>
    </row>
    <row r="421" spans="8:8" x14ac:dyDescent="0.25">
      <c r="H421" t="s">
        <v>1128</v>
      </c>
    </row>
    <row r="422" spans="8:8" x14ac:dyDescent="0.25">
      <c r="H422" t="s">
        <v>1129</v>
      </c>
    </row>
    <row r="423" spans="8:8" x14ac:dyDescent="0.25">
      <c r="H423" t="s">
        <v>1130</v>
      </c>
    </row>
    <row r="424" spans="8:8" x14ac:dyDescent="0.25">
      <c r="H424" t="s">
        <v>1135</v>
      </c>
    </row>
    <row r="425" spans="8:8" x14ac:dyDescent="0.25">
      <c r="H425" t="s">
        <v>1136</v>
      </c>
    </row>
    <row r="427" spans="8:8" x14ac:dyDescent="0.25">
      <c r="H427" t="s">
        <v>1137</v>
      </c>
    </row>
    <row r="428" spans="8:8" x14ac:dyDescent="0.25">
      <c r="H428" t="s">
        <v>1138</v>
      </c>
    </row>
    <row r="429" spans="8:8" x14ac:dyDescent="0.25">
      <c r="H429" t="s">
        <v>4898</v>
      </c>
    </row>
    <row r="430" spans="8:8" x14ac:dyDescent="0.25">
      <c r="H430" t="s">
        <v>1128</v>
      </c>
    </row>
    <row r="431" spans="8:8" x14ac:dyDescent="0.25">
      <c r="H431" t="s">
        <v>1129</v>
      </c>
    </row>
    <row r="432" spans="8:8" x14ac:dyDescent="0.25">
      <c r="H432" t="s">
        <v>1130</v>
      </c>
    </row>
    <row r="433" spans="8:8" x14ac:dyDescent="0.25">
      <c r="H433" t="s">
        <v>1139</v>
      </c>
    </row>
    <row r="434" spans="8:8" x14ac:dyDescent="0.25">
      <c r="H434" t="s">
        <v>1140</v>
      </c>
    </row>
    <row r="436" spans="8:8" x14ac:dyDescent="0.25">
      <c r="H436" t="s">
        <v>1141</v>
      </c>
    </row>
    <row r="437" spans="8:8" x14ac:dyDescent="0.25">
      <c r="H437" t="s">
        <v>1142</v>
      </c>
    </row>
    <row r="438" spans="8:8" x14ac:dyDescent="0.25">
      <c r="H438" t="s">
        <v>4898</v>
      </c>
    </row>
    <row r="439" spans="8:8" x14ac:dyDescent="0.25">
      <c r="H439" t="s">
        <v>1128</v>
      </c>
    </row>
    <row r="440" spans="8:8" x14ac:dyDescent="0.25">
      <c r="H440" t="s">
        <v>1129</v>
      </c>
    </row>
    <row r="441" spans="8:8" x14ac:dyDescent="0.25">
      <c r="H441" t="s">
        <v>1130</v>
      </c>
    </row>
    <row r="442" spans="8:8" x14ac:dyDescent="0.25">
      <c r="H442" t="s">
        <v>1143</v>
      </c>
    </row>
    <row r="443" spans="8:8" x14ac:dyDescent="0.25">
      <c r="H443" t="s">
        <v>1144</v>
      </c>
    </row>
    <row r="445" spans="8:8" x14ac:dyDescent="0.25">
      <c r="H445" t="s">
        <v>1145</v>
      </c>
    </row>
    <row r="446" spans="8:8" x14ac:dyDescent="0.25">
      <c r="H446" t="s">
        <v>1146</v>
      </c>
    </row>
    <row r="447" spans="8:8" x14ac:dyDescent="0.25">
      <c r="H447" t="s">
        <v>4898</v>
      </c>
    </row>
    <row r="448" spans="8:8" x14ac:dyDescent="0.25">
      <c r="H448" t="s">
        <v>1128</v>
      </c>
    </row>
    <row r="449" spans="8:8" x14ac:dyDescent="0.25">
      <c r="H449" t="s">
        <v>1129</v>
      </c>
    </row>
    <row r="450" spans="8:8" x14ac:dyDescent="0.25">
      <c r="H450" t="s">
        <v>1130</v>
      </c>
    </row>
    <row r="451" spans="8:8" x14ac:dyDescent="0.25">
      <c r="H451" t="s">
        <v>1147</v>
      </c>
    </row>
    <row r="452" spans="8:8" x14ac:dyDescent="0.25">
      <c r="H452" t="s">
        <v>1148</v>
      </c>
    </row>
    <row r="454" spans="8:8" x14ac:dyDescent="0.25">
      <c r="H454" t="s">
        <v>1149</v>
      </c>
    </row>
    <row r="455" spans="8:8" x14ac:dyDescent="0.25">
      <c r="H455" t="s">
        <v>1150</v>
      </c>
    </row>
    <row r="456" spans="8:8" x14ac:dyDescent="0.25">
      <c r="H456" t="s">
        <v>4898</v>
      </c>
    </row>
    <row r="457" spans="8:8" x14ac:dyDescent="0.25">
      <c r="H457" t="s">
        <v>1128</v>
      </c>
    </row>
    <row r="458" spans="8:8" x14ac:dyDescent="0.25">
      <c r="H458" t="s">
        <v>1129</v>
      </c>
    </row>
    <row r="459" spans="8:8" x14ac:dyDescent="0.25">
      <c r="H459" t="s">
        <v>1130</v>
      </c>
    </row>
    <row r="460" spans="8:8" x14ac:dyDescent="0.25">
      <c r="H460" t="s">
        <v>1151</v>
      </c>
    </row>
    <row r="461" spans="8:8" x14ac:dyDescent="0.25">
      <c r="H461" t="s">
        <v>1152</v>
      </c>
    </row>
    <row r="463" spans="8:8" x14ac:dyDescent="0.25">
      <c r="H463" t="s">
        <v>1153</v>
      </c>
    </row>
    <row r="464" spans="8:8" x14ac:dyDescent="0.25">
      <c r="H464" t="s">
        <v>1154</v>
      </c>
    </row>
    <row r="465" spans="8:8" x14ac:dyDescent="0.25">
      <c r="H465" t="s">
        <v>4898</v>
      </c>
    </row>
    <row r="466" spans="8:8" x14ac:dyDescent="0.25">
      <c r="H466" t="s">
        <v>1128</v>
      </c>
    </row>
    <row r="467" spans="8:8" x14ac:dyDescent="0.25">
      <c r="H467" t="s">
        <v>1129</v>
      </c>
    </row>
    <row r="468" spans="8:8" x14ac:dyDescent="0.25">
      <c r="H468" t="s">
        <v>1130</v>
      </c>
    </row>
    <row r="469" spans="8:8" x14ac:dyDescent="0.25">
      <c r="H469" t="s">
        <v>1155</v>
      </c>
    </row>
    <row r="470" spans="8:8" x14ac:dyDescent="0.25">
      <c r="H470" t="s">
        <v>1156</v>
      </c>
    </row>
    <row r="472" spans="8:8" x14ac:dyDescent="0.25">
      <c r="H472" t="s">
        <v>1157</v>
      </c>
    </row>
    <row r="473" spans="8:8" x14ac:dyDescent="0.25">
      <c r="H473" t="s">
        <v>1158</v>
      </c>
    </row>
    <row r="474" spans="8:8" x14ac:dyDescent="0.25">
      <c r="H474" t="s">
        <v>4898</v>
      </c>
    </row>
    <row r="475" spans="8:8" x14ac:dyDescent="0.25">
      <c r="H475" t="s">
        <v>1128</v>
      </c>
    </row>
    <row r="476" spans="8:8" x14ac:dyDescent="0.25">
      <c r="H476" t="s">
        <v>1129</v>
      </c>
    </row>
    <row r="477" spans="8:8" x14ac:dyDescent="0.25">
      <c r="H477" t="s">
        <v>1130</v>
      </c>
    </row>
    <row r="478" spans="8:8" x14ac:dyDescent="0.25">
      <c r="H478" t="s">
        <v>1159</v>
      </c>
    </row>
    <row r="479" spans="8:8" x14ac:dyDescent="0.25">
      <c r="H479" t="s">
        <v>1160</v>
      </c>
    </row>
    <row r="481" spans="8:8" x14ac:dyDescent="0.25">
      <c r="H481" t="s">
        <v>1161</v>
      </c>
    </row>
    <row r="482" spans="8:8" x14ac:dyDescent="0.25">
      <c r="H482" t="s">
        <v>1162</v>
      </c>
    </row>
    <row r="483" spans="8:8" x14ac:dyDescent="0.25">
      <c r="H483" t="s">
        <v>4898</v>
      </c>
    </row>
    <row r="484" spans="8:8" x14ac:dyDescent="0.25">
      <c r="H484" t="s">
        <v>1128</v>
      </c>
    </row>
    <row r="485" spans="8:8" x14ac:dyDescent="0.25">
      <c r="H485" t="s">
        <v>1129</v>
      </c>
    </row>
    <row r="486" spans="8:8" x14ac:dyDescent="0.25">
      <c r="H486" t="s">
        <v>1130</v>
      </c>
    </row>
    <row r="487" spans="8:8" x14ac:dyDescent="0.25">
      <c r="H487" t="s">
        <v>1163</v>
      </c>
    </row>
    <row r="488" spans="8:8" x14ac:dyDescent="0.25">
      <c r="H488" t="s">
        <v>1164</v>
      </c>
    </row>
    <row r="490" spans="8:8" x14ac:dyDescent="0.25">
      <c r="H490" t="s">
        <v>1165</v>
      </c>
    </row>
    <row r="491" spans="8:8" x14ac:dyDescent="0.25">
      <c r="H491" t="s">
        <v>1166</v>
      </c>
    </row>
    <row r="492" spans="8:8" x14ac:dyDescent="0.25">
      <c r="H492" t="s">
        <v>4898</v>
      </c>
    </row>
    <row r="493" spans="8:8" x14ac:dyDescent="0.25">
      <c r="H493" t="s">
        <v>1128</v>
      </c>
    </row>
    <row r="494" spans="8:8" x14ac:dyDescent="0.25">
      <c r="H494" t="s">
        <v>1129</v>
      </c>
    </row>
    <row r="495" spans="8:8" x14ac:dyDescent="0.25">
      <c r="H495" t="s">
        <v>1130</v>
      </c>
    </row>
    <row r="496" spans="8:8" x14ac:dyDescent="0.25">
      <c r="H496" t="s">
        <v>1167</v>
      </c>
    </row>
    <row r="497" spans="8:8" x14ac:dyDescent="0.25">
      <c r="H497" t="s">
        <v>1168</v>
      </c>
    </row>
    <row r="499" spans="8:8" x14ac:dyDescent="0.25">
      <c r="H499" t="s">
        <v>1169</v>
      </c>
    </row>
    <row r="500" spans="8:8" x14ac:dyDescent="0.25">
      <c r="H500" t="s">
        <v>1170</v>
      </c>
    </row>
    <row r="501" spans="8:8" x14ac:dyDescent="0.25">
      <c r="H501" t="s">
        <v>4898</v>
      </c>
    </row>
    <row r="502" spans="8:8" x14ac:dyDescent="0.25">
      <c r="H502" t="s">
        <v>1128</v>
      </c>
    </row>
    <row r="503" spans="8:8" x14ac:dyDescent="0.25">
      <c r="H503" t="s">
        <v>1129</v>
      </c>
    </row>
    <row r="504" spans="8:8" x14ac:dyDescent="0.25">
      <c r="H504" t="s">
        <v>1130</v>
      </c>
    </row>
    <row r="505" spans="8:8" x14ac:dyDescent="0.25">
      <c r="H505" t="s">
        <v>1171</v>
      </c>
    </row>
    <row r="506" spans="8:8" x14ac:dyDescent="0.25">
      <c r="H506" t="s">
        <v>1172</v>
      </c>
    </row>
    <row r="508" spans="8:8" x14ac:dyDescent="0.25">
      <c r="H508" t="s">
        <v>1173</v>
      </c>
    </row>
    <row r="509" spans="8:8" x14ac:dyDescent="0.25">
      <c r="H509" t="s">
        <v>1174</v>
      </c>
    </row>
    <row r="510" spans="8:8" x14ac:dyDescent="0.25">
      <c r="H510" t="s">
        <v>4898</v>
      </c>
    </row>
    <row r="511" spans="8:8" x14ac:dyDescent="0.25">
      <c r="H511" t="s">
        <v>1128</v>
      </c>
    </row>
    <row r="512" spans="8:8" x14ac:dyDescent="0.25">
      <c r="H512" t="s">
        <v>1129</v>
      </c>
    </row>
    <row r="513" spans="8:9" x14ac:dyDescent="0.25">
      <c r="H513" t="s">
        <v>1130</v>
      </c>
    </row>
    <row r="514" spans="8:9" x14ac:dyDescent="0.25">
      <c r="H514" t="s">
        <v>1175</v>
      </c>
    </row>
    <row r="515" spans="8:9" x14ac:dyDescent="0.25">
      <c r="H515" t="s">
        <v>1176</v>
      </c>
    </row>
    <row r="516" spans="8:9" x14ac:dyDescent="0.25">
      <c r="I516" s="6"/>
    </row>
    <row r="517" spans="8:9" x14ac:dyDescent="0.25">
      <c r="H517" t="s">
        <v>1177</v>
      </c>
    </row>
    <row r="518" spans="8:9" x14ac:dyDescent="0.25">
      <c r="H518" t="s">
        <v>1178</v>
      </c>
    </row>
    <row r="519" spans="8:9" x14ac:dyDescent="0.25">
      <c r="H519" t="s">
        <v>4898</v>
      </c>
    </row>
    <row r="520" spans="8:9" x14ac:dyDescent="0.25">
      <c r="H520" t="s">
        <v>1128</v>
      </c>
    </row>
    <row r="521" spans="8:9" x14ac:dyDescent="0.25">
      <c r="H521" t="s">
        <v>1129</v>
      </c>
    </row>
    <row r="522" spans="8:9" x14ac:dyDescent="0.25">
      <c r="H522" t="s">
        <v>1130</v>
      </c>
    </row>
    <row r="523" spans="8:9" x14ac:dyDescent="0.25">
      <c r="H523" t="s">
        <v>1179</v>
      </c>
    </row>
    <row r="524" spans="8:9" x14ac:dyDescent="0.25">
      <c r="H524" t="s">
        <v>1180</v>
      </c>
    </row>
    <row r="526" spans="8:9" x14ac:dyDescent="0.25">
      <c r="H526" t="s">
        <v>1181</v>
      </c>
    </row>
    <row r="527" spans="8:9" x14ac:dyDescent="0.25">
      <c r="H527" t="s">
        <v>1182</v>
      </c>
    </row>
    <row r="528" spans="8:9" x14ac:dyDescent="0.25">
      <c r="H528" t="s">
        <v>4898</v>
      </c>
    </row>
    <row r="529" spans="8:8" x14ac:dyDescent="0.25">
      <c r="H529" t="s">
        <v>1128</v>
      </c>
    </row>
    <row r="530" spans="8:8" x14ac:dyDescent="0.25">
      <c r="H530" t="s">
        <v>1129</v>
      </c>
    </row>
    <row r="531" spans="8:8" x14ac:dyDescent="0.25">
      <c r="H531" t="s">
        <v>1130</v>
      </c>
    </row>
    <row r="532" spans="8:8" x14ac:dyDescent="0.25">
      <c r="H532" t="s">
        <v>1183</v>
      </c>
    </row>
    <row r="533" spans="8:8" x14ac:dyDescent="0.25">
      <c r="H533" t="s">
        <v>1184</v>
      </c>
    </row>
    <row r="535" spans="8:8" x14ac:dyDescent="0.25">
      <c r="H535" t="s">
        <v>1185</v>
      </c>
    </row>
    <row r="536" spans="8:8" x14ac:dyDescent="0.25">
      <c r="H536" t="s">
        <v>1186</v>
      </c>
    </row>
    <row r="537" spans="8:8" x14ac:dyDescent="0.25">
      <c r="H537" t="s">
        <v>4898</v>
      </c>
    </row>
    <row r="538" spans="8:8" x14ac:dyDescent="0.25">
      <c r="H538" t="s">
        <v>1128</v>
      </c>
    </row>
    <row r="539" spans="8:8" x14ac:dyDescent="0.25">
      <c r="H539" t="s">
        <v>1129</v>
      </c>
    </row>
    <row r="540" spans="8:8" x14ac:dyDescent="0.25">
      <c r="H540" t="s">
        <v>1130</v>
      </c>
    </row>
    <row r="541" spans="8:8" x14ac:dyDescent="0.25">
      <c r="H541" t="s">
        <v>1187</v>
      </c>
    </row>
    <row r="542" spans="8:8" x14ac:dyDescent="0.25">
      <c r="H542" t="s">
        <v>1188</v>
      </c>
    </row>
    <row r="544" spans="8:8" x14ac:dyDescent="0.25">
      <c r="H544" t="s">
        <v>1189</v>
      </c>
    </row>
    <row r="545" spans="8:8" x14ac:dyDescent="0.25">
      <c r="H545" t="s">
        <v>1190</v>
      </c>
    </row>
    <row r="546" spans="8:8" x14ac:dyDescent="0.25">
      <c r="H546" t="s">
        <v>4898</v>
      </c>
    </row>
    <row r="547" spans="8:8" x14ac:dyDescent="0.25">
      <c r="H547" t="s">
        <v>1128</v>
      </c>
    </row>
    <row r="548" spans="8:8" x14ac:dyDescent="0.25">
      <c r="H548" t="s">
        <v>1129</v>
      </c>
    </row>
    <row r="549" spans="8:8" x14ac:dyDescent="0.25">
      <c r="H549" t="s">
        <v>1130</v>
      </c>
    </row>
    <row r="550" spans="8:8" x14ac:dyDescent="0.25">
      <c r="H550" t="s">
        <v>1191</v>
      </c>
    </row>
    <row r="551" spans="8:8" x14ac:dyDescent="0.25">
      <c r="H551" t="s">
        <v>1192</v>
      </c>
    </row>
    <row r="553" spans="8:8" x14ac:dyDescent="0.25">
      <c r="H553" t="s">
        <v>1193</v>
      </c>
    </row>
    <row r="554" spans="8:8" x14ac:dyDescent="0.25">
      <c r="H554" t="s">
        <v>1194</v>
      </c>
    </row>
    <row r="555" spans="8:8" x14ac:dyDescent="0.25">
      <c r="H555" t="s">
        <v>4898</v>
      </c>
    </row>
    <row r="556" spans="8:8" x14ac:dyDescent="0.25">
      <c r="H556" t="s">
        <v>1128</v>
      </c>
    </row>
    <row r="557" spans="8:8" x14ac:dyDescent="0.25">
      <c r="H557" t="s">
        <v>1129</v>
      </c>
    </row>
    <row r="558" spans="8:8" x14ac:dyDescent="0.25">
      <c r="H558" t="s">
        <v>1130</v>
      </c>
    </row>
    <row r="559" spans="8:8" x14ac:dyDescent="0.25">
      <c r="H559" t="s">
        <v>1195</v>
      </c>
    </row>
    <row r="560" spans="8:8" x14ac:dyDescent="0.25">
      <c r="H560" t="s">
        <v>1196</v>
      </c>
    </row>
    <row r="562" spans="8:8" x14ac:dyDescent="0.25">
      <c r="H562" t="s">
        <v>1197</v>
      </c>
    </row>
    <row r="563" spans="8:8" x14ac:dyDescent="0.25">
      <c r="H563" t="s">
        <v>1198</v>
      </c>
    </row>
    <row r="564" spans="8:8" x14ac:dyDescent="0.25">
      <c r="H564" t="s">
        <v>4898</v>
      </c>
    </row>
    <row r="565" spans="8:8" x14ac:dyDescent="0.25">
      <c r="H565" t="s">
        <v>1128</v>
      </c>
    </row>
    <row r="566" spans="8:8" x14ac:dyDescent="0.25">
      <c r="H566" t="s">
        <v>1129</v>
      </c>
    </row>
    <row r="567" spans="8:8" x14ac:dyDescent="0.25">
      <c r="H567" t="s">
        <v>1130</v>
      </c>
    </row>
    <row r="568" spans="8:8" x14ac:dyDescent="0.25">
      <c r="H568" t="s">
        <v>1199</v>
      </c>
    </row>
    <row r="569" spans="8:8" x14ac:dyDescent="0.25">
      <c r="H569" t="s">
        <v>1200</v>
      </c>
    </row>
    <row r="571" spans="8:8" x14ac:dyDescent="0.25">
      <c r="H571" t="s">
        <v>1201</v>
      </c>
    </row>
    <row r="572" spans="8:8" x14ac:dyDescent="0.25">
      <c r="H572" t="s">
        <v>1202</v>
      </c>
    </row>
    <row r="573" spans="8:8" x14ac:dyDescent="0.25">
      <c r="H573" t="s">
        <v>4898</v>
      </c>
    </row>
    <row r="574" spans="8:8" x14ac:dyDescent="0.25">
      <c r="H574" t="s">
        <v>1128</v>
      </c>
    </row>
    <row r="575" spans="8:8" x14ac:dyDescent="0.25">
      <c r="H575" t="s">
        <v>1129</v>
      </c>
    </row>
    <row r="576" spans="8:8" x14ac:dyDescent="0.25">
      <c r="H576" t="s">
        <v>1130</v>
      </c>
    </row>
    <row r="577" spans="8:8" x14ac:dyDescent="0.25">
      <c r="H577" t="s">
        <v>1203</v>
      </c>
    </row>
    <row r="578" spans="8:8" x14ac:dyDescent="0.25">
      <c r="H578" t="s">
        <v>1204</v>
      </c>
    </row>
    <row r="580" spans="8:8" x14ac:dyDescent="0.25">
      <c r="H580" t="s">
        <v>1205</v>
      </c>
    </row>
    <row r="581" spans="8:8" x14ac:dyDescent="0.25">
      <c r="H581" t="s">
        <v>1206</v>
      </c>
    </row>
    <row r="582" spans="8:8" x14ac:dyDescent="0.25">
      <c r="H582" t="s">
        <v>4898</v>
      </c>
    </row>
    <row r="583" spans="8:8" x14ac:dyDescent="0.25">
      <c r="H583" t="s">
        <v>1128</v>
      </c>
    </row>
    <row r="584" spans="8:8" x14ac:dyDescent="0.25">
      <c r="H584" t="s">
        <v>1129</v>
      </c>
    </row>
    <row r="585" spans="8:8" x14ac:dyDescent="0.25">
      <c r="H585" t="s">
        <v>1130</v>
      </c>
    </row>
    <row r="586" spans="8:8" x14ac:dyDescent="0.25">
      <c r="H586" t="s">
        <v>1207</v>
      </c>
    </row>
    <row r="587" spans="8:8" x14ac:dyDescent="0.25">
      <c r="H587" t="s">
        <v>1208</v>
      </c>
    </row>
    <row r="589" spans="8:8" x14ac:dyDescent="0.25">
      <c r="H589" t="s">
        <v>1209</v>
      </c>
    </row>
    <row r="590" spans="8:8" x14ac:dyDescent="0.25">
      <c r="H590" t="s">
        <v>1210</v>
      </c>
    </row>
    <row r="591" spans="8:8" x14ac:dyDescent="0.25">
      <c r="H591" t="s">
        <v>4898</v>
      </c>
    </row>
    <row r="592" spans="8:8" x14ac:dyDescent="0.25">
      <c r="H592" t="s">
        <v>1128</v>
      </c>
    </row>
    <row r="593" spans="8:8" x14ac:dyDescent="0.25">
      <c r="H593" t="s">
        <v>1129</v>
      </c>
    </row>
    <row r="594" spans="8:8" x14ac:dyDescent="0.25">
      <c r="H594" t="s">
        <v>1130</v>
      </c>
    </row>
    <row r="595" spans="8:8" x14ac:dyDescent="0.25">
      <c r="H595" t="s">
        <v>1211</v>
      </c>
    </row>
    <row r="596" spans="8:8" x14ac:dyDescent="0.25">
      <c r="H596" t="s">
        <v>1212</v>
      </c>
    </row>
    <row r="598" spans="8:8" x14ac:dyDescent="0.25">
      <c r="H598" t="s">
        <v>1213</v>
      </c>
    </row>
    <row r="599" spans="8:8" x14ac:dyDescent="0.25">
      <c r="H599" t="s">
        <v>1214</v>
      </c>
    </row>
    <row r="600" spans="8:8" x14ac:dyDescent="0.25">
      <c r="H600" t="s">
        <v>949</v>
      </c>
    </row>
    <row r="601" spans="8:8" x14ac:dyDescent="0.25">
      <c r="H601" t="s">
        <v>950</v>
      </c>
    </row>
    <row r="602" spans="8:8" x14ac:dyDescent="0.25">
      <c r="H602" t="s">
        <v>951</v>
      </c>
    </row>
    <row r="603" spans="8:8" x14ac:dyDescent="0.25">
      <c r="H603" t="s">
        <v>952</v>
      </c>
    </row>
    <row r="604" spans="8:8" x14ac:dyDescent="0.25">
      <c r="H604" t="s">
        <v>953</v>
      </c>
    </row>
    <row r="605" spans="8:8" x14ac:dyDescent="0.25">
      <c r="H605" t="s">
        <v>954</v>
      </c>
    </row>
    <row r="606" spans="8:8" x14ac:dyDescent="0.25">
      <c r="H606" t="s">
        <v>955</v>
      </c>
    </row>
    <row r="607" spans="8:8" x14ac:dyDescent="0.25">
      <c r="H607" t="s">
        <v>1215</v>
      </c>
    </row>
    <row r="608" spans="8:8" x14ac:dyDescent="0.25">
      <c r="H608" t="s">
        <v>1216</v>
      </c>
    </row>
    <row r="609" spans="8:8" x14ac:dyDescent="0.25">
      <c r="H609" t="s">
        <v>1217</v>
      </c>
    </row>
    <row r="610" spans="8:8" x14ac:dyDescent="0.25">
      <c r="H610" t="s">
        <v>1218</v>
      </c>
    </row>
    <row r="611" spans="8:8" x14ac:dyDescent="0.25">
      <c r="H611" t="s">
        <v>1219</v>
      </c>
    </row>
    <row r="612" spans="8:8" x14ac:dyDescent="0.25">
      <c r="H612" t="s">
        <v>1220</v>
      </c>
    </row>
    <row r="613" spans="8:8" x14ac:dyDescent="0.25">
      <c r="H613" t="s">
        <v>1221</v>
      </c>
    </row>
    <row r="614" spans="8:8" x14ac:dyDescent="0.25">
      <c r="H614" t="s">
        <v>1222</v>
      </c>
    </row>
    <row r="615" spans="8:8" x14ac:dyDescent="0.25">
      <c r="H615" t="s">
        <v>1223</v>
      </c>
    </row>
    <row r="616" spans="8:8" x14ac:dyDescent="0.25">
      <c r="H616" t="s">
        <v>1224</v>
      </c>
    </row>
    <row r="617" spans="8:8" x14ac:dyDescent="0.25">
      <c r="H617" t="s">
        <v>1225</v>
      </c>
    </row>
    <row r="618" spans="8:8" x14ac:dyDescent="0.25">
      <c r="H618" t="s">
        <v>1226</v>
      </c>
    </row>
    <row r="619" spans="8:8" x14ac:dyDescent="0.25">
      <c r="H619" t="s">
        <v>1227</v>
      </c>
    </row>
    <row r="620" spans="8:8" x14ac:dyDescent="0.25">
      <c r="H620" t="s">
        <v>1228</v>
      </c>
    </row>
    <row r="621" spans="8:8" x14ac:dyDescent="0.25">
      <c r="H621" t="s">
        <v>1229</v>
      </c>
    </row>
    <row r="622" spans="8:8" x14ac:dyDescent="0.25">
      <c r="H622" t="s">
        <v>1230</v>
      </c>
    </row>
    <row r="623" spans="8:8" x14ac:dyDescent="0.25">
      <c r="H623" t="s">
        <v>1231</v>
      </c>
    </row>
    <row r="624" spans="8:8" x14ac:dyDescent="0.25">
      <c r="H624" t="s">
        <v>1232</v>
      </c>
    </row>
    <row r="625" spans="8:8" x14ac:dyDescent="0.25">
      <c r="H625" t="s">
        <v>1233</v>
      </c>
    </row>
    <row r="626" spans="8:8" x14ac:dyDescent="0.25">
      <c r="H626" t="s">
        <v>1234</v>
      </c>
    </row>
    <row r="627" spans="8:8" x14ac:dyDescent="0.25">
      <c r="H627" t="s">
        <v>1235</v>
      </c>
    </row>
    <row r="628" spans="8:8" x14ac:dyDescent="0.25">
      <c r="H628" t="s">
        <v>1236</v>
      </c>
    </row>
    <row r="629" spans="8:8" x14ac:dyDescent="0.25">
      <c r="H629" t="s">
        <v>1237</v>
      </c>
    </row>
    <row r="630" spans="8:8" x14ac:dyDescent="0.25">
      <c r="H630" t="s">
        <v>1238</v>
      </c>
    </row>
    <row r="632" spans="8:8" x14ac:dyDescent="0.25">
      <c r="H632" t="s">
        <v>1239</v>
      </c>
    </row>
    <row r="633" spans="8:8" x14ac:dyDescent="0.25">
      <c r="H633" t="s">
        <v>1240</v>
      </c>
    </row>
    <row r="634" spans="8:8" x14ac:dyDescent="0.25">
      <c r="H634" t="s">
        <v>965</v>
      </c>
    </row>
    <row r="635" spans="8:8" x14ac:dyDescent="0.25">
      <c r="H635" t="s">
        <v>966</v>
      </c>
    </row>
    <row r="636" spans="8:8" x14ac:dyDescent="0.25">
      <c r="H636" t="s">
        <v>967</v>
      </c>
    </row>
    <row r="637" spans="8:8" x14ac:dyDescent="0.25">
      <c r="H637" t="s">
        <v>968</v>
      </c>
    </row>
    <row r="638" spans="8:8" x14ac:dyDescent="0.25">
      <c r="H638" t="s">
        <v>969</v>
      </c>
    </row>
    <row r="639" spans="8:8" x14ac:dyDescent="0.25">
      <c r="H639" t="s">
        <v>970</v>
      </c>
    </row>
    <row r="640" spans="8:8" x14ac:dyDescent="0.25">
      <c r="H640" t="s">
        <v>971</v>
      </c>
    </row>
    <row r="641" spans="8:8" x14ac:dyDescent="0.25">
      <c r="H641" t="s">
        <v>972</v>
      </c>
    </row>
    <row r="642" spans="8:8" x14ac:dyDescent="0.25">
      <c r="H642" t="s">
        <v>973</v>
      </c>
    </row>
    <row r="643" spans="8:8" x14ac:dyDescent="0.25">
      <c r="H643" t="s">
        <v>974</v>
      </c>
    </row>
    <row r="644" spans="8:8" x14ac:dyDescent="0.25">
      <c r="H644" t="s">
        <v>975</v>
      </c>
    </row>
    <row r="645" spans="8:8" x14ac:dyDescent="0.25">
      <c r="H645" t="s">
        <v>976</v>
      </c>
    </row>
    <row r="646" spans="8:8" x14ac:dyDescent="0.25">
      <c r="H646" t="s">
        <v>977</v>
      </c>
    </row>
    <row r="647" spans="8:8" x14ac:dyDescent="0.25">
      <c r="H647" t="s">
        <v>978</v>
      </c>
    </row>
    <row r="648" spans="8:8" x14ac:dyDescent="0.25">
      <c r="H648" t="s">
        <v>979</v>
      </c>
    </row>
    <row r="649" spans="8:8" x14ac:dyDescent="0.25">
      <c r="H649" t="s">
        <v>980</v>
      </c>
    </row>
    <row r="650" spans="8:8" x14ac:dyDescent="0.25">
      <c r="H650" t="s">
        <v>981</v>
      </c>
    </row>
    <row r="651" spans="8:8" x14ac:dyDescent="0.25">
      <c r="H651" t="s">
        <v>982</v>
      </c>
    </row>
    <row r="652" spans="8:8" x14ac:dyDescent="0.25">
      <c r="H652" t="s">
        <v>983</v>
      </c>
    </row>
    <row r="653" spans="8:8" x14ac:dyDescent="0.25">
      <c r="H653" t="s">
        <v>984</v>
      </c>
    </row>
    <row r="654" spans="8:8" x14ac:dyDescent="0.25">
      <c r="H654" t="s">
        <v>985</v>
      </c>
    </row>
    <row r="655" spans="8:8" x14ac:dyDescent="0.25">
      <c r="H655" t="s">
        <v>986</v>
      </c>
    </row>
    <row r="656" spans="8:8" x14ac:dyDescent="0.25">
      <c r="H656" t="s">
        <v>987</v>
      </c>
    </row>
    <row r="657" spans="8:8" x14ac:dyDescent="0.25">
      <c r="H657" t="s">
        <v>988</v>
      </c>
    </row>
    <row r="658" spans="8:8" x14ac:dyDescent="0.25">
      <c r="H658" t="s">
        <v>989</v>
      </c>
    </row>
    <row r="659" spans="8:8" x14ac:dyDescent="0.25">
      <c r="H659" t="s">
        <v>990</v>
      </c>
    </row>
    <row r="660" spans="8:8" x14ac:dyDescent="0.25">
      <c r="H660" t="s">
        <v>991</v>
      </c>
    </row>
    <row r="661" spans="8:8" x14ac:dyDescent="0.25">
      <c r="H661" t="s">
        <v>992</v>
      </c>
    </row>
    <row r="662" spans="8:8" x14ac:dyDescent="0.25">
      <c r="H662" t="s">
        <v>993</v>
      </c>
    </row>
    <row r="663" spans="8:8" x14ac:dyDescent="0.25">
      <c r="H663" t="s">
        <v>1241</v>
      </c>
    </row>
    <row r="665" spans="8:8" x14ac:dyDescent="0.25">
      <c r="H665" t="s">
        <v>1242</v>
      </c>
    </row>
    <row r="666" spans="8:8" x14ac:dyDescent="0.25">
      <c r="H666" t="s">
        <v>1243</v>
      </c>
    </row>
    <row r="667" spans="8:8" x14ac:dyDescent="0.25">
      <c r="H667" t="s">
        <v>997</v>
      </c>
    </row>
    <row r="668" spans="8:8" x14ac:dyDescent="0.25">
      <c r="H668" t="s">
        <v>998</v>
      </c>
    </row>
    <row r="669" spans="8:8" x14ac:dyDescent="0.25">
      <c r="H669" t="s">
        <v>999</v>
      </c>
    </row>
    <row r="670" spans="8:8" x14ac:dyDescent="0.25">
      <c r="H670" t="s">
        <v>1000</v>
      </c>
    </row>
    <row r="671" spans="8:8" x14ac:dyDescent="0.25">
      <c r="H671" t="s">
        <v>1001</v>
      </c>
    </row>
    <row r="672" spans="8:8" x14ac:dyDescent="0.25">
      <c r="H672" t="s">
        <v>1002</v>
      </c>
    </row>
    <row r="673" spans="8:8" x14ac:dyDescent="0.25">
      <c r="H673" t="s">
        <v>1003</v>
      </c>
    </row>
    <row r="674" spans="8:8" x14ac:dyDescent="0.25">
      <c r="H674" t="s">
        <v>1004</v>
      </c>
    </row>
    <row r="675" spans="8:8" x14ac:dyDescent="0.25">
      <c r="H675" t="s">
        <v>1244</v>
      </c>
    </row>
    <row r="677" spans="8:8" x14ac:dyDescent="0.25">
      <c r="H677" t="s">
        <v>1245</v>
      </c>
    </row>
    <row r="678" spans="8:8" x14ac:dyDescent="0.25">
      <c r="H678" t="s">
        <v>1246</v>
      </c>
    </row>
    <row r="679" spans="8:8" x14ac:dyDescent="0.25">
      <c r="H679" t="s">
        <v>949</v>
      </c>
    </row>
    <row r="680" spans="8:8" x14ac:dyDescent="0.25">
      <c r="H680" t="s">
        <v>950</v>
      </c>
    </row>
    <row r="681" spans="8:8" x14ac:dyDescent="0.25">
      <c r="H681" t="s">
        <v>951</v>
      </c>
    </row>
    <row r="682" spans="8:8" x14ac:dyDescent="0.25">
      <c r="H682" t="s">
        <v>952</v>
      </c>
    </row>
    <row r="683" spans="8:8" x14ac:dyDescent="0.25">
      <c r="H683" t="s">
        <v>953</v>
      </c>
    </row>
    <row r="684" spans="8:8" x14ac:dyDescent="0.25">
      <c r="H684" t="s">
        <v>954</v>
      </c>
    </row>
    <row r="685" spans="8:8" x14ac:dyDescent="0.25">
      <c r="H685" t="s">
        <v>955</v>
      </c>
    </row>
    <row r="686" spans="8:8" x14ac:dyDescent="0.25">
      <c r="H686" t="s">
        <v>1215</v>
      </c>
    </row>
    <row r="687" spans="8:8" x14ac:dyDescent="0.25">
      <c r="H687" t="s">
        <v>1216</v>
      </c>
    </row>
    <row r="688" spans="8:8" x14ac:dyDescent="0.25">
      <c r="H688" t="s">
        <v>1217</v>
      </c>
    </row>
    <row r="689" spans="8:8" x14ac:dyDescent="0.25">
      <c r="H689" t="s">
        <v>1218</v>
      </c>
    </row>
    <row r="690" spans="8:8" x14ac:dyDescent="0.25">
      <c r="H690" t="s">
        <v>1219</v>
      </c>
    </row>
    <row r="691" spans="8:8" x14ac:dyDescent="0.25">
      <c r="H691" t="s">
        <v>1220</v>
      </c>
    </row>
    <row r="692" spans="8:8" x14ac:dyDescent="0.25">
      <c r="H692" t="s">
        <v>1221</v>
      </c>
    </row>
    <row r="693" spans="8:8" x14ac:dyDescent="0.25">
      <c r="H693" t="s">
        <v>1222</v>
      </c>
    </row>
    <row r="694" spans="8:8" x14ac:dyDescent="0.25">
      <c r="H694" t="s">
        <v>1223</v>
      </c>
    </row>
    <row r="695" spans="8:8" x14ac:dyDescent="0.25">
      <c r="H695" t="s">
        <v>1224</v>
      </c>
    </row>
    <row r="696" spans="8:8" x14ac:dyDescent="0.25">
      <c r="H696" t="s">
        <v>1225</v>
      </c>
    </row>
    <row r="697" spans="8:8" x14ac:dyDescent="0.25">
      <c r="H697" t="s">
        <v>1226</v>
      </c>
    </row>
    <row r="698" spans="8:8" x14ac:dyDescent="0.25">
      <c r="H698" t="s">
        <v>1227</v>
      </c>
    </row>
    <row r="699" spans="8:8" x14ac:dyDescent="0.25">
      <c r="H699" t="s">
        <v>1228</v>
      </c>
    </row>
    <row r="700" spans="8:8" x14ac:dyDescent="0.25">
      <c r="H700" t="s">
        <v>1229</v>
      </c>
    </row>
    <row r="701" spans="8:8" x14ac:dyDescent="0.25">
      <c r="H701" t="s">
        <v>1230</v>
      </c>
    </row>
    <row r="702" spans="8:8" x14ac:dyDescent="0.25">
      <c r="H702" t="s">
        <v>1231</v>
      </c>
    </row>
    <row r="703" spans="8:8" x14ac:dyDescent="0.25">
      <c r="H703" t="s">
        <v>1232</v>
      </c>
    </row>
    <row r="704" spans="8:8" x14ac:dyDescent="0.25">
      <c r="H704" t="s">
        <v>1233</v>
      </c>
    </row>
    <row r="705" spans="8:8" x14ac:dyDescent="0.25">
      <c r="H705" t="s">
        <v>1234</v>
      </c>
    </row>
    <row r="706" spans="8:8" x14ac:dyDescent="0.25">
      <c r="H706" t="s">
        <v>1235</v>
      </c>
    </row>
    <row r="707" spans="8:8" x14ac:dyDescent="0.25">
      <c r="H707" t="s">
        <v>1236</v>
      </c>
    </row>
    <row r="708" spans="8:8" x14ac:dyDescent="0.25">
      <c r="H708" t="s">
        <v>1237</v>
      </c>
    </row>
    <row r="709" spans="8:8" x14ac:dyDescent="0.25">
      <c r="H709" t="s">
        <v>1247</v>
      </c>
    </row>
    <row r="711" spans="8:8" x14ac:dyDescent="0.25">
      <c r="H711" t="s">
        <v>1248</v>
      </c>
    </row>
    <row r="712" spans="8:8" x14ac:dyDescent="0.25">
      <c r="H712" t="s">
        <v>1249</v>
      </c>
    </row>
    <row r="713" spans="8:8" x14ac:dyDescent="0.25">
      <c r="H713" t="s">
        <v>965</v>
      </c>
    </row>
    <row r="714" spans="8:8" x14ac:dyDescent="0.25">
      <c r="H714" t="s">
        <v>966</v>
      </c>
    </row>
    <row r="715" spans="8:8" x14ac:dyDescent="0.25">
      <c r="H715" t="s">
        <v>967</v>
      </c>
    </row>
    <row r="716" spans="8:8" x14ac:dyDescent="0.25">
      <c r="H716" t="s">
        <v>968</v>
      </c>
    </row>
    <row r="717" spans="8:8" x14ac:dyDescent="0.25">
      <c r="H717" t="s">
        <v>969</v>
      </c>
    </row>
    <row r="718" spans="8:8" x14ac:dyDescent="0.25">
      <c r="H718" t="s">
        <v>970</v>
      </c>
    </row>
    <row r="719" spans="8:8" x14ac:dyDescent="0.25">
      <c r="H719" t="s">
        <v>971</v>
      </c>
    </row>
    <row r="720" spans="8:8" x14ac:dyDescent="0.25">
      <c r="H720" t="s">
        <v>972</v>
      </c>
    </row>
    <row r="721" spans="8:8" x14ac:dyDescent="0.25">
      <c r="H721" t="s">
        <v>973</v>
      </c>
    </row>
    <row r="722" spans="8:8" x14ac:dyDescent="0.25">
      <c r="H722" t="s">
        <v>974</v>
      </c>
    </row>
    <row r="723" spans="8:8" x14ac:dyDescent="0.25">
      <c r="H723" t="s">
        <v>975</v>
      </c>
    </row>
    <row r="724" spans="8:8" x14ac:dyDescent="0.25">
      <c r="H724" t="s">
        <v>976</v>
      </c>
    </row>
    <row r="725" spans="8:8" x14ac:dyDescent="0.25">
      <c r="H725" t="s">
        <v>977</v>
      </c>
    </row>
    <row r="726" spans="8:8" x14ac:dyDescent="0.25">
      <c r="H726" t="s">
        <v>978</v>
      </c>
    </row>
    <row r="727" spans="8:8" x14ac:dyDescent="0.25">
      <c r="H727" t="s">
        <v>979</v>
      </c>
    </row>
    <row r="728" spans="8:8" x14ac:dyDescent="0.25">
      <c r="H728" t="s">
        <v>980</v>
      </c>
    </row>
    <row r="729" spans="8:8" x14ac:dyDescent="0.25">
      <c r="H729" t="s">
        <v>981</v>
      </c>
    </row>
    <row r="730" spans="8:8" x14ac:dyDescent="0.25">
      <c r="H730" t="s">
        <v>982</v>
      </c>
    </row>
    <row r="731" spans="8:8" x14ac:dyDescent="0.25">
      <c r="H731" t="s">
        <v>983</v>
      </c>
    </row>
    <row r="732" spans="8:8" x14ac:dyDescent="0.25">
      <c r="H732" t="s">
        <v>984</v>
      </c>
    </row>
    <row r="733" spans="8:8" x14ac:dyDescent="0.25">
      <c r="H733" t="s">
        <v>985</v>
      </c>
    </row>
    <row r="734" spans="8:8" x14ac:dyDescent="0.25">
      <c r="H734" t="s">
        <v>986</v>
      </c>
    </row>
    <row r="735" spans="8:8" x14ac:dyDescent="0.25">
      <c r="H735" t="s">
        <v>987</v>
      </c>
    </row>
    <row r="736" spans="8:8" x14ac:dyDescent="0.25">
      <c r="H736" t="s">
        <v>988</v>
      </c>
    </row>
    <row r="737" spans="8:8" x14ac:dyDescent="0.25">
      <c r="H737" t="s">
        <v>989</v>
      </c>
    </row>
    <row r="738" spans="8:8" x14ac:dyDescent="0.25">
      <c r="H738" t="s">
        <v>990</v>
      </c>
    </row>
    <row r="739" spans="8:8" x14ac:dyDescent="0.25">
      <c r="H739" t="s">
        <v>991</v>
      </c>
    </row>
    <row r="740" spans="8:8" x14ac:dyDescent="0.25">
      <c r="H740" t="s">
        <v>992</v>
      </c>
    </row>
    <row r="741" spans="8:8" x14ac:dyDescent="0.25">
      <c r="H741" t="s">
        <v>993</v>
      </c>
    </row>
    <row r="742" spans="8:8" x14ac:dyDescent="0.25">
      <c r="H742" t="s">
        <v>1250</v>
      </c>
    </row>
    <row r="744" spans="8:8" x14ac:dyDescent="0.25">
      <c r="H744" t="s">
        <v>1251</v>
      </c>
    </row>
    <row r="745" spans="8:8" x14ac:dyDescent="0.25">
      <c r="H745" t="s">
        <v>1252</v>
      </c>
    </row>
    <row r="746" spans="8:8" x14ac:dyDescent="0.25">
      <c r="H746" t="s">
        <v>997</v>
      </c>
    </row>
    <row r="747" spans="8:8" x14ac:dyDescent="0.25">
      <c r="H747" t="s">
        <v>998</v>
      </c>
    </row>
    <row r="748" spans="8:8" x14ac:dyDescent="0.25">
      <c r="H748" t="s">
        <v>999</v>
      </c>
    </row>
    <row r="749" spans="8:8" x14ac:dyDescent="0.25">
      <c r="H749" t="s">
        <v>1000</v>
      </c>
    </row>
    <row r="750" spans="8:8" x14ac:dyDescent="0.25">
      <c r="H750" t="s">
        <v>1001</v>
      </c>
    </row>
    <row r="751" spans="8:8" x14ac:dyDescent="0.25">
      <c r="H751" t="s">
        <v>1002</v>
      </c>
    </row>
    <row r="752" spans="8:8" x14ac:dyDescent="0.25">
      <c r="H752" t="s">
        <v>1003</v>
      </c>
    </row>
    <row r="753" spans="8:8" x14ac:dyDescent="0.25">
      <c r="H753" t="s">
        <v>1004</v>
      </c>
    </row>
    <row r="754" spans="8:8" x14ac:dyDescent="0.25">
      <c r="H754" t="s">
        <v>1253</v>
      </c>
    </row>
    <row r="756" spans="8:8" x14ac:dyDescent="0.25">
      <c r="H756" t="s">
        <v>1254</v>
      </c>
    </row>
    <row r="757" spans="8:8" x14ac:dyDescent="0.25">
      <c r="H757" t="s">
        <v>1255</v>
      </c>
    </row>
    <row r="758" spans="8:8" x14ac:dyDescent="0.25">
      <c r="H758" t="s">
        <v>1256</v>
      </c>
    </row>
    <row r="759" spans="8:8" x14ac:dyDescent="0.25">
      <c r="H759" t="s">
        <v>1257</v>
      </c>
    </row>
    <row r="760" spans="8:8" x14ac:dyDescent="0.25">
      <c r="H760" t="s">
        <v>1258</v>
      </c>
    </row>
    <row r="761" spans="8:8" x14ac:dyDescent="0.25">
      <c r="H761" t="s">
        <v>1259</v>
      </c>
    </row>
    <row r="762" spans="8:8" x14ac:dyDescent="0.25">
      <c r="H762" t="s">
        <v>1260</v>
      </c>
    </row>
    <row r="763" spans="8:8" x14ac:dyDescent="0.25">
      <c r="H763" t="s">
        <v>1261</v>
      </c>
    </row>
    <row r="764" spans="8:8" x14ac:dyDescent="0.25">
      <c r="H764" t="s">
        <v>1262</v>
      </c>
    </row>
    <row r="765" spans="8:8" x14ac:dyDescent="0.25">
      <c r="H765" t="s">
        <v>1263</v>
      </c>
    </row>
    <row r="766" spans="8:8" x14ac:dyDescent="0.25">
      <c r="H766" t="s">
        <v>1264</v>
      </c>
    </row>
    <row r="767" spans="8:8" x14ac:dyDescent="0.25">
      <c r="H767" t="s">
        <v>1265</v>
      </c>
    </row>
    <row r="768" spans="8:8" x14ac:dyDescent="0.25">
      <c r="H768" t="s">
        <v>1266</v>
      </c>
    </row>
    <row r="769" spans="8:8" x14ac:dyDescent="0.25">
      <c r="H769" t="s">
        <v>898</v>
      </c>
    </row>
    <row r="770" spans="8:8" x14ac:dyDescent="0.25">
      <c r="H770" t="s">
        <v>897</v>
      </c>
    </row>
    <row r="771" spans="8:8" x14ac:dyDescent="0.25">
      <c r="H771" t="s">
        <v>1267</v>
      </c>
    </row>
    <row r="772" spans="8:8" x14ac:dyDescent="0.25">
      <c r="H772" t="s">
        <v>1268</v>
      </c>
    </row>
    <row r="773" spans="8:8" x14ac:dyDescent="0.25">
      <c r="H773" t="s">
        <v>1269</v>
      </c>
    </row>
    <row r="775" spans="8:8" x14ac:dyDescent="0.25">
      <c r="H775" t="s">
        <v>1270</v>
      </c>
    </row>
    <row r="776" spans="8:8" x14ac:dyDescent="0.25">
      <c r="H776" t="s">
        <v>1271</v>
      </c>
    </row>
    <row r="777" spans="8:8" x14ac:dyDescent="0.25">
      <c r="H777" t="s">
        <v>1272</v>
      </c>
    </row>
    <row r="778" spans="8:8" x14ac:dyDescent="0.25">
      <c r="H778" t="s">
        <v>1273</v>
      </c>
    </row>
    <row r="779" spans="8:8" x14ac:dyDescent="0.25">
      <c r="H779" t="s">
        <v>1274</v>
      </c>
    </row>
    <row r="781" spans="8:8" x14ac:dyDescent="0.25">
      <c r="H781" t="s">
        <v>1275</v>
      </c>
    </row>
    <row r="782" spans="8:8" x14ac:dyDescent="0.25">
      <c r="H782" t="s">
        <v>1276</v>
      </c>
    </row>
    <row r="783" spans="8:8" x14ac:dyDescent="0.25">
      <c r="H783" t="s">
        <v>1277</v>
      </c>
    </row>
    <row r="784" spans="8:8" x14ac:dyDescent="0.25">
      <c r="H784" t="s">
        <v>1278</v>
      </c>
    </row>
    <row r="785" spans="8:8" x14ac:dyDescent="0.25">
      <c r="H785" t="s">
        <v>1279</v>
      </c>
    </row>
    <row r="786" spans="8:8" x14ac:dyDescent="0.25">
      <c r="H786" t="s">
        <v>1280</v>
      </c>
    </row>
    <row r="788" spans="8:8" x14ac:dyDescent="0.25">
      <c r="H788" t="s">
        <v>1281</v>
      </c>
    </row>
    <row r="789" spans="8:8" x14ac:dyDescent="0.25">
      <c r="H789" t="s">
        <v>1282</v>
      </c>
    </row>
    <row r="790" spans="8:8" x14ac:dyDescent="0.25">
      <c r="H790" t="s">
        <v>1283</v>
      </c>
    </row>
    <row r="791" spans="8:8" x14ac:dyDescent="0.25">
      <c r="H791" t="s">
        <v>1284</v>
      </c>
    </row>
    <row r="793" spans="8:8" x14ac:dyDescent="0.25">
      <c r="H793" t="s">
        <v>1285</v>
      </c>
    </row>
    <row r="794" spans="8:8" x14ac:dyDescent="0.25">
      <c r="H794" t="s">
        <v>1286</v>
      </c>
    </row>
    <row r="795" spans="8:8" x14ac:dyDescent="0.25">
      <c r="H795" t="s">
        <v>1287</v>
      </c>
    </row>
    <row r="796" spans="8:8" x14ac:dyDescent="0.25">
      <c r="H796" t="s">
        <v>1288</v>
      </c>
    </row>
    <row r="798" spans="8:8" x14ac:dyDescent="0.25">
      <c r="H798" t="s">
        <v>1289</v>
      </c>
    </row>
    <row r="799" spans="8:8" x14ac:dyDescent="0.25">
      <c r="H799" t="s">
        <v>1290</v>
      </c>
    </row>
    <row r="800" spans="8:8" x14ac:dyDescent="0.25">
      <c r="H800" t="s">
        <v>1291</v>
      </c>
    </row>
    <row r="801" spans="8:8" x14ac:dyDescent="0.25">
      <c r="H801" t="s">
        <v>1292</v>
      </c>
    </row>
    <row r="802" spans="8:8" x14ac:dyDescent="0.25">
      <c r="H802" t="s">
        <v>1293</v>
      </c>
    </row>
    <row r="804" spans="8:8" x14ac:dyDescent="0.25">
      <c r="H804" t="s">
        <v>105</v>
      </c>
    </row>
    <row r="806" spans="8:8" x14ac:dyDescent="0.25">
      <c r="H806" t="s">
        <v>106</v>
      </c>
    </row>
    <row r="807" spans="8:8" x14ac:dyDescent="0.25">
      <c r="H807" t="s">
        <v>133</v>
      </c>
    </row>
    <row r="808" spans="8:8" x14ac:dyDescent="0.25">
      <c r="H808" t="s">
        <v>1294</v>
      </c>
    </row>
    <row r="809" spans="8:8" x14ac:dyDescent="0.25">
      <c r="H809" t="s">
        <v>1295</v>
      </c>
    </row>
    <row r="810" spans="8:8" x14ac:dyDescent="0.25">
      <c r="H810" t="s">
        <v>1296</v>
      </c>
    </row>
    <row r="811" spans="8:8" x14ac:dyDescent="0.25">
      <c r="H811" t="s">
        <v>1297</v>
      </c>
    </row>
    <row r="812" spans="8:8" x14ac:dyDescent="0.25">
      <c r="H812" t="s">
        <v>1298</v>
      </c>
    </row>
    <row r="813" spans="8:8" x14ac:dyDescent="0.25">
      <c r="H813" t="s">
        <v>1299</v>
      </c>
    </row>
    <row r="814" spans="8:8" x14ac:dyDescent="0.25">
      <c r="H814" t="s">
        <v>1300</v>
      </c>
    </row>
    <row r="815" spans="8:8" x14ac:dyDescent="0.25">
      <c r="H815" t="s">
        <v>1301</v>
      </c>
    </row>
    <row r="816" spans="8:8" x14ac:dyDescent="0.25">
      <c r="H816" t="s">
        <v>1302</v>
      </c>
    </row>
    <row r="817" spans="8:8" x14ac:dyDescent="0.25">
      <c r="H817" t="s">
        <v>1303</v>
      </c>
    </row>
    <row r="818" spans="8:8" x14ac:dyDescent="0.25">
      <c r="H818" t="s">
        <v>1304</v>
      </c>
    </row>
    <row r="819" spans="8:8" x14ac:dyDescent="0.25">
      <c r="H819" t="s">
        <v>1305</v>
      </c>
    </row>
    <row r="820" spans="8:8" x14ac:dyDescent="0.25">
      <c r="H820" t="s">
        <v>1306</v>
      </c>
    </row>
    <row r="821" spans="8:8" x14ac:dyDescent="0.25">
      <c r="H821" t="s">
        <v>1307</v>
      </c>
    </row>
    <row r="822" spans="8:8" x14ac:dyDescent="0.25">
      <c r="H822" t="s">
        <v>1308</v>
      </c>
    </row>
    <row r="823" spans="8:8" x14ac:dyDescent="0.25">
      <c r="H823" t="s">
        <v>1309</v>
      </c>
    </row>
    <row r="824" spans="8:8" x14ac:dyDescent="0.25">
      <c r="H824" t="s">
        <v>1310</v>
      </c>
    </row>
    <row r="825" spans="8:8" x14ac:dyDescent="0.25">
      <c r="H825" t="s">
        <v>1311</v>
      </c>
    </row>
    <row r="826" spans="8:8" x14ac:dyDescent="0.25">
      <c r="H826" t="s">
        <v>1312</v>
      </c>
    </row>
    <row r="827" spans="8:8" x14ac:dyDescent="0.25">
      <c r="H827" t="s">
        <v>1313</v>
      </c>
    </row>
    <row r="828" spans="8:8" x14ac:dyDescent="0.25">
      <c r="H828" t="s">
        <v>1314</v>
      </c>
    </row>
    <row r="829" spans="8:8" x14ac:dyDescent="0.25">
      <c r="H829" t="s">
        <v>1315</v>
      </c>
    </row>
    <row r="830" spans="8:8" x14ac:dyDescent="0.25">
      <c r="H830" t="s">
        <v>1316</v>
      </c>
    </row>
    <row r="831" spans="8:8" x14ac:dyDescent="0.25">
      <c r="H831" t="s">
        <v>1317</v>
      </c>
    </row>
    <row r="832" spans="8:8" x14ac:dyDescent="0.25">
      <c r="H832" t="s">
        <v>1318</v>
      </c>
    </row>
    <row r="833" spans="8:8" x14ac:dyDescent="0.25">
      <c r="H833" t="s">
        <v>1319</v>
      </c>
    </row>
    <row r="834" spans="8:8" x14ac:dyDescent="0.25">
      <c r="H834" t="s">
        <v>1320</v>
      </c>
    </row>
    <row r="835" spans="8:8" x14ac:dyDescent="0.25">
      <c r="H835" t="s">
        <v>1321</v>
      </c>
    </row>
    <row r="836" spans="8:8" x14ac:dyDescent="0.25">
      <c r="H836" t="s">
        <v>1322</v>
      </c>
    </row>
    <row r="837" spans="8:8" x14ac:dyDescent="0.25">
      <c r="H837" t="s">
        <v>1323</v>
      </c>
    </row>
    <row r="838" spans="8:8" x14ac:dyDescent="0.25">
      <c r="H838" t="s">
        <v>1324</v>
      </c>
    </row>
    <row r="839" spans="8:8" x14ac:dyDescent="0.25">
      <c r="H839" t="s">
        <v>1325</v>
      </c>
    </row>
    <row r="840" spans="8:8" x14ac:dyDescent="0.25">
      <c r="H840" t="s">
        <v>1326</v>
      </c>
    </row>
    <row r="841" spans="8:8" x14ac:dyDescent="0.25">
      <c r="H841" t="s">
        <v>1327</v>
      </c>
    </row>
    <row r="842" spans="8:8" x14ac:dyDescent="0.25">
      <c r="H842" t="s">
        <v>1328</v>
      </c>
    </row>
    <row r="843" spans="8:8" x14ac:dyDescent="0.25">
      <c r="H843" t="s">
        <v>1329</v>
      </c>
    </row>
    <row r="844" spans="8:8" x14ac:dyDescent="0.25">
      <c r="H844" t="s">
        <v>1330</v>
      </c>
    </row>
    <row r="845" spans="8:8" x14ac:dyDescent="0.25">
      <c r="H845" t="s">
        <v>1331</v>
      </c>
    </row>
    <row r="846" spans="8:8" x14ac:dyDescent="0.25">
      <c r="H846" t="s">
        <v>1332</v>
      </c>
    </row>
    <row r="847" spans="8:8" x14ac:dyDescent="0.25">
      <c r="H847" t="s">
        <v>1333</v>
      </c>
    </row>
    <row r="848" spans="8:8" x14ac:dyDescent="0.25">
      <c r="H848" t="s">
        <v>1334</v>
      </c>
    </row>
    <row r="849" spans="8:8" x14ac:dyDescent="0.25">
      <c r="H849" t="s">
        <v>1335</v>
      </c>
    </row>
    <row r="850" spans="8:8" x14ac:dyDescent="0.25">
      <c r="H850" t="s">
        <v>1336</v>
      </c>
    </row>
    <row r="851" spans="8:8" x14ac:dyDescent="0.25">
      <c r="H851" t="s">
        <v>1337</v>
      </c>
    </row>
    <row r="852" spans="8:8" x14ac:dyDescent="0.25">
      <c r="H852" t="s">
        <v>1338</v>
      </c>
    </row>
    <row r="853" spans="8:8" x14ac:dyDescent="0.25">
      <c r="H853" t="s">
        <v>1339</v>
      </c>
    </row>
    <row r="854" spans="8:8" x14ac:dyDescent="0.25">
      <c r="H854" t="s">
        <v>1340</v>
      </c>
    </row>
    <row r="855" spans="8:8" x14ac:dyDescent="0.25">
      <c r="H855" t="s">
        <v>1341</v>
      </c>
    </row>
    <row r="856" spans="8:8" x14ac:dyDescent="0.25">
      <c r="H856" t="s">
        <v>1342</v>
      </c>
    </row>
    <row r="857" spans="8:8" x14ac:dyDescent="0.25">
      <c r="H857" t="s">
        <v>1343</v>
      </c>
    </row>
    <row r="858" spans="8:8" x14ac:dyDescent="0.25">
      <c r="H858" t="s">
        <v>1344</v>
      </c>
    </row>
    <row r="859" spans="8:8" x14ac:dyDescent="0.25">
      <c r="H859" t="s">
        <v>1345</v>
      </c>
    </row>
    <row r="860" spans="8:8" x14ac:dyDescent="0.25">
      <c r="H860" t="s">
        <v>1346</v>
      </c>
    </row>
    <row r="861" spans="8:8" x14ac:dyDescent="0.25">
      <c r="H861" t="s">
        <v>1347</v>
      </c>
    </row>
    <row r="862" spans="8:8" x14ac:dyDescent="0.25">
      <c r="H862" t="s">
        <v>1348</v>
      </c>
    </row>
    <row r="863" spans="8:8" x14ac:dyDescent="0.25">
      <c r="H863" t="s">
        <v>1349</v>
      </c>
    </row>
    <row r="864" spans="8:8" x14ac:dyDescent="0.25">
      <c r="H864" t="s">
        <v>1350</v>
      </c>
    </row>
    <row r="865" spans="8:8" x14ac:dyDescent="0.25">
      <c r="H865" t="s">
        <v>1351</v>
      </c>
    </row>
    <row r="866" spans="8:8" x14ac:dyDescent="0.25">
      <c r="H866" t="s">
        <v>1352</v>
      </c>
    </row>
    <row r="867" spans="8:8" x14ac:dyDescent="0.25">
      <c r="H867" t="s">
        <v>1353</v>
      </c>
    </row>
    <row r="868" spans="8:8" x14ac:dyDescent="0.25">
      <c r="H868" t="s">
        <v>1354</v>
      </c>
    </row>
    <row r="869" spans="8:8" x14ac:dyDescent="0.25">
      <c r="H869" t="s">
        <v>1355</v>
      </c>
    </row>
    <row r="870" spans="8:8" x14ac:dyDescent="0.25">
      <c r="H870" t="s">
        <v>1356</v>
      </c>
    </row>
    <row r="871" spans="8:8" x14ac:dyDescent="0.25">
      <c r="H871" t="s">
        <v>1357</v>
      </c>
    </row>
    <row r="872" spans="8:8" x14ac:dyDescent="0.25">
      <c r="H872" t="s">
        <v>1358</v>
      </c>
    </row>
    <row r="873" spans="8:8" x14ac:dyDescent="0.25">
      <c r="H873" t="s">
        <v>1359</v>
      </c>
    </row>
    <row r="874" spans="8:8" x14ac:dyDescent="0.25">
      <c r="H874" t="s">
        <v>1360</v>
      </c>
    </row>
    <row r="875" spans="8:8" x14ac:dyDescent="0.25">
      <c r="H875" t="s">
        <v>134</v>
      </c>
    </row>
    <row r="876" spans="8:8" x14ac:dyDescent="0.25">
      <c r="H876" t="s">
        <v>144</v>
      </c>
    </row>
    <row r="877" spans="8:8" x14ac:dyDescent="0.25">
      <c r="H877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1361</v>
      </c>
    </row>
    <row r="8" spans="2:8" x14ac:dyDescent="0.25">
      <c r="B8" s="1" t="s">
        <v>19</v>
      </c>
      <c r="H8" t="s">
        <v>1362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1363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1364</v>
      </c>
    </row>
    <row r="14" spans="2:8" x14ac:dyDescent="0.25">
      <c r="B14" s="1" t="s">
        <v>13</v>
      </c>
      <c r="H14" t="s">
        <v>1365</v>
      </c>
    </row>
    <row r="15" spans="2:8" x14ac:dyDescent="0.25">
      <c r="B15" t="s">
        <v>15</v>
      </c>
      <c r="H15" t="s">
        <v>135</v>
      </c>
    </row>
    <row r="16" spans="2:8" x14ac:dyDescent="0.25">
      <c r="H16" t="s">
        <v>1366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1367</v>
      </c>
    </row>
    <row r="20" spans="2:8" x14ac:dyDescent="0.25">
      <c r="B20" s="1" t="s">
        <v>21</v>
      </c>
      <c r="H20" t="s">
        <v>1368</v>
      </c>
    </row>
    <row r="21" spans="2:8" x14ac:dyDescent="0.25">
      <c r="B21" t="s">
        <v>128</v>
      </c>
      <c r="H21" t="s">
        <v>135</v>
      </c>
    </row>
    <row r="22" spans="2:8" x14ac:dyDescent="0.25">
      <c r="H22" t="s">
        <v>1369</v>
      </c>
    </row>
    <row r="23" spans="2:8" x14ac:dyDescent="0.25">
      <c r="H23" t="s">
        <v>30</v>
      </c>
    </row>
    <row r="25" spans="2:8" x14ac:dyDescent="0.25">
      <c r="H25" t="s">
        <v>1370</v>
      </c>
    </row>
    <row r="26" spans="2:8" x14ac:dyDescent="0.25">
      <c r="H26" t="s">
        <v>1371</v>
      </c>
    </row>
    <row r="27" spans="2:8" x14ac:dyDescent="0.25">
      <c r="H27" t="s">
        <v>135</v>
      </c>
    </row>
    <row r="28" spans="2:8" x14ac:dyDescent="0.25">
      <c r="H28" t="s">
        <v>1372</v>
      </c>
    </row>
    <row r="29" spans="2:8" x14ac:dyDescent="0.25">
      <c r="H29" t="s">
        <v>30</v>
      </c>
    </row>
    <row r="31" spans="2:8" x14ac:dyDescent="0.25">
      <c r="H31" t="s">
        <v>1373</v>
      </c>
    </row>
    <row r="32" spans="2:8" x14ac:dyDescent="0.25">
      <c r="H32" t="s">
        <v>1374</v>
      </c>
    </row>
    <row r="33" spans="8:8" x14ac:dyDescent="0.25">
      <c r="H33" t="s">
        <v>135</v>
      </c>
    </row>
    <row r="34" spans="8:8" x14ac:dyDescent="0.25">
      <c r="H34" t="s">
        <v>1375</v>
      </c>
    </row>
    <row r="35" spans="8:8" x14ac:dyDescent="0.25">
      <c r="H35" t="s">
        <v>30</v>
      </c>
    </row>
    <row r="37" spans="8:8" x14ac:dyDescent="0.25">
      <c r="H37" t="s">
        <v>1376</v>
      </c>
    </row>
    <row r="38" spans="8:8" x14ac:dyDescent="0.25">
      <c r="H38" t="s">
        <v>1377</v>
      </c>
    </row>
    <row r="39" spans="8:8" x14ac:dyDescent="0.25">
      <c r="H39" t="s">
        <v>135</v>
      </c>
    </row>
    <row r="40" spans="8:8" x14ac:dyDescent="0.25">
      <c r="H40" t="s">
        <v>1378</v>
      </c>
    </row>
    <row r="41" spans="8:8" x14ac:dyDescent="0.25">
      <c r="H41" t="s">
        <v>30</v>
      </c>
    </row>
    <row r="43" spans="8:8" x14ac:dyDescent="0.25">
      <c r="H43" t="s">
        <v>1379</v>
      </c>
    </row>
    <row r="44" spans="8:8" x14ac:dyDescent="0.25">
      <c r="H44" t="s">
        <v>1380</v>
      </c>
    </row>
    <row r="45" spans="8:8" x14ac:dyDescent="0.25">
      <c r="H45" t="s">
        <v>135</v>
      </c>
    </row>
    <row r="46" spans="8:8" x14ac:dyDescent="0.25">
      <c r="H46" t="s">
        <v>1381</v>
      </c>
    </row>
    <row r="47" spans="8:8" x14ac:dyDescent="0.25">
      <c r="H47" t="s">
        <v>30</v>
      </c>
    </row>
    <row r="49" spans="8:8" x14ac:dyDescent="0.25">
      <c r="H49" t="s">
        <v>1382</v>
      </c>
    </row>
    <row r="50" spans="8:8" x14ac:dyDescent="0.25">
      <c r="H50" t="s">
        <v>1383</v>
      </c>
    </row>
    <row r="51" spans="8:8" x14ac:dyDescent="0.25">
      <c r="H51" t="s">
        <v>135</v>
      </c>
    </row>
    <row r="52" spans="8:8" x14ac:dyDescent="0.25">
      <c r="H52" t="s">
        <v>1384</v>
      </c>
    </row>
    <row r="53" spans="8:8" x14ac:dyDescent="0.25">
      <c r="H53" t="s">
        <v>30</v>
      </c>
    </row>
    <row r="55" spans="8:8" x14ac:dyDescent="0.25">
      <c r="H55" t="s">
        <v>1385</v>
      </c>
    </row>
    <row r="56" spans="8:8" x14ac:dyDescent="0.25">
      <c r="H56" t="s">
        <v>1386</v>
      </c>
    </row>
    <row r="57" spans="8:8" x14ac:dyDescent="0.25">
      <c r="H57" t="s">
        <v>135</v>
      </c>
    </row>
    <row r="58" spans="8:8" x14ac:dyDescent="0.25">
      <c r="H58" t="s">
        <v>1387</v>
      </c>
    </row>
    <row r="59" spans="8:8" x14ac:dyDescent="0.25">
      <c r="H59" t="s">
        <v>30</v>
      </c>
    </row>
    <row r="61" spans="8:8" x14ac:dyDescent="0.25">
      <c r="H61" t="s">
        <v>1388</v>
      </c>
    </row>
    <row r="62" spans="8:8" x14ac:dyDescent="0.25">
      <c r="H62" t="s">
        <v>1389</v>
      </c>
    </row>
    <row r="63" spans="8:8" x14ac:dyDescent="0.25">
      <c r="H63" t="s">
        <v>135</v>
      </c>
    </row>
    <row r="64" spans="8:8" x14ac:dyDescent="0.25">
      <c r="H64" t="s">
        <v>1390</v>
      </c>
    </row>
    <row r="65" spans="8:8" x14ac:dyDescent="0.25">
      <c r="H65" t="s">
        <v>30</v>
      </c>
    </row>
    <row r="66" spans="8:8" x14ac:dyDescent="0.25">
      <c r="H66" t="s">
        <v>136</v>
      </c>
    </row>
    <row r="67" spans="8:8" x14ac:dyDescent="0.25">
      <c r="H67" t="s">
        <v>1391</v>
      </c>
    </row>
    <row r="68" spans="8:8" x14ac:dyDescent="0.25">
      <c r="H68" t="s">
        <v>30</v>
      </c>
    </row>
    <row r="69" spans="8:8" x14ac:dyDescent="0.25">
      <c r="H69" t="s">
        <v>1392</v>
      </c>
    </row>
    <row r="70" spans="8:8" x14ac:dyDescent="0.25">
      <c r="H70" t="s">
        <v>137</v>
      </c>
    </row>
    <row r="71" spans="8:8" x14ac:dyDescent="0.25">
      <c r="H71" t="s">
        <v>1393</v>
      </c>
    </row>
    <row r="72" spans="8:8" x14ac:dyDescent="0.25">
      <c r="H72" t="s">
        <v>30</v>
      </c>
    </row>
    <row r="74" spans="8:8" x14ac:dyDescent="0.25">
      <c r="H74" t="s">
        <v>1394</v>
      </c>
    </row>
    <row r="75" spans="8:8" x14ac:dyDescent="0.25">
      <c r="H75" t="s">
        <v>1395</v>
      </c>
    </row>
    <row r="76" spans="8:8" x14ac:dyDescent="0.25">
      <c r="H76" t="s">
        <v>135</v>
      </c>
    </row>
    <row r="77" spans="8:8" x14ac:dyDescent="0.25">
      <c r="H77" t="s">
        <v>4901</v>
      </c>
    </row>
    <row r="78" spans="8:8" x14ac:dyDescent="0.25">
      <c r="H78" t="s">
        <v>30</v>
      </c>
    </row>
    <row r="80" spans="8:8" x14ac:dyDescent="0.25">
      <c r="H80" t="s">
        <v>1396</v>
      </c>
    </row>
    <row r="81" spans="8:8" x14ac:dyDescent="0.25">
      <c r="H81" t="s">
        <v>1397</v>
      </c>
    </row>
    <row r="82" spans="8:8" x14ac:dyDescent="0.25">
      <c r="H82" t="s">
        <v>135</v>
      </c>
    </row>
    <row r="83" spans="8:8" x14ac:dyDescent="0.25">
      <c r="H83" t="s">
        <v>1398</v>
      </c>
    </row>
    <row r="84" spans="8:8" x14ac:dyDescent="0.25">
      <c r="H84" t="s">
        <v>30</v>
      </c>
    </row>
    <row r="86" spans="8:8" x14ac:dyDescent="0.25">
      <c r="H86" t="s">
        <v>1399</v>
      </c>
    </row>
    <row r="87" spans="8:8" x14ac:dyDescent="0.25">
      <c r="H87" t="s">
        <v>1400</v>
      </c>
    </row>
    <row r="88" spans="8:8" x14ac:dyDescent="0.25">
      <c r="H88" t="s">
        <v>135</v>
      </c>
    </row>
    <row r="89" spans="8:8" x14ac:dyDescent="0.25">
      <c r="H89" t="s">
        <v>1401</v>
      </c>
    </row>
    <row r="90" spans="8:8" x14ac:dyDescent="0.25">
      <c r="H90" t="s">
        <v>30</v>
      </c>
    </row>
    <row r="92" spans="8:8" x14ac:dyDescent="0.25">
      <c r="H92" t="s">
        <v>1402</v>
      </c>
    </row>
    <row r="93" spans="8:8" x14ac:dyDescent="0.25">
      <c r="H93" t="s">
        <v>1403</v>
      </c>
    </row>
    <row r="94" spans="8:8" x14ac:dyDescent="0.25">
      <c r="H94" t="s">
        <v>135</v>
      </c>
    </row>
    <row r="95" spans="8:8" x14ac:dyDescent="0.25">
      <c r="H95" t="s">
        <v>1404</v>
      </c>
    </row>
    <row r="96" spans="8:8" x14ac:dyDescent="0.25">
      <c r="H96" t="s">
        <v>30</v>
      </c>
    </row>
    <row r="98" spans="8:8" x14ac:dyDescent="0.25">
      <c r="H98" t="s">
        <v>1405</v>
      </c>
    </row>
    <row r="99" spans="8:8" x14ac:dyDescent="0.25">
      <c r="H99" t="s">
        <v>1406</v>
      </c>
    </row>
    <row r="100" spans="8:8" x14ac:dyDescent="0.25">
      <c r="H100" t="s">
        <v>135</v>
      </c>
    </row>
    <row r="101" spans="8:8" x14ac:dyDescent="0.25">
      <c r="H101" t="s">
        <v>1407</v>
      </c>
    </row>
    <row r="102" spans="8:8" x14ac:dyDescent="0.25">
      <c r="H102" t="s">
        <v>30</v>
      </c>
    </row>
    <row r="104" spans="8:8" x14ac:dyDescent="0.25">
      <c r="H104" t="s">
        <v>1408</v>
      </c>
    </row>
    <row r="105" spans="8:8" x14ac:dyDescent="0.25">
      <c r="H105" t="s">
        <v>1409</v>
      </c>
    </row>
    <row r="106" spans="8:8" x14ac:dyDescent="0.25">
      <c r="H106" t="s">
        <v>135</v>
      </c>
    </row>
    <row r="107" spans="8:8" x14ac:dyDescent="0.25">
      <c r="H107" t="s">
        <v>1410</v>
      </c>
    </row>
    <row r="108" spans="8:8" x14ac:dyDescent="0.25">
      <c r="H108" t="s">
        <v>30</v>
      </c>
    </row>
    <row r="110" spans="8:8" x14ac:dyDescent="0.25">
      <c r="H110" t="s">
        <v>1411</v>
      </c>
    </row>
    <row r="111" spans="8:8" x14ac:dyDescent="0.25">
      <c r="H111" t="s">
        <v>1412</v>
      </c>
    </row>
    <row r="112" spans="8:8" x14ac:dyDescent="0.25">
      <c r="H112" t="s">
        <v>135</v>
      </c>
    </row>
    <row r="113" spans="8:8" x14ac:dyDescent="0.25">
      <c r="H113" t="s">
        <v>1413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1414</v>
      </c>
    </row>
    <row r="117" spans="8:8" x14ac:dyDescent="0.25">
      <c r="H117" t="s">
        <v>30</v>
      </c>
    </row>
    <row r="119" spans="8:8" x14ac:dyDescent="0.25">
      <c r="H119" t="s">
        <v>1415</v>
      </c>
    </row>
    <row r="120" spans="8:8" x14ac:dyDescent="0.25">
      <c r="H120" t="s">
        <v>1416</v>
      </c>
    </row>
    <row r="121" spans="8:8" x14ac:dyDescent="0.25">
      <c r="H121" t="s">
        <v>135</v>
      </c>
    </row>
    <row r="122" spans="8:8" x14ac:dyDescent="0.25">
      <c r="H122" t="s">
        <v>1417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1418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1419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1420</v>
      </c>
    </row>
    <row r="132" spans="8:8" x14ac:dyDescent="0.25">
      <c r="H132" t="s">
        <v>30</v>
      </c>
    </row>
    <row r="134" spans="8:8" x14ac:dyDescent="0.25">
      <c r="H134" t="s">
        <v>1421</v>
      </c>
    </row>
    <row r="135" spans="8:8" x14ac:dyDescent="0.25">
      <c r="H135" t="s">
        <v>1422</v>
      </c>
    </row>
    <row r="136" spans="8:8" x14ac:dyDescent="0.25">
      <c r="H136" t="s">
        <v>135</v>
      </c>
    </row>
    <row r="137" spans="8:8" x14ac:dyDescent="0.25">
      <c r="H137" t="s">
        <v>1423</v>
      </c>
    </row>
    <row r="138" spans="8:8" x14ac:dyDescent="0.25">
      <c r="H138" t="s">
        <v>30</v>
      </c>
    </row>
    <row r="140" spans="8:8" x14ac:dyDescent="0.25">
      <c r="H140" t="s">
        <v>1424</v>
      </c>
    </row>
    <row r="141" spans="8:8" x14ac:dyDescent="0.25">
      <c r="H141" t="s">
        <v>1425</v>
      </c>
    </row>
    <row r="142" spans="8:8" x14ac:dyDescent="0.25">
      <c r="H142" t="s">
        <v>135</v>
      </c>
    </row>
    <row r="143" spans="8:8" x14ac:dyDescent="0.25">
      <c r="H143" t="s">
        <v>1426</v>
      </c>
    </row>
    <row r="144" spans="8:8" x14ac:dyDescent="0.25">
      <c r="H144" t="s">
        <v>30</v>
      </c>
    </row>
    <row r="146" spans="8:8" x14ac:dyDescent="0.25">
      <c r="H146" t="s">
        <v>1427</v>
      </c>
    </row>
    <row r="147" spans="8:8" x14ac:dyDescent="0.25">
      <c r="H147" t="s">
        <v>1428</v>
      </c>
    </row>
    <row r="148" spans="8:8" x14ac:dyDescent="0.25">
      <c r="H148" t="s">
        <v>135</v>
      </c>
    </row>
    <row r="149" spans="8:8" x14ac:dyDescent="0.25">
      <c r="H149" t="s">
        <v>1429</v>
      </c>
    </row>
    <row r="150" spans="8:8" x14ac:dyDescent="0.25">
      <c r="H150" t="s">
        <v>30</v>
      </c>
    </row>
    <row r="152" spans="8:8" x14ac:dyDescent="0.25">
      <c r="H152" t="s">
        <v>1430</v>
      </c>
    </row>
    <row r="153" spans="8:8" x14ac:dyDescent="0.25">
      <c r="H153" t="s">
        <v>1431</v>
      </c>
    </row>
    <row r="154" spans="8:8" x14ac:dyDescent="0.25">
      <c r="H154" t="s">
        <v>135</v>
      </c>
    </row>
    <row r="155" spans="8:8" x14ac:dyDescent="0.25">
      <c r="H155" t="s">
        <v>1432</v>
      </c>
    </row>
    <row r="156" spans="8:8" x14ac:dyDescent="0.25">
      <c r="H156" t="s">
        <v>30</v>
      </c>
    </row>
    <row r="158" spans="8:8" x14ac:dyDescent="0.25">
      <c r="H158" t="s">
        <v>1433</v>
      </c>
    </row>
    <row r="159" spans="8:8" x14ac:dyDescent="0.25">
      <c r="H159" t="s">
        <v>1434</v>
      </c>
    </row>
    <row r="160" spans="8:8" x14ac:dyDescent="0.25">
      <c r="H160" t="s">
        <v>135</v>
      </c>
    </row>
    <row r="161" spans="8:8" x14ac:dyDescent="0.25">
      <c r="H161" t="s">
        <v>1435</v>
      </c>
    </row>
    <row r="162" spans="8:8" x14ac:dyDescent="0.25">
      <c r="H162" t="s">
        <v>30</v>
      </c>
    </row>
    <row r="164" spans="8:8" x14ac:dyDescent="0.25">
      <c r="H164" t="s">
        <v>1436</v>
      </c>
    </row>
    <row r="165" spans="8:8" x14ac:dyDescent="0.25">
      <c r="H165" t="s">
        <v>1437</v>
      </c>
    </row>
    <row r="166" spans="8:8" x14ac:dyDescent="0.25">
      <c r="H166" t="s">
        <v>135</v>
      </c>
    </row>
    <row r="167" spans="8:8" x14ac:dyDescent="0.25">
      <c r="H167" t="s">
        <v>1438</v>
      </c>
    </row>
    <row r="168" spans="8:8" x14ac:dyDescent="0.25">
      <c r="H168" t="s">
        <v>30</v>
      </c>
    </row>
    <row r="170" spans="8:8" x14ac:dyDescent="0.25">
      <c r="H170" t="s">
        <v>1439</v>
      </c>
    </row>
    <row r="171" spans="8:8" x14ac:dyDescent="0.25">
      <c r="H171" t="s">
        <v>1440</v>
      </c>
    </row>
    <row r="172" spans="8:8" x14ac:dyDescent="0.25">
      <c r="H172" t="s">
        <v>135</v>
      </c>
    </row>
    <row r="173" spans="8:8" x14ac:dyDescent="0.25">
      <c r="H173" t="s">
        <v>1441</v>
      </c>
    </row>
    <row r="174" spans="8:8" x14ac:dyDescent="0.25">
      <c r="H174" t="s">
        <v>30</v>
      </c>
    </row>
    <row r="176" spans="8:8" x14ac:dyDescent="0.25">
      <c r="H176" t="s">
        <v>1442</v>
      </c>
    </row>
    <row r="177" spans="8:8" x14ac:dyDescent="0.25">
      <c r="H177" t="s">
        <v>1443</v>
      </c>
    </row>
    <row r="178" spans="8:8" x14ac:dyDescent="0.25">
      <c r="H178" t="s">
        <v>135</v>
      </c>
    </row>
    <row r="179" spans="8:8" x14ac:dyDescent="0.25">
      <c r="H179" t="s">
        <v>1444</v>
      </c>
    </row>
    <row r="180" spans="8:8" x14ac:dyDescent="0.25">
      <c r="H180" t="s">
        <v>30</v>
      </c>
    </row>
    <row r="182" spans="8:8" x14ac:dyDescent="0.25">
      <c r="H182" t="s">
        <v>1445</v>
      </c>
    </row>
    <row r="183" spans="8:8" x14ac:dyDescent="0.25">
      <c r="H183" t="s">
        <v>1446</v>
      </c>
    </row>
    <row r="184" spans="8:8" x14ac:dyDescent="0.25">
      <c r="H184" t="s">
        <v>135</v>
      </c>
    </row>
    <row r="185" spans="8:8" x14ac:dyDescent="0.25">
      <c r="H185" t="s">
        <v>1447</v>
      </c>
    </row>
    <row r="186" spans="8:8" x14ac:dyDescent="0.25">
      <c r="H186" t="s">
        <v>30</v>
      </c>
    </row>
    <row r="188" spans="8:8" x14ac:dyDescent="0.25">
      <c r="H188" t="s">
        <v>1448</v>
      </c>
    </row>
    <row r="189" spans="8:8" x14ac:dyDescent="0.25">
      <c r="H189" t="s">
        <v>1449</v>
      </c>
    </row>
    <row r="190" spans="8:8" x14ac:dyDescent="0.25">
      <c r="H190" t="s">
        <v>135</v>
      </c>
    </row>
    <row r="191" spans="8:8" x14ac:dyDescent="0.25">
      <c r="H191" t="s">
        <v>1450</v>
      </c>
    </row>
    <row r="192" spans="8:8" x14ac:dyDescent="0.25">
      <c r="H192" t="s">
        <v>30</v>
      </c>
    </row>
    <row r="194" spans="8:8" x14ac:dyDescent="0.25">
      <c r="H194" t="s">
        <v>1451</v>
      </c>
    </row>
    <row r="195" spans="8:8" x14ac:dyDescent="0.25">
      <c r="H195" t="s">
        <v>1452</v>
      </c>
    </row>
    <row r="196" spans="8:8" x14ac:dyDescent="0.25">
      <c r="H196" t="s">
        <v>135</v>
      </c>
    </row>
    <row r="197" spans="8:8" x14ac:dyDescent="0.25">
      <c r="H197" t="s">
        <v>1453</v>
      </c>
    </row>
    <row r="198" spans="8:8" x14ac:dyDescent="0.25">
      <c r="H198" t="s">
        <v>30</v>
      </c>
    </row>
    <row r="200" spans="8:8" x14ac:dyDescent="0.25">
      <c r="H200" t="s">
        <v>1454</v>
      </c>
    </row>
    <row r="201" spans="8:8" x14ac:dyDescent="0.25">
      <c r="H201" t="s">
        <v>1455</v>
      </c>
    </row>
    <row r="202" spans="8:8" x14ac:dyDescent="0.25">
      <c r="H202" t="s">
        <v>135</v>
      </c>
    </row>
    <row r="203" spans="8:8" x14ac:dyDescent="0.25">
      <c r="H203" t="s">
        <v>1456</v>
      </c>
    </row>
    <row r="204" spans="8:8" x14ac:dyDescent="0.25">
      <c r="H204" t="s">
        <v>30</v>
      </c>
    </row>
    <row r="206" spans="8:8" x14ac:dyDescent="0.25">
      <c r="H206" t="s">
        <v>1457</v>
      </c>
    </row>
    <row r="207" spans="8:8" x14ac:dyDescent="0.25">
      <c r="H207" t="s">
        <v>1458</v>
      </c>
    </row>
    <row r="208" spans="8:8" x14ac:dyDescent="0.25">
      <c r="H208" t="s">
        <v>135</v>
      </c>
    </row>
    <row r="209" spans="8:8" x14ac:dyDescent="0.25">
      <c r="H209" t="s">
        <v>1459</v>
      </c>
    </row>
    <row r="210" spans="8:8" x14ac:dyDescent="0.25">
      <c r="H210" t="s">
        <v>30</v>
      </c>
    </row>
    <row r="212" spans="8:8" x14ac:dyDescent="0.25">
      <c r="H212" t="s">
        <v>1460</v>
      </c>
    </row>
    <row r="213" spans="8:8" x14ac:dyDescent="0.25">
      <c r="H213" t="s">
        <v>1461</v>
      </c>
    </row>
    <row r="214" spans="8:8" x14ac:dyDescent="0.25">
      <c r="H214" t="s">
        <v>135</v>
      </c>
    </row>
    <row r="215" spans="8:8" x14ac:dyDescent="0.25">
      <c r="H215" t="s">
        <v>1462</v>
      </c>
    </row>
    <row r="216" spans="8:8" x14ac:dyDescent="0.25">
      <c r="H216" t="s">
        <v>30</v>
      </c>
    </row>
    <row r="218" spans="8:8" x14ac:dyDescent="0.25">
      <c r="H218" t="s">
        <v>1463</v>
      </c>
    </row>
    <row r="219" spans="8:8" x14ac:dyDescent="0.25">
      <c r="H219" t="s">
        <v>1464</v>
      </c>
    </row>
    <row r="220" spans="8:8" x14ac:dyDescent="0.25">
      <c r="H220" t="s">
        <v>135</v>
      </c>
    </row>
    <row r="221" spans="8:8" x14ac:dyDescent="0.25">
      <c r="H221" t="s">
        <v>1465</v>
      </c>
    </row>
    <row r="222" spans="8:8" x14ac:dyDescent="0.25">
      <c r="H222" t="s">
        <v>30</v>
      </c>
    </row>
    <row r="224" spans="8:8" x14ac:dyDescent="0.25">
      <c r="H224" t="s">
        <v>1466</v>
      </c>
    </row>
    <row r="225" spans="8:8" x14ac:dyDescent="0.25">
      <c r="H225" t="s">
        <v>1467</v>
      </c>
    </row>
    <row r="226" spans="8:8" x14ac:dyDescent="0.25">
      <c r="H226" t="s">
        <v>135</v>
      </c>
    </row>
    <row r="227" spans="8:8" x14ac:dyDescent="0.25">
      <c r="H227" t="s">
        <v>1468</v>
      </c>
    </row>
    <row r="228" spans="8:8" x14ac:dyDescent="0.25">
      <c r="H228" t="s">
        <v>30</v>
      </c>
    </row>
    <row r="230" spans="8:8" x14ac:dyDescent="0.25">
      <c r="H230" t="s">
        <v>1469</v>
      </c>
    </row>
    <row r="231" spans="8:8" x14ac:dyDescent="0.25">
      <c r="H231" t="s">
        <v>1470</v>
      </c>
    </row>
    <row r="232" spans="8:8" x14ac:dyDescent="0.25">
      <c r="H232" t="s">
        <v>135</v>
      </c>
    </row>
    <row r="233" spans="8:8" x14ac:dyDescent="0.25">
      <c r="H233" t="s">
        <v>1471</v>
      </c>
    </row>
    <row r="234" spans="8:8" x14ac:dyDescent="0.25">
      <c r="H234" t="s">
        <v>30</v>
      </c>
    </row>
    <row r="236" spans="8:8" x14ac:dyDescent="0.25">
      <c r="H236" t="s">
        <v>1472</v>
      </c>
    </row>
    <row r="237" spans="8:8" x14ac:dyDescent="0.25">
      <c r="H237" t="s">
        <v>1473</v>
      </c>
    </row>
    <row r="238" spans="8:8" x14ac:dyDescent="0.25">
      <c r="H238" t="s">
        <v>135</v>
      </c>
    </row>
    <row r="239" spans="8:8" x14ac:dyDescent="0.25">
      <c r="H239" t="s">
        <v>1474</v>
      </c>
    </row>
    <row r="240" spans="8:8" x14ac:dyDescent="0.25">
      <c r="H240" t="s">
        <v>30</v>
      </c>
    </row>
    <row r="242" spans="8:8" x14ac:dyDescent="0.25">
      <c r="H242" t="s">
        <v>1475</v>
      </c>
    </row>
    <row r="243" spans="8:8" x14ac:dyDescent="0.25">
      <c r="H243" t="s">
        <v>1476</v>
      </c>
    </row>
    <row r="244" spans="8:8" x14ac:dyDescent="0.25">
      <c r="H244" t="s">
        <v>135</v>
      </c>
    </row>
    <row r="245" spans="8:8" x14ac:dyDescent="0.25">
      <c r="H245" t="s">
        <v>1477</v>
      </c>
    </row>
    <row r="246" spans="8:8" x14ac:dyDescent="0.25">
      <c r="H246" t="s">
        <v>30</v>
      </c>
    </row>
    <row r="248" spans="8:8" x14ac:dyDescent="0.25">
      <c r="H248" t="s">
        <v>1478</v>
      </c>
    </row>
    <row r="249" spans="8:8" x14ac:dyDescent="0.25">
      <c r="H249" t="s">
        <v>1479</v>
      </c>
    </row>
    <row r="250" spans="8:8" x14ac:dyDescent="0.25">
      <c r="H250" t="s">
        <v>135</v>
      </c>
    </row>
    <row r="251" spans="8:8" x14ac:dyDescent="0.25">
      <c r="H251" t="s">
        <v>1480</v>
      </c>
    </row>
    <row r="252" spans="8:8" x14ac:dyDescent="0.25">
      <c r="H252" t="s">
        <v>30</v>
      </c>
    </row>
    <row r="254" spans="8:8" x14ac:dyDescent="0.25">
      <c r="H254" t="s">
        <v>1481</v>
      </c>
    </row>
    <row r="255" spans="8:8" x14ac:dyDescent="0.25">
      <c r="H255" t="s">
        <v>1482</v>
      </c>
    </row>
    <row r="256" spans="8:8" x14ac:dyDescent="0.25">
      <c r="H256" t="s">
        <v>135</v>
      </c>
    </row>
    <row r="257" spans="8:8" x14ac:dyDescent="0.25">
      <c r="H257" t="s">
        <v>1483</v>
      </c>
    </row>
    <row r="258" spans="8:8" x14ac:dyDescent="0.25">
      <c r="H258" t="s">
        <v>30</v>
      </c>
    </row>
    <row r="260" spans="8:8" x14ac:dyDescent="0.25">
      <c r="H260" t="s">
        <v>1484</v>
      </c>
    </row>
    <row r="261" spans="8:8" x14ac:dyDescent="0.25">
      <c r="H261" t="s">
        <v>1485</v>
      </c>
    </row>
    <row r="262" spans="8:8" x14ac:dyDescent="0.25">
      <c r="H262" t="s">
        <v>135</v>
      </c>
    </row>
    <row r="263" spans="8:8" x14ac:dyDescent="0.25">
      <c r="H263" t="s">
        <v>1486</v>
      </c>
    </row>
    <row r="264" spans="8:8" x14ac:dyDescent="0.25">
      <c r="H264" t="s">
        <v>30</v>
      </c>
    </row>
    <row r="266" spans="8:8" x14ac:dyDescent="0.25">
      <c r="H266" t="s">
        <v>1487</v>
      </c>
    </row>
    <row r="267" spans="8:8" x14ac:dyDescent="0.25">
      <c r="H267" t="s">
        <v>1488</v>
      </c>
    </row>
    <row r="268" spans="8:8" x14ac:dyDescent="0.25">
      <c r="H268" t="s">
        <v>135</v>
      </c>
    </row>
    <row r="269" spans="8:8" x14ac:dyDescent="0.25">
      <c r="H269" t="s">
        <v>1489</v>
      </c>
    </row>
    <row r="270" spans="8:8" x14ac:dyDescent="0.25">
      <c r="H270" t="s">
        <v>30</v>
      </c>
    </row>
    <row r="272" spans="8:8" x14ac:dyDescent="0.25">
      <c r="H272" t="s">
        <v>1490</v>
      </c>
    </row>
    <row r="273" spans="8:8" x14ac:dyDescent="0.25">
      <c r="H273" t="s">
        <v>1491</v>
      </c>
    </row>
    <row r="274" spans="8:8" x14ac:dyDescent="0.25">
      <c r="H274" t="s">
        <v>135</v>
      </c>
    </row>
    <row r="275" spans="8:8" x14ac:dyDescent="0.25">
      <c r="H275" t="s">
        <v>1492</v>
      </c>
    </row>
    <row r="276" spans="8:8" x14ac:dyDescent="0.25">
      <c r="H276" t="s">
        <v>30</v>
      </c>
    </row>
    <row r="277" spans="8:8" x14ac:dyDescent="0.25">
      <c r="H277" t="s">
        <v>1493</v>
      </c>
    </row>
    <row r="278" spans="8:8" x14ac:dyDescent="0.25">
      <c r="H278" t="s">
        <v>136</v>
      </c>
    </row>
    <row r="279" spans="8:8" x14ac:dyDescent="0.25">
      <c r="H279" t="s">
        <v>1494</v>
      </c>
    </row>
    <row r="280" spans="8:8" x14ac:dyDescent="0.25">
      <c r="H280" t="s">
        <v>30</v>
      </c>
    </row>
    <row r="281" spans="8:8" x14ac:dyDescent="0.25">
      <c r="H281" t="s">
        <v>1495</v>
      </c>
    </row>
    <row r="282" spans="8:8" x14ac:dyDescent="0.25">
      <c r="H282" t="s">
        <v>137</v>
      </c>
    </row>
    <row r="283" spans="8:8" x14ac:dyDescent="0.25">
      <c r="H283" t="s">
        <v>1496</v>
      </c>
    </row>
    <row r="284" spans="8:8" x14ac:dyDescent="0.25">
      <c r="H284" t="s">
        <v>30</v>
      </c>
    </row>
    <row r="285" spans="8:8" x14ac:dyDescent="0.25">
      <c r="H285" t="s">
        <v>138</v>
      </c>
    </row>
    <row r="286" spans="8:8" x14ac:dyDescent="0.25">
      <c r="H286" t="s">
        <v>1497</v>
      </c>
    </row>
    <row r="287" spans="8:8" x14ac:dyDescent="0.25">
      <c r="H287" t="s">
        <v>30</v>
      </c>
    </row>
    <row r="289" spans="8:8" x14ac:dyDescent="0.25">
      <c r="H289" t="s">
        <v>1498</v>
      </c>
    </row>
    <row r="290" spans="8:8" x14ac:dyDescent="0.25">
      <c r="H290" t="s">
        <v>1499</v>
      </c>
    </row>
    <row r="291" spans="8:8" x14ac:dyDescent="0.25">
      <c r="H291" t="s">
        <v>135</v>
      </c>
    </row>
    <row r="292" spans="8:8" x14ac:dyDescent="0.25">
      <c r="H292" t="s">
        <v>1500</v>
      </c>
    </row>
    <row r="293" spans="8:8" x14ac:dyDescent="0.25">
      <c r="H293" t="s">
        <v>30</v>
      </c>
    </row>
    <row r="294" spans="8:8" x14ac:dyDescent="0.25">
      <c r="H294" t="s">
        <v>1501</v>
      </c>
    </row>
    <row r="295" spans="8:8" x14ac:dyDescent="0.25">
      <c r="H295" t="s">
        <v>137</v>
      </c>
    </row>
    <row r="296" spans="8:8" x14ac:dyDescent="0.25">
      <c r="H296" t="s">
        <v>1502</v>
      </c>
    </row>
    <row r="297" spans="8:8" x14ac:dyDescent="0.25">
      <c r="H297" t="s">
        <v>30</v>
      </c>
    </row>
    <row r="298" spans="8:8" x14ac:dyDescent="0.25">
      <c r="H298" t="s">
        <v>138</v>
      </c>
    </row>
    <row r="299" spans="8:8" x14ac:dyDescent="0.25">
      <c r="H299" t="s">
        <v>1503</v>
      </c>
    </row>
    <row r="300" spans="8:8" x14ac:dyDescent="0.25">
      <c r="H300" t="s">
        <v>30</v>
      </c>
    </row>
    <row r="302" spans="8:8" x14ac:dyDescent="0.25">
      <c r="H302" t="s">
        <v>1504</v>
      </c>
    </row>
    <row r="303" spans="8:8" x14ac:dyDescent="0.25">
      <c r="H303" t="s">
        <v>1505</v>
      </c>
    </row>
    <row r="304" spans="8:8" x14ac:dyDescent="0.25">
      <c r="H304" t="s">
        <v>135</v>
      </c>
    </row>
    <row r="305" spans="8:8" x14ac:dyDescent="0.25">
      <c r="H305" t="s">
        <v>1506</v>
      </c>
    </row>
    <row r="306" spans="8:8" x14ac:dyDescent="0.25">
      <c r="H306" t="s">
        <v>30</v>
      </c>
    </row>
    <row r="307" spans="8:8" x14ac:dyDescent="0.25">
      <c r="H307" t="s">
        <v>1507</v>
      </c>
    </row>
    <row r="308" spans="8:8" x14ac:dyDescent="0.25">
      <c r="H308" t="s">
        <v>136</v>
      </c>
    </row>
    <row r="309" spans="8:8" x14ac:dyDescent="0.25">
      <c r="H309" t="s">
        <v>1508</v>
      </c>
    </row>
    <row r="310" spans="8:8" x14ac:dyDescent="0.25">
      <c r="H310" t="s">
        <v>30</v>
      </c>
    </row>
    <row r="311" spans="8:8" x14ac:dyDescent="0.25">
      <c r="H311" t="s">
        <v>1509</v>
      </c>
    </row>
    <row r="312" spans="8:8" x14ac:dyDescent="0.25">
      <c r="H312" t="s">
        <v>137</v>
      </c>
    </row>
    <row r="313" spans="8:8" x14ac:dyDescent="0.25">
      <c r="H313" t="s">
        <v>1510</v>
      </c>
    </row>
    <row r="314" spans="8:8" x14ac:dyDescent="0.25">
      <c r="H314" t="s">
        <v>30</v>
      </c>
    </row>
    <row r="315" spans="8:8" x14ac:dyDescent="0.25">
      <c r="H315" t="s">
        <v>1511</v>
      </c>
    </row>
    <row r="316" spans="8:8" x14ac:dyDescent="0.25">
      <c r="H316" t="s">
        <v>138</v>
      </c>
    </row>
    <row r="317" spans="8:8" x14ac:dyDescent="0.25">
      <c r="H317" t="s">
        <v>1512</v>
      </c>
    </row>
    <row r="318" spans="8:8" x14ac:dyDescent="0.25">
      <c r="H318" t="s">
        <v>30</v>
      </c>
    </row>
    <row r="320" spans="8:8" x14ac:dyDescent="0.25">
      <c r="H320" t="s">
        <v>1513</v>
      </c>
    </row>
    <row r="321" spans="8:8" x14ac:dyDescent="0.25">
      <c r="H321" t="s">
        <v>1514</v>
      </c>
    </row>
    <row r="322" spans="8:8" x14ac:dyDescent="0.25">
      <c r="H322" t="s">
        <v>135</v>
      </c>
    </row>
    <row r="323" spans="8:8" x14ac:dyDescent="0.25">
      <c r="H323" t="s">
        <v>1515</v>
      </c>
    </row>
    <row r="324" spans="8:8" x14ac:dyDescent="0.25">
      <c r="H324" t="s">
        <v>30</v>
      </c>
    </row>
    <row r="326" spans="8:8" x14ac:dyDescent="0.25">
      <c r="H326" t="s">
        <v>1516</v>
      </c>
    </row>
    <row r="327" spans="8:8" x14ac:dyDescent="0.25">
      <c r="H327" t="s">
        <v>1517</v>
      </c>
    </row>
    <row r="328" spans="8:8" x14ac:dyDescent="0.25">
      <c r="H328" t="s">
        <v>135</v>
      </c>
    </row>
    <row r="329" spans="8:8" x14ac:dyDescent="0.25">
      <c r="H329" t="s">
        <v>1518</v>
      </c>
    </row>
    <row r="330" spans="8:8" x14ac:dyDescent="0.25">
      <c r="H330" t="s">
        <v>30</v>
      </c>
    </row>
    <row r="332" spans="8:8" x14ac:dyDescent="0.25">
      <c r="H332" t="s">
        <v>1519</v>
      </c>
    </row>
    <row r="333" spans="8:8" x14ac:dyDescent="0.25">
      <c r="H333" t="s">
        <v>1520</v>
      </c>
    </row>
    <row r="334" spans="8:8" x14ac:dyDescent="0.25">
      <c r="H334" t="s">
        <v>135</v>
      </c>
    </row>
    <row r="335" spans="8:8" x14ac:dyDescent="0.25">
      <c r="H335" t="s">
        <v>1521</v>
      </c>
    </row>
    <row r="336" spans="8:8" x14ac:dyDescent="0.25">
      <c r="H336" t="s">
        <v>30</v>
      </c>
    </row>
    <row r="338" spans="8:8" x14ac:dyDescent="0.25">
      <c r="H338" t="s">
        <v>1522</v>
      </c>
    </row>
    <row r="339" spans="8:8" x14ac:dyDescent="0.25">
      <c r="H339" t="s">
        <v>1523</v>
      </c>
    </row>
    <row r="340" spans="8:8" x14ac:dyDescent="0.25">
      <c r="H340" t="s">
        <v>135</v>
      </c>
    </row>
    <row r="341" spans="8:8" x14ac:dyDescent="0.25">
      <c r="H341" t="s">
        <v>1524</v>
      </c>
    </row>
    <row r="342" spans="8:8" x14ac:dyDescent="0.25">
      <c r="H342" t="s">
        <v>30</v>
      </c>
    </row>
    <row r="344" spans="8:8" x14ac:dyDescent="0.25">
      <c r="H344" t="s">
        <v>1525</v>
      </c>
    </row>
    <row r="345" spans="8:8" x14ac:dyDescent="0.25">
      <c r="H345" t="s">
        <v>1526</v>
      </c>
    </row>
    <row r="346" spans="8:8" x14ac:dyDescent="0.25">
      <c r="H346" t="s">
        <v>135</v>
      </c>
    </row>
    <row r="347" spans="8:8" x14ac:dyDescent="0.25">
      <c r="H347" t="s">
        <v>1527</v>
      </c>
    </row>
    <row r="348" spans="8:8" x14ac:dyDescent="0.25">
      <c r="H348" t="s">
        <v>30</v>
      </c>
    </row>
    <row r="350" spans="8:8" x14ac:dyDescent="0.25">
      <c r="H350" t="s">
        <v>1528</v>
      </c>
    </row>
    <row r="351" spans="8:8" x14ac:dyDescent="0.25">
      <c r="H351" t="s">
        <v>1529</v>
      </c>
    </row>
    <row r="352" spans="8:8" x14ac:dyDescent="0.25">
      <c r="H352" t="s">
        <v>135</v>
      </c>
    </row>
    <row r="353" spans="8:8" x14ac:dyDescent="0.25">
      <c r="H353" t="s">
        <v>1530</v>
      </c>
    </row>
    <row r="354" spans="8:8" x14ac:dyDescent="0.25">
      <c r="H354" t="s">
        <v>30</v>
      </c>
    </row>
    <row r="355" spans="8:8" x14ac:dyDescent="0.25">
      <c r="H355" t="s">
        <v>1531</v>
      </c>
    </row>
    <row r="356" spans="8:8" x14ac:dyDescent="0.25">
      <c r="H356" t="s">
        <v>137</v>
      </c>
    </row>
    <row r="357" spans="8:8" x14ac:dyDescent="0.25">
      <c r="H357" t="s">
        <v>1532</v>
      </c>
    </row>
    <row r="358" spans="8:8" x14ac:dyDescent="0.25">
      <c r="H358" t="s">
        <v>30</v>
      </c>
    </row>
    <row r="359" spans="8:8" x14ac:dyDescent="0.25">
      <c r="H359" t="s">
        <v>138</v>
      </c>
    </row>
    <row r="360" spans="8:8" x14ac:dyDescent="0.25">
      <c r="H360" t="s">
        <v>1533</v>
      </c>
    </row>
    <row r="361" spans="8:8" x14ac:dyDescent="0.25">
      <c r="H361" t="s">
        <v>30</v>
      </c>
    </row>
    <row r="363" spans="8:8" x14ac:dyDescent="0.25">
      <c r="H363" t="s">
        <v>1534</v>
      </c>
    </row>
    <row r="364" spans="8:8" x14ac:dyDescent="0.25">
      <c r="H364" t="s">
        <v>1535</v>
      </c>
    </row>
    <row r="365" spans="8:8" x14ac:dyDescent="0.25">
      <c r="H365" t="s">
        <v>135</v>
      </c>
    </row>
    <row r="366" spans="8:8" x14ac:dyDescent="0.25">
      <c r="H366" t="s">
        <v>1536</v>
      </c>
    </row>
    <row r="367" spans="8:8" x14ac:dyDescent="0.25">
      <c r="H367" t="s">
        <v>30</v>
      </c>
    </row>
    <row r="368" spans="8:8" x14ac:dyDescent="0.25">
      <c r="H368" t="s">
        <v>1537</v>
      </c>
    </row>
    <row r="369" spans="8:8" x14ac:dyDescent="0.25">
      <c r="H369" t="s">
        <v>137</v>
      </c>
    </row>
    <row r="370" spans="8:8" x14ac:dyDescent="0.25">
      <c r="H370" t="s">
        <v>1538</v>
      </c>
    </row>
    <row r="371" spans="8:8" x14ac:dyDescent="0.25">
      <c r="H371" t="s">
        <v>30</v>
      </c>
    </row>
    <row r="372" spans="8:8" x14ac:dyDescent="0.25">
      <c r="H372" t="s">
        <v>138</v>
      </c>
    </row>
    <row r="373" spans="8:8" x14ac:dyDescent="0.25">
      <c r="H373" t="s">
        <v>1539</v>
      </c>
    </row>
    <row r="374" spans="8:8" x14ac:dyDescent="0.25">
      <c r="H374" t="s">
        <v>30</v>
      </c>
    </row>
    <row r="376" spans="8:8" x14ac:dyDescent="0.25">
      <c r="H376" t="s">
        <v>1540</v>
      </c>
    </row>
    <row r="377" spans="8:8" x14ac:dyDescent="0.25">
      <c r="H377" t="s">
        <v>1541</v>
      </c>
    </row>
    <row r="378" spans="8:8" x14ac:dyDescent="0.25">
      <c r="H378" t="s">
        <v>135</v>
      </c>
    </row>
    <row r="379" spans="8:8" x14ac:dyDescent="0.25">
      <c r="H379" t="s">
        <v>1542</v>
      </c>
    </row>
    <row r="380" spans="8:8" x14ac:dyDescent="0.25">
      <c r="H380" t="s">
        <v>30</v>
      </c>
    </row>
    <row r="381" spans="8:8" x14ac:dyDescent="0.25">
      <c r="H381" t="s">
        <v>1543</v>
      </c>
    </row>
    <row r="382" spans="8:8" x14ac:dyDescent="0.25">
      <c r="H382" t="s">
        <v>137</v>
      </c>
    </row>
    <row r="383" spans="8:8" x14ac:dyDescent="0.25">
      <c r="H383" t="s">
        <v>1544</v>
      </c>
    </row>
    <row r="384" spans="8:8" x14ac:dyDescent="0.25">
      <c r="H384" t="s">
        <v>30</v>
      </c>
    </row>
    <row r="385" spans="8:8" x14ac:dyDescent="0.25">
      <c r="H385" t="s">
        <v>138</v>
      </c>
    </row>
    <row r="386" spans="8:8" x14ac:dyDescent="0.25">
      <c r="H386" t="s">
        <v>1545</v>
      </c>
    </row>
    <row r="387" spans="8:8" x14ac:dyDescent="0.25">
      <c r="H387" t="s">
        <v>30</v>
      </c>
    </row>
    <row r="389" spans="8:8" x14ac:dyDescent="0.25">
      <c r="H389" t="s">
        <v>1546</v>
      </c>
    </row>
    <row r="390" spans="8:8" x14ac:dyDescent="0.25">
      <c r="H390" t="s">
        <v>1547</v>
      </c>
    </row>
    <row r="391" spans="8:8" x14ac:dyDescent="0.25">
      <c r="H391" t="s">
        <v>135</v>
      </c>
    </row>
    <row r="392" spans="8:8" x14ac:dyDescent="0.25">
      <c r="H392" t="s">
        <v>1548</v>
      </c>
    </row>
    <row r="393" spans="8:8" x14ac:dyDescent="0.25">
      <c r="H393" t="s">
        <v>30</v>
      </c>
    </row>
    <row r="394" spans="8:8" x14ac:dyDescent="0.25">
      <c r="H394" t="s">
        <v>136</v>
      </c>
    </row>
    <row r="395" spans="8:8" x14ac:dyDescent="0.25">
      <c r="H395" t="s">
        <v>1549</v>
      </c>
    </row>
    <row r="396" spans="8:8" x14ac:dyDescent="0.25">
      <c r="H396" t="s">
        <v>30</v>
      </c>
    </row>
    <row r="398" spans="8:8" x14ac:dyDescent="0.25">
      <c r="H398" t="s">
        <v>1550</v>
      </c>
    </row>
    <row r="399" spans="8:8" x14ac:dyDescent="0.25">
      <c r="H399" t="s">
        <v>1551</v>
      </c>
    </row>
    <row r="400" spans="8:8" x14ac:dyDescent="0.25">
      <c r="H400" t="s">
        <v>135</v>
      </c>
    </row>
    <row r="401" spans="8:8" x14ac:dyDescent="0.25">
      <c r="H401" t="s">
        <v>1552</v>
      </c>
    </row>
    <row r="402" spans="8:8" x14ac:dyDescent="0.25">
      <c r="H402" t="s">
        <v>30</v>
      </c>
    </row>
    <row r="403" spans="8:8" x14ac:dyDescent="0.25">
      <c r="H403" t="s">
        <v>136</v>
      </c>
    </row>
    <row r="404" spans="8:8" x14ac:dyDescent="0.25">
      <c r="H404" t="s">
        <v>1553</v>
      </c>
    </row>
    <row r="405" spans="8:8" x14ac:dyDescent="0.25">
      <c r="H405" t="s">
        <v>30</v>
      </c>
    </row>
    <row r="406" spans="8:8" x14ac:dyDescent="0.25">
      <c r="H406" t="s">
        <v>137</v>
      </c>
    </row>
    <row r="407" spans="8:8" x14ac:dyDescent="0.25">
      <c r="H407" t="s">
        <v>1554</v>
      </c>
    </row>
    <row r="408" spans="8:8" x14ac:dyDescent="0.25">
      <c r="H408" t="s">
        <v>30</v>
      </c>
    </row>
    <row r="409" spans="8:8" x14ac:dyDescent="0.25">
      <c r="H409" t="s">
        <v>138</v>
      </c>
    </row>
    <row r="410" spans="8:8" x14ac:dyDescent="0.25">
      <c r="H410" t="s">
        <v>1555</v>
      </c>
    </row>
    <row r="411" spans="8:8" x14ac:dyDescent="0.25">
      <c r="H411" t="s">
        <v>30</v>
      </c>
    </row>
    <row r="413" spans="8:8" x14ac:dyDescent="0.25">
      <c r="H413" t="s">
        <v>1556</v>
      </c>
    </row>
    <row r="414" spans="8:8" x14ac:dyDescent="0.25">
      <c r="H414" t="s">
        <v>1557</v>
      </c>
    </row>
    <row r="415" spans="8:8" x14ac:dyDescent="0.25">
      <c r="H415" t="s">
        <v>135</v>
      </c>
    </row>
    <row r="416" spans="8:8" x14ac:dyDescent="0.25">
      <c r="H416" t="s">
        <v>1558</v>
      </c>
    </row>
    <row r="417" spans="8:8" x14ac:dyDescent="0.25">
      <c r="H417" t="s">
        <v>30</v>
      </c>
    </row>
    <row r="418" spans="8:8" x14ac:dyDescent="0.25">
      <c r="H418" t="s">
        <v>1559</v>
      </c>
    </row>
    <row r="419" spans="8:8" x14ac:dyDescent="0.25">
      <c r="H419" t="s">
        <v>136</v>
      </c>
    </row>
    <row r="420" spans="8:8" x14ac:dyDescent="0.25">
      <c r="H420" t="s">
        <v>1560</v>
      </c>
    </row>
    <row r="421" spans="8:8" x14ac:dyDescent="0.25">
      <c r="H421" t="s">
        <v>30</v>
      </c>
    </row>
    <row r="422" spans="8:8" x14ac:dyDescent="0.25">
      <c r="H422" t="s">
        <v>1561</v>
      </c>
    </row>
    <row r="423" spans="8:8" x14ac:dyDescent="0.25">
      <c r="H423" t="s">
        <v>137</v>
      </c>
    </row>
    <row r="424" spans="8:8" x14ac:dyDescent="0.25">
      <c r="H424" t="s">
        <v>1562</v>
      </c>
    </row>
    <row r="425" spans="8:8" x14ac:dyDescent="0.25">
      <c r="H425" t="s">
        <v>30</v>
      </c>
    </row>
    <row r="426" spans="8:8" x14ac:dyDescent="0.25">
      <c r="H426" t="s">
        <v>1563</v>
      </c>
    </row>
    <row r="427" spans="8:8" x14ac:dyDescent="0.25">
      <c r="H427" t="s">
        <v>138</v>
      </c>
    </row>
    <row r="428" spans="8:8" x14ac:dyDescent="0.25">
      <c r="H428" t="s">
        <v>1564</v>
      </c>
    </row>
    <row r="429" spans="8:8" x14ac:dyDescent="0.25">
      <c r="H429" t="s">
        <v>30</v>
      </c>
    </row>
    <row r="431" spans="8:8" x14ac:dyDescent="0.25">
      <c r="H431" t="s">
        <v>1565</v>
      </c>
    </row>
    <row r="432" spans="8:8" x14ac:dyDescent="0.25">
      <c r="H432" t="s">
        <v>1566</v>
      </c>
    </row>
    <row r="433" spans="8:8" x14ac:dyDescent="0.25">
      <c r="H433" t="s">
        <v>135</v>
      </c>
    </row>
    <row r="434" spans="8:8" x14ac:dyDescent="0.25">
      <c r="H434" t="s">
        <v>1567</v>
      </c>
    </row>
    <row r="435" spans="8:8" x14ac:dyDescent="0.25">
      <c r="H435" t="s">
        <v>30</v>
      </c>
    </row>
    <row r="436" spans="8:8" x14ac:dyDescent="0.25">
      <c r="H436" t="s">
        <v>1568</v>
      </c>
    </row>
    <row r="437" spans="8:8" x14ac:dyDescent="0.25">
      <c r="H437" t="s">
        <v>136</v>
      </c>
    </row>
    <row r="438" spans="8:8" x14ac:dyDescent="0.25">
      <c r="H438" t="s">
        <v>1569</v>
      </c>
    </row>
    <row r="439" spans="8:8" x14ac:dyDescent="0.25">
      <c r="H439" t="s">
        <v>30</v>
      </c>
    </row>
    <row r="440" spans="8:8" x14ac:dyDescent="0.25">
      <c r="H440" t="s">
        <v>1570</v>
      </c>
    </row>
    <row r="441" spans="8:8" x14ac:dyDescent="0.25">
      <c r="H441" t="s">
        <v>137</v>
      </c>
    </row>
    <row r="442" spans="8:8" x14ac:dyDescent="0.25">
      <c r="H442" t="s">
        <v>1571</v>
      </c>
    </row>
    <row r="443" spans="8:8" x14ac:dyDescent="0.25">
      <c r="H443" t="s">
        <v>30</v>
      </c>
    </row>
    <row r="444" spans="8:8" x14ac:dyDescent="0.25">
      <c r="H444" t="s">
        <v>1572</v>
      </c>
    </row>
    <row r="445" spans="8:8" x14ac:dyDescent="0.25">
      <c r="H445" t="s">
        <v>138</v>
      </c>
    </row>
    <row r="446" spans="8:8" x14ac:dyDescent="0.25">
      <c r="H446" t="s">
        <v>1573</v>
      </c>
    </row>
    <row r="447" spans="8:8" x14ac:dyDescent="0.25">
      <c r="H447" t="s">
        <v>30</v>
      </c>
    </row>
    <row r="449" spans="8:8" x14ac:dyDescent="0.25">
      <c r="H449" t="s">
        <v>1574</v>
      </c>
    </row>
    <row r="450" spans="8:8" x14ac:dyDescent="0.25">
      <c r="H450" t="s">
        <v>1575</v>
      </c>
    </row>
    <row r="451" spans="8:8" x14ac:dyDescent="0.25">
      <c r="H451" t="s">
        <v>135</v>
      </c>
    </row>
    <row r="452" spans="8:8" x14ac:dyDescent="0.25">
      <c r="H452" t="s">
        <v>1576</v>
      </c>
    </row>
    <row r="453" spans="8:8" x14ac:dyDescent="0.25">
      <c r="H453" t="s">
        <v>30</v>
      </c>
    </row>
    <row r="454" spans="8:8" x14ac:dyDescent="0.25">
      <c r="H454" t="s">
        <v>1577</v>
      </c>
    </row>
    <row r="455" spans="8:8" x14ac:dyDescent="0.25">
      <c r="H455" t="s">
        <v>136</v>
      </c>
    </row>
    <row r="456" spans="8:8" x14ac:dyDescent="0.25">
      <c r="H456" t="s">
        <v>1578</v>
      </c>
    </row>
    <row r="457" spans="8:8" x14ac:dyDescent="0.25">
      <c r="H457" t="s">
        <v>30</v>
      </c>
    </row>
    <row r="459" spans="8:8" x14ac:dyDescent="0.25">
      <c r="H459" t="s">
        <v>1579</v>
      </c>
    </row>
    <row r="460" spans="8:8" x14ac:dyDescent="0.25">
      <c r="H460" t="s">
        <v>1632</v>
      </c>
    </row>
    <row r="461" spans="8:8" x14ac:dyDescent="0.25">
      <c r="H461" t="s">
        <v>135</v>
      </c>
    </row>
    <row r="462" spans="8:8" x14ac:dyDescent="0.25">
      <c r="H462" t="s">
        <v>1633</v>
      </c>
    </row>
    <row r="463" spans="8:8" x14ac:dyDescent="0.25">
      <c r="H463" t="s">
        <v>30</v>
      </c>
    </row>
    <row r="465" spans="8:8" x14ac:dyDescent="0.25">
      <c r="H465" t="s">
        <v>1580</v>
      </c>
    </row>
    <row r="466" spans="8:8" x14ac:dyDescent="0.25">
      <c r="H466" t="s">
        <v>1635</v>
      </c>
    </row>
    <row r="467" spans="8:8" x14ac:dyDescent="0.25">
      <c r="H467" t="s">
        <v>135</v>
      </c>
    </row>
    <row r="468" spans="8:8" x14ac:dyDescent="0.25">
      <c r="H468" t="s">
        <v>1636</v>
      </c>
    </row>
    <row r="469" spans="8:8" x14ac:dyDescent="0.25">
      <c r="H469" t="s">
        <v>30</v>
      </c>
    </row>
    <row r="471" spans="8:8" x14ac:dyDescent="0.25">
      <c r="H471" t="s">
        <v>1581</v>
      </c>
    </row>
    <row r="472" spans="8:8" x14ac:dyDescent="0.25">
      <c r="H472" t="s">
        <v>1638</v>
      </c>
    </row>
    <row r="473" spans="8:8" x14ac:dyDescent="0.25">
      <c r="H473" t="s">
        <v>135</v>
      </c>
    </row>
    <row r="474" spans="8:8" x14ac:dyDescent="0.25">
      <c r="H474" t="s">
        <v>1639</v>
      </c>
    </row>
    <row r="475" spans="8:8" x14ac:dyDescent="0.25">
      <c r="H475" t="s">
        <v>30</v>
      </c>
    </row>
    <row r="477" spans="8:8" x14ac:dyDescent="0.25">
      <c r="H477" t="s">
        <v>1582</v>
      </c>
    </row>
    <row r="478" spans="8:8" x14ac:dyDescent="0.25">
      <c r="H478" t="s">
        <v>1641</v>
      </c>
    </row>
    <row r="479" spans="8:8" x14ac:dyDescent="0.25">
      <c r="H479" t="s">
        <v>135</v>
      </c>
    </row>
    <row r="480" spans="8:8" x14ac:dyDescent="0.25">
      <c r="H480" t="s">
        <v>1642</v>
      </c>
    </row>
    <row r="481" spans="8:8" x14ac:dyDescent="0.25">
      <c r="H481" t="s">
        <v>30</v>
      </c>
    </row>
    <row r="483" spans="8:8" x14ac:dyDescent="0.25">
      <c r="H483" t="s">
        <v>1583</v>
      </c>
    </row>
    <row r="484" spans="8:8" x14ac:dyDescent="0.25">
      <c r="H484" t="s">
        <v>1644</v>
      </c>
    </row>
    <row r="485" spans="8:8" x14ac:dyDescent="0.25">
      <c r="H485" t="s">
        <v>135</v>
      </c>
    </row>
    <row r="486" spans="8:8" x14ac:dyDescent="0.25">
      <c r="H486" t="s">
        <v>1645</v>
      </c>
    </row>
    <row r="487" spans="8:8" x14ac:dyDescent="0.25">
      <c r="H487" t="s">
        <v>30</v>
      </c>
    </row>
    <row r="489" spans="8:8" x14ac:dyDescent="0.25">
      <c r="H489" t="s">
        <v>1584</v>
      </c>
    </row>
    <row r="490" spans="8:8" x14ac:dyDescent="0.25">
      <c r="H490" t="s">
        <v>1647</v>
      </c>
    </row>
    <row r="491" spans="8:8" x14ac:dyDescent="0.25">
      <c r="H491" t="s">
        <v>135</v>
      </c>
    </row>
    <row r="492" spans="8:8" x14ac:dyDescent="0.25">
      <c r="H492" t="s">
        <v>1648</v>
      </c>
    </row>
    <row r="493" spans="8:8" x14ac:dyDescent="0.25">
      <c r="H493" t="s">
        <v>30</v>
      </c>
    </row>
    <row r="495" spans="8:8" x14ac:dyDescent="0.25">
      <c r="H495" t="s">
        <v>1585</v>
      </c>
    </row>
    <row r="496" spans="8:8" x14ac:dyDescent="0.25">
      <c r="H496" t="s">
        <v>1650</v>
      </c>
    </row>
    <row r="497" spans="8:8" x14ac:dyDescent="0.25">
      <c r="H497" t="s">
        <v>135</v>
      </c>
    </row>
    <row r="498" spans="8:8" x14ac:dyDescent="0.25">
      <c r="H498" t="s">
        <v>1651</v>
      </c>
    </row>
    <row r="499" spans="8:8" x14ac:dyDescent="0.25">
      <c r="H499" t="s">
        <v>30</v>
      </c>
    </row>
    <row r="501" spans="8:8" x14ac:dyDescent="0.25">
      <c r="H501" t="s">
        <v>1586</v>
      </c>
    </row>
    <row r="502" spans="8:8" x14ac:dyDescent="0.25">
      <c r="H502" t="s">
        <v>1653</v>
      </c>
    </row>
    <row r="503" spans="8:8" x14ac:dyDescent="0.25">
      <c r="H503" t="s">
        <v>135</v>
      </c>
    </row>
    <row r="504" spans="8:8" x14ac:dyDescent="0.25">
      <c r="H504" t="s">
        <v>1654</v>
      </c>
    </row>
    <row r="505" spans="8:8" x14ac:dyDescent="0.25">
      <c r="H505" t="s">
        <v>30</v>
      </c>
    </row>
    <row r="507" spans="8:8" x14ac:dyDescent="0.25">
      <c r="H507" t="s">
        <v>1587</v>
      </c>
    </row>
    <row r="508" spans="8:8" x14ac:dyDescent="0.25">
      <c r="H508" t="s">
        <v>1656</v>
      </c>
    </row>
    <row r="509" spans="8:8" x14ac:dyDescent="0.25">
      <c r="H509" t="s">
        <v>135</v>
      </c>
    </row>
    <row r="510" spans="8:8" x14ac:dyDescent="0.25">
      <c r="H510" t="s">
        <v>1657</v>
      </c>
    </row>
    <row r="511" spans="8:8" x14ac:dyDescent="0.25">
      <c r="H511" t="s">
        <v>30</v>
      </c>
    </row>
    <row r="513" spans="8:8" x14ac:dyDescent="0.25">
      <c r="H513" t="s">
        <v>1588</v>
      </c>
    </row>
    <row r="514" spans="8:8" x14ac:dyDescent="0.25">
      <c r="H514" t="s">
        <v>1659</v>
      </c>
    </row>
    <row r="515" spans="8:8" x14ac:dyDescent="0.25">
      <c r="H515" t="s">
        <v>135</v>
      </c>
    </row>
    <row r="516" spans="8:8" x14ac:dyDescent="0.25">
      <c r="H516" t="s">
        <v>1660</v>
      </c>
    </row>
    <row r="517" spans="8:8" x14ac:dyDescent="0.25">
      <c r="H517" t="s">
        <v>30</v>
      </c>
    </row>
    <row r="518" spans="8:8" x14ac:dyDescent="0.25">
      <c r="H518" t="s">
        <v>1661</v>
      </c>
    </row>
    <row r="519" spans="8:8" x14ac:dyDescent="0.25">
      <c r="H519" t="s">
        <v>136</v>
      </c>
    </row>
    <row r="520" spans="8:8" x14ac:dyDescent="0.25">
      <c r="H520" t="s">
        <v>1662</v>
      </c>
    </row>
    <row r="521" spans="8:8" x14ac:dyDescent="0.25">
      <c r="H521" t="s">
        <v>30</v>
      </c>
    </row>
    <row r="522" spans="8:8" x14ac:dyDescent="0.25">
      <c r="H522" t="s">
        <v>1663</v>
      </c>
    </row>
    <row r="523" spans="8:8" x14ac:dyDescent="0.25">
      <c r="H523" t="s">
        <v>137</v>
      </c>
    </row>
    <row r="524" spans="8:8" x14ac:dyDescent="0.25">
      <c r="H524" t="s">
        <v>1664</v>
      </c>
    </row>
    <row r="525" spans="8:8" x14ac:dyDescent="0.25">
      <c r="H525" t="s">
        <v>30</v>
      </c>
    </row>
    <row r="526" spans="8:8" x14ac:dyDescent="0.25">
      <c r="H526" t="s">
        <v>1665</v>
      </c>
    </row>
    <row r="527" spans="8:8" x14ac:dyDescent="0.25">
      <c r="H527" t="s">
        <v>138</v>
      </c>
    </row>
    <row r="528" spans="8:8" x14ac:dyDescent="0.25">
      <c r="H528" t="s">
        <v>1666</v>
      </c>
    </row>
    <row r="529" spans="8:8" x14ac:dyDescent="0.25">
      <c r="H529" t="s">
        <v>30</v>
      </c>
    </row>
    <row r="531" spans="8:8" x14ac:dyDescent="0.25">
      <c r="H531" t="s">
        <v>1589</v>
      </c>
    </row>
    <row r="532" spans="8:8" x14ac:dyDescent="0.25">
      <c r="H532" t="s">
        <v>1668</v>
      </c>
    </row>
    <row r="533" spans="8:8" x14ac:dyDescent="0.25">
      <c r="H533" t="s">
        <v>135</v>
      </c>
    </row>
    <row r="534" spans="8:8" x14ac:dyDescent="0.25">
      <c r="H534" t="s">
        <v>1669</v>
      </c>
    </row>
    <row r="535" spans="8:8" x14ac:dyDescent="0.25">
      <c r="H535" t="s">
        <v>30</v>
      </c>
    </row>
    <row r="536" spans="8:8" x14ac:dyDescent="0.25">
      <c r="H536" t="s">
        <v>1670</v>
      </c>
    </row>
    <row r="537" spans="8:8" x14ac:dyDescent="0.25">
      <c r="H537" t="s">
        <v>136</v>
      </c>
    </row>
    <row r="538" spans="8:8" x14ac:dyDescent="0.25">
      <c r="H538" t="s">
        <v>1671</v>
      </c>
    </row>
    <row r="539" spans="8:8" x14ac:dyDescent="0.25">
      <c r="H539" t="s">
        <v>30</v>
      </c>
    </row>
    <row r="541" spans="8:8" x14ac:dyDescent="0.25">
      <c r="H541" t="s">
        <v>1590</v>
      </c>
    </row>
    <row r="542" spans="8:8" x14ac:dyDescent="0.25">
      <c r="H542" t="s">
        <v>1673</v>
      </c>
    </row>
    <row r="543" spans="8:8" x14ac:dyDescent="0.25">
      <c r="H543" t="s">
        <v>135</v>
      </c>
    </row>
    <row r="544" spans="8:8" x14ac:dyDescent="0.25">
      <c r="H544" t="s">
        <v>1674</v>
      </c>
    </row>
    <row r="545" spans="8:8" x14ac:dyDescent="0.25">
      <c r="H545" t="s">
        <v>30</v>
      </c>
    </row>
    <row r="547" spans="8:8" x14ac:dyDescent="0.25">
      <c r="H547" t="s">
        <v>1591</v>
      </c>
    </row>
    <row r="548" spans="8:8" x14ac:dyDescent="0.25">
      <c r="H548" t="s">
        <v>1676</v>
      </c>
    </row>
    <row r="549" spans="8:8" x14ac:dyDescent="0.25">
      <c r="H549" t="s">
        <v>135</v>
      </c>
    </row>
    <row r="550" spans="8:8" x14ac:dyDescent="0.25">
      <c r="H550" t="s">
        <v>1677</v>
      </c>
    </row>
    <row r="551" spans="8:8" x14ac:dyDescent="0.25">
      <c r="H551" t="s">
        <v>30</v>
      </c>
    </row>
    <row r="553" spans="8:8" x14ac:dyDescent="0.25">
      <c r="H553" t="s">
        <v>1592</v>
      </c>
    </row>
    <row r="554" spans="8:8" x14ac:dyDescent="0.25">
      <c r="H554" t="s">
        <v>1679</v>
      </c>
    </row>
    <row r="555" spans="8:8" x14ac:dyDescent="0.25">
      <c r="H555" t="s">
        <v>135</v>
      </c>
    </row>
    <row r="556" spans="8:8" x14ac:dyDescent="0.25">
      <c r="H556" t="s">
        <v>1680</v>
      </c>
    </row>
    <row r="557" spans="8:8" x14ac:dyDescent="0.25">
      <c r="H557" t="s">
        <v>30</v>
      </c>
    </row>
    <row r="559" spans="8:8" x14ac:dyDescent="0.25">
      <c r="H559" t="s">
        <v>1593</v>
      </c>
    </row>
    <row r="560" spans="8:8" x14ac:dyDescent="0.25">
      <c r="H560" t="s">
        <v>1682</v>
      </c>
    </row>
    <row r="561" spans="8:8" x14ac:dyDescent="0.25">
      <c r="H561" t="s">
        <v>135</v>
      </c>
    </row>
    <row r="562" spans="8:8" x14ac:dyDescent="0.25">
      <c r="H562" t="s">
        <v>1683</v>
      </c>
    </row>
    <row r="563" spans="8:8" x14ac:dyDescent="0.25">
      <c r="H563" t="s">
        <v>30</v>
      </c>
    </row>
    <row r="565" spans="8:8" x14ac:dyDescent="0.25">
      <c r="H565" t="s">
        <v>1594</v>
      </c>
    </row>
    <row r="566" spans="8:8" x14ac:dyDescent="0.25">
      <c r="H566" t="s">
        <v>1685</v>
      </c>
    </row>
    <row r="567" spans="8:8" x14ac:dyDescent="0.25">
      <c r="H567" t="s">
        <v>135</v>
      </c>
    </row>
    <row r="568" spans="8:8" x14ac:dyDescent="0.25">
      <c r="H568" t="s">
        <v>1686</v>
      </c>
    </row>
    <row r="569" spans="8:8" x14ac:dyDescent="0.25">
      <c r="H569" t="s">
        <v>30</v>
      </c>
    </row>
    <row r="571" spans="8:8" x14ac:dyDescent="0.25">
      <c r="H571" t="s">
        <v>1595</v>
      </c>
    </row>
    <row r="572" spans="8:8" x14ac:dyDescent="0.25">
      <c r="H572" t="s">
        <v>1688</v>
      </c>
    </row>
    <row r="573" spans="8:8" x14ac:dyDescent="0.25">
      <c r="H573" t="s">
        <v>135</v>
      </c>
    </row>
    <row r="574" spans="8:8" x14ac:dyDescent="0.25">
      <c r="H574" t="s">
        <v>1689</v>
      </c>
    </row>
    <row r="575" spans="8:8" x14ac:dyDescent="0.25">
      <c r="H575" t="s">
        <v>30</v>
      </c>
    </row>
    <row r="577" spans="8:8" x14ac:dyDescent="0.25">
      <c r="H577" t="s">
        <v>1596</v>
      </c>
    </row>
    <row r="578" spans="8:8" x14ac:dyDescent="0.25">
      <c r="H578" t="s">
        <v>1691</v>
      </c>
    </row>
    <row r="579" spans="8:8" x14ac:dyDescent="0.25">
      <c r="H579" t="s">
        <v>135</v>
      </c>
    </row>
    <row r="580" spans="8:8" x14ac:dyDescent="0.25">
      <c r="H580" t="s">
        <v>1692</v>
      </c>
    </row>
    <row r="581" spans="8:8" x14ac:dyDescent="0.25">
      <c r="H581" t="s">
        <v>30</v>
      </c>
    </row>
    <row r="583" spans="8:8" x14ac:dyDescent="0.25">
      <c r="H583" t="s">
        <v>1597</v>
      </c>
    </row>
    <row r="584" spans="8:8" x14ac:dyDescent="0.25">
      <c r="H584" t="s">
        <v>1694</v>
      </c>
    </row>
    <row r="585" spans="8:8" x14ac:dyDescent="0.25">
      <c r="H585" t="s">
        <v>135</v>
      </c>
    </row>
    <row r="586" spans="8:8" x14ac:dyDescent="0.25">
      <c r="H586" t="s">
        <v>1695</v>
      </c>
    </row>
    <row r="587" spans="8:8" x14ac:dyDescent="0.25">
      <c r="H587" t="s">
        <v>30</v>
      </c>
    </row>
    <row r="589" spans="8:8" x14ac:dyDescent="0.25">
      <c r="H589" t="s">
        <v>1598</v>
      </c>
    </row>
    <row r="590" spans="8:8" x14ac:dyDescent="0.25">
      <c r="H590" t="s">
        <v>1697</v>
      </c>
    </row>
    <row r="591" spans="8:8" x14ac:dyDescent="0.25">
      <c r="H591" t="s">
        <v>135</v>
      </c>
    </row>
    <row r="592" spans="8:8" x14ac:dyDescent="0.25">
      <c r="H592" t="s">
        <v>1698</v>
      </c>
    </row>
    <row r="593" spans="8:8" x14ac:dyDescent="0.25">
      <c r="H593" t="s">
        <v>30</v>
      </c>
    </row>
    <row r="595" spans="8:8" x14ac:dyDescent="0.25">
      <c r="H595" t="s">
        <v>1599</v>
      </c>
    </row>
    <row r="596" spans="8:8" x14ac:dyDescent="0.25">
      <c r="H596" t="s">
        <v>1700</v>
      </c>
    </row>
    <row r="597" spans="8:8" x14ac:dyDescent="0.25">
      <c r="H597" t="s">
        <v>135</v>
      </c>
    </row>
    <row r="598" spans="8:8" x14ac:dyDescent="0.25">
      <c r="H598" t="s">
        <v>1701</v>
      </c>
    </row>
    <row r="599" spans="8:8" x14ac:dyDescent="0.25">
      <c r="H599" t="s">
        <v>30</v>
      </c>
    </row>
    <row r="601" spans="8:8" x14ac:dyDescent="0.25">
      <c r="H601" t="s">
        <v>1600</v>
      </c>
    </row>
    <row r="602" spans="8:8" x14ac:dyDescent="0.25">
      <c r="H602" t="s">
        <v>1703</v>
      </c>
    </row>
    <row r="603" spans="8:8" x14ac:dyDescent="0.25">
      <c r="H603" t="s">
        <v>135</v>
      </c>
    </row>
    <row r="604" spans="8:8" x14ac:dyDescent="0.25">
      <c r="H604" t="s">
        <v>1704</v>
      </c>
    </row>
    <row r="605" spans="8:8" x14ac:dyDescent="0.25">
      <c r="H605" t="s">
        <v>30</v>
      </c>
    </row>
    <row r="607" spans="8:8" x14ac:dyDescent="0.25">
      <c r="H607" t="s">
        <v>1601</v>
      </c>
    </row>
    <row r="608" spans="8:8" x14ac:dyDescent="0.25">
      <c r="H608" t="s">
        <v>1706</v>
      </c>
    </row>
    <row r="609" spans="8:8" x14ac:dyDescent="0.25">
      <c r="H609" t="s">
        <v>135</v>
      </c>
    </row>
    <row r="610" spans="8:8" x14ac:dyDescent="0.25">
      <c r="H610" t="s">
        <v>1707</v>
      </c>
    </row>
    <row r="611" spans="8:8" x14ac:dyDescent="0.25">
      <c r="H611" t="s">
        <v>30</v>
      </c>
    </row>
    <row r="613" spans="8:8" x14ac:dyDescent="0.25">
      <c r="H613" t="s">
        <v>1602</v>
      </c>
    </row>
    <row r="614" spans="8:8" x14ac:dyDescent="0.25">
      <c r="H614" t="s">
        <v>1709</v>
      </c>
    </row>
    <row r="615" spans="8:8" x14ac:dyDescent="0.25">
      <c r="H615" t="s">
        <v>135</v>
      </c>
    </row>
    <row r="616" spans="8:8" x14ac:dyDescent="0.25">
      <c r="H616" t="s">
        <v>1710</v>
      </c>
    </row>
    <row r="617" spans="8:8" x14ac:dyDescent="0.25">
      <c r="H617" t="s">
        <v>30</v>
      </c>
    </row>
    <row r="619" spans="8:8" x14ac:dyDescent="0.25">
      <c r="H619" t="s">
        <v>1603</v>
      </c>
    </row>
    <row r="620" spans="8:8" x14ac:dyDescent="0.25">
      <c r="H620" t="s">
        <v>1712</v>
      </c>
    </row>
    <row r="621" spans="8:8" x14ac:dyDescent="0.25">
      <c r="H621" t="s">
        <v>135</v>
      </c>
    </row>
    <row r="622" spans="8:8" x14ac:dyDescent="0.25">
      <c r="H622" t="s">
        <v>1713</v>
      </c>
    </row>
    <row r="623" spans="8:8" x14ac:dyDescent="0.25">
      <c r="H623" t="s">
        <v>30</v>
      </c>
    </row>
    <row r="625" spans="8:8" x14ac:dyDescent="0.25">
      <c r="H625" t="s">
        <v>1604</v>
      </c>
    </row>
    <row r="626" spans="8:8" x14ac:dyDescent="0.25">
      <c r="H626" t="s">
        <v>1715</v>
      </c>
    </row>
    <row r="627" spans="8:8" x14ac:dyDescent="0.25">
      <c r="H627" t="s">
        <v>135</v>
      </c>
    </row>
    <row r="628" spans="8:8" x14ac:dyDescent="0.25">
      <c r="H628" t="s">
        <v>1716</v>
      </c>
    </row>
    <row r="629" spans="8:8" x14ac:dyDescent="0.25">
      <c r="H629" t="s">
        <v>30</v>
      </c>
    </row>
    <row r="631" spans="8:8" x14ac:dyDescent="0.25">
      <c r="H631" t="s">
        <v>1605</v>
      </c>
    </row>
    <row r="632" spans="8:8" x14ac:dyDescent="0.25">
      <c r="H632" t="s">
        <v>1718</v>
      </c>
    </row>
    <row r="633" spans="8:8" x14ac:dyDescent="0.25">
      <c r="H633" t="s">
        <v>135</v>
      </c>
    </row>
    <row r="634" spans="8:8" x14ac:dyDescent="0.25">
      <c r="H634" t="s">
        <v>1719</v>
      </c>
    </row>
    <row r="635" spans="8:8" x14ac:dyDescent="0.25">
      <c r="H635" t="s">
        <v>30</v>
      </c>
    </row>
    <row r="637" spans="8:8" x14ac:dyDescent="0.25">
      <c r="H637" t="s">
        <v>1606</v>
      </c>
    </row>
    <row r="638" spans="8:8" x14ac:dyDescent="0.25">
      <c r="H638" t="s">
        <v>1721</v>
      </c>
    </row>
    <row r="639" spans="8:8" x14ac:dyDescent="0.25">
      <c r="H639" t="s">
        <v>135</v>
      </c>
    </row>
    <row r="640" spans="8:8" x14ac:dyDescent="0.25">
      <c r="H640" t="s">
        <v>1722</v>
      </c>
    </row>
    <row r="641" spans="8:8" x14ac:dyDescent="0.25">
      <c r="H641" t="s">
        <v>30</v>
      </c>
    </row>
    <row r="643" spans="8:8" x14ac:dyDescent="0.25">
      <c r="H643" t="s">
        <v>1607</v>
      </c>
    </row>
    <row r="644" spans="8:8" x14ac:dyDescent="0.25">
      <c r="H644" t="s">
        <v>1724</v>
      </c>
    </row>
    <row r="645" spans="8:8" x14ac:dyDescent="0.25">
      <c r="H645" t="s">
        <v>135</v>
      </c>
    </row>
    <row r="646" spans="8:8" x14ac:dyDescent="0.25">
      <c r="H646" t="s">
        <v>1725</v>
      </c>
    </row>
    <row r="647" spans="8:8" x14ac:dyDescent="0.25">
      <c r="H647" t="s">
        <v>30</v>
      </c>
    </row>
    <row r="649" spans="8:8" x14ac:dyDescent="0.25">
      <c r="H649" t="s">
        <v>1608</v>
      </c>
    </row>
    <row r="650" spans="8:8" x14ac:dyDescent="0.25">
      <c r="H650" t="s">
        <v>1727</v>
      </c>
    </row>
    <row r="651" spans="8:8" x14ac:dyDescent="0.25">
      <c r="H651" t="s">
        <v>135</v>
      </c>
    </row>
    <row r="652" spans="8:8" x14ac:dyDescent="0.25">
      <c r="H652" t="s">
        <v>1728</v>
      </c>
    </row>
    <row r="653" spans="8:8" x14ac:dyDescent="0.25">
      <c r="H653" t="s">
        <v>30</v>
      </c>
    </row>
    <row r="655" spans="8:8" x14ac:dyDescent="0.25">
      <c r="H655" t="s">
        <v>1609</v>
      </c>
    </row>
    <row r="656" spans="8:8" x14ac:dyDescent="0.25">
      <c r="H656" t="s">
        <v>1730</v>
      </c>
    </row>
    <row r="657" spans="8:8" x14ac:dyDescent="0.25">
      <c r="H657" t="s">
        <v>135</v>
      </c>
    </row>
    <row r="658" spans="8:8" x14ac:dyDescent="0.25">
      <c r="H658" t="s">
        <v>1731</v>
      </c>
    </row>
    <row r="659" spans="8:8" x14ac:dyDescent="0.25">
      <c r="H659" t="s">
        <v>30</v>
      </c>
    </row>
    <row r="661" spans="8:8" x14ac:dyDescent="0.25">
      <c r="H661" t="s">
        <v>1610</v>
      </c>
    </row>
    <row r="662" spans="8:8" x14ac:dyDescent="0.25">
      <c r="H662" t="s">
        <v>1733</v>
      </c>
    </row>
    <row r="663" spans="8:8" x14ac:dyDescent="0.25">
      <c r="H663" t="s">
        <v>135</v>
      </c>
    </row>
    <row r="664" spans="8:8" x14ac:dyDescent="0.25">
      <c r="H664" t="s">
        <v>1734</v>
      </c>
    </row>
    <row r="665" spans="8:8" x14ac:dyDescent="0.25">
      <c r="H665" t="s">
        <v>30</v>
      </c>
    </row>
    <row r="667" spans="8:8" x14ac:dyDescent="0.25">
      <c r="H667" t="s">
        <v>1611</v>
      </c>
    </row>
    <row r="668" spans="8:8" x14ac:dyDescent="0.25">
      <c r="H668" t="s">
        <v>1736</v>
      </c>
    </row>
    <row r="669" spans="8:8" x14ac:dyDescent="0.25">
      <c r="H669" t="s">
        <v>135</v>
      </c>
    </row>
    <row r="670" spans="8:8" x14ac:dyDescent="0.25">
      <c r="H670" t="s">
        <v>1737</v>
      </c>
    </row>
    <row r="671" spans="8:8" x14ac:dyDescent="0.25">
      <c r="H671" t="s">
        <v>30</v>
      </c>
    </row>
    <row r="673" spans="8:8" x14ac:dyDescent="0.25">
      <c r="H673" t="s">
        <v>1612</v>
      </c>
    </row>
    <row r="674" spans="8:8" x14ac:dyDescent="0.25">
      <c r="H674" t="s">
        <v>1739</v>
      </c>
    </row>
    <row r="675" spans="8:8" x14ac:dyDescent="0.25">
      <c r="H675" t="s">
        <v>135</v>
      </c>
    </row>
    <row r="676" spans="8:8" x14ac:dyDescent="0.25">
      <c r="H676" t="s">
        <v>1740</v>
      </c>
    </row>
    <row r="677" spans="8:8" x14ac:dyDescent="0.25">
      <c r="H677" t="s">
        <v>30</v>
      </c>
    </row>
    <row r="679" spans="8:8" x14ac:dyDescent="0.25">
      <c r="H679" t="s">
        <v>1613</v>
      </c>
    </row>
    <row r="680" spans="8:8" x14ac:dyDescent="0.25">
      <c r="H680" t="s">
        <v>1742</v>
      </c>
    </row>
    <row r="681" spans="8:8" x14ac:dyDescent="0.25">
      <c r="H681" t="s">
        <v>135</v>
      </c>
    </row>
    <row r="682" spans="8:8" x14ac:dyDescent="0.25">
      <c r="H682" t="s">
        <v>1743</v>
      </c>
    </row>
    <row r="683" spans="8:8" x14ac:dyDescent="0.25">
      <c r="H683" t="s">
        <v>30</v>
      </c>
    </row>
    <row r="685" spans="8:8" x14ac:dyDescent="0.25">
      <c r="H685" t="s">
        <v>1614</v>
      </c>
    </row>
    <row r="686" spans="8:8" x14ac:dyDescent="0.25">
      <c r="H686" t="s">
        <v>1745</v>
      </c>
    </row>
    <row r="687" spans="8:8" x14ac:dyDescent="0.25">
      <c r="H687" t="s">
        <v>135</v>
      </c>
    </row>
    <row r="688" spans="8:8" x14ac:dyDescent="0.25">
      <c r="H688" t="s">
        <v>1746</v>
      </c>
    </row>
    <row r="689" spans="8:8" x14ac:dyDescent="0.25">
      <c r="H689" t="s">
        <v>30</v>
      </c>
    </row>
    <row r="691" spans="8:8" x14ac:dyDescent="0.25">
      <c r="H691" t="s">
        <v>1615</v>
      </c>
    </row>
    <row r="692" spans="8:8" x14ac:dyDescent="0.25">
      <c r="H692" t="s">
        <v>1748</v>
      </c>
    </row>
    <row r="693" spans="8:8" x14ac:dyDescent="0.25">
      <c r="H693" t="s">
        <v>135</v>
      </c>
    </row>
    <row r="694" spans="8:8" x14ac:dyDescent="0.25">
      <c r="H694" t="s">
        <v>1749</v>
      </c>
    </row>
    <row r="695" spans="8:8" x14ac:dyDescent="0.25">
      <c r="H695" t="s">
        <v>30</v>
      </c>
    </row>
    <row r="697" spans="8:8" x14ac:dyDescent="0.25">
      <c r="H697" t="s">
        <v>1616</v>
      </c>
    </row>
    <row r="698" spans="8:8" x14ac:dyDescent="0.25">
      <c r="H698" t="s">
        <v>1751</v>
      </c>
    </row>
    <row r="699" spans="8:8" x14ac:dyDescent="0.25">
      <c r="H699" t="s">
        <v>135</v>
      </c>
    </row>
    <row r="700" spans="8:8" x14ac:dyDescent="0.25">
      <c r="H700" t="s">
        <v>1752</v>
      </c>
    </row>
    <row r="701" spans="8:8" x14ac:dyDescent="0.25">
      <c r="H701" t="s">
        <v>30</v>
      </c>
    </row>
    <row r="703" spans="8:8" x14ac:dyDescent="0.25">
      <c r="H703" t="s">
        <v>1617</v>
      </c>
    </row>
    <row r="704" spans="8:8" x14ac:dyDescent="0.25">
      <c r="H704" t="s">
        <v>1754</v>
      </c>
    </row>
    <row r="705" spans="8:8" x14ac:dyDescent="0.25">
      <c r="H705" t="s">
        <v>135</v>
      </c>
    </row>
    <row r="706" spans="8:8" x14ac:dyDescent="0.25">
      <c r="H706" t="s">
        <v>1755</v>
      </c>
    </row>
    <row r="707" spans="8:8" x14ac:dyDescent="0.25">
      <c r="H707" t="s">
        <v>30</v>
      </c>
    </row>
    <row r="709" spans="8:8" x14ac:dyDescent="0.25">
      <c r="H709" t="s">
        <v>1618</v>
      </c>
    </row>
    <row r="710" spans="8:8" x14ac:dyDescent="0.25">
      <c r="H710" t="s">
        <v>1757</v>
      </c>
    </row>
    <row r="711" spans="8:8" x14ac:dyDescent="0.25">
      <c r="H711" t="s">
        <v>135</v>
      </c>
    </row>
    <row r="712" spans="8:8" x14ac:dyDescent="0.25">
      <c r="H712" t="s">
        <v>1758</v>
      </c>
    </row>
    <row r="713" spans="8:8" x14ac:dyDescent="0.25">
      <c r="H713" t="s">
        <v>30</v>
      </c>
    </row>
    <row r="715" spans="8:8" x14ac:dyDescent="0.25">
      <c r="H715" t="s">
        <v>1619</v>
      </c>
    </row>
    <row r="716" spans="8:8" x14ac:dyDescent="0.25">
      <c r="H716" t="s">
        <v>1760</v>
      </c>
    </row>
    <row r="717" spans="8:8" x14ac:dyDescent="0.25">
      <c r="H717" t="s">
        <v>135</v>
      </c>
    </row>
    <row r="718" spans="8:8" x14ac:dyDescent="0.25">
      <c r="H718" t="s">
        <v>1761</v>
      </c>
    </row>
    <row r="719" spans="8:8" x14ac:dyDescent="0.25">
      <c r="H719" t="s">
        <v>30</v>
      </c>
    </row>
    <row r="721" spans="8:8" x14ac:dyDescent="0.25">
      <c r="H721" t="s">
        <v>1620</v>
      </c>
    </row>
    <row r="722" spans="8:8" x14ac:dyDescent="0.25">
      <c r="H722" t="s">
        <v>1763</v>
      </c>
    </row>
    <row r="723" spans="8:8" x14ac:dyDescent="0.25">
      <c r="H723" t="s">
        <v>135</v>
      </c>
    </row>
    <row r="724" spans="8:8" x14ac:dyDescent="0.25">
      <c r="H724" t="s">
        <v>1764</v>
      </c>
    </row>
    <row r="725" spans="8:8" x14ac:dyDescent="0.25">
      <c r="H725" t="s">
        <v>30</v>
      </c>
    </row>
    <row r="727" spans="8:8" x14ac:dyDescent="0.25">
      <c r="H727" t="s">
        <v>1621</v>
      </c>
    </row>
    <row r="728" spans="8:8" x14ac:dyDescent="0.25">
      <c r="H728" t="s">
        <v>1766</v>
      </c>
    </row>
    <row r="729" spans="8:8" x14ac:dyDescent="0.25">
      <c r="H729" t="s">
        <v>135</v>
      </c>
    </row>
    <row r="730" spans="8:8" x14ac:dyDescent="0.25">
      <c r="H730" t="s">
        <v>1767</v>
      </c>
    </row>
    <row r="731" spans="8:8" x14ac:dyDescent="0.25">
      <c r="H731" t="s">
        <v>30</v>
      </c>
    </row>
    <row r="733" spans="8:8" x14ac:dyDescent="0.25">
      <c r="H733" t="s">
        <v>1622</v>
      </c>
    </row>
    <row r="734" spans="8:8" x14ac:dyDescent="0.25">
      <c r="H734" t="s">
        <v>1769</v>
      </c>
    </row>
    <row r="735" spans="8:8" x14ac:dyDescent="0.25">
      <c r="H735" t="s">
        <v>135</v>
      </c>
    </row>
    <row r="736" spans="8:8" x14ac:dyDescent="0.25">
      <c r="H736" t="s">
        <v>1770</v>
      </c>
    </row>
    <row r="737" spans="8:8" x14ac:dyDescent="0.25">
      <c r="H737" t="s">
        <v>30</v>
      </c>
    </row>
    <row r="739" spans="8:8" x14ac:dyDescent="0.25">
      <c r="H739" t="s">
        <v>1623</v>
      </c>
    </row>
    <row r="740" spans="8:8" x14ac:dyDescent="0.25">
      <c r="H740" t="s">
        <v>1772</v>
      </c>
    </row>
    <row r="741" spans="8:8" x14ac:dyDescent="0.25">
      <c r="H741" t="s">
        <v>135</v>
      </c>
    </row>
    <row r="742" spans="8:8" x14ac:dyDescent="0.25">
      <c r="H742" t="s">
        <v>1773</v>
      </c>
    </row>
    <row r="743" spans="8:8" x14ac:dyDescent="0.25">
      <c r="H743" t="s">
        <v>30</v>
      </c>
    </row>
    <row r="745" spans="8:8" x14ac:dyDescent="0.25">
      <c r="H745" t="s">
        <v>1624</v>
      </c>
    </row>
    <row r="746" spans="8:8" x14ac:dyDescent="0.25">
      <c r="H746" t="s">
        <v>1775</v>
      </c>
    </row>
    <row r="747" spans="8:8" x14ac:dyDescent="0.25">
      <c r="H747" t="s">
        <v>135</v>
      </c>
    </row>
    <row r="748" spans="8:8" x14ac:dyDescent="0.25">
      <c r="H748" t="s">
        <v>1776</v>
      </c>
    </row>
    <row r="749" spans="8:8" x14ac:dyDescent="0.25">
      <c r="H749" t="s">
        <v>30</v>
      </c>
    </row>
    <row r="751" spans="8:8" x14ac:dyDescent="0.25">
      <c r="H751" t="s">
        <v>1625</v>
      </c>
    </row>
    <row r="752" spans="8:8" x14ac:dyDescent="0.25">
      <c r="H752" t="s">
        <v>1778</v>
      </c>
    </row>
    <row r="753" spans="8:8" x14ac:dyDescent="0.25">
      <c r="H753" t="s">
        <v>135</v>
      </c>
    </row>
    <row r="754" spans="8:8" x14ac:dyDescent="0.25">
      <c r="H754" t="s">
        <v>1779</v>
      </c>
    </row>
    <row r="755" spans="8:8" x14ac:dyDescent="0.25">
      <c r="H755" t="s">
        <v>30</v>
      </c>
    </row>
    <row r="757" spans="8:8" x14ac:dyDescent="0.25">
      <c r="H757" t="s">
        <v>1626</v>
      </c>
    </row>
    <row r="758" spans="8:8" x14ac:dyDescent="0.25">
      <c r="H758" t="s">
        <v>1781</v>
      </c>
    </row>
    <row r="759" spans="8:8" x14ac:dyDescent="0.25">
      <c r="H759" t="s">
        <v>135</v>
      </c>
    </row>
    <row r="760" spans="8:8" x14ac:dyDescent="0.25">
      <c r="H760" t="s">
        <v>1782</v>
      </c>
    </row>
    <row r="761" spans="8:8" x14ac:dyDescent="0.25">
      <c r="H761" t="s">
        <v>30</v>
      </c>
    </row>
    <row r="763" spans="8:8" x14ac:dyDescent="0.25">
      <c r="H763" t="s">
        <v>1627</v>
      </c>
    </row>
    <row r="764" spans="8:8" x14ac:dyDescent="0.25">
      <c r="H764" t="s">
        <v>1784</v>
      </c>
    </row>
    <row r="765" spans="8:8" x14ac:dyDescent="0.25">
      <c r="H765" t="s">
        <v>135</v>
      </c>
    </row>
    <row r="766" spans="8:8" x14ac:dyDescent="0.25">
      <c r="H766" t="s">
        <v>1785</v>
      </c>
    </row>
    <row r="767" spans="8:8" x14ac:dyDescent="0.25">
      <c r="H767" t="s">
        <v>30</v>
      </c>
    </row>
    <row r="769" spans="8:8" x14ac:dyDescent="0.25">
      <c r="H769" t="s">
        <v>1628</v>
      </c>
    </row>
    <row r="770" spans="8:8" x14ac:dyDescent="0.25">
      <c r="H770" t="s">
        <v>1787</v>
      </c>
    </row>
    <row r="771" spans="8:8" x14ac:dyDescent="0.25">
      <c r="H771" t="s">
        <v>135</v>
      </c>
    </row>
    <row r="772" spans="8:8" x14ac:dyDescent="0.25">
      <c r="H772" t="s">
        <v>1788</v>
      </c>
    </row>
    <row r="773" spans="8:8" x14ac:dyDescent="0.25">
      <c r="H773" t="s">
        <v>30</v>
      </c>
    </row>
    <row r="775" spans="8:8" x14ac:dyDescent="0.25">
      <c r="H775" t="s">
        <v>1629</v>
      </c>
    </row>
    <row r="776" spans="8:8" x14ac:dyDescent="0.25">
      <c r="H776" t="s">
        <v>1790</v>
      </c>
    </row>
    <row r="777" spans="8:8" x14ac:dyDescent="0.25">
      <c r="H777" t="s">
        <v>135</v>
      </c>
    </row>
    <row r="778" spans="8:8" x14ac:dyDescent="0.25">
      <c r="H778" t="s">
        <v>1791</v>
      </c>
    </row>
    <row r="779" spans="8:8" x14ac:dyDescent="0.25">
      <c r="H779" t="s">
        <v>30</v>
      </c>
    </row>
    <row r="780" spans="8:8" x14ac:dyDescent="0.25">
      <c r="H780" t="s">
        <v>136</v>
      </c>
    </row>
    <row r="781" spans="8:8" x14ac:dyDescent="0.25">
      <c r="H781" t="s">
        <v>1792</v>
      </c>
    </row>
    <row r="782" spans="8:8" x14ac:dyDescent="0.25">
      <c r="H782" t="s">
        <v>30</v>
      </c>
    </row>
    <row r="783" spans="8:8" x14ac:dyDescent="0.25">
      <c r="H783" t="s">
        <v>137</v>
      </c>
    </row>
    <row r="784" spans="8:8" x14ac:dyDescent="0.25">
      <c r="H784" t="s">
        <v>1793</v>
      </c>
    </row>
    <row r="785" spans="8:8" x14ac:dyDescent="0.25">
      <c r="H785" t="s">
        <v>30</v>
      </c>
    </row>
    <row r="787" spans="8:8" x14ac:dyDescent="0.25">
      <c r="H787" t="s">
        <v>1630</v>
      </c>
    </row>
    <row r="788" spans="8:8" x14ac:dyDescent="0.25">
      <c r="H788" t="s">
        <v>1795</v>
      </c>
    </row>
    <row r="789" spans="8:8" x14ac:dyDescent="0.25">
      <c r="H789" t="s">
        <v>135</v>
      </c>
    </row>
    <row r="790" spans="8:8" x14ac:dyDescent="0.25">
      <c r="H790" t="s">
        <v>1796</v>
      </c>
    </row>
    <row r="791" spans="8:8" x14ac:dyDescent="0.25">
      <c r="H791" t="s">
        <v>30</v>
      </c>
    </row>
    <row r="793" spans="8:8" x14ac:dyDescent="0.25">
      <c r="H793" t="s">
        <v>1631</v>
      </c>
    </row>
    <row r="794" spans="8:8" x14ac:dyDescent="0.25">
      <c r="H794" t="s">
        <v>1798</v>
      </c>
    </row>
    <row r="795" spans="8:8" x14ac:dyDescent="0.25">
      <c r="H795" t="s">
        <v>135</v>
      </c>
    </row>
    <row r="796" spans="8:8" x14ac:dyDescent="0.25">
      <c r="H796" t="s">
        <v>1799</v>
      </c>
    </row>
    <row r="797" spans="8:8" x14ac:dyDescent="0.25">
      <c r="H797" t="s">
        <v>30</v>
      </c>
    </row>
    <row r="799" spans="8:8" x14ac:dyDescent="0.25">
      <c r="H799" t="s">
        <v>1634</v>
      </c>
    </row>
    <row r="800" spans="8:8" x14ac:dyDescent="0.25">
      <c r="H800" t="s">
        <v>1801</v>
      </c>
    </row>
    <row r="801" spans="8:8" x14ac:dyDescent="0.25">
      <c r="H801" t="s">
        <v>135</v>
      </c>
    </row>
    <row r="802" spans="8:8" x14ac:dyDescent="0.25">
      <c r="H802" t="s">
        <v>1802</v>
      </c>
    </row>
    <row r="803" spans="8:8" x14ac:dyDescent="0.25">
      <c r="H803" t="s">
        <v>30</v>
      </c>
    </row>
    <row r="805" spans="8:8" x14ac:dyDescent="0.25">
      <c r="H805" t="s">
        <v>1637</v>
      </c>
    </row>
    <row r="806" spans="8:8" x14ac:dyDescent="0.25">
      <c r="H806" t="s">
        <v>1804</v>
      </c>
    </row>
    <row r="807" spans="8:8" x14ac:dyDescent="0.25">
      <c r="H807" t="s">
        <v>135</v>
      </c>
    </row>
    <row r="808" spans="8:8" x14ac:dyDescent="0.25">
      <c r="H808" t="s">
        <v>1805</v>
      </c>
    </row>
    <row r="809" spans="8:8" x14ac:dyDescent="0.25">
      <c r="H809" t="s">
        <v>30</v>
      </c>
    </row>
    <row r="811" spans="8:8" x14ac:dyDescent="0.25">
      <c r="H811" t="s">
        <v>1640</v>
      </c>
    </row>
    <row r="812" spans="8:8" x14ac:dyDescent="0.25">
      <c r="H812" t="s">
        <v>1807</v>
      </c>
    </row>
    <row r="813" spans="8:8" x14ac:dyDescent="0.25">
      <c r="H813" t="s">
        <v>135</v>
      </c>
    </row>
    <row r="814" spans="8:8" x14ac:dyDescent="0.25">
      <c r="H814" t="s">
        <v>1808</v>
      </c>
    </row>
    <row r="815" spans="8:8" x14ac:dyDescent="0.25">
      <c r="H815" t="s">
        <v>30</v>
      </c>
    </row>
    <row r="817" spans="8:8" x14ac:dyDescent="0.25">
      <c r="H817" t="s">
        <v>1643</v>
      </c>
    </row>
    <row r="818" spans="8:8" x14ac:dyDescent="0.25">
      <c r="H818" t="s">
        <v>1810</v>
      </c>
    </row>
    <row r="819" spans="8:8" x14ac:dyDescent="0.25">
      <c r="H819" t="s">
        <v>135</v>
      </c>
    </row>
    <row r="820" spans="8:8" x14ac:dyDescent="0.25">
      <c r="H820" t="s">
        <v>1811</v>
      </c>
    </row>
    <row r="821" spans="8:8" x14ac:dyDescent="0.25">
      <c r="H821" t="s">
        <v>30</v>
      </c>
    </row>
    <row r="823" spans="8:8" x14ac:dyDescent="0.25">
      <c r="H823" t="s">
        <v>1646</v>
      </c>
    </row>
    <row r="824" spans="8:8" x14ac:dyDescent="0.25">
      <c r="H824" t="s">
        <v>1813</v>
      </c>
    </row>
    <row r="825" spans="8:8" x14ac:dyDescent="0.25">
      <c r="H825" t="s">
        <v>135</v>
      </c>
    </row>
    <row r="826" spans="8:8" x14ac:dyDescent="0.25">
      <c r="H826" t="s">
        <v>1814</v>
      </c>
    </row>
    <row r="827" spans="8:8" x14ac:dyDescent="0.25">
      <c r="H827" t="s">
        <v>30</v>
      </c>
    </row>
    <row r="829" spans="8:8" x14ac:dyDescent="0.25">
      <c r="H829" t="s">
        <v>1649</v>
      </c>
    </row>
    <row r="830" spans="8:8" x14ac:dyDescent="0.25">
      <c r="H830" t="s">
        <v>1816</v>
      </c>
    </row>
    <row r="831" spans="8:8" x14ac:dyDescent="0.25">
      <c r="H831" t="s">
        <v>135</v>
      </c>
    </row>
    <row r="832" spans="8:8" x14ac:dyDescent="0.25">
      <c r="H832" t="s">
        <v>1817</v>
      </c>
    </row>
    <row r="833" spans="8:8" x14ac:dyDescent="0.25">
      <c r="H833" t="s">
        <v>30</v>
      </c>
    </row>
    <row r="835" spans="8:8" x14ac:dyDescent="0.25">
      <c r="H835" t="s">
        <v>1652</v>
      </c>
    </row>
    <row r="836" spans="8:8" x14ac:dyDescent="0.25">
      <c r="H836" t="s">
        <v>1819</v>
      </c>
    </row>
    <row r="837" spans="8:8" x14ac:dyDescent="0.25">
      <c r="H837" t="s">
        <v>135</v>
      </c>
    </row>
    <row r="838" spans="8:8" x14ac:dyDescent="0.25">
      <c r="H838" t="s">
        <v>1820</v>
      </c>
    </row>
    <row r="839" spans="8:8" x14ac:dyDescent="0.25">
      <c r="H839" t="s">
        <v>30</v>
      </c>
    </row>
    <row r="841" spans="8:8" x14ac:dyDescent="0.25">
      <c r="H841" t="s">
        <v>1655</v>
      </c>
    </row>
    <row r="842" spans="8:8" x14ac:dyDescent="0.25">
      <c r="H842" t="s">
        <v>1822</v>
      </c>
    </row>
    <row r="843" spans="8:8" x14ac:dyDescent="0.25">
      <c r="H843" t="s">
        <v>135</v>
      </c>
    </row>
    <row r="844" spans="8:8" x14ac:dyDescent="0.25">
      <c r="H844" t="s">
        <v>1823</v>
      </c>
    </row>
    <row r="845" spans="8:8" x14ac:dyDescent="0.25">
      <c r="H845" t="s">
        <v>30</v>
      </c>
    </row>
    <row r="846" spans="8:8" x14ac:dyDescent="0.25">
      <c r="H846" t="s">
        <v>1824</v>
      </c>
    </row>
    <row r="847" spans="8:8" x14ac:dyDescent="0.25">
      <c r="H847" t="s">
        <v>136</v>
      </c>
    </row>
    <row r="848" spans="8:8" x14ac:dyDescent="0.25">
      <c r="H848" t="s">
        <v>1825</v>
      </c>
    </row>
    <row r="849" spans="8:8" x14ac:dyDescent="0.25">
      <c r="H849" t="s">
        <v>30</v>
      </c>
    </row>
    <row r="850" spans="8:8" x14ac:dyDescent="0.25">
      <c r="H850" t="s">
        <v>1826</v>
      </c>
    </row>
    <row r="851" spans="8:8" x14ac:dyDescent="0.25">
      <c r="H851" t="s">
        <v>137</v>
      </c>
    </row>
    <row r="852" spans="8:8" x14ac:dyDescent="0.25">
      <c r="H852" t="s">
        <v>1827</v>
      </c>
    </row>
    <row r="853" spans="8:8" x14ac:dyDescent="0.25">
      <c r="H853" t="s">
        <v>30</v>
      </c>
    </row>
    <row r="854" spans="8:8" x14ac:dyDescent="0.25">
      <c r="H854" t="s">
        <v>1828</v>
      </c>
    </row>
    <row r="855" spans="8:8" x14ac:dyDescent="0.25">
      <c r="H855" t="s">
        <v>138</v>
      </c>
    </row>
    <row r="856" spans="8:8" x14ac:dyDescent="0.25">
      <c r="H856" t="s">
        <v>1829</v>
      </c>
    </row>
    <row r="857" spans="8:8" x14ac:dyDescent="0.25">
      <c r="H857" t="s">
        <v>30</v>
      </c>
    </row>
    <row r="859" spans="8:8" x14ac:dyDescent="0.25">
      <c r="H859" t="s">
        <v>1658</v>
      </c>
    </row>
    <row r="860" spans="8:8" x14ac:dyDescent="0.25">
      <c r="H860" t="s">
        <v>1831</v>
      </c>
    </row>
    <row r="861" spans="8:8" x14ac:dyDescent="0.25">
      <c r="H861" t="s">
        <v>135</v>
      </c>
    </row>
    <row r="862" spans="8:8" x14ac:dyDescent="0.25">
      <c r="H862" t="s">
        <v>1832</v>
      </c>
    </row>
    <row r="863" spans="8:8" x14ac:dyDescent="0.25">
      <c r="H863" t="s">
        <v>30</v>
      </c>
    </row>
    <row r="864" spans="8:8" x14ac:dyDescent="0.25">
      <c r="H864" t="s">
        <v>1833</v>
      </c>
    </row>
    <row r="865" spans="8:8" x14ac:dyDescent="0.25">
      <c r="H865" t="s">
        <v>136</v>
      </c>
    </row>
    <row r="866" spans="8:8" x14ac:dyDescent="0.25">
      <c r="H866" t="s">
        <v>1834</v>
      </c>
    </row>
    <row r="867" spans="8:8" x14ac:dyDescent="0.25">
      <c r="H867" t="s">
        <v>30</v>
      </c>
    </row>
    <row r="869" spans="8:8" x14ac:dyDescent="0.25">
      <c r="H869" t="s">
        <v>1667</v>
      </c>
    </row>
    <row r="870" spans="8:8" x14ac:dyDescent="0.25">
      <c r="H870" t="s">
        <v>1836</v>
      </c>
    </row>
    <row r="871" spans="8:8" x14ac:dyDescent="0.25">
      <c r="H871" t="s">
        <v>135</v>
      </c>
    </row>
    <row r="872" spans="8:8" x14ac:dyDescent="0.25">
      <c r="H872" t="s">
        <v>1837</v>
      </c>
    </row>
    <row r="873" spans="8:8" x14ac:dyDescent="0.25">
      <c r="H873" t="s">
        <v>30</v>
      </c>
    </row>
    <row r="875" spans="8:8" x14ac:dyDescent="0.25">
      <c r="H875" t="s">
        <v>1672</v>
      </c>
    </row>
    <row r="876" spans="8:8" x14ac:dyDescent="0.25">
      <c r="H876" t="s">
        <v>1839</v>
      </c>
    </row>
    <row r="877" spans="8:8" x14ac:dyDescent="0.25">
      <c r="H877" t="s">
        <v>135</v>
      </c>
    </row>
    <row r="878" spans="8:8" x14ac:dyDescent="0.25">
      <c r="H878" t="s">
        <v>1840</v>
      </c>
    </row>
    <row r="879" spans="8:8" x14ac:dyDescent="0.25">
      <c r="H879" t="s">
        <v>30</v>
      </c>
    </row>
    <row r="881" spans="8:8" x14ac:dyDescent="0.25">
      <c r="H881" t="s">
        <v>1675</v>
      </c>
    </row>
    <row r="882" spans="8:8" x14ac:dyDescent="0.25">
      <c r="H882" t="s">
        <v>1842</v>
      </c>
    </row>
    <row r="883" spans="8:8" x14ac:dyDescent="0.25">
      <c r="H883" t="s">
        <v>135</v>
      </c>
    </row>
    <row r="884" spans="8:8" x14ac:dyDescent="0.25">
      <c r="H884" t="s">
        <v>1843</v>
      </c>
    </row>
    <row r="885" spans="8:8" x14ac:dyDescent="0.25">
      <c r="H885" t="s">
        <v>30</v>
      </c>
    </row>
    <row r="887" spans="8:8" x14ac:dyDescent="0.25">
      <c r="H887" t="s">
        <v>1678</v>
      </c>
    </row>
    <row r="888" spans="8:8" x14ac:dyDescent="0.25">
      <c r="H888" t="s">
        <v>1845</v>
      </c>
    </row>
    <row r="889" spans="8:8" x14ac:dyDescent="0.25">
      <c r="H889" t="s">
        <v>135</v>
      </c>
    </row>
    <row r="890" spans="8:8" x14ac:dyDescent="0.25">
      <c r="H890" t="s">
        <v>1846</v>
      </c>
    </row>
    <row r="891" spans="8:8" x14ac:dyDescent="0.25">
      <c r="H891" t="s">
        <v>30</v>
      </c>
    </row>
    <row r="893" spans="8:8" x14ac:dyDescent="0.25">
      <c r="H893" t="s">
        <v>1681</v>
      </c>
    </row>
    <row r="894" spans="8:8" x14ac:dyDescent="0.25">
      <c r="H894" t="s">
        <v>1848</v>
      </c>
    </row>
    <row r="895" spans="8:8" x14ac:dyDescent="0.25">
      <c r="H895" t="s">
        <v>135</v>
      </c>
    </row>
    <row r="896" spans="8:8" x14ac:dyDescent="0.25">
      <c r="H896" t="s">
        <v>1849</v>
      </c>
    </row>
    <row r="897" spans="8:8" x14ac:dyDescent="0.25">
      <c r="H897" t="s">
        <v>30</v>
      </c>
    </row>
    <row r="899" spans="8:8" x14ac:dyDescent="0.25">
      <c r="H899" t="s">
        <v>1684</v>
      </c>
    </row>
    <row r="900" spans="8:8" x14ac:dyDescent="0.25">
      <c r="H900" t="s">
        <v>1851</v>
      </c>
    </row>
    <row r="901" spans="8:8" x14ac:dyDescent="0.25">
      <c r="H901" t="s">
        <v>135</v>
      </c>
    </row>
    <row r="902" spans="8:8" x14ac:dyDescent="0.25">
      <c r="H902" t="s">
        <v>1852</v>
      </c>
    </row>
    <row r="903" spans="8:8" x14ac:dyDescent="0.25">
      <c r="H903" t="s">
        <v>30</v>
      </c>
    </row>
    <row r="905" spans="8:8" x14ac:dyDescent="0.25">
      <c r="H905" t="s">
        <v>1687</v>
      </c>
    </row>
    <row r="906" spans="8:8" x14ac:dyDescent="0.25">
      <c r="H906" t="s">
        <v>1854</v>
      </c>
    </row>
    <row r="907" spans="8:8" x14ac:dyDescent="0.25">
      <c r="H907" t="s">
        <v>135</v>
      </c>
    </row>
    <row r="908" spans="8:8" x14ac:dyDescent="0.25">
      <c r="H908" t="s">
        <v>1855</v>
      </c>
    </row>
    <row r="909" spans="8:8" x14ac:dyDescent="0.25">
      <c r="H909" t="s">
        <v>30</v>
      </c>
    </row>
    <row r="911" spans="8:8" x14ac:dyDescent="0.25">
      <c r="H911" t="s">
        <v>1690</v>
      </c>
    </row>
    <row r="912" spans="8:8" x14ac:dyDescent="0.25">
      <c r="H912" t="s">
        <v>1857</v>
      </c>
    </row>
    <row r="913" spans="8:8" x14ac:dyDescent="0.25">
      <c r="H913" t="s">
        <v>135</v>
      </c>
    </row>
    <row r="914" spans="8:8" x14ac:dyDescent="0.25">
      <c r="H914" t="s">
        <v>1858</v>
      </c>
    </row>
    <row r="915" spans="8:8" x14ac:dyDescent="0.25">
      <c r="H915" t="s">
        <v>30</v>
      </c>
    </row>
    <row r="917" spans="8:8" x14ac:dyDescent="0.25">
      <c r="H917" t="s">
        <v>1693</v>
      </c>
    </row>
    <row r="918" spans="8:8" x14ac:dyDescent="0.25">
      <c r="H918" t="s">
        <v>1860</v>
      </c>
    </row>
    <row r="919" spans="8:8" x14ac:dyDescent="0.25">
      <c r="H919" t="s">
        <v>135</v>
      </c>
    </row>
    <row r="920" spans="8:8" x14ac:dyDescent="0.25">
      <c r="H920" t="s">
        <v>1861</v>
      </c>
    </row>
    <row r="921" spans="8:8" x14ac:dyDescent="0.25">
      <c r="H921" t="s">
        <v>30</v>
      </c>
    </row>
    <row r="923" spans="8:8" x14ac:dyDescent="0.25">
      <c r="H923" t="s">
        <v>1696</v>
      </c>
    </row>
    <row r="924" spans="8:8" x14ac:dyDescent="0.25">
      <c r="H924" t="s">
        <v>1863</v>
      </c>
    </row>
    <row r="925" spans="8:8" x14ac:dyDescent="0.25">
      <c r="H925" t="s">
        <v>135</v>
      </c>
    </row>
    <row r="926" spans="8:8" x14ac:dyDescent="0.25">
      <c r="H926" t="s">
        <v>1864</v>
      </c>
    </row>
    <row r="927" spans="8:8" x14ac:dyDescent="0.25">
      <c r="H927" t="s">
        <v>30</v>
      </c>
    </row>
    <row r="929" spans="8:8" x14ac:dyDescent="0.25">
      <c r="H929" t="s">
        <v>1699</v>
      </c>
    </row>
    <row r="930" spans="8:8" x14ac:dyDescent="0.25">
      <c r="H930" t="s">
        <v>1866</v>
      </c>
    </row>
    <row r="931" spans="8:8" x14ac:dyDescent="0.25">
      <c r="H931" t="s">
        <v>135</v>
      </c>
    </row>
    <row r="932" spans="8:8" x14ac:dyDescent="0.25">
      <c r="H932" t="s">
        <v>1867</v>
      </c>
    </row>
    <row r="933" spans="8:8" x14ac:dyDescent="0.25">
      <c r="H933" t="s">
        <v>30</v>
      </c>
    </row>
    <row r="935" spans="8:8" x14ac:dyDescent="0.25">
      <c r="H935" t="s">
        <v>1702</v>
      </c>
    </row>
    <row r="936" spans="8:8" x14ac:dyDescent="0.25">
      <c r="H936" t="s">
        <v>1869</v>
      </c>
    </row>
    <row r="937" spans="8:8" x14ac:dyDescent="0.25">
      <c r="H937" t="s">
        <v>135</v>
      </c>
    </row>
    <row r="938" spans="8:8" x14ac:dyDescent="0.25">
      <c r="H938" t="s">
        <v>1870</v>
      </c>
    </row>
    <row r="939" spans="8:8" x14ac:dyDescent="0.25">
      <c r="H939" t="s">
        <v>30</v>
      </c>
    </row>
    <row r="941" spans="8:8" x14ac:dyDescent="0.25">
      <c r="H941" t="s">
        <v>1705</v>
      </c>
    </row>
    <row r="942" spans="8:8" x14ac:dyDescent="0.25">
      <c r="H942" t="s">
        <v>1872</v>
      </c>
    </row>
    <row r="943" spans="8:8" x14ac:dyDescent="0.25">
      <c r="H943" t="s">
        <v>135</v>
      </c>
    </row>
    <row r="944" spans="8:8" x14ac:dyDescent="0.25">
      <c r="H944" t="s">
        <v>1873</v>
      </c>
    </row>
    <row r="945" spans="8:8" x14ac:dyDescent="0.25">
      <c r="H945" t="s">
        <v>30</v>
      </c>
    </row>
    <row r="947" spans="8:8" x14ac:dyDescent="0.25">
      <c r="H947" t="s">
        <v>1708</v>
      </c>
    </row>
    <row r="948" spans="8:8" x14ac:dyDescent="0.25">
      <c r="H948" t="s">
        <v>1875</v>
      </c>
    </row>
    <row r="949" spans="8:8" x14ac:dyDescent="0.25">
      <c r="H949" t="s">
        <v>135</v>
      </c>
    </row>
    <row r="950" spans="8:8" x14ac:dyDescent="0.25">
      <c r="H950" t="s">
        <v>1876</v>
      </c>
    </row>
    <row r="951" spans="8:8" x14ac:dyDescent="0.25">
      <c r="H951" t="s">
        <v>30</v>
      </c>
    </row>
    <row r="953" spans="8:8" x14ac:dyDescent="0.25">
      <c r="H953" t="s">
        <v>1711</v>
      </c>
    </row>
    <row r="954" spans="8:8" x14ac:dyDescent="0.25">
      <c r="H954" t="s">
        <v>1878</v>
      </c>
    </row>
    <row r="955" spans="8:8" x14ac:dyDescent="0.25">
      <c r="H955" t="s">
        <v>135</v>
      </c>
    </row>
    <row r="956" spans="8:8" x14ac:dyDescent="0.25">
      <c r="H956" t="s">
        <v>1879</v>
      </c>
    </row>
    <row r="957" spans="8:8" x14ac:dyDescent="0.25">
      <c r="H957" t="s">
        <v>30</v>
      </c>
    </row>
    <row r="959" spans="8:8" x14ac:dyDescent="0.25">
      <c r="H959" t="s">
        <v>1714</v>
      </c>
    </row>
    <row r="960" spans="8:8" x14ac:dyDescent="0.25">
      <c r="H960" t="s">
        <v>1881</v>
      </c>
    </row>
    <row r="961" spans="8:8" x14ac:dyDescent="0.25">
      <c r="H961" t="s">
        <v>135</v>
      </c>
    </row>
    <row r="962" spans="8:8" x14ac:dyDescent="0.25">
      <c r="H962" t="s">
        <v>1882</v>
      </c>
    </row>
    <row r="963" spans="8:8" x14ac:dyDescent="0.25">
      <c r="H963" t="s">
        <v>30</v>
      </c>
    </row>
    <row r="965" spans="8:8" x14ac:dyDescent="0.25">
      <c r="H965" t="s">
        <v>1717</v>
      </c>
    </row>
    <row r="966" spans="8:8" x14ac:dyDescent="0.25">
      <c r="H966" t="s">
        <v>1884</v>
      </c>
    </row>
    <row r="967" spans="8:8" x14ac:dyDescent="0.25">
      <c r="H967" t="s">
        <v>135</v>
      </c>
    </row>
    <row r="968" spans="8:8" x14ac:dyDescent="0.25">
      <c r="H968" t="s">
        <v>1885</v>
      </c>
    </row>
    <row r="969" spans="8:8" x14ac:dyDescent="0.25">
      <c r="H969" t="s">
        <v>30</v>
      </c>
    </row>
    <row r="971" spans="8:8" x14ac:dyDescent="0.25">
      <c r="H971" t="s">
        <v>1720</v>
      </c>
    </row>
    <row r="972" spans="8:8" x14ac:dyDescent="0.25">
      <c r="H972" t="s">
        <v>1887</v>
      </c>
    </row>
    <row r="973" spans="8:8" x14ac:dyDescent="0.25">
      <c r="H973" t="s">
        <v>135</v>
      </c>
    </row>
    <row r="974" spans="8:8" x14ac:dyDescent="0.25">
      <c r="H974" t="s">
        <v>1888</v>
      </c>
    </row>
    <row r="975" spans="8:8" x14ac:dyDescent="0.25">
      <c r="H975" t="s">
        <v>30</v>
      </c>
    </row>
    <row r="977" spans="8:8" x14ac:dyDescent="0.25">
      <c r="H977" t="s">
        <v>1723</v>
      </c>
    </row>
    <row r="978" spans="8:8" x14ac:dyDescent="0.25">
      <c r="H978" t="s">
        <v>1890</v>
      </c>
    </row>
    <row r="979" spans="8:8" x14ac:dyDescent="0.25">
      <c r="H979" t="s">
        <v>135</v>
      </c>
    </row>
    <row r="980" spans="8:8" x14ac:dyDescent="0.25">
      <c r="H980" t="s">
        <v>1891</v>
      </c>
    </row>
    <row r="981" spans="8:8" x14ac:dyDescent="0.25">
      <c r="H981" t="s">
        <v>30</v>
      </c>
    </row>
    <row r="983" spans="8:8" x14ac:dyDescent="0.25">
      <c r="H983" t="s">
        <v>1726</v>
      </c>
    </row>
    <row r="984" spans="8:8" x14ac:dyDescent="0.25">
      <c r="H984" t="s">
        <v>1893</v>
      </c>
    </row>
    <row r="985" spans="8:8" x14ac:dyDescent="0.25">
      <c r="H985" t="s">
        <v>135</v>
      </c>
    </row>
    <row r="986" spans="8:8" x14ac:dyDescent="0.25">
      <c r="H986" t="s">
        <v>1894</v>
      </c>
    </row>
    <row r="987" spans="8:8" x14ac:dyDescent="0.25">
      <c r="H987" t="s">
        <v>30</v>
      </c>
    </row>
    <row r="989" spans="8:8" x14ac:dyDescent="0.25">
      <c r="H989" t="s">
        <v>1729</v>
      </c>
    </row>
    <row r="990" spans="8:8" x14ac:dyDescent="0.25">
      <c r="H990" t="s">
        <v>1896</v>
      </c>
    </row>
    <row r="991" spans="8:8" x14ac:dyDescent="0.25">
      <c r="H991" t="s">
        <v>135</v>
      </c>
    </row>
    <row r="992" spans="8:8" x14ac:dyDescent="0.25">
      <c r="H992" t="s">
        <v>1897</v>
      </c>
    </row>
    <row r="993" spans="8:8" x14ac:dyDescent="0.25">
      <c r="H993" t="s">
        <v>30</v>
      </c>
    </row>
    <row r="995" spans="8:8" x14ac:dyDescent="0.25">
      <c r="H995" t="s">
        <v>1732</v>
      </c>
    </row>
    <row r="996" spans="8:8" x14ac:dyDescent="0.25">
      <c r="H996" t="s">
        <v>1899</v>
      </c>
    </row>
    <row r="997" spans="8:8" x14ac:dyDescent="0.25">
      <c r="H997" t="s">
        <v>135</v>
      </c>
    </row>
    <row r="998" spans="8:8" x14ac:dyDescent="0.25">
      <c r="H998" t="s">
        <v>1900</v>
      </c>
    </row>
    <row r="999" spans="8:8" x14ac:dyDescent="0.25">
      <c r="H999" t="s">
        <v>30</v>
      </c>
    </row>
    <row r="1001" spans="8:8" x14ac:dyDescent="0.25">
      <c r="H1001" t="s">
        <v>1735</v>
      </c>
    </row>
    <row r="1002" spans="8:8" x14ac:dyDescent="0.25">
      <c r="H1002" t="s">
        <v>1902</v>
      </c>
    </row>
    <row r="1003" spans="8:8" x14ac:dyDescent="0.25">
      <c r="H1003" t="s">
        <v>135</v>
      </c>
    </row>
    <row r="1004" spans="8:8" x14ac:dyDescent="0.25">
      <c r="H1004" t="s">
        <v>1903</v>
      </c>
    </row>
    <row r="1005" spans="8:8" x14ac:dyDescent="0.25">
      <c r="H1005" t="s">
        <v>30</v>
      </c>
    </row>
    <row r="1007" spans="8:8" x14ac:dyDescent="0.25">
      <c r="H1007" t="s">
        <v>1738</v>
      </c>
    </row>
    <row r="1008" spans="8:8" x14ac:dyDescent="0.25">
      <c r="H1008" t="s">
        <v>1905</v>
      </c>
    </row>
    <row r="1009" spans="8:8" x14ac:dyDescent="0.25">
      <c r="H1009" t="s">
        <v>135</v>
      </c>
    </row>
    <row r="1010" spans="8:8" x14ac:dyDescent="0.25">
      <c r="H1010" t="s">
        <v>1906</v>
      </c>
    </row>
    <row r="1011" spans="8:8" x14ac:dyDescent="0.25">
      <c r="H1011" t="s">
        <v>30</v>
      </c>
    </row>
    <row r="1013" spans="8:8" x14ac:dyDescent="0.25">
      <c r="H1013" t="s">
        <v>1741</v>
      </c>
    </row>
    <row r="1014" spans="8:8" x14ac:dyDescent="0.25">
      <c r="H1014" t="s">
        <v>1908</v>
      </c>
    </row>
    <row r="1015" spans="8:8" x14ac:dyDescent="0.25">
      <c r="H1015" t="s">
        <v>135</v>
      </c>
    </row>
    <row r="1016" spans="8:8" x14ac:dyDescent="0.25">
      <c r="H1016" t="s">
        <v>1909</v>
      </c>
    </row>
    <row r="1017" spans="8:8" x14ac:dyDescent="0.25">
      <c r="H1017" t="s">
        <v>30</v>
      </c>
    </row>
    <row r="1019" spans="8:8" x14ac:dyDescent="0.25">
      <c r="H1019" t="s">
        <v>1744</v>
      </c>
    </row>
    <row r="1020" spans="8:8" x14ac:dyDescent="0.25">
      <c r="H1020" t="s">
        <v>1911</v>
      </c>
    </row>
    <row r="1021" spans="8:8" x14ac:dyDescent="0.25">
      <c r="H1021" t="s">
        <v>135</v>
      </c>
    </row>
    <row r="1022" spans="8:8" x14ac:dyDescent="0.25">
      <c r="H1022" t="s">
        <v>1912</v>
      </c>
    </row>
    <row r="1023" spans="8:8" x14ac:dyDescent="0.25">
      <c r="H1023" t="s">
        <v>30</v>
      </c>
    </row>
    <row r="1025" spans="8:8" x14ac:dyDescent="0.25">
      <c r="H1025" t="s">
        <v>1747</v>
      </c>
    </row>
    <row r="1026" spans="8:8" x14ac:dyDescent="0.25">
      <c r="H1026" t="s">
        <v>1914</v>
      </c>
    </row>
    <row r="1027" spans="8:8" x14ac:dyDescent="0.25">
      <c r="H1027" t="s">
        <v>135</v>
      </c>
    </row>
    <row r="1028" spans="8:8" x14ac:dyDescent="0.25">
      <c r="H1028" t="s">
        <v>1915</v>
      </c>
    </row>
    <row r="1029" spans="8:8" x14ac:dyDescent="0.25">
      <c r="H1029" t="s">
        <v>30</v>
      </c>
    </row>
    <row r="1031" spans="8:8" x14ac:dyDescent="0.25">
      <c r="H1031" t="s">
        <v>1750</v>
      </c>
    </row>
    <row r="1032" spans="8:8" x14ac:dyDescent="0.25">
      <c r="H1032" t="s">
        <v>1917</v>
      </c>
    </row>
    <row r="1033" spans="8:8" x14ac:dyDescent="0.25">
      <c r="H1033" t="s">
        <v>135</v>
      </c>
    </row>
    <row r="1034" spans="8:8" x14ac:dyDescent="0.25">
      <c r="H1034" t="s">
        <v>1918</v>
      </c>
    </row>
    <row r="1035" spans="8:8" x14ac:dyDescent="0.25">
      <c r="H1035" t="s">
        <v>30</v>
      </c>
    </row>
    <row r="1037" spans="8:8" x14ac:dyDescent="0.25">
      <c r="H1037" t="s">
        <v>1753</v>
      </c>
    </row>
    <row r="1038" spans="8:8" x14ac:dyDescent="0.25">
      <c r="H1038" t="s">
        <v>1920</v>
      </c>
    </row>
    <row r="1039" spans="8:8" x14ac:dyDescent="0.25">
      <c r="H1039" t="s">
        <v>135</v>
      </c>
    </row>
    <row r="1040" spans="8:8" x14ac:dyDescent="0.25">
      <c r="H1040" t="s">
        <v>1921</v>
      </c>
    </row>
    <row r="1041" spans="8:8" x14ac:dyDescent="0.25">
      <c r="H1041" t="s">
        <v>30</v>
      </c>
    </row>
    <row r="1043" spans="8:8" x14ac:dyDescent="0.25">
      <c r="H1043" t="s">
        <v>1756</v>
      </c>
    </row>
    <row r="1044" spans="8:8" x14ac:dyDescent="0.25">
      <c r="H1044" t="s">
        <v>1923</v>
      </c>
    </row>
    <row r="1045" spans="8:8" x14ac:dyDescent="0.25">
      <c r="H1045" t="s">
        <v>135</v>
      </c>
    </row>
    <row r="1046" spans="8:8" x14ac:dyDescent="0.25">
      <c r="H1046" t="s">
        <v>1924</v>
      </c>
    </row>
    <row r="1047" spans="8:8" x14ac:dyDescent="0.25">
      <c r="H1047" t="s">
        <v>30</v>
      </c>
    </row>
    <row r="1049" spans="8:8" x14ac:dyDescent="0.25">
      <c r="H1049" t="s">
        <v>1759</v>
      </c>
    </row>
    <row r="1050" spans="8:8" x14ac:dyDescent="0.25">
      <c r="H1050" t="s">
        <v>1926</v>
      </c>
    </row>
    <row r="1051" spans="8:8" x14ac:dyDescent="0.25">
      <c r="H1051" t="s">
        <v>135</v>
      </c>
    </row>
    <row r="1052" spans="8:8" x14ac:dyDescent="0.25">
      <c r="H1052" t="s">
        <v>1927</v>
      </c>
    </row>
    <row r="1053" spans="8:8" x14ac:dyDescent="0.25">
      <c r="H1053" t="s">
        <v>30</v>
      </c>
    </row>
    <row r="1055" spans="8:8" x14ac:dyDescent="0.25">
      <c r="H1055" t="s">
        <v>1762</v>
      </c>
    </row>
    <row r="1056" spans="8:8" x14ac:dyDescent="0.25">
      <c r="H1056" t="s">
        <v>1929</v>
      </c>
    </row>
    <row r="1057" spans="8:8" x14ac:dyDescent="0.25">
      <c r="H1057" t="s">
        <v>135</v>
      </c>
    </row>
    <row r="1058" spans="8:8" x14ac:dyDescent="0.25">
      <c r="H1058" t="s">
        <v>1930</v>
      </c>
    </row>
    <row r="1059" spans="8:8" x14ac:dyDescent="0.25">
      <c r="H1059" t="s">
        <v>30</v>
      </c>
    </row>
    <row r="1061" spans="8:8" x14ac:dyDescent="0.25">
      <c r="H1061" t="s">
        <v>1765</v>
      </c>
    </row>
    <row r="1062" spans="8:8" x14ac:dyDescent="0.25">
      <c r="H1062" t="s">
        <v>1932</v>
      </c>
    </row>
    <row r="1063" spans="8:8" x14ac:dyDescent="0.25">
      <c r="H1063" t="s">
        <v>135</v>
      </c>
    </row>
    <row r="1064" spans="8:8" x14ac:dyDescent="0.25">
      <c r="H1064" t="s">
        <v>1933</v>
      </c>
    </row>
    <row r="1065" spans="8:8" x14ac:dyDescent="0.25">
      <c r="H1065" t="s">
        <v>30</v>
      </c>
    </row>
    <row r="1067" spans="8:8" x14ac:dyDescent="0.25">
      <c r="H1067" t="s">
        <v>1768</v>
      </c>
    </row>
    <row r="1068" spans="8:8" x14ac:dyDescent="0.25">
      <c r="H1068" t="s">
        <v>1935</v>
      </c>
    </row>
    <row r="1069" spans="8:8" x14ac:dyDescent="0.25">
      <c r="H1069" t="s">
        <v>135</v>
      </c>
    </row>
    <row r="1070" spans="8:8" x14ac:dyDescent="0.25">
      <c r="H1070" t="s">
        <v>1936</v>
      </c>
    </row>
    <row r="1071" spans="8:8" x14ac:dyDescent="0.25">
      <c r="H1071" t="s">
        <v>30</v>
      </c>
    </row>
    <row r="1073" spans="8:8" x14ac:dyDescent="0.25">
      <c r="H1073" t="s">
        <v>1771</v>
      </c>
    </row>
    <row r="1074" spans="8:8" x14ac:dyDescent="0.25">
      <c r="H1074" t="s">
        <v>1938</v>
      </c>
    </row>
    <row r="1075" spans="8:8" x14ac:dyDescent="0.25">
      <c r="H1075" t="s">
        <v>135</v>
      </c>
    </row>
    <row r="1076" spans="8:8" x14ac:dyDescent="0.25">
      <c r="H1076" t="s">
        <v>1939</v>
      </c>
    </row>
    <row r="1077" spans="8:8" x14ac:dyDescent="0.25">
      <c r="H1077" t="s">
        <v>30</v>
      </c>
    </row>
    <row r="1079" spans="8:8" x14ac:dyDescent="0.25">
      <c r="H1079" t="s">
        <v>1774</v>
      </c>
    </row>
    <row r="1080" spans="8:8" x14ac:dyDescent="0.25">
      <c r="H1080" t="s">
        <v>1941</v>
      </c>
    </row>
    <row r="1081" spans="8:8" x14ac:dyDescent="0.25">
      <c r="H1081" t="s">
        <v>135</v>
      </c>
    </row>
    <row r="1082" spans="8:8" x14ac:dyDescent="0.25">
      <c r="H1082" t="s">
        <v>1942</v>
      </c>
    </row>
    <row r="1083" spans="8:8" x14ac:dyDescent="0.25">
      <c r="H1083" t="s">
        <v>30</v>
      </c>
    </row>
    <row r="1085" spans="8:8" x14ac:dyDescent="0.25">
      <c r="H1085" t="s">
        <v>1777</v>
      </c>
    </row>
    <row r="1086" spans="8:8" x14ac:dyDescent="0.25">
      <c r="H1086" t="s">
        <v>1944</v>
      </c>
    </row>
    <row r="1087" spans="8:8" x14ac:dyDescent="0.25">
      <c r="H1087" t="s">
        <v>135</v>
      </c>
    </row>
    <row r="1088" spans="8:8" x14ac:dyDescent="0.25">
      <c r="H1088" t="s">
        <v>1945</v>
      </c>
    </row>
    <row r="1089" spans="8:8" x14ac:dyDescent="0.25">
      <c r="H1089" t="s">
        <v>30</v>
      </c>
    </row>
    <row r="1091" spans="8:8" x14ac:dyDescent="0.25">
      <c r="H1091" t="s">
        <v>1780</v>
      </c>
    </row>
    <row r="1092" spans="8:8" x14ac:dyDescent="0.25">
      <c r="H1092" t="s">
        <v>1947</v>
      </c>
    </row>
    <row r="1093" spans="8:8" x14ac:dyDescent="0.25">
      <c r="H1093" t="s">
        <v>135</v>
      </c>
    </row>
    <row r="1094" spans="8:8" x14ac:dyDescent="0.25">
      <c r="H1094" t="s">
        <v>1948</v>
      </c>
    </row>
    <row r="1095" spans="8:8" x14ac:dyDescent="0.25">
      <c r="H1095" t="s">
        <v>30</v>
      </c>
    </row>
    <row r="1097" spans="8:8" x14ac:dyDescent="0.25">
      <c r="H1097" t="s">
        <v>1783</v>
      </c>
    </row>
    <row r="1098" spans="8:8" x14ac:dyDescent="0.25">
      <c r="H1098" t="s">
        <v>1950</v>
      </c>
    </row>
    <row r="1099" spans="8:8" x14ac:dyDescent="0.25">
      <c r="H1099" t="s">
        <v>135</v>
      </c>
    </row>
    <row r="1100" spans="8:8" x14ac:dyDescent="0.25">
      <c r="H1100" t="s">
        <v>1951</v>
      </c>
    </row>
    <row r="1101" spans="8:8" x14ac:dyDescent="0.25">
      <c r="H1101" t="s">
        <v>30</v>
      </c>
    </row>
    <row r="1103" spans="8:8" x14ac:dyDescent="0.25">
      <c r="H1103" t="s">
        <v>1786</v>
      </c>
    </row>
    <row r="1104" spans="8:8" x14ac:dyDescent="0.25">
      <c r="H1104" t="s">
        <v>1953</v>
      </c>
    </row>
    <row r="1105" spans="8:8" x14ac:dyDescent="0.25">
      <c r="H1105" t="s">
        <v>135</v>
      </c>
    </row>
    <row r="1106" spans="8:8" x14ac:dyDescent="0.25">
      <c r="H1106" t="s">
        <v>1954</v>
      </c>
    </row>
    <row r="1107" spans="8:8" x14ac:dyDescent="0.25">
      <c r="H1107" t="s">
        <v>30</v>
      </c>
    </row>
    <row r="1108" spans="8:8" x14ac:dyDescent="0.25">
      <c r="H1108" t="s">
        <v>136</v>
      </c>
    </row>
    <row r="1109" spans="8:8" x14ac:dyDescent="0.25">
      <c r="H1109" t="s">
        <v>1955</v>
      </c>
    </row>
    <row r="1110" spans="8:8" x14ac:dyDescent="0.25">
      <c r="H1110" t="s">
        <v>30</v>
      </c>
    </row>
    <row r="1111" spans="8:8" x14ac:dyDescent="0.25">
      <c r="H1111" t="s">
        <v>137</v>
      </c>
    </row>
    <row r="1112" spans="8:8" x14ac:dyDescent="0.25">
      <c r="H1112" t="s">
        <v>1956</v>
      </c>
    </row>
    <row r="1113" spans="8:8" x14ac:dyDescent="0.25">
      <c r="H1113" t="s">
        <v>30</v>
      </c>
    </row>
    <row r="1115" spans="8:8" x14ac:dyDescent="0.25">
      <c r="H1115" t="s">
        <v>1789</v>
      </c>
    </row>
    <row r="1116" spans="8:8" x14ac:dyDescent="0.25">
      <c r="H1116" t="s">
        <v>1958</v>
      </c>
    </row>
    <row r="1117" spans="8:8" x14ac:dyDescent="0.25">
      <c r="H1117" t="s">
        <v>135</v>
      </c>
    </row>
    <row r="1118" spans="8:8" x14ac:dyDescent="0.25">
      <c r="H1118" t="s">
        <v>1959</v>
      </c>
    </row>
    <row r="1119" spans="8:8" x14ac:dyDescent="0.25">
      <c r="H1119" t="s">
        <v>30</v>
      </c>
    </row>
    <row r="1120" spans="8:8" x14ac:dyDescent="0.25">
      <c r="H1120" t="s">
        <v>136</v>
      </c>
    </row>
    <row r="1121" spans="8:8" x14ac:dyDescent="0.25">
      <c r="H1121" t="s">
        <v>1960</v>
      </c>
    </row>
    <row r="1122" spans="8:8" x14ac:dyDescent="0.25">
      <c r="H1122" t="s">
        <v>30</v>
      </c>
    </row>
    <row r="1123" spans="8:8" x14ac:dyDescent="0.25">
      <c r="H1123" t="s">
        <v>137</v>
      </c>
    </row>
    <row r="1124" spans="8:8" x14ac:dyDescent="0.25">
      <c r="H1124" t="s">
        <v>1961</v>
      </c>
    </row>
    <row r="1125" spans="8:8" x14ac:dyDescent="0.25">
      <c r="H1125" t="s">
        <v>30</v>
      </c>
    </row>
    <row r="1126" spans="8:8" x14ac:dyDescent="0.25">
      <c r="H1126" t="s">
        <v>138</v>
      </c>
    </row>
    <row r="1127" spans="8:8" x14ac:dyDescent="0.25">
      <c r="H1127" t="s">
        <v>1962</v>
      </c>
    </row>
    <row r="1128" spans="8:8" x14ac:dyDescent="0.25">
      <c r="H1128" t="s">
        <v>30</v>
      </c>
    </row>
    <row r="1130" spans="8:8" x14ac:dyDescent="0.25">
      <c r="H1130" t="s">
        <v>1794</v>
      </c>
    </row>
    <row r="1131" spans="8:8" x14ac:dyDescent="0.25">
      <c r="H1131" t="s">
        <v>1964</v>
      </c>
    </row>
    <row r="1132" spans="8:8" x14ac:dyDescent="0.25">
      <c r="H1132" t="s">
        <v>135</v>
      </c>
    </row>
    <row r="1133" spans="8:8" x14ac:dyDescent="0.25">
      <c r="H1133" t="s">
        <v>1965</v>
      </c>
    </row>
    <row r="1134" spans="8:8" x14ac:dyDescent="0.25">
      <c r="H1134" t="s">
        <v>30</v>
      </c>
    </row>
    <row r="1135" spans="8:8" x14ac:dyDescent="0.25">
      <c r="H1135" t="s">
        <v>136</v>
      </c>
    </row>
    <row r="1136" spans="8:8" x14ac:dyDescent="0.25">
      <c r="H1136" t="s">
        <v>1966</v>
      </c>
    </row>
    <row r="1137" spans="8:8" x14ac:dyDescent="0.25">
      <c r="H1137" t="s">
        <v>30</v>
      </c>
    </row>
    <row r="1138" spans="8:8" x14ac:dyDescent="0.25">
      <c r="H1138" t="s">
        <v>137</v>
      </c>
    </row>
    <row r="1139" spans="8:8" x14ac:dyDescent="0.25">
      <c r="H1139" t="s">
        <v>1967</v>
      </c>
    </row>
    <row r="1140" spans="8:8" x14ac:dyDescent="0.25">
      <c r="H1140" t="s">
        <v>30</v>
      </c>
    </row>
    <row r="1141" spans="8:8" x14ac:dyDescent="0.25">
      <c r="H1141" t="s">
        <v>138</v>
      </c>
    </row>
    <row r="1142" spans="8:8" x14ac:dyDescent="0.25">
      <c r="H1142" t="s">
        <v>1968</v>
      </c>
    </row>
    <row r="1143" spans="8:8" x14ac:dyDescent="0.25">
      <c r="H1143" t="s">
        <v>30</v>
      </c>
    </row>
    <row r="1145" spans="8:8" x14ac:dyDescent="0.25">
      <c r="H1145" t="s">
        <v>1797</v>
      </c>
    </row>
    <row r="1146" spans="8:8" x14ac:dyDescent="0.25">
      <c r="H1146" t="s">
        <v>1970</v>
      </c>
    </row>
    <row r="1147" spans="8:8" x14ac:dyDescent="0.25">
      <c r="H1147" t="s">
        <v>135</v>
      </c>
    </row>
    <row r="1148" spans="8:8" x14ac:dyDescent="0.25">
      <c r="H1148" t="s">
        <v>1971</v>
      </c>
    </row>
    <row r="1149" spans="8:8" x14ac:dyDescent="0.25">
      <c r="H1149" t="s">
        <v>30</v>
      </c>
    </row>
    <row r="1151" spans="8:8" x14ac:dyDescent="0.25">
      <c r="H1151" t="s">
        <v>1800</v>
      </c>
    </row>
    <row r="1152" spans="8:8" x14ac:dyDescent="0.25">
      <c r="H1152" t="s">
        <v>1973</v>
      </c>
    </row>
    <row r="1153" spans="8:8" x14ac:dyDescent="0.25">
      <c r="H1153" t="s">
        <v>135</v>
      </c>
    </row>
    <row r="1154" spans="8:8" x14ac:dyDescent="0.25">
      <c r="H1154" t="s">
        <v>1974</v>
      </c>
    </row>
    <row r="1155" spans="8:8" x14ac:dyDescent="0.25">
      <c r="H1155" t="s">
        <v>30</v>
      </c>
    </row>
    <row r="1157" spans="8:8" x14ac:dyDescent="0.25">
      <c r="H1157" t="s">
        <v>1803</v>
      </c>
    </row>
    <row r="1158" spans="8:8" x14ac:dyDescent="0.25">
      <c r="H1158" t="s">
        <v>1976</v>
      </c>
    </row>
    <row r="1159" spans="8:8" x14ac:dyDescent="0.25">
      <c r="H1159" t="s">
        <v>135</v>
      </c>
    </row>
    <row r="1160" spans="8:8" x14ac:dyDescent="0.25">
      <c r="H1160" t="s">
        <v>1977</v>
      </c>
    </row>
    <row r="1161" spans="8:8" x14ac:dyDescent="0.25">
      <c r="H1161" t="s">
        <v>30</v>
      </c>
    </row>
    <row r="1163" spans="8:8" x14ac:dyDescent="0.25">
      <c r="H1163" t="s">
        <v>1806</v>
      </c>
    </row>
    <row r="1164" spans="8:8" x14ac:dyDescent="0.25">
      <c r="H1164" t="s">
        <v>1979</v>
      </c>
    </row>
    <row r="1165" spans="8:8" x14ac:dyDescent="0.25">
      <c r="H1165" t="s">
        <v>135</v>
      </c>
    </row>
    <row r="1166" spans="8:8" x14ac:dyDescent="0.25">
      <c r="H1166" t="s">
        <v>1980</v>
      </c>
    </row>
    <row r="1167" spans="8:8" x14ac:dyDescent="0.25">
      <c r="H1167" t="s">
        <v>30</v>
      </c>
    </row>
    <row r="1169" spans="8:8" x14ac:dyDescent="0.25">
      <c r="H1169" t="s">
        <v>1809</v>
      </c>
    </row>
    <row r="1170" spans="8:8" x14ac:dyDescent="0.25">
      <c r="H1170" t="s">
        <v>1982</v>
      </c>
    </row>
    <row r="1171" spans="8:8" x14ac:dyDescent="0.25">
      <c r="H1171" t="s">
        <v>135</v>
      </c>
    </row>
    <row r="1172" spans="8:8" x14ac:dyDescent="0.25">
      <c r="H1172" t="s">
        <v>1983</v>
      </c>
    </row>
    <row r="1173" spans="8:8" x14ac:dyDescent="0.25">
      <c r="H1173" t="s">
        <v>30</v>
      </c>
    </row>
    <row r="1175" spans="8:8" x14ac:dyDescent="0.25">
      <c r="H1175" t="s">
        <v>1812</v>
      </c>
    </row>
    <row r="1176" spans="8:8" x14ac:dyDescent="0.25">
      <c r="H1176" t="s">
        <v>1985</v>
      </c>
    </row>
    <row r="1177" spans="8:8" x14ac:dyDescent="0.25">
      <c r="H1177" t="s">
        <v>135</v>
      </c>
    </row>
    <row r="1178" spans="8:8" x14ac:dyDescent="0.25">
      <c r="H1178" t="s">
        <v>1986</v>
      </c>
    </row>
    <row r="1179" spans="8:8" x14ac:dyDescent="0.25">
      <c r="H1179" t="s">
        <v>30</v>
      </c>
    </row>
    <row r="1181" spans="8:8" x14ac:dyDescent="0.25">
      <c r="H1181" t="s">
        <v>1815</v>
      </c>
    </row>
    <row r="1182" spans="8:8" x14ac:dyDescent="0.25">
      <c r="H1182" t="s">
        <v>1988</v>
      </c>
    </row>
    <row r="1183" spans="8:8" x14ac:dyDescent="0.25">
      <c r="H1183" t="s">
        <v>135</v>
      </c>
    </row>
    <row r="1184" spans="8:8" x14ac:dyDescent="0.25">
      <c r="H1184" t="s">
        <v>1989</v>
      </c>
    </row>
    <row r="1185" spans="8:8" x14ac:dyDescent="0.25">
      <c r="H1185" t="s">
        <v>30</v>
      </c>
    </row>
    <row r="1187" spans="8:8" x14ac:dyDescent="0.25">
      <c r="H1187" t="s">
        <v>1818</v>
      </c>
    </row>
    <row r="1188" spans="8:8" x14ac:dyDescent="0.25">
      <c r="H1188" t="s">
        <v>1991</v>
      </c>
    </row>
    <row r="1189" spans="8:8" x14ac:dyDescent="0.25">
      <c r="H1189" t="s">
        <v>135</v>
      </c>
    </row>
    <row r="1190" spans="8:8" x14ac:dyDescent="0.25">
      <c r="H1190" t="s">
        <v>1992</v>
      </c>
    </row>
    <row r="1191" spans="8:8" x14ac:dyDescent="0.25">
      <c r="H1191" t="s">
        <v>30</v>
      </c>
    </row>
    <row r="1193" spans="8:8" x14ac:dyDescent="0.25">
      <c r="H1193" t="s">
        <v>1821</v>
      </c>
    </row>
    <row r="1194" spans="8:8" x14ac:dyDescent="0.25">
      <c r="H1194" t="s">
        <v>1994</v>
      </c>
    </row>
    <row r="1195" spans="8:8" x14ac:dyDescent="0.25">
      <c r="H1195" t="s">
        <v>135</v>
      </c>
    </row>
    <row r="1196" spans="8:8" x14ac:dyDescent="0.25">
      <c r="H1196" t="s">
        <v>1995</v>
      </c>
    </row>
    <row r="1197" spans="8:8" x14ac:dyDescent="0.25">
      <c r="H1197" t="s">
        <v>30</v>
      </c>
    </row>
    <row r="1199" spans="8:8" x14ac:dyDescent="0.25">
      <c r="H1199" t="s">
        <v>1830</v>
      </c>
    </row>
    <row r="1200" spans="8:8" x14ac:dyDescent="0.25">
      <c r="H1200" t="s">
        <v>1997</v>
      </c>
    </row>
    <row r="1201" spans="8:8" x14ac:dyDescent="0.25">
      <c r="H1201" t="s">
        <v>135</v>
      </c>
    </row>
    <row r="1202" spans="8:8" x14ac:dyDescent="0.25">
      <c r="H1202" t="s">
        <v>1998</v>
      </c>
    </row>
    <row r="1203" spans="8:8" x14ac:dyDescent="0.25">
      <c r="H1203" t="s">
        <v>30</v>
      </c>
    </row>
    <row r="1205" spans="8:8" x14ac:dyDescent="0.25">
      <c r="H1205" t="s">
        <v>1835</v>
      </c>
    </row>
    <row r="1206" spans="8:8" x14ac:dyDescent="0.25">
      <c r="H1206" t="s">
        <v>2000</v>
      </c>
    </row>
    <row r="1207" spans="8:8" x14ac:dyDescent="0.25">
      <c r="H1207" t="s">
        <v>135</v>
      </c>
    </row>
    <row r="1208" spans="8:8" x14ac:dyDescent="0.25">
      <c r="H1208" t="s">
        <v>2001</v>
      </c>
    </row>
    <row r="1209" spans="8:8" x14ac:dyDescent="0.25">
      <c r="H1209" t="s">
        <v>30</v>
      </c>
    </row>
    <row r="1211" spans="8:8" x14ac:dyDescent="0.25">
      <c r="H1211" t="s">
        <v>1838</v>
      </c>
    </row>
    <row r="1212" spans="8:8" x14ac:dyDescent="0.25">
      <c r="H1212" t="s">
        <v>2003</v>
      </c>
    </row>
    <row r="1213" spans="8:8" x14ac:dyDescent="0.25">
      <c r="H1213" t="s">
        <v>135</v>
      </c>
    </row>
    <row r="1214" spans="8:8" x14ac:dyDescent="0.25">
      <c r="H1214" t="s">
        <v>2004</v>
      </c>
    </row>
    <row r="1215" spans="8:8" x14ac:dyDescent="0.25">
      <c r="H1215" t="s">
        <v>30</v>
      </c>
    </row>
    <row r="1217" spans="8:8" x14ac:dyDescent="0.25">
      <c r="H1217" t="s">
        <v>1841</v>
      </c>
    </row>
    <row r="1218" spans="8:8" x14ac:dyDescent="0.25">
      <c r="H1218" t="s">
        <v>2006</v>
      </c>
    </row>
    <row r="1219" spans="8:8" x14ac:dyDescent="0.25">
      <c r="H1219" t="s">
        <v>135</v>
      </c>
    </row>
    <row r="1220" spans="8:8" x14ac:dyDescent="0.25">
      <c r="H1220" t="s">
        <v>2007</v>
      </c>
    </row>
    <row r="1221" spans="8:8" x14ac:dyDescent="0.25">
      <c r="H1221" t="s">
        <v>30</v>
      </c>
    </row>
    <row r="1223" spans="8:8" x14ac:dyDescent="0.25">
      <c r="H1223" t="s">
        <v>1844</v>
      </c>
    </row>
    <row r="1224" spans="8:8" x14ac:dyDescent="0.25">
      <c r="H1224" t="s">
        <v>2009</v>
      </c>
    </row>
    <row r="1225" spans="8:8" x14ac:dyDescent="0.25">
      <c r="H1225" t="s">
        <v>135</v>
      </c>
    </row>
    <row r="1226" spans="8:8" x14ac:dyDescent="0.25">
      <c r="H1226" t="s">
        <v>2010</v>
      </c>
    </row>
    <row r="1227" spans="8:8" x14ac:dyDescent="0.25">
      <c r="H1227" t="s">
        <v>30</v>
      </c>
    </row>
    <row r="1229" spans="8:8" x14ac:dyDescent="0.25">
      <c r="H1229" t="s">
        <v>1847</v>
      </c>
    </row>
    <row r="1230" spans="8:8" x14ac:dyDescent="0.25">
      <c r="H1230" t="s">
        <v>2012</v>
      </c>
    </row>
    <row r="1231" spans="8:8" x14ac:dyDescent="0.25">
      <c r="H1231" t="s">
        <v>135</v>
      </c>
    </row>
    <row r="1232" spans="8:8" x14ac:dyDescent="0.25">
      <c r="H1232" t="s">
        <v>2013</v>
      </c>
    </row>
    <row r="1233" spans="8:8" x14ac:dyDescent="0.25">
      <c r="H1233" t="s">
        <v>30</v>
      </c>
    </row>
    <row r="1235" spans="8:8" x14ac:dyDescent="0.25">
      <c r="H1235" t="s">
        <v>1850</v>
      </c>
    </row>
    <row r="1236" spans="8:8" x14ac:dyDescent="0.25">
      <c r="H1236" t="s">
        <v>2015</v>
      </c>
    </row>
    <row r="1237" spans="8:8" x14ac:dyDescent="0.25">
      <c r="H1237" t="s">
        <v>135</v>
      </c>
    </row>
    <row r="1238" spans="8:8" x14ac:dyDescent="0.25">
      <c r="H1238" t="s">
        <v>2016</v>
      </c>
    </row>
    <row r="1239" spans="8:8" x14ac:dyDescent="0.25">
      <c r="H1239" t="s">
        <v>30</v>
      </c>
    </row>
    <row r="1241" spans="8:8" x14ac:dyDescent="0.25">
      <c r="H1241" t="s">
        <v>1853</v>
      </c>
    </row>
    <row r="1242" spans="8:8" x14ac:dyDescent="0.25">
      <c r="H1242" t="s">
        <v>2018</v>
      </c>
    </row>
    <row r="1243" spans="8:8" x14ac:dyDescent="0.25">
      <c r="H1243" t="s">
        <v>135</v>
      </c>
    </row>
    <row r="1244" spans="8:8" x14ac:dyDescent="0.25">
      <c r="H1244" t="s">
        <v>2019</v>
      </c>
    </row>
    <row r="1245" spans="8:8" x14ac:dyDescent="0.25">
      <c r="H1245" t="s">
        <v>30</v>
      </c>
    </row>
    <row r="1247" spans="8:8" x14ac:dyDescent="0.25">
      <c r="H1247" t="s">
        <v>1856</v>
      </c>
    </row>
    <row r="1248" spans="8:8" x14ac:dyDescent="0.25">
      <c r="H1248" t="s">
        <v>2021</v>
      </c>
    </row>
    <row r="1249" spans="8:8" x14ac:dyDescent="0.25">
      <c r="H1249" t="s">
        <v>135</v>
      </c>
    </row>
    <row r="1250" spans="8:8" x14ac:dyDescent="0.25">
      <c r="H1250" t="s">
        <v>2022</v>
      </c>
    </row>
    <row r="1251" spans="8:8" x14ac:dyDescent="0.25">
      <c r="H1251" t="s">
        <v>30</v>
      </c>
    </row>
    <row r="1253" spans="8:8" x14ac:dyDescent="0.25">
      <c r="H1253" t="s">
        <v>1859</v>
      </c>
    </row>
    <row r="1254" spans="8:8" x14ac:dyDescent="0.25">
      <c r="H1254" t="s">
        <v>2024</v>
      </c>
    </row>
    <row r="1255" spans="8:8" x14ac:dyDescent="0.25">
      <c r="H1255" t="s">
        <v>135</v>
      </c>
    </row>
    <row r="1256" spans="8:8" x14ac:dyDescent="0.25">
      <c r="H1256" t="s">
        <v>2025</v>
      </c>
    </row>
    <row r="1257" spans="8:8" x14ac:dyDescent="0.25">
      <c r="H1257" t="s">
        <v>30</v>
      </c>
    </row>
    <row r="1259" spans="8:8" x14ac:dyDescent="0.25">
      <c r="H1259" t="s">
        <v>1862</v>
      </c>
    </row>
    <row r="1260" spans="8:8" x14ac:dyDescent="0.25">
      <c r="H1260" t="s">
        <v>2027</v>
      </c>
    </row>
    <row r="1261" spans="8:8" x14ac:dyDescent="0.25">
      <c r="H1261" t="s">
        <v>135</v>
      </c>
    </row>
    <row r="1262" spans="8:8" x14ac:dyDescent="0.25">
      <c r="H1262" t="s">
        <v>2028</v>
      </c>
    </row>
    <row r="1263" spans="8:8" x14ac:dyDescent="0.25">
      <c r="H1263" t="s">
        <v>30</v>
      </c>
    </row>
    <row r="1265" spans="8:8" x14ac:dyDescent="0.25">
      <c r="H1265" t="s">
        <v>1865</v>
      </c>
    </row>
    <row r="1266" spans="8:8" x14ac:dyDescent="0.25">
      <c r="H1266" t="s">
        <v>2030</v>
      </c>
    </row>
    <row r="1267" spans="8:8" x14ac:dyDescent="0.25">
      <c r="H1267" t="s">
        <v>135</v>
      </c>
    </row>
    <row r="1268" spans="8:8" x14ac:dyDescent="0.25">
      <c r="H1268" t="s">
        <v>2031</v>
      </c>
    </row>
    <row r="1269" spans="8:8" x14ac:dyDescent="0.25">
      <c r="H1269" t="s">
        <v>30</v>
      </c>
    </row>
    <row r="1271" spans="8:8" x14ac:dyDescent="0.25">
      <c r="H1271" t="s">
        <v>1868</v>
      </c>
    </row>
    <row r="1272" spans="8:8" x14ac:dyDescent="0.25">
      <c r="H1272" t="s">
        <v>2033</v>
      </c>
    </row>
    <row r="1273" spans="8:8" x14ac:dyDescent="0.25">
      <c r="H1273" t="s">
        <v>135</v>
      </c>
    </row>
    <row r="1274" spans="8:8" x14ac:dyDescent="0.25">
      <c r="H1274" t="s">
        <v>2034</v>
      </c>
    </row>
    <row r="1275" spans="8:8" x14ac:dyDescent="0.25">
      <c r="H1275" t="s">
        <v>30</v>
      </c>
    </row>
    <row r="1277" spans="8:8" x14ac:dyDescent="0.25">
      <c r="H1277" t="s">
        <v>1871</v>
      </c>
    </row>
    <row r="1278" spans="8:8" x14ac:dyDescent="0.25">
      <c r="H1278" t="s">
        <v>2036</v>
      </c>
    </row>
    <row r="1279" spans="8:8" x14ac:dyDescent="0.25">
      <c r="H1279" t="s">
        <v>135</v>
      </c>
    </row>
    <row r="1280" spans="8:8" x14ac:dyDescent="0.25">
      <c r="H1280" t="s">
        <v>2037</v>
      </c>
    </row>
    <row r="1281" spans="8:8" x14ac:dyDescent="0.25">
      <c r="H1281" t="s">
        <v>30</v>
      </c>
    </row>
    <row r="1283" spans="8:8" x14ac:dyDescent="0.25">
      <c r="H1283" t="s">
        <v>1874</v>
      </c>
    </row>
    <row r="1284" spans="8:8" x14ac:dyDescent="0.25">
      <c r="H1284" t="s">
        <v>2039</v>
      </c>
    </row>
    <row r="1285" spans="8:8" x14ac:dyDescent="0.25">
      <c r="H1285" t="s">
        <v>135</v>
      </c>
    </row>
    <row r="1286" spans="8:8" x14ac:dyDescent="0.25">
      <c r="H1286" t="s">
        <v>2040</v>
      </c>
    </row>
    <row r="1287" spans="8:8" x14ac:dyDescent="0.25">
      <c r="H1287" t="s">
        <v>30</v>
      </c>
    </row>
    <row r="1289" spans="8:8" x14ac:dyDescent="0.25">
      <c r="H1289" t="s">
        <v>1877</v>
      </c>
    </row>
    <row r="1290" spans="8:8" x14ac:dyDescent="0.25">
      <c r="H1290" t="s">
        <v>2042</v>
      </c>
    </row>
    <row r="1291" spans="8:8" x14ac:dyDescent="0.25">
      <c r="H1291" t="s">
        <v>135</v>
      </c>
    </row>
    <row r="1292" spans="8:8" x14ac:dyDescent="0.25">
      <c r="H1292" t="s">
        <v>2043</v>
      </c>
    </row>
    <row r="1293" spans="8:8" x14ac:dyDescent="0.25">
      <c r="H1293" t="s">
        <v>30</v>
      </c>
    </row>
    <row r="1294" spans="8:8" x14ac:dyDescent="0.25">
      <c r="H1294" t="s">
        <v>2044</v>
      </c>
    </row>
    <row r="1295" spans="8:8" x14ac:dyDescent="0.25">
      <c r="H1295" t="s">
        <v>136</v>
      </c>
    </row>
    <row r="1296" spans="8:8" x14ac:dyDescent="0.25">
      <c r="H1296" t="s">
        <v>2045</v>
      </c>
    </row>
    <row r="1297" spans="8:8" x14ac:dyDescent="0.25">
      <c r="H1297" t="s">
        <v>30</v>
      </c>
    </row>
    <row r="1298" spans="8:8" x14ac:dyDescent="0.25">
      <c r="H1298" t="s">
        <v>2046</v>
      </c>
    </row>
    <row r="1299" spans="8:8" x14ac:dyDescent="0.25">
      <c r="H1299" t="s">
        <v>137</v>
      </c>
    </row>
    <row r="1300" spans="8:8" x14ac:dyDescent="0.25">
      <c r="H1300" t="s">
        <v>2047</v>
      </c>
    </row>
    <row r="1301" spans="8:8" x14ac:dyDescent="0.25">
      <c r="H1301" t="s">
        <v>30</v>
      </c>
    </row>
    <row r="1302" spans="8:8" x14ac:dyDescent="0.25">
      <c r="H1302" t="s">
        <v>2048</v>
      </c>
    </row>
    <row r="1303" spans="8:8" x14ac:dyDescent="0.25">
      <c r="H1303" t="s">
        <v>138</v>
      </c>
    </row>
    <row r="1304" spans="8:8" x14ac:dyDescent="0.25">
      <c r="H1304" t="s">
        <v>2049</v>
      </c>
    </row>
    <row r="1305" spans="8:8" x14ac:dyDescent="0.25">
      <c r="H1305" t="s">
        <v>30</v>
      </c>
    </row>
    <row r="1307" spans="8:8" x14ac:dyDescent="0.25">
      <c r="H1307" t="s">
        <v>1880</v>
      </c>
    </row>
    <row r="1308" spans="8:8" x14ac:dyDescent="0.25">
      <c r="H1308" t="s">
        <v>2051</v>
      </c>
    </row>
    <row r="1309" spans="8:8" x14ac:dyDescent="0.25">
      <c r="H1309" t="s">
        <v>135</v>
      </c>
    </row>
    <row r="1310" spans="8:8" x14ac:dyDescent="0.25">
      <c r="H1310" t="s">
        <v>2052</v>
      </c>
    </row>
    <row r="1311" spans="8:8" x14ac:dyDescent="0.25">
      <c r="H1311" t="s">
        <v>30</v>
      </c>
    </row>
    <row r="1312" spans="8:8" x14ac:dyDescent="0.25">
      <c r="H1312" t="s">
        <v>2053</v>
      </c>
    </row>
    <row r="1313" spans="8:8" x14ac:dyDescent="0.25">
      <c r="H1313" t="s">
        <v>136</v>
      </c>
    </row>
    <row r="1314" spans="8:8" x14ac:dyDescent="0.25">
      <c r="H1314" t="s">
        <v>2054</v>
      </c>
    </row>
    <row r="1315" spans="8:8" x14ac:dyDescent="0.25">
      <c r="H1315" t="s">
        <v>30</v>
      </c>
    </row>
    <row r="1316" spans="8:8" x14ac:dyDescent="0.25">
      <c r="H1316" t="s">
        <v>2055</v>
      </c>
    </row>
    <row r="1317" spans="8:8" x14ac:dyDescent="0.25">
      <c r="H1317" t="s">
        <v>137</v>
      </c>
    </row>
    <row r="1318" spans="8:8" x14ac:dyDescent="0.25">
      <c r="H1318" t="s">
        <v>2056</v>
      </c>
    </row>
    <row r="1319" spans="8:8" x14ac:dyDescent="0.25">
      <c r="H1319" t="s">
        <v>30</v>
      </c>
    </row>
    <row r="1320" spans="8:8" x14ac:dyDescent="0.25">
      <c r="H1320" t="s">
        <v>2057</v>
      </c>
    </row>
    <row r="1321" spans="8:8" x14ac:dyDescent="0.25">
      <c r="H1321" t="s">
        <v>138</v>
      </c>
    </row>
    <row r="1322" spans="8:8" x14ac:dyDescent="0.25">
      <c r="H1322" t="s">
        <v>2058</v>
      </c>
    </row>
    <row r="1323" spans="8:8" x14ac:dyDescent="0.25">
      <c r="H1323" t="s">
        <v>30</v>
      </c>
    </row>
    <row r="1325" spans="8:8" x14ac:dyDescent="0.25">
      <c r="H1325" t="s">
        <v>1883</v>
      </c>
    </row>
    <row r="1326" spans="8:8" x14ac:dyDescent="0.25">
      <c r="H1326" t="s">
        <v>2060</v>
      </c>
    </row>
    <row r="1327" spans="8:8" x14ac:dyDescent="0.25">
      <c r="H1327" t="s">
        <v>135</v>
      </c>
    </row>
    <row r="1328" spans="8:8" x14ac:dyDescent="0.25">
      <c r="H1328" t="s">
        <v>2061</v>
      </c>
    </row>
    <row r="1329" spans="8:8" x14ac:dyDescent="0.25">
      <c r="H1329" t="s">
        <v>30</v>
      </c>
    </row>
    <row r="1330" spans="8:8" x14ac:dyDescent="0.25">
      <c r="H1330" t="s">
        <v>2062</v>
      </c>
    </row>
    <row r="1331" spans="8:8" x14ac:dyDescent="0.25">
      <c r="H1331" t="s">
        <v>136</v>
      </c>
    </row>
    <row r="1332" spans="8:8" x14ac:dyDescent="0.25">
      <c r="H1332" t="s">
        <v>2063</v>
      </c>
    </row>
    <row r="1333" spans="8:8" x14ac:dyDescent="0.25">
      <c r="H1333" t="s">
        <v>30</v>
      </c>
    </row>
    <row r="1334" spans="8:8" x14ac:dyDescent="0.25">
      <c r="H1334" t="s">
        <v>2064</v>
      </c>
    </row>
    <row r="1335" spans="8:8" x14ac:dyDescent="0.25">
      <c r="H1335" t="s">
        <v>137</v>
      </c>
    </row>
    <row r="1336" spans="8:8" x14ac:dyDescent="0.25">
      <c r="H1336" t="s">
        <v>2065</v>
      </c>
    </row>
    <row r="1337" spans="8:8" x14ac:dyDescent="0.25">
      <c r="H1337" t="s">
        <v>30</v>
      </c>
    </row>
    <row r="1338" spans="8:8" x14ac:dyDescent="0.25">
      <c r="H1338" t="s">
        <v>2066</v>
      </c>
    </row>
    <row r="1339" spans="8:8" x14ac:dyDescent="0.25">
      <c r="H1339" t="s">
        <v>138</v>
      </c>
    </row>
    <row r="1340" spans="8:8" x14ac:dyDescent="0.25">
      <c r="H1340" t="s">
        <v>2067</v>
      </c>
    </row>
    <row r="1341" spans="8:8" x14ac:dyDescent="0.25">
      <c r="H1341" t="s">
        <v>30</v>
      </c>
    </row>
    <row r="1343" spans="8:8" x14ac:dyDescent="0.25">
      <c r="H1343" t="s">
        <v>1886</v>
      </c>
    </row>
    <row r="1344" spans="8:8" x14ac:dyDescent="0.25">
      <c r="H1344" t="s">
        <v>2069</v>
      </c>
    </row>
    <row r="1345" spans="8:8" x14ac:dyDescent="0.25">
      <c r="H1345" t="s">
        <v>135</v>
      </c>
    </row>
    <row r="1346" spans="8:8" x14ac:dyDescent="0.25">
      <c r="H1346" t="s">
        <v>2070</v>
      </c>
    </row>
    <row r="1347" spans="8:8" x14ac:dyDescent="0.25">
      <c r="H1347" t="s">
        <v>30</v>
      </c>
    </row>
    <row r="1348" spans="8:8" x14ac:dyDescent="0.25">
      <c r="H1348" t="s">
        <v>2071</v>
      </c>
    </row>
    <row r="1349" spans="8:8" x14ac:dyDescent="0.25">
      <c r="H1349" t="s">
        <v>136</v>
      </c>
    </row>
    <row r="1350" spans="8:8" x14ac:dyDescent="0.25">
      <c r="H1350" t="s">
        <v>2072</v>
      </c>
    </row>
    <row r="1351" spans="8:8" x14ac:dyDescent="0.25">
      <c r="H1351" t="s">
        <v>30</v>
      </c>
    </row>
    <row r="1352" spans="8:8" x14ac:dyDescent="0.25">
      <c r="H1352" t="s">
        <v>2073</v>
      </c>
    </row>
    <row r="1353" spans="8:8" x14ac:dyDescent="0.25">
      <c r="H1353" t="s">
        <v>137</v>
      </c>
    </row>
    <row r="1354" spans="8:8" x14ac:dyDescent="0.25">
      <c r="H1354" t="s">
        <v>2074</v>
      </c>
    </row>
    <row r="1355" spans="8:8" x14ac:dyDescent="0.25">
      <c r="H1355" t="s">
        <v>30</v>
      </c>
    </row>
    <row r="1357" spans="8:8" x14ac:dyDescent="0.25">
      <c r="H1357" t="s">
        <v>1889</v>
      </c>
    </row>
    <row r="1358" spans="8:8" x14ac:dyDescent="0.25">
      <c r="H1358" t="s">
        <v>2076</v>
      </c>
    </row>
    <row r="1359" spans="8:8" x14ac:dyDescent="0.25">
      <c r="H1359" t="s">
        <v>135</v>
      </c>
    </row>
    <row r="1360" spans="8:8" x14ac:dyDescent="0.25">
      <c r="H1360" t="s">
        <v>2077</v>
      </c>
    </row>
    <row r="1361" spans="8:8" x14ac:dyDescent="0.25">
      <c r="H1361" t="s">
        <v>30</v>
      </c>
    </row>
    <row r="1363" spans="8:8" x14ac:dyDescent="0.25">
      <c r="H1363" t="s">
        <v>1892</v>
      </c>
    </row>
    <row r="1364" spans="8:8" x14ac:dyDescent="0.25">
      <c r="H1364" t="s">
        <v>2079</v>
      </c>
    </row>
    <row r="1365" spans="8:8" x14ac:dyDescent="0.25">
      <c r="H1365" t="s">
        <v>135</v>
      </c>
    </row>
    <row r="1366" spans="8:8" x14ac:dyDescent="0.25">
      <c r="H1366" t="s">
        <v>2080</v>
      </c>
    </row>
    <row r="1367" spans="8:8" x14ac:dyDescent="0.25">
      <c r="H1367" t="s">
        <v>30</v>
      </c>
    </row>
    <row r="1369" spans="8:8" x14ac:dyDescent="0.25">
      <c r="H1369" t="s">
        <v>1895</v>
      </c>
    </row>
    <row r="1370" spans="8:8" x14ac:dyDescent="0.25">
      <c r="H1370" t="s">
        <v>2082</v>
      </c>
    </row>
    <row r="1371" spans="8:8" x14ac:dyDescent="0.25">
      <c r="H1371" t="s">
        <v>135</v>
      </c>
    </row>
    <row r="1372" spans="8:8" x14ac:dyDescent="0.25">
      <c r="H1372" t="s">
        <v>2083</v>
      </c>
    </row>
    <row r="1373" spans="8:8" x14ac:dyDescent="0.25">
      <c r="H1373" t="s">
        <v>30</v>
      </c>
    </row>
    <row r="1374" spans="8:8" x14ac:dyDescent="0.25">
      <c r="H1374" t="s">
        <v>136</v>
      </c>
    </row>
    <row r="1375" spans="8:8" x14ac:dyDescent="0.25">
      <c r="H1375" t="s">
        <v>2084</v>
      </c>
    </row>
    <row r="1376" spans="8:8" x14ac:dyDescent="0.25">
      <c r="H1376" t="s">
        <v>30</v>
      </c>
    </row>
    <row r="1378" spans="8:8" x14ac:dyDescent="0.25">
      <c r="H1378" t="s">
        <v>1898</v>
      </c>
    </row>
    <row r="1379" spans="8:8" x14ac:dyDescent="0.25">
      <c r="H1379" t="s">
        <v>2086</v>
      </c>
    </row>
    <row r="1380" spans="8:8" x14ac:dyDescent="0.25">
      <c r="H1380" t="s">
        <v>135</v>
      </c>
    </row>
    <row r="1381" spans="8:8" x14ac:dyDescent="0.25">
      <c r="H1381" t="s">
        <v>2087</v>
      </c>
    </row>
    <row r="1382" spans="8:8" x14ac:dyDescent="0.25">
      <c r="H1382" t="s">
        <v>30</v>
      </c>
    </row>
    <row r="1384" spans="8:8" x14ac:dyDescent="0.25">
      <c r="H1384" t="s">
        <v>1901</v>
      </c>
    </row>
    <row r="1385" spans="8:8" x14ac:dyDescent="0.25">
      <c r="H1385" t="s">
        <v>2089</v>
      </c>
    </row>
    <row r="1386" spans="8:8" x14ac:dyDescent="0.25">
      <c r="H1386" t="s">
        <v>135</v>
      </c>
    </row>
    <row r="1387" spans="8:8" x14ac:dyDescent="0.25">
      <c r="H1387" t="s">
        <v>2090</v>
      </c>
    </row>
    <row r="1388" spans="8:8" x14ac:dyDescent="0.25">
      <c r="H1388" t="s">
        <v>30</v>
      </c>
    </row>
    <row r="1390" spans="8:8" x14ac:dyDescent="0.25">
      <c r="H1390" t="s">
        <v>1904</v>
      </c>
    </row>
    <row r="1391" spans="8:8" x14ac:dyDescent="0.25">
      <c r="H1391" t="s">
        <v>2092</v>
      </c>
    </row>
    <row r="1392" spans="8:8" x14ac:dyDescent="0.25">
      <c r="H1392" t="s">
        <v>135</v>
      </c>
    </row>
    <row r="1393" spans="8:8" x14ac:dyDescent="0.25">
      <c r="H1393" t="s">
        <v>2093</v>
      </c>
    </row>
    <row r="1394" spans="8:8" x14ac:dyDescent="0.25">
      <c r="H1394" t="s">
        <v>30</v>
      </c>
    </row>
    <row r="1395" spans="8:8" x14ac:dyDescent="0.25">
      <c r="H1395" t="s">
        <v>136</v>
      </c>
    </row>
    <row r="1396" spans="8:8" x14ac:dyDescent="0.25">
      <c r="H1396" t="s">
        <v>2094</v>
      </c>
    </row>
    <row r="1397" spans="8:8" x14ac:dyDescent="0.25">
      <c r="H1397" t="s">
        <v>30</v>
      </c>
    </row>
    <row r="1398" spans="8:8" x14ac:dyDescent="0.25">
      <c r="H1398" t="s">
        <v>2095</v>
      </c>
    </row>
    <row r="1399" spans="8:8" x14ac:dyDescent="0.25">
      <c r="H1399" t="s">
        <v>137</v>
      </c>
    </row>
    <row r="1400" spans="8:8" x14ac:dyDescent="0.25">
      <c r="H1400" t="s">
        <v>2096</v>
      </c>
    </row>
    <row r="1401" spans="8:8" x14ac:dyDescent="0.25">
      <c r="H1401" t="s">
        <v>30</v>
      </c>
    </row>
    <row r="1402" spans="8:8" x14ac:dyDescent="0.25">
      <c r="H1402" t="s">
        <v>138</v>
      </c>
    </row>
    <row r="1403" spans="8:8" x14ac:dyDescent="0.25">
      <c r="H1403" t="s">
        <v>2097</v>
      </c>
    </row>
    <row r="1404" spans="8:8" x14ac:dyDescent="0.25">
      <c r="H1404" t="s">
        <v>30</v>
      </c>
    </row>
    <row r="1406" spans="8:8" x14ac:dyDescent="0.25">
      <c r="H1406" t="s">
        <v>1907</v>
      </c>
    </row>
    <row r="1407" spans="8:8" x14ac:dyDescent="0.25">
      <c r="H1407" t="s">
        <v>2099</v>
      </c>
    </row>
    <row r="1408" spans="8:8" x14ac:dyDescent="0.25">
      <c r="H1408" t="s">
        <v>135</v>
      </c>
    </row>
    <row r="1409" spans="8:8" x14ac:dyDescent="0.25">
      <c r="H1409" t="s">
        <v>2100</v>
      </c>
    </row>
    <row r="1410" spans="8:8" x14ac:dyDescent="0.25">
      <c r="H1410" t="s">
        <v>30</v>
      </c>
    </row>
    <row r="1411" spans="8:8" x14ac:dyDescent="0.25">
      <c r="H1411" t="s">
        <v>136</v>
      </c>
    </row>
    <row r="1412" spans="8:8" x14ac:dyDescent="0.25">
      <c r="H1412" t="s">
        <v>2101</v>
      </c>
    </row>
    <row r="1413" spans="8:8" x14ac:dyDescent="0.25">
      <c r="H1413" t="s">
        <v>30</v>
      </c>
    </row>
    <row r="1414" spans="8:8" x14ac:dyDescent="0.25">
      <c r="H1414" t="s">
        <v>137</v>
      </c>
    </row>
    <row r="1415" spans="8:8" x14ac:dyDescent="0.25">
      <c r="H1415" t="s">
        <v>2102</v>
      </c>
    </row>
    <row r="1416" spans="8:8" x14ac:dyDescent="0.25">
      <c r="H1416" t="s">
        <v>30</v>
      </c>
    </row>
    <row r="1417" spans="8:8" x14ac:dyDescent="0.25">
      <c r="H1417" t="s">
        <v>138</v>
      </c>
    </row>
    <row r="1418" spans="8:8" x14ac:dyDescent="0.25">
      <c r="H1418" t="s">
        <v>2103</v>
      </c>
    </row>
    <row r="1419" spans="8:8" x14ac:dyDescent="0.25">
      <c r="H1419" t="s">
        <v>30</v>
      </c>
    </row>
    <row r="1421" spans="8:8" x14ac:dyDescent="0.25">
      <c r="H1421" t="s">
        <v>1910</v>
      </c>
    </row>
    <row r="1422" spans="8:8" x14ac:dyDescent="0.25">
      <c r="H1422" t="s">
        <v>2105</v>
      </c>
    </row>
    <row r="1423" spans="8:8" x14ac:dyDescent="0.25">
      <c r="H1423" t="s">
        <v>135</v>
      </c>
    </row>
    <row r="1424" spans="8:8" x14ac:dyDescent="0.25">
      <c r="H1424" t="s">
        <v>2106</v>
      </c>
    </row>
    <row r="1425" spans="8:8" x14ac:dyDescent="0.25">
      <c r="H1425" t="s">
        <v>30</v>
      </c>
    </row>
    <row r="1426" spans="8:8" x14ac:dyDescent="0.25">
      <c r="H1426" t="s">
        <v>136</v>
      </c>
    </row>
    <row r="1427" spans="8:8" x14ac:dyDescent="0.25">
      <c r="H1427" t="s">
        <v>2107</v>
      </c>
    </row>
    <row r="1428" spans="8:8" x14ac:dyDescent="0.25">
      <c r="H1428" t="s">
        <v>30</v>
      </c>
    </row>
    <row r="1429" spans="8:8" x14ac:dyDescent="0.25">
      <c r="H1429" t="s">
        <v>137</v>
      </c>
    </row>
    <row r="1430" spans="8:8" x14ac:dyDescent="0.25">
      <c r="H1430" t="s">
        <v>2108</v>
      </c>
    </row>
    <row r="1431" spans="8:8" x14ac:dyDescent="0.25">
      <c r="H1431" t="s">
        <v>30</v>
      </c>
    </row>
    <row r="1432" spans="8:8" x14ac:dyDescent="0.25">
      <c r="H1432" t="s">
        <v>138</v>
      </c>
    </row>
    <row r="1433" spans="8:8" x14ac:dyDescent="0.25">
      <c r="H1433" t="s">
        <v>2109</v>
      </c>
    </row>
    <row r="1434" spans="8:8" x14ac:dyDescent="0.25">
      <c r="H1434" t="s">
        <v>30</v>
      </c>
    </row>
    <row r="1436" spans="8:8" x14ac:dyDescent="0.25">
      <c r="H1436" t="s">
        <v>1913</v>
      </c>
    </row>
    <row r="1437" spans="8:8" x14ac:dyDescent="0.25">
      <c r="H1437" t="s">
        <v>2111</v>
      </c>
    </row>
    <row r="1438" spans="8:8" x14ac:dyDescent="0.25">
      <c r="H1438" t="s">
        <v>135</v>
      </c>
    </row>
    <row r="1439" spans="8:8" x14ac:dyDescent="0.25">
      <c r="H1439" t="s">
        <v>2112</v>
      </c>
    </row>
    <row r="1440" spans="8:8" x14ac:dyDescent="0.25">
      <c r="H1440" t="s">
        <v>30</v>
      </c>
    </row>
    <row r="1441" spans="8:8" x14ac:dyDescent="0.25">
      <c r="H1441" t="s">
        <v>2113</v>
      </c>
    </row>
    <row r="1442" spans="8:8" x14ac:dyDescent="0.25">
      <c r="H1442" t="s">
        <v>137</v>
      </c>
    </row>
    <row r="1443" spans="8:8" x14ac:dyDescent="0.25">
      <c r="H1443" t="s">
        <v>2114</v>
      </c>
    </row>
    <row r="1444" spans="8:8" x14ac:dyDescent="0.25">
      <c r="H1444" t="s">
        <v>30</v>
      </c>
    </row>
    <row r="1445" spans="8:8" x14ac:dyDescent="0.25">
      <c r="H1445" t="s">
        <v>138</v>
      </c>
    </row>
    <row r="1446" spans="8:8" x14ac:dyDescent="0.25">
      <c r="H1446" t="s">
        <v>2115</v>
      </c>
    </row>
    <row r="1447" spans="8:8" x14ac:dyDescent="0.25">
      <c r="H1447" t="s">
        <v>30</v>
      </c>
    </row>
    <row r="1449" spans="8:8" x14ac:dyDescent="0.25">
      <c r="H1449" t="s">
        <v>1916</v>
      </c>
    </row>
    <row r="1450" spans="8:8" x14ac:dyDescent="0.25">
      <c r="H1450" t="s">
        <v>2117</v>
      </c>
    </row>
    <row r="1451" spans="8:8" x14ac:dyDescent="0.25">
      <c r="H1451" t="s">
        <v>135</v>
      </c>
    </row>
    <row r="1452" spans="8:8" x14ac:dyDescent="0.25">
      <c r="H1452" t="s">
        <v>2118</v>
      </c>
    </row>
    <row r="1453" spans="8:8" x14ac:dyDescent="0.25">
      <c r="H1453" t="s">
        <v>30</v>
      </c>
    </row>
    <row r="1455" spans="8:8" x14ac:dyDescent="0.25">
      <c r="H1455" t="s">
        <v>1919</v>
      </c>
    </row>
    <row r="1456" spans="8:8" x14ac:dyDescent="0.25">
      <c r="H1456" t="s">
        <v>2120</v>
      </c>
    </row>
    <row r="1457" spans="8:8" x14ac:dyDescent="0.25">
      <c r="H1457" t="s">
        <v>135</v>
      </c>
    </row>
    <row r="1458" spans="8:8" x14ac:dyDescent="0.25">
      <c r="H1458" t="s">
        <v>2121</v>
      </c>
    </row>
    <row r="1459" spans="8:8" x14ac:dyDescent="0.25">
      <c r="H1459" t="s">
        <v>30</v>
      </c>
    </row>
    <row r="1461" spans="8:8" x14ac:dyDescent="0.25">
      <c r="H1461" t="s">
        <v>1922</v>
      </c>
    </row>
    <row r="1462" spans="8:8" x14ac:dyDescent="0.25">
      <c r="H1462" t="s">
        <v>2123</v>
      </c>
    </row>
    <row r="1463" spans="8:8" x14ac:dyDescent="0.25">
      <c r="H1463" t="s">
        <v>135</v>
      </c>
    </row>
    <row r="1464" spans="8:8" x14ac:dyDescent="0.25">
      <c r="H1464" t="s">
        <v>2124</v>
      </c>
    </row>
    <row r="1465" spans="8:8" x14ac:dyDescent="0.25">
      <c r="H1465" t="s">
        <v>30</v>
      </c>
    </row>
    <row r="1466" spans="8:8" x14ac:dyDescent="0.25">
      <c r="H1466" t="s">
        <v>136</v>
      </c>
    </row>
    <row r="1467" spans="8:8" x14ac:dyDescent="0.25">
      <c r="H1467" t="s">
        <v>2125</v>
      </c>
    </row>
    <row r="1468" spans="8:8" x14ac:dyDescent="0.25">
      <c r="H1468" t="s">
        <v>30</v>
      </c>
    </row>
    <row r="1470" spans="8:8" x14ac:dyDescent="0.25">
      <c r="H1470" t="s">
        <v>1925</v>
      </c>
    </row>
    <row r="1471" spans="8:8" x14ac:dyDescent="0.25">
      <c r="H1471" t="s">
        <v>2127</v>
      </c>
    </row>
    <row r="1472" spans="8:8" x14ac:dyDescent="0.25">
      <c r="H1472" t="s">
        <v>135</v>
      </c>
    </row>
    <row r="1473" spans="8:8" x14ac:dyDescent="0.25">
      <c r="H1473" t="s">
        <v>2128</v>
      </c>
    </row>
    <row r="1474" spans="8:8" x14ac:dyDescent="0.25">
      <c r="H1474" t="s">
        <v>30</v>
      </c>
    </row>
    <row r="1476" spans="8:8" x14ac:dyDescent="0.25">
      <c r="H1476" t="s">
        <v>1928</v>
      </c>
    </row>
    <row r="1477" spans="8:8" x14ac:dyDescent="0.25">
      <c r="H1477" t="s">
        <v>2130</v>
      </c>
    </row>
    <row r="1478" spans="8:8" x14ac:dyDescent="0.25">
      <c r="H1478" t="s">
        <v>135</v>
      </c>
    </row>
    <row r="1479" spans="8:8" x14ac:dyDescent="0.25">
      <c r="H1479" t="s">
        <v>2131</v>
      </c>
    </row>
    <row r="1480" spans="8:8" x14ac:dyDescent="0.25">
      <c r="H1480" t="s">
        <v>30</v>
      </c>
    </row>
    <row r="1482" spans="8:8" x14ac:dyDescent="0.25">
      <c r="H1482" t="s">
        <v>1931</v>
      </c>
    </row>
    <row r="1483" spans="8:8" x14ac:dyDescent="0.25">
      <c r="H1483" t="s">
        <v>2133</v>
      </c>
    </row>
    <row r="1484" spans="8:8" x14ac:dyDescent="0.25">
      <c r="H1484" t="s">
        <v>135</v>
      </c>
    </row>
    <row r="1485" spans="8:8" x14ac:dyDescent="0.25">
      <c r="H1485" t="s">
        <v>2134</v>
      </c>
    </row>
    <row r="1486" spans="8:8" x14ac:dyDescent="0.25">
      <c r="H1486" t="s">
        <v>30</v>
      </c>
    </row>
    <row r="1487" spans="8:8" x14ac:dyDescent="0.25">
      <c r="H1487" t="s">
        <v>136</v>
      </c>
    </row>
    <row r="1488" spans="8:8" x14ac:dyDescent="0.25">
      <c r="H1488" t="s">
        <v>2135</v>
      </c>
    </row>
    <row r="1489" spans="8:8" x14ac:dyDescent="0.25">
      <c r="H1489" t="s">
        <v>30</v>
      </c>
    </row>
    <row r="1491" spans="8:8" x14ac:dyDescent="0.25">
      <c r="H1491" t="s">
        <v>1934</v>
      </c>
    </row>
    <row r="1492" spans="8:8" x14ac:dyDescent="0.25">
      <c r="H1492" t="s">
        <v>2137</v>
      </c>
    </row>
    <row r="1493" spans="8:8" x14ac:dyDescent="0.25">
      <c r="H1493" t="s">
        <v>135</v>
      </c>
    </row>
    <row r="1494" spans="8:8" x14ac:dyDescent="0.25">
      <c r="H1494" t="s">
        <v>2138</v>
      </c>
    </row>
    <row r="1495" spans="8:8" x14ac:dyDescent="0.25">
      <c r="H1495" t="s">
        <v>30</v>
      </c>
    </row>
    <row r="1497" spans="8:8" x14ac:dyDescent="0.25">
      <c r="H1497" t="s">
        <v>1937</v>
      </c>
    </row>
    <row r="1498" spans="8:8" x14ac:dyDescent="0.25">
      <c r="H1498" t="s">
        <v>2140</v>
      </c>
    </row>
    <row r="1499" spans="8:8" x14ac:dyDescent="0.25">
      <c r="H1499" t="s">
        <v>135</v>
      </c>
    </row>
    <row r="1500" spans="8:8" x14ac:dyDescent="0.25">
      <c r="H1500" t="s">
        <v>2141</v>
      </c>
    </row>
    <row r="1501" spans="8:8" x14ac:dyDescent="0.25">
      <c r="H1501" t="s">
        <v>30</v>
      </c>
    </row>
    <row r="1503" spans="8:8" x14ac:dyDescent="0.25">
      <c r="H1503" t="s">
        <v>1940</v>
      </c>
    </row>
    <row r="1504" spans="8:8" x14ac:dyDescent="0.25">
      <c r="H1504" t="s">
        <v>2143</v>
      </c>
    </row>
    <row r="1505" spans="8:8" x14ac:dyDescent="0.25">
      <c r="H1505" t="s">
        <v>135</v>
      </c>
    </row>
    <row r="1506" spans="8:8" x14ac:dyDescent="0.25">
      <c r="H1506" t="s">
        <v>2144</v>
      </c>
    </row>
    <row r="1507" spans="8:8" x14ac:dyDescent="0.25">
      <c r="H1507" t="s">
        <v>30</v>
      </c>
    </row>
    <row r="1508" spans="8:8" x14ac:dyDescent="0.25">
      <c r="H1508" t="s">
        <v>136</v>
      </c>
    </row>
    <row r="1509" spans="8:8" x14ac:dyDescent="0.25">
      <c r="H1509" t="s">
        <v>2145</v>
      </c>
    </row>
    <row r="1510" spans="8:8" x14ac:dyDescent="0.25">
      <c r="H1510" t="s">
        <v>30</v>
      </c>
    </row>
    <row r="1512" spans="8:8" x14ac:dyDescent="0.25">
      <c r="H1512" t="s">
        <v>1943</v>
      </c>
    </row>
    <row r="1513" spans="8:8" x14ac:dyDescent="0.25">
      <c r="H1513" t="s">
        <v>2147</v>
      </c>
    </row>
    <row r="1514" spans="8:8" x14ac:dyDescent="0.25">
      <c r="H1514" t="s">
        <v>135</v>
      </c>
    </row>
    <row r="1515" spans="8:8" x14ac:dyDescent="0.25">
      <c r="H1515" t="s">
        <v>2148</v>
      </c>
    </row>
    <row r="1516" spans="8:8" x14ac:dyDescent="0.25">
      <c r="H1516" t="s">
        <v>30</v>
      </c>
    </row>
    <row r="1518" spans="8:8" x14ac:dyDescent="0.25">
      <c r="H1518" t="s">
        <v>1946</v>
      </c>
    </row>
    <row r="1519" spans="8:8" x14ac:dyDescent="0.25">
      <c r="H1519" t="s">
        <v>2150</v>
      </c>
    </row>
    <row r="1520" spans="8:8" x14ac:dyDescent="0.25">
      <c r="H1520" t="s">
        <v>135</v>
      </c>
    </row>
    <row r="1521" spans="8:8" x14ac:dyDescent="0.25">
      <c r="H1521" t="s">
        <v>2151</v>
      </c>
    </row>
    <row r="1522" spans="8:8" x14ac:dyDescent="0.25">
      <c r="H1522" t="s">
        <v>30</v>
      </c>
    </row>
    <row r="1524" spans="8:8" x14ac:dyDescent="0.25">
      <c r="H1524" t="s">
        <v>1949</v>
      </c>
    </row>
    <row r="1525" spans="8:8" x14ac:dyDescent="0.25">
      <c r="H1525" t="s">
        <v>2153</v>
      </c>
    </row>
    <row r="1526" spans="8:8" x14ac:dyDescent="0.25">
      <c r="H1526" t="s">
        <v>135</v>
      </c>
    </row>
    <row r="1527" spans="8:8" x14ac:dyDescent="0.25">
      <c r="H1527" t="s">
        <v>2154</v>
      </c>
    </row>
    <row r="1528" spans="8:8" x14ac:dyDescent="0.25">
      <c r="H1528" t="s">
        <v>30</v>
      </c>
    </row>
    <row r="1529" spans="8:8" x14ac:dyDescent="0.25">
      <c r="H1529" t="s">
        <v>136</v>
      </c>
    </row>
    <row r="1530" spans="8:8" x14ac:dyDescent="0.25">
      <c r="H1530" t="s">
        <v>2155</v>
      </c>
    </row>
    <row r="1531" spans="8:8" x14ac:dyDescent="0.25">
      <c r="H1531" t="s">
        <v>30</v>
      </c>
    </row>
    <row r="1532" spans="8:8" x14ac:dyDescent="0.25">
      <c r="H1532" t="s">
        <v>2156</v>
      </c>
    </row>
    <row r="1533" spans="8:8" x14ac:dyDescent="0.25">
      <c r="H1533" t="s">
        <v>137</v>
      </c>
    </row>
    <row r="1534" spans="8:8" x14ac:dyDescent="0.25">
      <c r="H1534" t="s">
        <v>2157</v>
      </c>
    </row>
    <row r="1535" spans="8:8" x14ac:dyDescent="0.25">
      <c r="H1535" t="s">
        <v>30</v>
      </c>
    </row>
    <row r="1536" spans="8:8" x14ac:dyDescent="0.25">
      <c r="H1536" t="s">
        <v>138</v>
      </c>
    </row>
    <row r="1537" spans="8:8" x14ac:dyDescent="0.25">
      <c r="H1537" t="s">
        <v>2158</v>
      </c>
    </row>
    <row r="1538" spans="8:8" x14ac:dyDescent="0.25">
      <c r="H1538" t="s">
        <v>30</v>
      </c>
    </row>
    <row r="1540" spans="8:8" x14ac:dyDescent="0.25">
      <c r="H1540" t="s">
        <v>1952</v>
      </c>
    </row>
    <row r="1541" spans="8:8" x14ac:dyDescent="0.25">
      <c r="H1541" t="s">
        <v>2160</v>
      </c>
    </row>
    <row r="1542" spans="8:8" x14ac:dyDescent="0.25">
      <c r="H1542" t="s">
        <v>135</v>
      </c>
    </row>
    <row r="1543" spans="8:8" x14ac:dyDescent="0.25">
      <c r="H1543" t="s">
        <v>2161</v>
      </c>
    </row>
    <row r="1544" spans="8:8" x14ac:dyDescent="0.25">
      <c r="H1544" t="s">
        <v>30</v>
      </c>
    </row>
    <row r="1545" spans="8:8" x14ac:dyDescent="0.25">
      <c r="H1545" t="s">
        <v>136</v>
      </c>
    </row>
    <row r="1546" spans="8:8" x14ac:dyDescent="0.25">
      <c r="H1546" t="s">
        <v>2162</v>
      </c>
    </row>
    <row r="1547" spans="8:8" x14ac:dyDescent="0.25">
      <c r="H1547" t="s">
        <v>30</v>
      </c>
    </row>
    <row r="1549" spans="8:8" x14ac:dyDescent="0.25">
      <c r="H1549" t="s">
        <v>1957</v>
      </c>
    </row>
    <row r="1550" spans="8:8" x14ac:dyDescent="0.25">
      <c r="H1550" t="s">
        <v>2164</v>
      </c>
    </row>
    <row r="1551" spans="8:8" x14ac:dyDescent="0.25">
      <c r="H1551" t="s">
        <v>135</v>
      </c>
    </row>
    <row r="1552" spans="8:8" x14ac:dyDescent="0.25">
      <c r="H1552" t="s">
        <v>2165</v>
      </c>
    </row>
    <row r="1553" spans="8:8" x14ac:dyDescent="0.25">
      <c r="H1553" t="s">
        <v>30</v>
      </c>
    </row>
    <row r="1555" spans="8:8" x14ac:dyDescent="0.25">
      <c r="H1555" t="s">
        <v>1963</v>
      </c>
    </row>
    <row r="1556" spans="8:8" x14ac:dyDescent="0.25">
      <c r="H1556" t="s">
        <v>2167</v>
      </c>
    </row>
    <row r="1557" spans="8:8" x14ac:dyDescent="0.25">
      <c r="H1557" t="s">
        <v>135</v>
      </c>
    </row>
    <row r="1558" spans="8:8" x14ac:dyDescent="0.25">
      <c r="H1558" t="s">
        <v>2168</v>
      </c>
    </row>
    <row r="1559" spans="8:8" x14ac:dyDescent="0.25">
      <c r="H1559" t="s">
        <v>30</v>
      </c>
    </row>
    <row r="1561" spans="8:8" x14ac:dyDescent="0.25">
      <c r="H1561" t="s">
        <v>1969</v>
      </c>
    </row>
    <row r="1562" spans="8:8" x14ac:dyDescent="0.25">
      <c r="H1562" t="s">
        <v>2170</v>
      </c>
    </row>
    <row r="1563" spans="8:8" x14ac:dyDescent="0.25">
      <c r="H1563" t="s">
        <v>135</v>
      </c>
    </row>
    <row r="1564" spans="8:8" x14ac:dyDescent="0.25">
      <c r="H1564" t="s">
        <v>2171</v>
      </c>
    </row>
    <row r="1565" spans="8:8" x14ac:dyDescent="0.25">
      <c r="H1565" t="s">
        <v>30</v>
      </c>
    </row>
    <row r="1566" spans="8:8" x14ac:dyDescent="0.25">
      <c r="H1566" t="s">
        <v>136</v>
      </c>
    </row>
    <row r="1567" spans="8:8" x14ac:dyDescent="0.25">
      <c r="H1567" t="s">
        <v>2172</v>
      </c>
    </row>
    <row r="1568" spans="8:8" x14ac:dyDescent="0.25">
      <c r="H1568" t="s">
        <v>30</v>
      </c>
    </row>
    <row r="1569" spans="8:8" x14ac:dyDescent="0.25">
      <c r="H1569" t="s">
        <v>2173</v>
      </c>
    </row>
    <row r="1570" spans="8:8" x14ac:dyDescent="0.25">
      <c r="H1570" t="s">
        <v>137</v>
      </c>
    </row>
    <row r="1571" spans="8:8" x14ac:dyDescent="0.25">
      <c r="H1571" t="s">
        <v>2174</v>
      </c>
    </row>
    <row r="1572" spans="8:8" x14ac:dyDescent="0.25">
      <c r="H1572" t="s">
        <v>30</v>
      </c>
    </row>
    <row r="1574" spans="8:8" x14ac:dyDescent="0.25">
      <c r="H1574" t="s">
        <v>1972</v>
      </c>
    </row>
    <row r="1575" spans="8:8" x14ac:dyDescent="0.25">
      <c r="H1575" t="s">
        <v>2176</v>
      </c>
    </row>
    <row r="1576" spans="8:8" x14ac:dyDescent="0.25">
      <c r="H1576" t="s">
        <v>135</v>
      </c>
    </row>
    <row r="1577" spans="8:8" x14ac:dyDescent="0.25">
      <c r="H1577" t="s">
        <v>2177</v>
      </c>
    </row>
    <row r="1578" spans="8:8" x14ac:dyDescent="0.25">
      <c r="H1578" t="s">
        <v>30</v>
      </c>
    </row>
    <row r="1579" spans="8:8" x14ac:dyDescent="0.25">
      <c r="H1579" t="s">
        <v>136</v>
      </c>
    </row>
    <row r="1580" spans="8:8" x14ac:dyDescent="0.25">
      <c r="H1580" t="s">
        <v>2178</v>
      </c>
    </row>
    <row r="1581" spans="8:8" x14ac:dyDescent="0.25">
      <c r="H1581" t="s">
        <v>30</v>
      </c>
    </row>
    <row r="1582" spans="8:8" x14ac:dyDescent="0.25">
      <c r="H1582" t="s">
        <v>2179</v>
      </c>
    </row>
    <row r="1583" spans="8:8" x14ac:dyDescent="0.25">
      <c r="H1583" t="s">
        <v>137</v>
      </c>
    </row>
    <row r="1584" spans="8:8" x14ac:dyDescent="0.25">
      <c r="H1584" t="s">
        <v>2180</v>
      </c>
    </row>
    <row r="1585" spans="8:8" x14ac:dyDescent="0.25">
      <c r="H1585" t="s">
        <v>30</v>
      </c>
    </row>
    <row r="1587" spans="8:8" x14ac:dyDescent="0.25">
      <c r="H1587" t="s">
        <v>1975</v>
      </c>
    </row>
    <row r="1588" spans="8:8" x14ac:dyDescent="0.25">
      <c r="H1588" t="s">
        <v>2182</v>
      </c>
    </row>
    <row r="1589" spans="8:8" x14ac:dyDescent="0.25">
      <c r="H1589" t="s">
        <v>135</v>
      </c>
    </row>
    <row r="1590" spans="8:8" x14ac:dyDescent="0.25">
      <c r="H1590" t="s">
        <v>2183</v>
      </c>
    </row>
    <row r="1591" spans="8:8" x14ac:dyDescent="0.25">
      <c r="H1591" t="s">
        <v>30</v>
      </c>
    </row>
    <row r="1592" spans="8:8" x14ac:dyDescent="0.25">
      <c r="H1592" t="s">
        <v>136</v>
      </c>
    </row>
    <row r="1593" spans="8:8" x14ac:dyDescent="0.25">
      <c r="H1593" t="s">
        <v>2184</v>
      </c>
    </row>
    <row r="1594" spans="8:8" x14ac:dyDescent="0.25">
      <c r="H1594" t="s">
        <v>30</v>
      </c>
    </row>
    <row r="1595" spans="8:8" x14ac:dyDescent="0.25">
      <c r="H1595" t="s">
        <v>2185</v>
      </c>
    </row>
    <row r="1596" spans="8:8" x14ac:dyDescent="0.25">
      <c r="H1596" t="s">
        <v>137</v>
      </c>
    </row>
    <row r="1597" spans="8:8" x14ac:dyDescent="0.25">
      <c r="H1597" t="s">
        <v>2186</v>
      </c>
    </row>
    <row r="1598" spans="8:8" x14ac:dyDescent="0.25">
      <c r="H1598" t="s">
        <v>30</v>
      </c>
    </row>
    <row r="1600" spans="8:8" x14ac:dyDescent="0.25">
      <c r="H1600" t="s">
        <v>1978</v>
      </c>
    </row>
    <row r="1601" spans="8:8" x14ac:dyDescent="0.25">
      <c r="H1601" t="s">
        <v>2188</v>
      </c>
    </row>
    <row r="1602" spans="8:8" x14ac:dyDescent="0.25">
      <c r="H1602" t="s">
        <v>135</v>
      </c>
    </row>
    <row r="1603" spans="8:8" x14ac:dyDescent="0.25">
      <c r="H1603" t="s">
        <v>2189</v>
      </c>
    </row>
    <row r="1604" spans="8:8" x14ac:dyDescent="0.25">
      <c r="H1604" t="s">
        <v>30</v>
      </c>
    </row>
    <row r="1606" spans="8:8" x14ac:dyDescent="0.25">
      <c r="H1606" t="s">
        <v>1981</v>
      </c>
    </row>
    <row r="1607" spans="8:8" x14ac:dyDescent="0.25">
      <c r="H1607" t="s">
        <v>2191</v>
      </c>
    </row>
    <row r="1608" spans="8:8" x14ac:dyDescent="0.25">
      <c r="H1608" t="s">
        <v>135</v>
      </c>
    </row>
    <row r="1609" spans="8:8" x14ac:dyDescent="0.25">
      <c r="H1609" t="s">
        <v>2192</v>
      </c>
    </row>
    <row r="1610" spans="8:8" x14ac:dyDescent="0.25">
      <c r="H1610" t="s">
        <v>30</v>
      </c>
    </row>
    <row r="1612" spans="8:8" x14ac:dyDescent="0.25">
      <c r="H1612" t="s">
        <v>1984</v>
      </c>
    </row>
    <row r="1613" spans="8:8" x14ac:dyDescent="0.25">
      <c r="H1613" t="s">
        <v>2194</v>
      </c>
    </row>
    <row r="1614" spans="8:8" x14ac:dyDescent="0.25">
      <c r="H1614" t="s">
        <v>135</v>
      </c>
    </row>
    <row r="1615" spans="8:8" x14ac:dyDescent="0.25">
      <c r="H1615" t="s">
        <v>2195</v>
      </c>
    </row>
    <row r="1616" spans="8:8" x14ac:dyDescent="0.25">
      <c r="H1616" t="s">
        <v>30</v>
      </c>
    </row>
    <row r="1618" spans="8:8" x14ac:dyDescent="0.25">
      <c r="H1618" t="s">
        <v>1987</v>
      </c>
    </row>
    <row r="1619" spans="8:8" x14ac:dyDescent="0.25">
      <c r="H1619" t="s">
        <v>2197</v>
      </c>
    </row>
    <row r="1620" spans="8:8" x14ac:dyDescent="0.25">
      <c r="H1620" t="s">
        <v>135</v>
      </c>
    </row>
    <row r="1621" spans="8:8" x14ac:dyDescent="0.25">
      <c r="H1621" t="s">
        <v>2198</v>
      </c>
    </row>
    <row r="1622" spans="8:8" x14ac:dyDescent="0.25">
      <c r="H1622" t="s">
        <v>30</v>
      </c>
    </row>
    <row r="1623" spans="8:8" x14ac:dyDescent="0.25">
      <c r="H1623" t="s">
        <v>136</v>
      </c>
    </row>
    <row r="1624" spans="8:8" x14ac:dyDescent="0.25">
      <c r="H1624" t="s">
        <v>2199</v>
      </c>
    </row>
    <row r="1625" spans="8:8" x14ac:dyDescent="0.25">
      <c r="H1625" t="s">
        <v>30</v>
      </c>
    </row>
    <row r="1626" spans="8:8" x14ac:dyDescent="0.25">
      <c r="H1626" t="s">
        <v>2441</v>
      </c>
    </row>
    <row r="1627" spans="8:8" x14ac:dyDescent="0.25">
      <c r="H1627" t="s">
        <v>137</v>
      </c>
    </row>
    <row r="1628" spans="8:8" x14ac:dyDescent="0.25">
      <c r="H1628" t="s">
        <v>4975</v>
      </c>
    </row>
    <row r="1629" spans="8:8" x14ac:dyDescent="0.25">
      <c r="H1629" t="s">
        <v>30</v>
      </c>
    </row>
    <row r="1631" spans="8:8" x14ac:dyDescent="0.25">
      <c r="H1631" t="s">
        <v>1990</v>
      </c>
    </row>
    <row r="1632" spans="8:8" x14ac:dyDescent="0.25">
      <c r="H1632" t="s">
        <v>2444</v>
      </c>
    </row>
    <row r="1633" spans="8:8" x14ac:dyDescent="0.25">
      <c r="H1633" t="s">
        <v>135</v>
      </c>
    </row>
    <row r="1634" spans="8:8" x14ac:dyDescent="0.25">
      <c r="H1634" t="s">
        <v>2445</v>
      </c>
    </row>
    <row r="1635" spans="8:8" x14ac:dyDescent="0.25">
      <c r="H1635" t="s">
        <v>30</v>
      </c>
    </row>
    <row r="1637" spans="8:8" x14ac:dyDescent="0.25">
      <c r="H1637" t="s">
        <v>1993</v>
      </c>
    </row>
    <row r="1638" spans="8:8" x14ac:dyDescent="0.25">
      <c r="H1638" t="s">
        <v>2447</v>
      </c>
    </row>
    <row r="1639" spans="8:8" x14ac:dyDescent="0.25">
      <c r="H1639" t="s">
        <v>135</v>
      </c>
    </row>
    <row r="1640" spans="8:8" x14ac:dyDescent="0.25">
      <c r="H1640" t="s">
        <v>2448</v>
      </c>
    </row>
    <row r="1641" spans="8:8" x14ac:dyDescent="0.25">
      <c r="H1641" t="s">
        <v>30</v>
      </c>
    </row>
    <row r="1643" spans="8:8" x14ac:dyDescent="0.25">
      <c r="H1643" t="s">
        <v>1996</v>
      </c>
    </row>
    <row r="1644" spans="8:8" x14ac:dyDescent="0.25">
      <c r="H1644" t="s">
        <v>2450</v>
      </c>
    </row>
    <row r="1645" spans="8:8" x14ac:dyDescent="0.25">
      <c r="H1645" t="s">
        <v>135</v>
      </c>
    </row>
    <row r="1646" spans="8:8" x14ac:dyDescent="0.25">
      <c r="H1646" t="s">
        <v>2451</v>
      </c>
    </row>
    <row r="1647" spans="8:8" x14ac:dyDescent="0.25">
      <c r="H1647" t="s">
        <v>30</v>
      </c>
    </row>
    <row r="1649" spans="8:8" x14ac:dyDescent="0.25">
      <c r="H1649" t="s">
        <v>1999</v>
      </c>
    </row>
    <row r="1650" spans="8:8" x14ac:dyDescent="0.25">
      <c r="H1650" t="s">
        <v>2453</v>
      </c>
    </row>
    <row r="1651" spans="8:8" x14ac:dyDescent="0.25">
      <c r="H1651" t="s">
        <v>135</v>
      </c>
    </row>
    <row r="1652" spans="8:8" x14ac:dyDescent="0.25">
      <c r="H1652" t="s">
        <v>2454</v>
      </c>
    </row>
    <row r="1653" spans="8:8" x14ac:dyDescent="0.25">
      <c r="H1653" t="s">
        <v>30</v>
      </c>
    </row>
    <row r="1655" spans="8:8" x14ac:dyDescent="0.25">
      <c r="H1655" t="s">
        <v>2002</v>
      </c>
    </row>
    <row r="1656" spans="8:8" x14ac:dyDescent="0.25">
      <c r="H1656" t="s">
        <v>2456</v>
      </c>
    </row>
    <row r="1657" spans="8:8" x14ac:dyDescent="0.25">
      <c r="H1657" t="s">
        <v>135</v>
      </c>
    </row>
    <row r="1658" spans="8:8" x14ac:dyDescent="0.25">
      <c r="H1658" t="s">
        <v>2457</v>
      </c>
    </row>
    <row r="1659" spans="8:8" x14ac:dyDescent="0.25">
      <c r="H1659" t="s">
        <v>30</v>
      </c>
    </row>
    <row r="1661" spans="8:8" x14ac:dyDescent="0.25">
      <c r="H1661" t="s">
        <v>2005</v>
      </c>
    </row>
    <row r="1662" spans="8:8" x14ac:dyDescent="0.25">
      <c r="H1662" t="s">
        <v>2459</v>
      </c>
    </row>
    <row r="1663" spans="8:8" x14ac:dyDescent="0.25">
      <c r="H1663" t="s">
        <v>135</v>
      </c>
    </row>
    <row r="1664" spans="8:8" x14ac:dyDescent="0.25">
      <c r="H1664" t="s">
        <v>2460</v>
      </c>
    </row>
    <row r="1665" spans="8:8" x14ac:dyDescent="0.25">
      <c r="H1665" t="s">
        <v>30</v>
      </c>
    </row>
    <row r="1667" spans="8:8" x14ac:dyDescent="0.25">
      <c r="H1667" t="s">
        <v>2008</v>
      </c>
    </row>
    <row r="1668" spans="8:8" x14ac:dyDescent="0.25">
      <c r="H1668" t="s">
        <v>2462</v>
      </c>
    </row>
    <row r="1669" spans="8:8" x14ac:dyDescent="0.25">
      <c r="H1669" t="s">
        <v>135</v>
      </c>
    </row>
    <row r="1670" spans="8:8" x14ac:dyDescent="0.25">
      <c r="H1670" t="s">
        <v>2463</v>
      </c>
    </row>
    <row r="1671" spans="8:8" x14ac:dyDescent="0.25">
      <c r="H1671" t="s">
        <v>30</v>
      </c>
    </row>
    <row r="1673" spans="8:8" x14ac:dyDescent="0.25">
      <c r="H1673" t="s">
        <v>2011</v>
      </c>
    </row>
    <row r="1674" spans="8:8" x14ac:dyDescent="0.25">
      <c r="H1674" t="s">
        <v>2465</v>
      </c>
    </row>
    <row r="1675" spans="8:8" x14ac:dyDescent="0.25">
      <c r="H1675" t="s">
        <v>135</v>
      </c>
    </row>
    <row r="1676" spans="8:8" x14ac:dyDescent="0.25">
      <c r="H1676" t="s">
        <v>2466</v>
      </c>
    </row>
    <row r="1677" spans="8:8" x14ac:dyDescent="0.25">
      <c r="H1677" t="s">
        <v>30</v>
      </c>
    </row>
    <row r="1679" spans="8:8" x14ac:dyDescent="0.25">
      <c r="H1679" t="s">
        <v>2014</v>
      </c>
    </row>
    <row r="1680" spans="8:8" x14ac:dyDescent="0.25">
      <c r="H1680" t="s">
        <v>2468</v>
      </c>
    </row>
    <row r="1681" spans="8:8" x14ac:dyDescent="0.25">
      <c r="H1681" t="s">
        <v>135</v>
      </c>
    </row>
    <row r="1682" spans="8:8" x14ac:dyDescent="0.25">
      <c r="H1682" t="s">
        <v>2469</v>
      </c>
    </row>
    <row r="1683" spans="8:8" x14ac:dyDescent="0.25">
      <c r="H1683" t="s">
        <v>30</v>
      </c>
    </row>
    <row r="1685" spans="8:8" x14ac:dyDescent="0.25">
      <c r="H1685" t="s">
        <v>2017</v>
      </c>
    </row>
    <row r="1686" spans="8:8" x14ac:dyDescent="0.25">
      <c r="H1686" t="s">
        <v>2471</v>
      </c>
    </row>
    <row r="1687" spans="8:8" x14ac:dyDescent="0.25">
      <c r="H1687" t="s">
        <v>135</v>
      </c>
    </row>
    <row r="1688" spans="8:8" x14ac:dyDescent="0.25">
      <c r="H1688" t="s">
        <v>2472</v>
      </c>
    </row>
    <row r="1689" spans="8:8" x14ac:dyDescent="0.25">
      <c r="H1689" t="s">
        <v>30</v>
      </c>
    </row>
    <row r="1691" spans="8:8" x14ac:dyDescent="0.25">
      <c r="H1691" t="s">
        <v>2020</v>
      </c>
    </row>
    <row r="1692" spans="8:8" x14ac:dyDescent="0.25">
      <c r="H1692" t="s">
        <v>2474</v>
      </c>
    </row>
    <row r="1693" spans="8:8" x14ac:dyDescent="0.25">
      <c r="H1693" t="s">
        <v>135</v>
      </c>
    </row>
    <row r="1694" spans="8:8" x14ac:dyDescent="0.25">
      <c r="H1694" t="s">
        <v>2475</v>
      </c>
    </row>
    <row r="1695" spans="8:8" x14ac:dyDescent="0.25">
      <c r="H1695" t="s">
        <v>30</v>
      </c>
    </row>
    <row r="1697" spans="8:8" x14ac:dyDescent="0.25">
      <c r="H1697" t="s">
        <v>2023</v>
      </c>
    </row>
    <row r="1698" spans="8:8" x14ac:dyDescent="0.25">
      <c r="H1698" t="s">
        <v>2477</v>
      </c>
    </row>
    <row r="1699" spans="8:8" x14ac:dyDescent="0.25">
      <c r="H1699" t="s">
        <v>135</v>
      </c>
    </row>
    <row r="1700" spans="8:8" x14ac:dyDescent="0.25">
      <c r="H1700" t="s">
        <v>2478</v>
      </c>
    </row>
    <row r="1701" spans="8:8" x14ac:dyDescent="0.25">
      <c r="H1701" t="s">
        <v>30</v>
      </c>
    </row>
    <row r="1703" spans="8:8" x14ac:dyDescent="0.25">
      <c r="H1703" t="s">
        <v>2026</v>
      </c>
    </row>
    <row r="1704" spans="8:8" x14ac:dyDescent="0.25">
      <c r="H1704" t="s">
        <v>2480</v>
      </c>
    </row>
    <row r="1705" spans="8:8" x14ac:dyDescent="0.25">
      <c r="H1705" t="s">
        <v>135</v>
      </c>
    </row>
    <row r="1706" spans="8:8" x14ac:dyDescent="0.25">
      <c r="H1706" t="s">
        <v>2481</v>
      </c>
    </row>
    <row r="1707" spans="8:8" x14ac:dyDescent="0.25">
      <c r="H1707" t="s">
        <v>30</v>
      </c>
    </row>
    <row r="1709" spans="8:8" x14ac:dyDescent="0.25">
      <c r="H1709" t="s">
        <v>2029</v>
      </c>
    </row>
    <row r="1710" spans="8:8" x14ac:dyDescent="0.25">
      <c r="H1710" t="s">
        <v>2483</v>
      </c>
    </row>
    <row r="1711" spans="8:8" x14ac:dyDescent="0.25">
      <c r="H1711" t="s">
        <v>135</v>
      </c>
    </row>
    <row r="1712" spans="8:8" x14ac:dyDescent="0.25">
      <c r="H1712" t="s">
        <v>2484</v>
      </c>
    </row>
    <row r="1713" spans="8:8" x14ac:dyDescent="0.25">
      <c r="H1713" t="s">
        <v>30</v>
      </c>
    </row>
    <row r="1715" spans="8:8" x14ac:dyDescent="0.25">
      <c r="H1715" t="s">
        <v>2032</v>
      </c>
    </row>
    <row r="1716" spans="8:8" x14ac:dyDescent="0.25">
      <c r="H1716" t="s">
        <v>2486</v>
      </c>
    </row>
    <row r="1717" spans="8:8" x14ac:dyDescent="0.25">
      <c r="H1717" t="s">
        <v>135</v>
      </c>
    </row>
    <row r="1718" spans="8:8" x14ac:dyDescent="0.25">
      <c r="H1718" t="s">
        <v>2487</v>
      </c>
    </row>
    <row r="1719" spans="8:8" x14ac:dyDescent="0.25">
      <c r="H1719" t="s">
        <v>30</v>
      </c>
    </row>
    <row r="1720" spans="8:8" x14ac:dyDescent="0.25">
      <c r="H1720" t="s">
        <v>136</v>
      </c>
    </row>
    <row r="1721" spans="8:8" x14ac:dyDescent="0.25">
      <c r="H1721" t="s">
        <v>2488</v>
      </c>
    </row>
    <row r="1722" spans="8:8" x14ac:dyDescent="0.25">
      <c r="H1722" t="s">
        <v>30</v>
      </c>
    </row>
    <row r="1723" spans="8:8" x14ac:dyDescent="0.25">
      <c r="H1723" t="s">
        <v>137</v>
      </c>
    </row>
    <row r="1724" spans="8:8" x14ac:dyDescent="0.25">
      <c r="H1724" t="s">
        <v>2489</v>
      </c>
    </row>
    <row r="1725" spans="8:8" x14ac:dyDescent="0.25">
      <c r="H1725" t="s">
        <v>30</v>
      </c>
    </row>
    <row r="1726" spans="8:8" x14ac:dyDescent="0.25">
      <c r="H1726" t="s">
        <v>138</v>
      </c>
    </row>
    <row r="1727" spans="8:8" x14ac:dyDescent="0.25">
      <c r="H1727" t="s">
        <v>2490</v>
      </c>
    </row>
    <row r="1728" spans="8:8" x14ac:dyDescent="0.25">
      <c r="H1728" t="s">
        <v>30</v>
      </c>
    </row>
    <row r="1730" spans="8:8" x14ac:dyDescent="0.25">
      <c r="H1730" t="s">
        <v>2035</v>
      </c>
    </row>
    <row r="1731" spans="8:8" x14ac:dyDescent="0.25">
      <c r="H1731" t="s">
        <v>2492</v>
      </c>
    </row>
    <row r="1732" spans="8:8" x14ac:dyDescent="0.25">
      <c r="H1732" t="s">
        <v>135</v>
      </c>
    </row>
    <row r="1733" spans="8:8" x14ac:dyDescent="0.25">
      <c r="H1733" t="s">
        <v>2493</v>
      </c>
    </row>
    <row r="1734" spans="8:8" x14ac:dyDescent="0.25">
      <c r="H1734" t="s">
        <v>30</v>
      </c>
    </row>
    <row r="1735" spans="8:8" x14ac:dyDescent="0.25">
      <c r="H1735" t="s">
        <v>136</v>
      </c>
    </row>
    <row r="1736" spans="8:8" x14ac:dyDescent="0.25">
      <c r="H1736" t="s">
        <v>2494</v>
      </c>
    </row>
    <row r="1737" spans="8:8" x14ac:dyDescent="0.25">
      <c r="H1737" t="s">
        <v>30</v>
      </c>
    </row>
    <row r="1738" spans="8:8" x14ac:dyDescent="0.25">
      <c r="H1738" t="s">
        <v>137</v>
      </c>
    </row>
    <row r="1739" spans="8:8" x14ac:dyDescent="0.25">
      <c r="H1739" t="s">
        <v>2495</v>
      </c>
    </row>
    <row r="1740" spans="8:8" x14ac:dyDescent="0.25">
      <c r="H1740" t="s">
        <v>30</v>
      </c>
    </row>
    <row r="1741" spans="8:8" x14ac:dyDescent="0.25">
      <c r="H1741" t="s">
        <v>138</v>
      </c>
    </row>
    <row r="1742" spans="8:8" x14ac:dyDescent="0.25">
      <c r="H1742" t="s">
        <v>2496</v>
      </c>
    </row>
    <row r="1743" spans="8:8" x14ac:dyDescent="0.25">
      <c r="H1743" t="s">
        <v>30</v>
      </c>
    </row>
    <row r="1745" spans="8:8" x14ac:dyDescent="0.25">
      <c r="H1745" t="s">
        <v>2038</v>
      </c>
    </row>
    <row r="1746" spans="8:8" x14ac:dyDescent="0.25">
      <c r="H1746" t="s">
        <v>2498</v>
      </c>
    </row>
    <row r="1747" spans="8:8" x14ac:dyDescent="0.25">
      <c r="H1747" t="s">
        <v>135</v>
      </c>
    </row>
    <row r="1748" spans="8:8" x14ac:dyDescent="0.25">
      <c r="H1748" t="s">
        <v>4902</v>
      </c>
    </row>
    <row r="1749" spans="8:8" x14ac:dyDescent="0.25">
      <c r="H1749" t="s">
        <v>30</v>
      </c>
    </row>
    <row r="1751" spans="8:8" x14ac:dyDescent="0.25">
      <c r="H1751" t="s">
        <v>2041</v>
      </c>
    </row>
    <row r="1752" spans="8:8" x14ac:dyDescent="0.25">
      <c r="H1752" t="s">
        <v>2500</v>
      </c>
    </row>
    <row r="1753" spans="8:8" x14ac:dyDescent="0.25">
      <c r="H1753" t="s">
        <v>135</v>
      </c>
    </row>
    <row r="1754" spans="8:8" x14ac:dyDescent="0.25">
      <c r="H1754" t="s">
        <v>2501</v>
      </c>
    </row>
    <row r="1755" spans="8:8" x14ac:dyDescent="0.25">
      <c r="H1755" t="s">
        <v>30</v>
      </c>
    </row>
    <row r="1757" spans="8:8" x14ac:dyDescent="0.25">
      <c r="H1757" t="s">
        <v>2050</v>
      </c>
    </row>
    <row r="1758" spans="8:8" x14ac:dyDescent="0.25">
      <c r="H1758" t="s">
        <v>2503</v>
      </c>
    </row>
    <row r="1759" spans="8:8" x14ac:dyDescent="0.25">
      <c r="H1759" t="s">
        <v>135</v>
      </c>
    </row>
    <row r="1760" spans="8:8" x14ac:dyDescent="0.25">
      <c r="H1760" t="s">
        <v>2504</v>
      </c>
    </row>
    <row r="1761" spans="8:8" x14ac:dyDescent="0.25">
      <c r="H1761" t="s">
        <v>30</v>
      </c>
    </row>
    <row r="1763" spans="8:8" x14ac:dyDescent="0.25">
      <c r="H1763" t="s">
        <v>2059</v>
      </c>
    </row>
    <row r="1764" spans="8:8" x14ac:dyDescent="0.25">
      <c r="H1764" t="s">
        <v>2506</v>
      </c>
    </row>
    <row r="1765" spans="8:8" x14ac:dyDescent="0.25">
      <c r="H1765" t="s">
        <v>135</v>
      </c>
    </row>
    <row r="1766" spans="8:8" x14ac:dyDescent="0.25">
      <c r="H1766" t="s">
        <v>2507</v>
      </c>
    </row>
    <row r="1767" spans="8:8" x14ac:dyDescent="0.25">
      <c r="H1767" t="s">
        <v>30</v>
      </c>
    </row>
    <row r="1769" spans="8:8" x14ac:dyDescent="0.25">
      <c r="H1769" t="s">
        <v>2068</v>
      </c>
    </row>
    <row r="1770" spans="8:8" x14ac:dyDescent="0.25">
      <c r="H1770" t="s">
        <v>2509</v>
      </c>
    </row>
    <row r="1771" spans="8:8" x14ac:dyDescent="0.25">
      <c r="H1771" t="s">
        <v>135</v>
      </c>
    </row>
    <row r="1772" spans="8:8" x14ac:dyDescent="0.25">
      <c r="H1772" t="s">
        <v>2510</v>
      </c>
    </row>
    <row r="1773" spans="8:8" x14ac:dyDescent="0.25">
      <c r="H1773" t="s">
        <v>30</v>
      </c>
    </row>
    <row r="1774" spans="8:8" x14ac:dyDescent="0.25">
      <c r="H1774" t="s">
        <v>136</v>
      </c>
    </row>
    <row r="1775" spans="8:8" x14ac:dyDescent="0.25">
      <c r="H1775" t="s">
        <v>2511</v>
      </c>
    </row>
    <row r="1776" spans="8:8" x14ac:dyDescent="0.25">
      <c r="H1776" t="s">
        <v>30</v>
      </c>
    </row>
    <row r="1777" spans="8:8" x14ac:dyDescent="0.25">
      <c r="H1777" t="s">
        <v>137</v>
      </c>
    </row>
    <row r="1778" spans="8:8" x14ac:dyDescent="0.25">
      <c r="H1778" t="s">
        <v>2512</v>
      </c>
    </row>
    <row r="1779" spans="8:8" x14ac:dyDescent="0.25">
      <c r="H1779" t="s">
        <v>30</v>
      </c>
    </row>
    <row r="1781" spans="8:8" x14ac:dyDescent="0.25">
      <c r="H1781" t="s">
        <v>2075</v>
      </c>
    </row>
    <row r="1782" spans="8:8" x14ac:dyDescent="0.25">
      <c r="H1782" t="s">
        <v>2514</v>
      </c>
    </row>
    <row r="1783" spans="8:8" x14ac:dyDescent="0.25">
      <c r="H1783" t="s">
        <v>135</v>
      </c>
    </row>
    <row r="1784" spans="8:8" x14ac:dyDescent="0.25">
      <c r="H1784" t="s">
        <v>4903</v>
      </c>
    </row>
    <row r="1785" spans="8:8" x14ac:dyDescent="0.25">
      <c r="H1785" t="s">
        <v>30</v>
      </c>
    </row>
    <row r="1787" spans="8:8" x14ac:dyDescent="0.25">
      <c r="H1787" t="s">
        <v>2078</v>
      </c>
    </row>
    <row r="1788" spans="8:8" x14ac:dyDescent="0.25">
      <c r="H1788" t="s">
        <v>2516</v>
      </c>
    </row>
    <row r="1789" spans="8:8" x14ac:dyDescent="0.25">
      <c r="H1789" t="s">
        <v>135</v>
      </c>
    </row>
    <row r="1790" spans="8:8" x14ac:dyDescent="0.25">
      <c r="H1790" t="s">
        <v>2517</v>
      </c>
    </row>
    <row r="1791" spans="8:8" x14ac:dyDescent="0.25">
      <c r="H1791" t="s">
        <v>30</v>
      </c>
    </row>
    <row r="1793" spans="8:8" x14ac:dyDescent="0.25">
      <c r="H1793" t="s">
        <v>2081</v>
      </c>
    </row>
    <row r="1794" spans="8:8" x14ac:dyDescent="0.25">
      <c r="H1794" t="s">
        <v>2519</v>
      </c>
    </row>
    <row r="1795" spans="8:8" x14ac:dyDescent="0.25">
      <c r="H1795" t="s">
        <v>135</v>
      </c>
    </row>
    <row r="1796" spans="8:8" x14ac:dyDescent="0.25">
      <c r="H1796" t="s">
        <v>2520</v>
      </c>
    </row>
    <row r="1797" spans="8:8" x14ac:dyDescent="0.25">
      <c r="H1797" t="s">
        <v>30</v>
      </c>
    </row>
    <row r="1799" spans="8:8" x14ac:dyDescent="0.25">
      <c r="H1799" t="s">
        <v>2085</v>
      </c>
    </row>
    <row r="1800" spans="8:8" x14ac:dyDescent="0.25">
      <c r="H1800" t="s">
        <v>2522</v>
      </c>
    </row>
    <row r="1801" spans="8:8" x14ac:dyDescent="0.25">
      <c r="H1801" t="s">
        <v>135</v>
      </c>
    </row>
    <row r="1802" spans="8:8" x14ac:dyDescent="0.25">
      <c r="H1802" t="s">
        <v>2523</v>
      </c>
    </row>
    <row r="1803" spans="8:8" x14ac:dyDescent="0.25">
      <c r="H1803" t="s">
        <v>30</v>
      </c>
    </row>
    <row r="1805" spans="8:8" x14ac:dyDescent="0.25">
      <c r="H1805" t="s">
        <v>2088</v>
      </c>
    </row>
    <row r="1806" spans="8:8" x14ac:dyDescent="0.25">
      <c r="H1806" t="s">
        <v>2525</v>
      </c>
    </row>
    <row r="1807" spans="8:8" x14ac:dyDescent="0.25">
      <c r="H1807" t="s">
        <v>135</v>
      </c>
    </row>
    <row r="1808" spans="8:8" x14ac:dyDescent="0.25">
      <c r="H1808" t="s">
        <v>2526</v>
      </c>
    </row>
    <row r="1809" spans="8:8" x14ac:dyDescent="0.25">
      <c r="H1809" t="s">
        <v>30</v>
      </c>
    </row>
    <row r="1810" spans="8:8" x14ac:dyDescent="0.25">
      <c r="H1810" t="s">
        <v>136</v>
      </c>
    </row>
    <row r="1811" spans="8:8" x14ac:dyDescent="0.25">
      <c r="H1811" t="s">
        <v>2527</v>
      </c>
    </row>
    <row r="1812" spans="8:8" x14ac:dyDescent="0.25">
      <c r="H1812" t="s">
        <v>30</v>
      </c>
    </row>
    <row r="1813" spans="8:8" x14ac:dyDescent="0.25">
      <c r="H1813" t="s">
        <v>137</v>
      </c>
    </row>
    <row r="1814" spans="8:8" x14ac:dyDescent="0.25">
      <c r="H1814" t="s">
        <v>2528</v>
      </c>
    </row>
    <row r="1815" spans="8:8" x14ac:dyDescent="0.25">
      <c r="H1815" t="s">
        <v>30</v>
      </c>
    </row>
    <row r="1817" spans="8:8" x14ac:dyDescent="0.25">
      <c r="H1817" t="s">
        <v>2091</v>
      </c>
    </row>
    <row r="1818" spans="8:8" x14ac:dyDescent="0.25">
      <c r="H1818" t="s">
        <v>2530</v>
      </c>
    </row>
    <row r="1819" spans="8:8" x14ac:dyDescent="0.25">
      <c r="H1819" t="s">
        <v>135</v>
      </c>
    </row>
    <row r="1820" spans="8:8" x14ac:dyDescent="0.25">
      <c r="H1820" t="s">
        <v>4904</v>
      </c>
    </row>
    <row r="1821" spans="8:8" x14ac:dyDescent="0.25">
      <c r="H1821" t="s">
        <v>30</v>
      </c>
    </row>
    <row r="1823" spans="8:8" x14ac:dyDescent="0.25">
      <c r="H1823" t="s">
        <v>2098</v>
      </c>
    </row>
    <row r="1824" spans="8:8" x14ac:dyDescent="0.25">
      <c r="H1824" t="s">
        <v>2532</v>
      </c>
    </row>
    <row r="1825" spans="8:8" x14ac:dyDescent="0.25">
      <c r="H1825" t="s">
        <v>135</v>
      </c>
    </row>
    <row r="1826" spans="8:8" x14ac:dyDescent="0.25">
      <c r="H1826" t="s">
        <v>2533</v>
      </c>
    </row>
    <row r="1827" spans="8:8" x14ac:dyDescent="0.25">
      <c r="H1827" t="s">
        <v>30</v>
      </c>
    </row>
    <row r="1829" spans="8:8" x14ac:dyDescent="0.25">
      <c r="H1829" t="s">
        <v>2104</v>
      </c>
    </row>
    <row r="1830" spans="8:8" x14ac:dyDescent="0.25">
      <c r="H1830" t="s">
        <v>2535</v>
      </c>
    </row>
    <row r="1831" spans="8:8" x14ac:dyDescent="0.25">
      <c r="H1831" t="s">
        <v>135</v>
      </c>
    </row>
    <row r="1832" spans="8:8" x14ac:dyDescent="0.25">
      <c r="H1832" t="s">
        <v>2536</v>
      </c>
    </row>
    <row r="1833" spans="8:8" x14ac:dyDescent="0.25">
      <c r="H1833" t="s">
        <v>30</v>
      </c>
    </row>
    <row r="1835" spans="8:8" x14ac:dyDescent="0.25">
      <c r="H1835" t="s">
        <v>2110</v>
      </c>
    </row>
    <row r="1836" spans="8:8" x14ac:dyDescent="0.25">
      <c r="H1836" t="s">
        <v>2538</v>
      </c>
    </row>
    <row r="1837" spans="8:8" x14ac:dyDescent="0.25">
      <c r="H1837" t="s">
        <v>135</v>
      </c>
    </row>
    <row r="1838" spans="8:8" x14ac:dyDescent="0.25">
      <c r="H1838" t="s">
        <v>2539</v>
      </c>
    </row>
    <row r="1839" spans="8:8" x14ac:dyDescent="0.25">
      <c r="H1839" t="s">
        <v>30</v>
      </c>
    </row>
    <row r="1841" spans="8:8" x14ac:dyDescent="0.25">
      <c r="H1841" t="s">
        <v>2116</v>
      </c>
    </row>
    <row r="1842" spans="8:8" x14ac:dyDescent="0.25">
      <c r="H1842" t="s">
        <v>2541</v>
      </c>
    </row>
    <row r="1843" spans="8:8" x14ac:dyDescent="0.25">
      <c r="H1843" t="s">
        <v>135</v>
      </c>
    </row>
    <row r="1844" spans="8:8" x14ac:dyDescent="0.25">
      <c r="H1844" t="s">
        <v>2542</v>
      </c>
    </row>
    <row r="1845" spans="8:8" x14ac:dyDescent="0.25">
      <c r="H1845" t="s">
        <v>30</v>
      </c>
    </row>
    <row r="1846" spans="8:8" x14ac:dyDescent="0.25">
      <c r="H1846" t="s">
        <v>136</v>
      </c>
    </row>
    <row r="1847" spans="8:8" x14ac:dyDescent="0.25">
      <c r="H1847" t="s">
        <v>2543</v>
      </c>
    </row>
    <row r="1848" spans="8:8" x14ac:dyDescent="0.25">
      <c r="H1848" t="s">
        <v>30</v>
      </c>
    </row>
    <row r="1849" spans="8:8" x14ac:dyDescent="0.25">
      <c r="H1849" t="s">
        <v>137</v>
      </c>
    </row>
    <row r="1850" spans="8:8" x14ac:dyDescent="0.25">
      <c r="H1850" t="s">
        <v>2544</v>
      </c>
    </row>
    <row r="1851" spans="8:8" x14ac:dyDescent="0.25">
      <c r="H1851" t="s">
        <v>30</v>
      </c>
    </row>
    <row r="1853" spans="8:8" x14ac:dyDescent="0.25">
      <c r="H1853" t="s">
        <v>2119</v>
      </c>
    </row>
    <row r="1854" spans="8:8" x14ac:dyDescent="0.25">
      <c r="H1854" t="s">
        <v>2546</v>
      </c>
    </row>
    <row r="1855" spans="8:8" x14ac:dyDescent="0.25">
      <c r="H1855" t="s">
        <v>135</v>
      </c>
    </row>
    <row r="1856" spans="8:8" x14ac:dyDescent="0.25">
      <c r="H1856" t="s">
        <v>4905</v>
      </c>
    </row>
    <row r="1857" spans="8:8" x14ac:dyDescent="0.25">
      <c r="H1857" t="s">
        <v>30</v>
      </c>
    </row>
    <row r="1859" spans="8:8" x14ac:dyDescent="0.25">
      <c r="H1859" t="s">
        <v>2122</v>
      </c>
    </row>
    <row r="1860" spans="8:8" x14ac:dyDescent="0.25">
      <c r="H1860" t="s">
        <v>2548</v>
      </c>
    </row>
    <row r="1861" spans="8:8" x14ac:dyDescent="0.25">
      <c r="H1861" t="s">
        <v>135</v>
      </c>
    </row>
    <row r="1862" spans="8:8" x14ac:dyDescent="0.25">
      <c r="H1862" t="s">
        <v>2549</v>
      </c>
    </row>
    <row r="1863" spans="8:8" x14ac:dyDescent="0.25">
      <c r="H1863" t="s">
        <v>30</v>
      </c>
    </row>
    <row r="1865" spans="8:8" x14ac:dyDescent="0.25">
      <c r="H1865" t="s">
        <v>2126</v>
      </c>
    </row>
    <row r="1866" spans="8:8" x14ac:dyDescent="0.25">
      <c r="H1866" t="s">
        <v>2551</v>
      </c>
    </row>
    <row r="1867" spans="8:8" x14ac:dyDescent="0.25">
      <c r="H1867" t="s">
        <v>135</v>
      </c>
    </row>
    <row r="1868" spans="8:8" x14ac:dyDescent="0.25">
      <c r="H1868" t="s">
        <v>2552</v>
      </c>
    </row>
    <row r="1869" spans="8:8" x14ac:dyDescent="0.25">
      <c r="H1869" t="s">
        <v>30</v>
      </c>
    </row>
    <row r="1871" spans="8:8" x14ac:dyDescent="0.25">
      <c r="H1871" t="s">
        <v>2129</v>
      </c>
    </row>
    <row r="1872" spans="8:8" x14ac:dyDescent="0.25">
      <c r="H1872" t="s">
        <v>2554</v>
      </c>
    </row>
    <row r="1873" spans="8:8" x14ac:dyDescent="0.25">
      <c r="H1873" t="s">
        <v>135</v>
      </c>
    </row>
    <row r="1874" spans="8:8" x14ac:dyDescent="0.25">
      <c r="H1874" t="s">
        <v>2555</v>
      </c>
    </row>
    <row r="1875" spans="8:8" x14ac:dyDescent="0.25">
      <c r="H1875" t="s">
        <v>30</v>
      </c>
    </row>
    <row r="1877" spans="8:8" x14ac:dyDescent="0.25">
      <c r="H1877" t="s">
        <v>2132</v>
      </c>
    </row>
    <row r="1878" spans="8:8" x14ac:dyDescent="0.25">
      <c r="H1878" t="s">
        <v>2557</v>
      </c>
    </row>
    <row r="1879" spans="8:8" x14ac:dyDescent="0.25">
      <c r="H1879" t="s">
        <v>135</v>
      </c>
    </row>
    <row r="1880" spans="8:8" x14ac:dyDescent="0.25">
      <c r="H1880" t="s">
        <v>2558</v>
      </c>
    </row>
    <row r="1881" spans="8:8" x14ac:dyDescent="0.25">
      <c r="H1881" t="s">
        <v>30</v>
      </c>
    </row>
    <row r="1882" spans="8:8" x14ac:dyDescent="0.25">
      <c r="H1882" t="s">
        <v>136</v>
      </c>
    </row>
    <row r="1883" spans="8:8" x14ac:dyDescent="0.25">
      <c r="H1883" t="s">
        <v>2559</v>
      </c>
    </row>
    <row r="1884" spans="8:8" x14ac:dyDescent="0.25">
      <c r="H1884" t="s">
        <v>30</v>
      </c>
    </row>
    <row r="1885" spans="8:8" x14ac:dyDescent="0.25">
      <c r="H1885" t="s">
        <v>137</v>
      </c>
    </row>
    <row r="1886" spans="8:8" x14ac:dyDescent="0.25">
      <c r="H1886" t="s">
        <v>2560</v>
      </c>
    </row>
    <row r="1887" spans="8:8" x14ac:dyDescent="0.25">
      <c r="H1887" t="s">
        <v>30</v>
      </c>
    </row>
    <row r="1889" spans="8:8" x14ac:dyDescent="0.25">
      <c r="H1889" t="s">
        <v>2136</v>
      </c>
    </row>
    <row r="1890" spans="8:8" x14ac:dyDescent="0.25">
      <c r="H1890" t="s">
        <v>2562</v>
      </c>
    </row>
    <row r="1891" spans="8:8" x14ac:dyDescent="0.25">
      <c r="H1891" t="s">
        <v>135</v>
      </c>
    </row>
    <row r="1892" spans="8:8" x14ac:dyDescent="0.25">
      <c r="H1892" t="s">
        <v>4906</v>
      </c>
    </row>
    <row r="1893" spans="8:8" x14ac:dyDescent="0.25">
      <c r="H1893" t="s">
        <v>30</v>
      </c>
    </row>
    <row r="1895" spans="8:8" x14ac:dyDescent="0.25">
      <c r="H1895" t="s">
        <v>2139</v>
      </c>
    </row>
    <row r="1896" spans="8:8" x14ac:dyDescent="0.25">
      <c r="H1896" t="s">
        <v>2564</v>
      </c>
    </row>
    <row r="1897" spans="8:8" x14ac:dyDescent="0.25">
      <c r="H1897" t="s">
        <v>135</v>
      </c>
    </row>
    <row r="1898" spans="8:8" x14ac:dyDescent="0.25">
      <c r="H1898" t="s">
        <v>2565</v>
      </c>
    </row>
    <row r="1899" spans="8:8" x14ac:dyDescent="0.25">
      <c r="H1899" t="s">
        <v>30</v>
      </c>
    </row>
    <row r="1901" spans="8:8" x14ac:dyDescent="0.25">
      <c r="H1901" t="s">
        <v>2142</v>
      </c>
    </row>
    <row r="1902" spans="8:8" x14ac:dyDescent="0.25">
      <c r="H1902" t="s">
        <v>2567</v>
      </c>
    </row>
    <row r="1903" spans="8:8" x14ac:dyDescent="0.25">
      <c r="H1903" t="s">
        <v>135</v>
      </c>
    </row>
    <row r="1904" spans="8:8" x14ac:dyDescent="0.25">
      <c r="H1904" t="s">
        <v>2568</v>
      </c>
    </row>
    <row r="1905" spans="8:8" x14ac:dyDescent="0.25">
      <c r="H1905" t="s">
        <v>30</v>
      </c>
    </row>
    <row r="1907" spans="8:8" x14ac:dyDescent="0.25">
      <c r="H1907" t="s">
        <v>2146</v>
      </c>
    </row>
    <row r="1908" spans="8:8" x14ac:dyDescent="0.25">
      <c r="H1908" t="s">
        <v>2570</v>
      </c>
    </row>
    <row r="1909" spans="8:8" x14ac:dyDescent="0.25">
      <c r="H1909" t="s">
        <v>135</v>
      </c>
    </row>
    <row r="1910" spans="8:8" x14ac:dyDescent="0.25">
      <c r="H1910" t="s">
        <v>2571</v>
      </c>
    </row>
    <row r="1911" spans="8:8" x14ac:dyDescent="0.25">
      <c r="H1911" t="s">
        <v>30</v>
      </c>
    </row>
    <row r="1913" spans="8:8" x14ac:dyDescent="0.25">
      <c r="H1913" t="s">
        <v>2149</v>
      </c>
    </row>
    <row r="1914" spans="8:8" x14ac:dyDescent="0.25">
      <c r="H1914" t="s">
        <v>2573</v>
      </c>
    </row>
    <row r="1915" spans="8:8" x14ac:dyDescent="0.25">
      <c r="H1915" t="s">
        <v>135</v>
      </c>
    </row>
    <row r="1916" spans="8:8" x14ac:dyDescent="0.25">
      <c r="H1916" t="s">
        <v>2574</v>
      </c>
    </row>
    <row r="1917" spans="8:8" x14ac:dyDescent="0.25">
      <c r="H1917" t="s">
        <v>30</v>
      </c>
    </row>
    <row r="1918" spans="8:8" x14ac:dyDescent="0.25">
      <c r="H1918" t="s">
        <v>136</v>
      </c>
    </row>
    <row r="1919" spans="8:8" x14ac:dyDescent="0.25">
      <c r="H1919" t="s">
        <v>2575</v>
      </c>
    </row>
    <row r="1920" spans="8:8" x14ac:dyDescent="0.25">
      <c r="H1920" t="s">
        <v>30</v>
      </c>
    </row>
    <row r="1921" spans="8:8" x14ac:dyDescent="0.25">
      <c r="H1921" t="s">
        <v>137</v>
      </c>
    </row>
    <row r="1922" spans="8:8" x14ac:dyDescent="0.25">
      <c r="H1922" t="s">
        <v>2576</v>
      </c>
    </row>
    <row r="1923" spans="8:8" x14ac:dyDescent="0.25">
      <c r="H1923" t="s">
        <v>30</v>
      </c>
    </row>
    <row r="1925" spans="8:8" x14ac:dyDescent="0.25">
      <c r="H1925" t="s">
        <v>2152</v>
      </c>
    </row>
    <row r="1926" spans="8:8" x14ac:dyDescent="0.25">
      <c r="H1926" t="s">
        <v>2578</v>
      </c>
    </row>
    <row r="1927" spans="8:8" x14ac:dyDescent="0.25">
      <c r="H1927" t="s">
        <v>135</v>
      </c>
    </row>
    <row r="1928" spans="8:8" x14ac:dyDescent="0.25">
      <c r="H1928" t="s">
        <v>4907</v>
      </c>
    </row>
    <row r="1929" spans="8:8" x14ac:dyDescent="0.25">
      <c r="H1929" t="s">
        <v>30</v>
      </c>
    </row>
    <row r="1931" spans="8:8" x14ac:dyDescent="0.25">
      <c r="H1931" t="s">
        <v>2159</v>
      </c>
    </row>
    <row r="1932" spans="8:8" x14ac:dyDescent="0.25">
      <c r="H1932" t="s">
        <v>2580</v>
      </c>
    </row>
    <row r="1933" spans="8:8" x14ac:dyDescent="0.25">
      <c r="H1933" t="s">
        <v>135</v>
      </c>
    </row>
    <row r="1934" spans="8:8" x14ac:dyDescent="0.25">
      <c r="H1934" t="s">
        <v>2581</v>
      </c>
    </row>
    <row r="1935" spans="8:8" x14ac:dyDescent="0.25">
      <c r="H1935" t="s">
        <v>30</v>
      </c>
    </row>
    <row r="1937" spans="8:8" x14ac:dyDescent="0.25">
      <c r="H1937" t="s">
        <v>2163</v>
      </c>
    </row>
    <row r="1938" spans="8:8" x14ac:dyDescent="0.25">
      <c r="H1938" t="s">
        <v>2583</v>
      </c>
    </row>
    <row r="1939" spans="8:8" x14ac:dyDescent="0.25">
      <c r="H1939" t="s">
        <v>135</v>
      </c>
    </row>
    <row r="1940" spans="8:8" x14ac:dyDescent="0.25">
      <c r="H1940" t="s">
        <v>2584</v>
      </c>
    </row>
    <row r="1941" spans="8:8" x14ac:dyDescent="0.25">
      <c r="H1941" t="s">
        <v>30</v>
      </c>
    </row>
    <row r="1943" spans="8:8" x14ac:dyDescent="0.25">
      <c r="H1943" t="s">
        <v>2166</v>
      </c>
    </row>
    <row r="1944" spans="8:8" x14ac:dyDescent="0.25">
      <c r="H1944" t="s">
        <v>2586</v>
      </c>
    </row>
    <row r="1945" spans="8:8" x14ac:dyDescent="0.25">
      <c r="H1945" t="s">
        <v>135</v>
      </c>
    </row>
    <row r="1946" spans="8:8" x14ac:dyDescent="0.25">
      <c r="H1946" t="s">
        <v>2587</v>
      </c>
    </row>
    <row r="1947" spans="8:8" x14ac:dyDescent="0.25">
      <c r="H1947" t="s">
        <v>30</v>
      </c>
    </row>
    <row r="1949" spans="8:8" x14ac:dyDescent="0.25">
      <c r="H1949" t="s">
        <v>2169</v>
      </c>
    </row>
    <row r="1950" spans="8:8" x14ac:dyDescent="0.25">
      <c r="H1950" t="s">
        <v>2589</v>
      </c>
    </row>
    <row r="1951" spans="8:8" x14ac:dyDescent="0.25">
      <c r="H1951" t="s">
        <v>135</v>
      </c>
    </row>
    <row r="1952" spans="8:8" x14ac:dyDescent="0.25">
      <c r="H1952" t="s">
        <v>2590</v>
      </c>
    </row>
    <row r="1953" spans="8:8" x14ac:dyDescent="0.25">
      <c r="H1953" t="s">
        <v>30</v>
      </c>
    </row>
    <row r="1954" spans="8:8" x14ac:dyDescent="0.25">
      <c r="H1954" t="s">
        <v>136</v>
      </c>
    </row>
    <row r="1955" spans="8:8" x14ac:dyDescent="0.25">
      <c r="H1955" t="s">
        <v>2591</v>
      </c>
    </row>
    <row r="1956" spans="8:8" x14ac:dyDescent="0.25">
      <c r="H1956" t="s">
        <v>30</v>
      </c>
    </row>
    <row r="1957" spans="8:8" x14ac:dyDescent="0.25">
      <c r="H1957" t="s">
        <v>137</v>
      </c>
    </row>
    <row r="1958" spans="8:8" x14ac:dyDescent="0.25">
      <c r="H1958" t="s">
        <v>2592</v>
      </c>
    </row>
    <row r="1959" spans="8:8" x14ac:dyDescent="0.25">
      <c r="H1959" t="s">
        <v>30</v>
      </c>
    </row>
    <row r="1961" spans="8:8" x14ac:dyDescent="0.25">
      <c r="H1961" t="s">
        <v>2175</v>
      </c>
    </row>
    <row r="1962" spans="8:8" x14ac:dyDescent="0.25">
      <c r="H1962" t="s">
        <v>2594</v>
      </c>
    </row>
    <row r="1963" spans="8:8" x14ac:dyDescent="0.25">
      <c r="H1963" t="s">
        <v>135</v>
      </c>
    </row>
    <row r="1964" spans="8:8" x14ac:dyDescent="0.25">
      <c r="H1964" t="s">
        <v>4908</v>
      </c>
    </row>
    <row r="1965" spans="8:8" x14ac:dyDescent="0.25">
      <c r="H1965" t="s">
        <v>30</v>
      </c>
    </row>
    <row r="1967" spans="8:8" x14ac:dyDescent="0.25">
      <c r="H1967" t="s">
        <v>2181</v>
      </c>
    </row>
    <row r="1968" spans="8:8" x14ac:dyDescent="0.25">
      <c r="H1968" t="s">
        <v>2596</v>
      </c>
    </row>
    <row r="1969" spans="8:8" x14ac:dyDescent="0.25">
      <c r="H1969" t="s">
        <v>135</v>
      </c>
    </row>
    <row r="1970" spans="8:8" x14ac:dyDescent="0.25">
      <c r="H1970" t="s">
        <v>2597</v>
      </c>
    </row>
    <row r="1971" spans="8:8" x14ac:dyDescent="0.25">
      <c r="H1971" t="s">
        <v>30</v>
      </c>
    </row>
    <row r="1973" spans="8:8" x14ac:dyDescent="0.25">
      <c r="H1973" t="s">
        <v>2187</v>
      </c>
    </row>
    <row r="1974" spans="8:8" x14ac:dyDescent="0.25">
      <c r="H1974" t="s">
        <v>2599</v>
      </c>
    </row>
    <row r="1975" spans="8:8" x14ac:dyDescent="0.25">
      <c r="H1975" t="s">
        <v>135</v>
      </c>
    </row>
    <row r="1976" spans="8:8" x14ac:dyDescent="0.25">
      <c r="H1976" t="s">
        <v>2600</v>
      </c>
    </row>
    <row r="1977" spans="8:8" x14ac:dyDescent="0.25">
      <c r="H1977" t="s">
        <v>30</v>
      </c>
    </row>
    <row r="1979" spans="8:8" x14ac:dyDescent="0.25">
      <c r="H1979" t="s">
        <v>2190</v>
      </c>
    </row>
    <row r="1980" spans="8:8" x14ac:dyDescent="0.25">
      <c r="H1980" t="s">
        <v>2602</v>
      </c>
    </row>
    <row r="1981" spans="8:8" x14ac:dyDescent="0.25">
      <c r="H1981" t="s">
        <v>135</v>
      </c>
    </row>
    <row r="1982" spans="8:8" x14ac:dyDescent="0.25">
      <c r="H1982" t="s">
        <v>2603</v>
      </c>
    </row>
    <row r="1983" spans="8:8" x14ac:dyDescent="0.25">
      <c r="H1983" t="s">
        <v>30</v>
      </c>
    </row>
    <row r="1985" spans="8:8" x14ac:dyDescent="0.25">
      <c r="H1985" t="s">
        <v>2193</v>
      </c>
    </row>
    <row r="1986" spans="8:8" x14ac:dyDescent="0.25">
      <c r="H1986" t="s">
        <v>2605</v>
      </c>
    </row>
    <row r="1987" spans="8:8" x14ac:dyDescent="0.25">
      <c r="H1987" t="s">
        <v>135</v>
      </c>
    </row>
    <row r="1988" spans="8:8" x14ac:dyDescent="0.25">
      <c r="H1988" t="s">
        <v>2606</v>
      </c>
    </row>
    <row r="1989" spans="8:8" x14ac:dyDescent="0.25">
      <c r="H1989" t="s">
        <v>30</v>
      </c>
    </row>
    <row r="1990" spans="8:8" x14ac:dyDescent="0.25">
      <c r="H1990" t="s">
        <v>136</v>
      </c>
    </row>
    <row r="1991" spans="8:8" x14ac:dyDescent="0.25">
      <c r="H1991" t="s">
        <v>2607</v>
      </c>
    </row>
    <row r="1992" spans="8:8" x14ac:dyDescent="0.25">
      <c r="H1992" t="s">
        <v>30</v>
      </c>
    </row>
    <row r="1993" spans="8:8" x14ac:dyDescent="0.25">
      <c r="H1993" t="s">
        <v>137</v>
      </c>
    </row>
    <row r="1994" spans="8:8" x14ac:dyDescent="0.25">
      <c r="H1994" t="s">
        <v>2608</v>
      </c>
    </row>
    <row r="1995" spans="8:8" x14ac:dyDescent="0.25">
      <c r="H1995" t="s">
        <v>30</v>
      </c>
    </row>
    <row r="1997" spans="8:8" x14ac:dyDescent="0.25">
      <c r="H1997" t="s">
        <v>2196</v>
      </c>
    </row>
    <row r="1998" spans="8:8" x14ac:dyDescent="0.25">
      <c r="H1998" t="s">
        <v>2610</v>
      </c>
    </row>
    <row r="1999" spans="8:8" x14ac:dyDescent="0.25">
      <c r="H1999" t="s">
        <v>135</v>
      </c>
    </row>
    <row r="2000" spans="8:8" x14ac:dyDescent="0.25">
      <c r="H2000" t="s">
        <v>4909</v>
      </c>
    </row>
    <row r="2001" spans="8:8" x14ac:dyDescent="0.25">
      <c r="H2001" t="s">
        <v>30</v>
      </c>
    </row>
    <row r="2003" spans="8:8" x14ac:dyDescent="0.25">
      <c r="H2003" t="s">
        <v>2200</v>
      </c>
    </row>
    <row r="2004" spans="8:8" x14ac:dyDescent="0.25">
      <c r="H2004" t="s">
        <v>2612</v>
      </c>
    </row>
    <row r="2005" spans="8:8" x14ac:dyDescent="0.25">
      <c r="H2005" t="s">
        <v>135</v>
      </c>
    </row>
    <row r="2006" spans="8:8" x14ac:dyDescent="0.25">
      <c r="H2006" t="s">
        <v>2613</v>
      </c>
    </row>
    <row r="2007" spans="8:8" x14ac:dyDescent="0.25">
      <c r="H2007" t="s">
        <v>30</v>
      </c>
    </row>
    <row r="2009" spans="8:8" x14ac:dyDescent="0.25">
      <c r="H2009" t="s">
        <v>2201</v>
      </c>
    </row>
    <row r="2010" spans="8:8" x14ac:dyDescent="0.25">
      <c r="H2010" t="s">
        <v>2615</v>
      </c>
    </row>
    <row r="2011" spans="8:8" x14ac:dyDescent="0.25">
      <c r="H2011" t="s">
        <v>135</v>
      </c>
    </row>
    <row r="2012" spans="8:8" x14ac:dyDescent="0.25">
      <c r="H2012" t="s">
        <v>2616</v>
      </c>
    </row>
    <row r="2013" spans="8:8" x14ac:dyDescent="0.25">
      <c r="H2013" t="s">
        <v>30</v>
      </c>
    </row>
    <row r="2015" spans="8:8" x14ac:dyDescent="0.25">
      <c r="H2015" t="s">
        <v>2202</v>
      </c>
    </row>
    <row r="2016" spans="8:8" x14ac:dyDescent="0.25">
      <c r="H2016" t="s">
        <v>2618</v>
      </c>
    </row>
    <row r="2017" spans="8:8" x14ac:dyDescent="0.25">
      <c r="H2017" t="s">
        <v>135</v>
      </c>
    </row>
    <row r="2018" spans="8:8" x14ac:dyDescent="0.25">
      <c r="H2018" t="s">
        <v>2619</v>
      </c>
    </row>
    <row r="2019" spans="8:8" x14ac:dyDescent="0.25">
      <c r="H2019" t="s">
        <v>30</v>
      </c>
    </row>
    <row r="2021" spans="8:8" x14ac:dyDescent="0.25">
      <c r="H2021" t="s">
        <v>2203</v>
      </c>
    </row>
    <row r="2022" spans="8:8" x14ac:dyDescent="0.25">
      <c r="H2022" t="s">
        <v>2621</v>
      </c>
    </row>
    <row r="2023" spans="8:8" x14ac:dyDescent="0.25">
      <c r="H2023" t="s">
        <v>135</v>
      </c>
    </row>
    <row r="2024" spans="8:8" x14ac:dyDescent="0.25">
      <c r="H2024" t="s">
        <v>2622</v>
      </c>
    </row>
    <row r="2025" spans="8:8" x14ac:dyDescent="0.25">
      <c r="H2025" t="s">
        <v>30</v>
      </c>
    </row>
    <row r="2026" spans="8:8" x14ac:dyDescent="0.25">
      <c r="H2026" t="s">
        <v>136</v>
      </c>
    </row>
    <row r="2027" spans="8:8" x14ac:dyDescent="0.25">
      <c r="H2027" t="s">
        <v>2623</v>
      </c>
    </row>
    <row r="2028" spans="8:8" x14ac:dyDescent="0.25">
      <c r="H2028" t="s">
        <v>30</v>
      </c>
    </row>
    <row r="2029" spans="8:8" x14ac:dyDescent="0.25">
      <c r="H2029" t="s">
        <v>137</v>
      </c>
    </row>
    <row r="2030" spans="8:8" x14ac:dyDescent="0.25">
      <c r="H2030" t="s">
        <v>2624</v>
      </c>
    </row>
    <row r="2031" spans="8:8" x14ac:dyDescent="0.25">
      <c r="H2031" t="s">
        <v>30</v>
      </c>
    </row>
    <row r="2033" spans="8:8" x14ac:dyDescent="0.25">
      <c r="H2033" t="s">
        <v>2204</v>
      </c>
    </row>
    <row r="2034" spans="8:8" x14ac:dyDescent="0.25">
      <c r="H2034" t="s">
        <v>2626</v>
      </c>
    </row>
    <row r="2035" spans="8:8" x14ac:dyDescent="0.25">
      <c r="H2035" t="s">
        <v>135</v>
      </c>
    </row>
    <row r="2036" spans="8:8" x14ac:dyDescent="0.25">
      <c r="H2036" t="s">
        <v>4910</v>
      </c>
    </row>
    <row r="2037" spans="8:8" x14ac:dyDescent="0.25">
      <c r="H2037" t="s">
        <v>30</v>
      </c>
    </row>
    <row r="2039" spans="8:8" x14ac:dyDescent="0.25">
      <c r="H2039" t="s">
        <v>2205</v>
      </c>
    </row>
    <row r="2040" spans="8:8" x14ac:dyDescent="0.25">
      <c r="H2040" t="s">
        <v>2628</v>
      </c>
    </row>
    <row r="2041" spans="8:8" x14ac:dyDescent="0.25">
      <c r="H2041" t="s">
        <v>135</v>
      </c>
    </row>
    <row r="2042" spans="8:8" x14ac:dyDescent="0.25">
      <c r="H2042" t="s">
        <v>2629</v>
      </c>
    </row>
    <row r="2043" spans="8:8" x14ac:dyDescent="0.25">
      <c r="H2043" t="s">
        <v>30</v>
      </c>
    </row>
    <row r="2045" spans="8:8" x14ac:dyDescent="0.25">
      <c r="H2045" t="s">
        <v>2206</v>
      </c>
    </row>
    <row r="2046" spans="8:8" x14ac:dyDescent="0.25">
      <c r="H2046" t="s">
        <v>2631</v>
      </c>
    </row>
    <row r="2047" spans="8:8" x14ac:dyDescent="0.25">
      <c r="H2047" t="s">
        <v>135</v>
      </c>
    </row>
    <row r="2048" spans="8:8" x14ac:dyDescent="0.25">
      <c r="H2048" t="s">
        <v>2632</v>
      </c>
    </row>
    <row r="2049" spans="8:8" x14ac:dyDescent="0.25">
      <c r="H2049" t="s">
        <v>30</v>
      </c>
    </row>
    <row r="2051" spans="8:8" x14ac:dyDescent="0.25">
      <c r="H2051" t="s">
        <v>2207</v>
      </c>
    </row>
    <row r="2052" spans="8:8" x14ac:dyDescent="0.25">
      <c r="H2052" t="s">
        <v>2634</v>
      </c>
    </row>
    <row r="2053" spans="8:8" x14ac:dyDescent="0.25">
      <c r="H2053" t="s">
        <v>135</v>
      </c>
    </row>
    <row r="2054" spans="8:8" x14ac:dyDescent="0.25">
      <c r="H2054" t="s">
        <v>2635</v>
      </c>
    </row>
    <row r="2055" spans="8:8" x14ac:dyDescent="0.25">
      <c r="H2055" t="s">
        <v>30</v>
      </c>
    </row>
    <row r="2057" spans="8:8" x14ac:dyDescent="0.25">
      <c r="H2057" t="s">
        <v>2208</v>
      </c>
    </row>
    <row r="2058" spans="8:8" x14ac:dyDescent="0.25">
      <c r="H2058" t="s">
        <v>2637</v>
      </c>
    </row>
    <row r="2059" spans="8:8" x14ac:dyDescent="0.25">
      <c r="H2059" t="s">
        <v>135</v>
      </c>
    </row>
    <row r="2060" spans="8:8" x14ac:dyDescent="0.25">
      <c r="H2060" t="s">
        <v>2638</v>
      </c>
    </row>
    <row r="2061" spans="8:8" x14ac:dyDescent="0.25">
      <c r="H2061" t="s">
        <v>30</v>
      </c>
    </row>
    <row r="2062" spans="8:8" x14ac:dyDescent="0.25">
      <c r="H2062" t="s">
        <v>136</v>
      </c>
    </row>
    <row r="2063" spans="8:8" x14ac:dyDescent="0.25">
      <c r="H2063" t="s">
        <v>2639</v>
      </c>
    </row>
    <row r="2064" spans="8:8" x14ac:dyDescent="0.25">
      <c r="H2064" t="s">
        <v>30</v>
      </c>
    </row>
    <row r="2065" spans="8:8" x14ac:dyDescent="0.25">
      <c r="H2065" t="s">
        <v>137</v>
      </c>
    </row>
    <row r="2066" spans="8:8" x14ac:dyDescent="0.25">
      <c r="H2066" t="s">
        <v>2640</v>
      </c>
    </row>
    <row r="2067" spans="8:8" x14ac:dyDescent="0.25">
      <c r="H2067" t="s">
        <v>30</v>
      </c>
    </row>
    <row r="2069" spans="8:8" x14ac:dyDescent="0.25">
      <c r="H2069" t="s">
        <v>2209</v>
      </c>
    </row>
    <row r="2070" spans="8:8" x14ac:dyDescent="0.25">
      <c r="H2070" t="s">
        <v>2642</v>
      </c>
    </row>
    <row r="2071" spans="8:8" x14ac:dyDescent="0.25">
      <c r="H2071" t="s">
        <v>135</v>
      </c>
    </row>
    <row r="2072" spans="8:8" x14ac:dyDescent="0.25">
      <c r="H2072" t="s">
        <v>4911</v>
      </c>
    </row>
    <row r="2073" spans="8:8" x14ac:dyDescent="0.25">
      <c r="H2073" t="s">
        <v>30</v>
      </c>
    </row>
    <row r="2075" spans="8:8" x14ac:dyDescent="0.25">
      <c r="H2075" t="s">
        <v>2210</v>
      </c>
    </row>
    <row r="2076" spans="8:8" x14ac:dyDescent="0.25">
      <c r="H2076" t="s">
        <v>2644</v>
      </c>
    </row>
    <row r="2077" spans="8:8" x14ac:dyDescent="0.25">
      <c r="H2077" t="s">
        <v>135</v>
      </c>
    </row>
    <row r="2078" spans="8:8" x14ac:dyDescent="0.25">
      <c r="H2078" t="s">
        <v>2645</v>
      </c>
    </row>
    <row r="2079" spans="8:8" x14ac:dyDescent="0.25">
      <c r="H2079" t="s">
        <v>30</v>
      </c>
    </row>
    <row r="2081" spans="8:8" x14ac:dyDescent="0.25">
      <c r="H2081" t="s">
        <v>2211</v>
      </c>
    </row>
    <row r="2082" spans="8:8" x14ac:dyDescent="0.25">
      <c r="H2082" t="s">
        <v>2647</v>
      </c>
    </row>
    <row r="2083" spans="8:8" x14ac:dyDescent="0.25">
      <c r="H2083" t="s">
        <v>135</v>
      </c>
    </row>
    <row r="2084" spans="8:8" x14ac:dyDescent="0.25">
      <c r="H2084" t="s">
        <v>2648</v>
      </c>
    </row>
    <row r="2085" spans="8:8" x14ac:dyDescent="0.25">
      <c r="H2085" t="s">
        <v>30</v>
      </c>
    </row>
    <row r="2087" spans="8:8" x14ac:dyDescent="0.25">
      <c r="H2087" t="s">
        <v>2212</v>
      </c>
    </row>
    <row r="2088" spans="8:8" x14ac:dyDescent="0.25">
      <c r="H2088" t="s">
        <v>2650</v>
      </c>
    </row>
    <row r="2089" spans="8:8" x14ac:dyDescent="0.25">
      <c r="H2089" t="s">
        <v>135</v>
      </c>
    </row>
    <row r="2090" spans="8:8" x14ac:dyDescent="0.25">
      <c r="H2090" t="s">
        <v>2651</v>
      </c>
    </row>
    <row r="2091" spans="8:8" x14ac:dyDescent="0.25">
      <c r="H2091" t="s">
        <v>30</v>
      </c>
    </row>
    <row r="2093" spans="8:8" x14ac:dyDescent="0.25">
      <c r="H2093" t="s">
        <v>2213</v>
      </c>
    </row>
    <row r="2094" spans="8:8" x14ac:dyDescent="0.25">
      <c r="H2094" t="s">
        <v>2653</v>
      </c>
    </row>
    <row r="2095" spans="8:8" x14ac:dyDescent="0.25">
      <c r="H2095" t="s">
        <v>135</v>
      </c>
    </row>
    <row r="2096" spans="8:8" x14ac:dyDescent="0.25">
      <c r="H2096" t="s">
        <v>2654</v>
      </c>
    </row>
    <row r="2097" spans="8:8" x14ac:dyDescent="0.25">
      <c r="H2097" t="s">
        <v>30</v>
      </c>
    </row>
    <row r="2098" spans="8:8" x14ac:dyDescent="0.25">
      <c r="H2098" t="s">
        <v>136</v>
      </c>
    </row>
    <row r="2099" spans="8:8" x14ac:dyDescent="0.25">
      <c r="H2099" t="s">
        <v>2655</v>
      </c>
    </row>
    <row r="2100" spans="8:8" x14ac:dyDescent="0.25">
      <c r="H2100" t="s">
        <v>30</v>
      </c>
    </row>
    <row r="2101" spans="8:8" x14ac:dyDescent="0.25">
      <c r="H2101" t="s">
        <v>137</v>
      </c>
    </row>
    <row r="2102" spans="8:8" x14ac:dyDescent="0.25">
      <c r="H2102" t="s">
        <v>2656</v>
      </c>
    </row>
    <row r="2103" spans="8:8" x14ac:dyDescent="0.25">
      <c r="H2103" t="s">
        <v>30</v>
      </c>
    </row>
    <row r="2105" spans="8:8" x14ac:dyDescent="0.25">
      <c r="H2105" t="s">
        <v>2214</v>
      </c>
    </row>
    <row r="2106" spans="8:8" x14ac:dyDescent="0.25">
      <c r="H2106" t="s">
        <v>2658</v>
      </c>
    </row>
    <row r="2107" spans="8:8" x14ac:dyDescent="0.25">
      <c r="H2107" t="s">
        <v>135</v>
      </c>
    </row>
    <row r="2108" spans="8:8" x14ac:dyDescent="0.25">
      <c r="H2108" t="s">
        <v>4912</v>
      </c>
    </row>
    <row r="2109" spans="8:8" x14ac:dyDescent="0.25">
      <c r="H2109" t="s">
        <v>30</v>
      </c>
    </row>
    <row r="2111" spans="8:8" x14ac:dyDescent="0.25">
      <c r="H2111" t="s">
        <v>2215</v>
      </c>
    </row>
    <row r="2112" spans="8:8" x14ac:dyDescent="0.25">
      <c r="H2112" t="s">
        <v>2660</v>
      </c>
    </row>
    <row r="2113" spans="8:8" x14ac:dyDescent="0.25">
      <c r="H2113" t="s">
        <v>135</v>
      </c>
    </row>
    <row r="2114" spans="8:8" x14ac:dyDescent="0.25">
      <c r="H2114" t="s">
        <v>2661</v>
      </c>
    </row>
    <row r="2115" spans="8:8" x14ac:dyDescent="0.25">
      <c r="H2115" t="s">
        <v>30</v>
      </c>
    </row>
    <row r="2117" spans="8:8" x14ac:dyDescent="0.25">
      <c r="H2117" t="s">
        <v>2216</v>
      </c>
    </row>
    <row r="2118" spans="8:8" x14ac:dyDescent="0.25">
      <c r="H2118" t="s">
        <v>2663</v>
      </c>
    </row>
    <row r="2119" spans="8:8" x14ac:dyDescent="0.25">
      <c r="H2119" t="s">
        <v>135</v>
      </c>
    </row>
    <row r="2120" spans="8:8" x14ac:dyDescent="0.25">
      <c r="H2120" t="s">
        <v>2664</v>
      </c>
    </row>
    <row r="2121" spans="8:8" x14ac:dyDescent="0.25">
      <c r="H2121" t="s">
        <v>30</v>
      </c>
    </row>
    <row r="2123" spans="8:8" x14ac:dyDescent="0.25">
      <c r="H2123" t="s">
        <v>2217</v>
      </c>
    </row>
    <row r="2124" spans="8:8" x14ac:dyDescent="0.25">
      <c r="H2124" t="s">
        <v>2666</v>
      </c>
    </row>
    <row r="2125" spans="8:8" x14ac:dyDescent="0.25">
      <c r="H2125" t="s">
        <v>135</v>
      </c>
    </row>
    <row r="2126" spans="8:8" x14ac:dyDescent="0.25">
      <c r="H2126" t="s">
        <v>2667</v>
      </c>
    </row>
    <row r="2127" spans="8:8" x14ac:dyDescent="0.25">
      <c r="H2127" t="s">
        <v>30</v>
      </c>
    </row>
    <row r="2129" spans="8:8" x14ac:dyDescent="0.25">
      <c r="H2129" t="s">
        <v>2218</v>
      </c>
    </row>
    <row r="2130" spans="8:8" x14ac:dyDescent="0.25">
      <c r="H2130" t="s">
        <v>2669</v>
      </c>
    </row>
    <row r="2131" spans="8:8" x14ac:dyDescent="0.25">
      <c r="H2131" t="s">
        <v>135</v>
      </c>
    </row>
    <row r="2132" spans="8:8" x14ac:dyDescent="0.25">
      <c r="H2132" t="s">
        <v>2670</v>
      </c>
    </row>
    <row r="2133" spans="8:8" x14ac:dyDescent="0.25">
      <c r="H2133" t="s">
        <v>30</v>
      </c>
    </row>
    <row r="2134" spans="8:8" x14ac:dyDescent="0.25">
      <c r="H2134" t="s">
        <v>136</v>
      </c>
    </row>
    <row r="2135" spans="8:8" x14ac:dyDescent="0.25">
      <c r="H2135" t="s">
        <v>2671</v>
      </c>
    </row>
    <row r="2136" spans="8:8" x14ac:dyDescent="0.25">
      <c r="H2136" t="s">
        <v>30</v>
      </c>
    </row>
    <row r="2137" spans="8:8" x14ac:dyDescent="0.25">
      <c r="H2137" t="s">
        <v>137</v>
      </c>
    </row>
    <row r="2138" spans="8:8" x14ac:dyDescent="0.25">
      <c r="H2138" t="s">
        <v>2672</v>
      </c>
    </row>
    <row r="2139" spans="8:8" x14ac:dyDescent="0.25">
      <c r="H2139" t="s">
        <v>30</v>
      </c>
    </row>
    <row r="2141" spans="8:8" x14ac:dyDescent="0.25">
      <c r="H2141" t="s">
        <v>2219</v>
      </c>
    </row>
    <row r="2142" spans="8:8" x14ac:dyDescent="0.25">
      <c r="H2142" t="s">
        <v>2674</v>
      </c>
    </row>
    <row r="2143" spans="8:8" x14ac:dyDescent="0.25">
      <c r="H2143" t="s">
        <v>135</v>
      </c>
    </row>
    <row r="2144" spans="8:8" x14ac:dyDescent="0.25">
      <c r="H2144" t="s">
        <v>4913</v>
      </c>
    </row>
    <row r="2145" spans="8:8" x14ac:dyDescent="0.25">
      <c r="H2145" t="s">
        <v>30</v>
      </c>
    </row>
    <row r="2147" spans="8:8" x14ac:dyDescent="0.25">
      <c r="H2147" t="s">
        <v>2220</v>
      </c>
    </row>
    <row r="2148" spans="8:8" x14ac:dyDescent="0.25">
      <c r="H2148" t="s">
        <v>2676</v>
      </c>
    </row>
    <row r="2149" spans="8:8" x14ac:dyDescent="0.25">
      <c r="H2149" t="s">
        <v>135</v>
      </c>
    </row>
    <row r="2150" spans="8:8" x14ac:dyDescent="0.25">
      <c r="H2150" t="s">
        <v>2677</v>
      </c>
    </row>
    <row r="2151" spans="8:8" x14ac:dyDescent="0.25">
      <c r="H2151" t="s">
        <v>30</v>
      </c>
    </row>
    <row r="2153" spans="8:8" x14ac:dyDescent="0.25">
      <c r="H2153" t="s">
        <v>2221</v>
      </c>
    </row>
    <row r="2154" spans="8:8" x14ac:dyDescent="0.25">
      <c r="H2154" t="s">
        <v>2679</v>
      </c>
    </row>
    <row r="2155" spans="8:8" x14ac:dyDescent="0.25">
      <c r="H2155" t="s">
        <v>135</v>
      </c>
    </row>
    <row r="2156" spans="8:8" x14ac:dyDescent="0.25">
      <c r="H2156" t="s">
        <v>2680</v>
      </c>
    </row>
    <row r="2157" spans="8:8" x14ac:dyDescent="0.25">
      <c r="H2157" t="s">
        <v>30</v>
      </c>
    </row>
    <row r="2159" spans="8:8" x14ac:dyDescent="0.25">
      <c r="H2159" t="s">
        <v>2222</v>
      </c>
    </row>
    <row r="2160" spans="8:8" x14ac:dyDescent="0.25">
      <c r="H2160" t="s">
        <v>2682</v>
      </c>
    </row>
    <row r="2161" spans="8:8" x14ac:dyDescent="0.25">
      <c r="H2161" t="s">
        <v>135</v>
      </c>
    </row>
    <row r="2162" spans="8:8" x14ac:dyDescent="0.25">
      <c r="H2162" t="s">
        <v>2683</v>
      </c>
    </row>
    <row r="2163" spans="8:8" x14ac:dyDescent="0.25">
      <c r="H2163" t="s">
        <v>30</v>
      </c>
    </row>
    <row r="2165" spans="8:8" x14ac:dyDescent="0.25">
      <c r="H2165" t="s">
        <v>2223</v>
      </c>
    </row>
    <row r="2166" spans="8:8" x14ac:dyDescent="0.25">
      <c r="H2166" t="s">
        <v>2685</v>
      </c>
    </row>
    <row r="2167" spans="8:8" x14ac:dyDescent="0.25">
      <c r="H2167" t="s">
        <v>135</v>
      </c>
    </row>
    <row r="2168" spans="8:8" x14ac:dyDescent="0.25">
      <c r="H2168" t="s">
        <v>2686</v>
      </c>
    </row>
    <row r="2169" spans="8:8" x14ac:dyDescent="0.25">
      <c r="H2169" t="s">
        <v>30</v>
      </c>
    </row>
    <row r="2170" spans="8:8" x14ac:dyDescent="0.25">
      <c r="H2170" t="s">
        <v>136</v>
      </c>
    </row>
    <row r="2171" spans="8:8" x14ac:dyDescent="0.25">
      <c r="H2171" t="s">
        <v>2687</v>
      </c>
    </row>
    <row r="2172" spans="8:8" x14ac:dyDescent="0.25">
      <c r="H2172" t="s">
        <v>30</v>
      </c>
    </row>
    <row r="2173" spans="8:8" x14ac:dyDescent="0.25">
      <c r="H2173" t="s">
        <v>137</v>
      </c>
    </row>
    <row r="2174" spans="8:8" x14ac:dyDescent="0.25">
      <c r="H2174" t="s">
        <v>2688</v>
      </c>
    </row>
    <row r="2175" spans="8:8" x14ac:dyDescent="0.25">
      <c r="H2175" t="s">
        <v>30</v>
      </c>
    </row>
    <row r="2177" spans="8:8" x14ac:dyDescent="0.25">
      <c r="H2177" t="s">
        <v>2224</v>
      </c>
    </row>
    <row r="2178" spans="8:8" x14ac:dyDescent="0.25">
      <c r="H2178" t="s">
        <v>2690</v>
      </c>
    </row>
    <row r="2179" spans="8:8" x14ac:dyDescent="0.25">
      <c r="H2179" t="s">
        <v>135</v>
      </c>
    </row>
    <row r="2180" spans="8:8" x14ac:dyDescent="0.25">
      <c r="H2180" t="s">
        <v>4914</v>
      </c>
    </row>
    <row r="2181" spans="8:8" x14ac:dyDescent="0.25">
      <c r="H2181" t="s">
        <v>30</v>
      </c>
    </row>
    <row r="2183" spans="8:8" x14ac:dyDescent="0.25">
      <c r="H2183" t="s">
        <v>2225</v>
      </c>
    </row>
    <row r="2184" spans="8:8" x14ac:dyDescent="0.25">
      <c r="H2184" t="s">
        <v>2692</v>
      </c>
    </row>
    <row r="2185" spans="8:8" x14ac:dyDescent="0.25">
      <c r="H2185" t="s">
        <v>135</v>
      </c>
    </row>
    <row r="2186" spans="8:8" x14ac:dyDescent="0.25">
      <c r="H2186" t="s">
        <v>2693</v>
      </c>
    </row>
    <row r="2187" spans="8:8" x14ac:dyDescent="0.25">
      <c r="H2187" t="s">
        <v>30</v>
      </c>
    </row>
    <row r="2189" spans="8:8" x14ac:dyDescent="0.25">
      <c r="H2189" t="s">
        <v>2226</v>
      </c>
    </row>
    <row r="2190" spans="8:8" x14ac:dyDescent="0.25">
      <c r="H2190" t="s">
        <v>2695</v>
      </c>
    </row>
    <row r="2191" spans="8:8" x14ac:dyDescent="0.25">
      <c r="H2191" t="s">
        <v>135</v>
      </c>
    </row>
    <row r="2192" spans="8:8" x14ac:dyDescent="0.25">
      <c r="H2192" t="s">
        <v>2696</v>
      </c>
    </row>
    <row r="2193" spans="8:8" x14ac:dyDescent="0.25">
      <c r="H2193" t="s">
        <v>30</v>
      </c>
    </row>
    <row r="2195" spans="8:8" x14ac:dyDescent="0.25">
      <c r="H2195" t="s">
        <v>2227</v>
      </c>
    </row>
    <row r="2196" spans="8:8" x14ac:dyDescent="0.25">
      <c r="H2196" t="s">
        <v>2698</v>
      </c>
    </row>
    <row r="2197" spans="8:8" x14ac:dyDescent="0.25">
      <c r="H2197" t="s">
        <v>135</v>
      </c>
    </row>
    <row r="2198" spans="8:8" x14ac:dyDescent="0.25">
      <c r="H2198" t="s">
        <v>2699</v>
      </c>
    </row>
    <row r="2199" spans="8:8" x14ac:dyDescent="0.25">
      <c r="H2199" t="s">
        <v>30</v>
      </c>
    </row>
    <row r="2201" spans="8:8" x14ac:dyDescent="0.25">
      <c r="H2201" t="s">
        <v>2228</v>
      </c>
    </row>
    <row r="2202" spans="8:8" x14ac:dyDescent="0.25">
      <c r="H2202" t="s">
        <v>2701</v>
      </c>
    </row>
    <row r="2203" spans="8:8" x14ac:dyDescent="0.25">
      <c r="H2203" t="s">
        <v>135</v>
      </c>
    </row>
    <row r="2204" spans="8:8" x14ac:dyDescent="0.25">
      <c r="H2204" t="s">
        <v>2702</v>
      </c>
    </row>
    <row r="2205" spans="8:8" x14ac:dyDescent="0.25">
      <c r="H2205" t="s">
        <v>30</v>
      </c>
    </row>
    <row r="2206" spans="8:8" x14ac:dyDescent="0.25">
      <c r="H2206" t="s">
        <v>136</v>
      </c>
    </row>
    <row r="2207" spans="8:8" x14ac:dyDescent="0.25">
      <c r="H2207" t="s">
        <v>2703</v>
      </c>
    </row>
    <row r="2208" spans="8:8" x14ac:dyDescent="0.25">
      <c r="H2208" t="s">
        <v>30</v>
      </c>
    </row>
    <row r="2209" spans="8:8" x14ac:dyDescent="0.25">
      <c r="H2209" t="s">
        <v>137</v>
      </c>
    </row>
    <row r="2210" spans="8:8" x14ac:dyDescent="0.25">
      <c r="H2210" t="s">
        <v>2704</v>
      </c>
    </row>
    <row r="2211" spans="8:8" x14ac:dyDescent="0.25">
      <c r="H2211" t="s">
        <v>30</v>
      </c>
    </row>
    <row r="2213" spans="8:8" x14ac:dyDescent="0.25">
      <c r="H2213" t="s">
        <v>2229</v>
      </c>
    </row>
    <row r="2214" spans="8:8" x14ac:dyDescent="0.25">
      <c r="H2214" t="s">
        <v>2706</v>
      </c>
    </row>
    <row r="2215" spans="8:8" x14ac:dyDescent="0.25">
      <c r="H2215" t="s">
        <v>135</v>
      </c>
    </row>
    <row r="2216" spans="8:8" x14ac:dyDescent="0.25">
      <c r="H2216" t="s">
        <v>4915</v>
      </c>
    </row>
    <row r="2217" spans="8:8" x14ac:dyDescent="0.25">
      <c r="H2217" t="s">
        <v>30</v>
      </c>
    </row>
    <row r="2219" spans="8:8" x14ac:dyDescent="0.25">
      <c r="H2219" t="s">
        <v>2230</v>
      </c>
    </row>
    <row r="2220" spans="8:8" x14ac:dyDescent="0.25">
      <c r="H2220" t="s">
        <v>2708</v>
      </c>
    </row>
    <row r="2221" spans="8:8" x14ac:dyDescent="0.25">
      <c r="H2221" t="s">
        <v>135</v>
      </c>
    </row>
    <row r="2222" spans="8:8" x14ac:dyDescent="0.25">
      <c r="H2222" t="s">
        <v>2709</v>
      </c>
    </row>
    <row r="2223" spans="8:8" x14ac:dyDescent="0.25">
      <c r="H2223" t="s">
        <v>30</v>
      </c>
    </row>
    <row r="2225" spans="8:8" x14ac:dyDescent="0.25">
      <c r="H2225" t="s">
        <v>2231</v>
      </c>
    </row>
    <row r="2226" spans="8:8" x14ac:dyDescent="0.25">
      <c r="H2226" t="s">
        <v>2711</v>
      </c>
    </row>
    <row r="2227" spans="8:8" x14ac:dyDescent="0.25">
      <c r="H2227" t="s">
        <v>135</v>
      </c>
    </row>
    <row r="2228" spans="8:8" x14ac:dyDescent="0.25">
      <c r="H2228" t="s">
        <v>2712</v>
      </c>
    </row>
    <row r="2229" spans="8:8" x14ac:dyDescent="0.25">
      <c r="H2229" t="s">
        <v>30</v>
      </c>
    </row>
    <row r="2231" spans="8:8" x14ac:dyDescent="0.25">
      <c r="H2231" t="s">
        <v>2232</v>
      </c>
    </row>
    <row r="2232" spans="8:8" x14ac:dyDescent="0.25">
      <c r="H2232" t="s">
        <v>2714</v>
      </c>
    </row>
    <row r="2233" spans="8:8" x14ac:dyDescent="0.25">
      <c r="H2233" t="s">
        <v>135</v>
      </c>
    </row>
    <row r="2234" spans="8:8" x14ac:dyDescent="0.25">
      <c r="H2234" t="s">
        <v>2715</v>
      </c>
    </row>
    <row r="2235" spans="8:8" x14ac:dyDescent="0.25">
      <c r="H2235" t="s">
        <v>30</v>
      </c>
    </row>
    <row r="2237" spans="8:8" x14ac:dyDescent="0.25">
      <c r="H2237" t="s">
        <v>2233</v>
      </c>
    </row>
    <row r="2238" spans="8:8" x14ac:dyDescent="0.25">
      <c r="H2238" t="s">
        <v>2717</v>
      </c>
    </row>
    <row r="2239" spans="8:8" x14ac:dyDescent="0.25">
      <c r="H2239" t="s">
        <v>135</v>
      </c>
    </row>
    <row r="2240" spans="8:8" x14ac:dyDescent="0.25">
      <c r="H2240" t="s">
        <v>2718</v>
      </c>
    </row>
    <row r="2241" spans="8:8" x14ac:dyDescent="0.25">
      <c r="H2241" t="s">
        <v>30</v>
      </c>
    </row>
    <row r="2242" spans="8:8" x14ac:dyDescent="0.25">
      <c r="H2242" t="s">
        <v>136</v>
      </c>
    </row>
    <row r="2243" spans="8:8" x14ac:dyDescent="0.25">
      <c r="H2243" t="s">
        <v>2719</v>
      </c>
    </row>
    <row r="2244" spans="8:8" x14ac:dyDescent="0.25">
      <c r="H2244" t="s">
        <v>30</v>
      </c>
    </row>
    <row r="2245" spans="8:8" x14ac:dyDescent="0.25">
      <c r="H2245" t="s">
        <v>137</v>
      </c>
    </row>
    <row r="2246" spans="8:8" x14ac:dyDescent="0.25">
      <c r="H2246" t="s">
        <v>2720</v>
      </c>
    </row>
    <row r="2247" spans="8:8" x14ac:dyDescent="0.25">
      <c r="H2247" t="s">
        <v>30</v>
      </c>
    </row>
    <row r="2249" spans="8:8" x14ac:dyDescent="0.25">
      <c r="H2249" t="s">
        <v>2234</v>
      </c>
    </row>
    <row r="2250" spans="8:8" x14ac:dyDescent="0.25">
      <c r="H2250" t="s">
        <v>2722</v>
      </c>
    </row>
    <row r="2251" spans="8:8" x14ac:dyDescent="0.25">
      <c r="H2251" t="s">
        <v>135</v>
      </c>
    </row>
    <row r="2252" spans="8:8" x14ac:dyDescent="0.25">
      <c r="H2252" t="s">
        <v>4916</v>
      </c>
    </row>
    <row r="2253" spans="8:8" x14ac:dyDescent="0.25">
      <c r="H2253" t="s">
        <v>30</v>
      </c>
    </row>
    <row r="2255" spans="8:8" x14ac:dyDescent="0.25">
      <c r="H2255" t="s">
        <v>2235</v>
      </c>
    </row>
    <row r="2256" spans="8:8" x14ac:dyDescent="0.25">
      <c r="H2256" t="s">
        <v>2724</v>
      </c>
    </row>
    <row r="2257" spans="8:8" x14ac:dyDescent="0.25">
      <c r="H2257" t="s">
        <v>135</v>
      </c>
    </row>
    <row r="2258" spans="8:8" x14ac:dyDescent="0.25">
      <c r="H2258" t="s">
        <v>2725</v>
      </c>
    </row>
    <row r="2259" spans="8:8" x14ac:dyDescent="0.25">
      <c r="H2259" t="s">
        <v>30</v>
      </c>
    </row>
    <row r="2261" spans="8:8" x14ac:dyDescent="0.25">
      <c r="H2261" t="s">
        <v>2236</v>
      </c>
    </row>
    <row r="2262" spans="8:8" x14ac:dyDescent="0.25">
      <c r="H2262" t="s">
        <v>2727</v>
      </c>
    </row>
    <row r="2263" spans="8:8" x14ac:dyDescent="0.25">
      <c r="H2263" t="s">
        <v>135</v>
      </c>
    </row>
    <row r="2264" spans="8:8" x14ac:dyDescent="0.25">
      <c r="H2264" t="s">
        <v>2728</v>
      </c>
    </row>
    <row r="2265" spans="8:8" x14ac:dyDescent="0.25">
      <c r="H2265" t="s">
        <v>30</v>
      </c>
    </row>
    <row r="2267" spans="8:8" x14ac:dyDescent="0.25">
      <c r="H2267" t="s">
        <v>2237</v>
      </c>
    </row>
    <row r="2268" spans="8:8" x14ac:dyDescent="0.25">
      <c r="H2268" t="s">
        <v>2730</v>
      </c>
    </row>
    <row r="2269" spans="8:8" x14ac:dyDescent="0.25">
      <c r="H2269" t="s">
        <v>135</v>
      </c>
    </row>
    <row r="2270" spans="8:8" x14ac:dyDescent="0.25">
      <c r="H2270" t="s">
        <v>2731</v>
      </c>
    </row>
    <row r="2271" spans="8:8" x14ac:dyDescent="0.25">
      <c r="H2271" t="s">
        <v>30</v>
      </c>
    </row>
    <row r="2273" spans="8:8" x14ac:dyDescent="0.25">
      <c r="H2273" t="s">
        <v>2238</v>
      </c>
    </row>
    <row r="2274" spans="8:8" x14ac:dyDescent="0.25">
      <c r="H2274" t="s">
        <v>2733</v>
      </c>
    </row>
    <row r="2275" spans="8:8" x14ac:dyDescent="0.25">
      <c r="H2275" t="s">
        <v>135</v>
      </c>
    </row>
    <row r="2276" spans="8:8" x14ac:dyDescent="0.25">
      <c r="H2276" t="s">
        <v>2734</v>
      </c>
    </row>
    <row r="2277" spans="8:8" x14ac:dyDescent="0.25">
      <c r="H2277" t="s">
        <v>30</v>
      </c>
    </row>
    <row r="2278" spans="8:8" x14ac:dyDescent="0.25">
      <c r="H2278" t="s">
        <v>136</v>
      </c>
    </row>
    <row r="2279" spans="8:8" x14ac:dyDescent="0.25">
      <c r="H2279" t="s">
        <v>2735</v>
      </c>
    </row>
    <row r="2280" spans="8:8" x14ac:dyDescent="0.25">
      <c r="H2280" t="s">
        <v>30</v>
      </c>
    </row>
    <row r="2281" spans="8:8" x14ac:dyDescent="0.25">
      <c r="H2281" t="s">
        <v>137</v>
      </c>
    </row>
    <row r="2282" spans="8:8" x14ac:dyDescent="0.25">
      <c r="H2282" t="s">
        <v>2736</v>
      </c>
    </row>
    <row r="2283" spans="8:8" x14ac:dyDescent="0.25">
      <c r="H2283" t="s">
        <v>30</v>
      </c>
    </row>
    <row r="2285" spans="8:8" x14ac:dyDescent="0.25">
      <c r="H2285" t="s">
        <v>2239</v>
      </c>
    </row>
    <row r="2286" spans="8:8" x14ac:dyDescent="0.25">
      <c r="H2286" t="s">
        <v>2738</v>
      </c>
    </row>
    <row r="2287" spans="8:8" x14ac:dyDescent="0.25">
      <c r="H2287" t="s">
        <v>135</v>
      </c>
    </row>
    <row r="2288" spans="8:8" x14ac:dyDescent="0.25">
      <c r="H2288" t="s">
        <v>4917</v>
      </c>
    </row>
    <row r="2289" spans="8:8" x14ac:dyDescent="0.25">
      <c r="H2289" t="s">
        <v>30</v>
      </c>
    </row>
    <row r="2291" spans="8:8" x14ac:dyDescent="0.25">
      <c r="H2291" t="s">
        <v>2240</v>
      </c>
    </row>
    <row r="2292" spans="8:8" x14ac:dyDescent="0.25">
      <c r="H2292" t="s">
        <v>2740</v>
      </c>
    </row>
    <row r="2293" spans="8:8" x14ac:dyDescent="0.25">
      <c r="H2293" t="s">
        <v>135</v>
      </c>
    </row>
    <row r="2294" spans="8:8" x14ac:dyDescent="0.25">
      <c r="H2294" t="s">
        <v>2741</v>
      </c>
    </row>
    <row r="2295" spans="8:8" x14ac:dyDescent="0.25">
      <c r="H2295" t="s">
        <v>30</v>
      </c>
    </row>
    <row r="2297" spans="8:8" x14ac:dyDescent="0.25">
      <c r="H2297" t="s">
        <v>2241</v>
      </c>
    </row>
    <row r="2298" spans="8:8" x14ac:dyDescent="0.25">
      <c r="H2298" t="s">
        <v>2743</v>
      </c>
    </row>
    <row r="2299" spans="8:8" x14ac:dyDescent="0.25">
      <c r="H2299" t="s">
        <v>135</v>
      </c>
    </row>
    <row r="2300" spans="8:8" x14ac:dyDescent="0.25">
      <c r="H2300" t="s">
        <v>2744</v>
      </c>
    </row>
    <row r="2301" spans="8:8" x14ac:dyDescent="0.25">
      <c r="H2301" t="s">
        <v>30</v>
      </c>
    </row>
    <row r="2303" spans="8:8" x14ac:dyDescent="0.25">
      <c r="H2303" t="s">
        <v>2242</v>
      </c>
    </row>
    <row r="2304" spans="8:8" x14ac:dyDescent="0.25">
      <c r="H2304" t="s">
        <v>2746</v>
      </c>
    </row>
    <row r="2305" spans="8:8" x14ac:dyDescent="0.25">
      <c r="H2305" t="s">
        <v>135</v>
      </c>
    </row>
    <row r="2306" spans="8:8" x14ac:dyDescent="0.25">
      <c r="H2306" t="s">
        <v>2747</v>
      </c>
    </row>
    <row r="2307" spans="8:8" x14ac:dyDescent="0.25">
      <c r="H2307" t="s">
        <v>30</v>
      </c>
    </row>
    <row r="2309" spans="8:8" x14ac:dyDescent="0.25">
      <c r="H2309" t="s">
        <v>2243</v>
      </c>
    </row>
    <row r="2310" spans="8:8" x14ac:dyDescent="0.25">
      <c r="H2310" t="s">
        <v>2749</v>
      </c>
    </row>
    <row r="2311" spans="8:8" x14ac:dyDescent="0.25">
      <c r="H2311" t="s">
        <v>135</v>
      </c>
    </row>
    <row r="2312" spans="8:8" x14ac:dyDescent="0.25">
      <c r="H2312" t="s">
        <v>2750</v>
      </c>
    </row>
    <row r="2313" spans="8:8" x14ac:dyDescent="0.25">
      <c r="H2313" t="s">
        <v>30</v>
      </c>
    </row>
    <row r="2314" spans="8:8" x14ac:dyDescent="0.25">
      <c r="H2314" t="s">
        <v>136</v>
      </c>
    </row>
    <row r="2315" spans="8:8" x14ac:dyDescent="0.25">
      <c r="H2315" t="s">
        <v>2751</v>
      </c>
    </row>
    <row r="2316" spans="8:8" x14ac:dyDescent="0.25">
      <c r="H2316" t="s">
        <v>30</v>
      </c>
    </row>
    <row r="2317" spans="8:8" x14ac:dyDescent="0.25">
      <c r="H2317" t="s">
        <v>137</v>
      </c>
    </row>
    <row r="2318" spans="8:8" x14ac:dyDescent="0.25">
      <c r="H2318" t="s">
        <v>2752</v>
      </c>
    </row>
    <row r="2319" spans="8:8" x14ac:dyDescent="0.25">
      <c r="H2319" t="s">
        <v>30</v>
      </c>
    </row>
    <row r="2321" spans="8:8" x14ac:dyDescent="0.25">
      <c r="H2321" t="s">
        <v>2244</v>
      </c>
    </row>
    <row r="2322" spans="8:8" x14ac:dyDescent="0.25">
      <c r="H2322" t="s">
        <v>2754</v>
      </c>
    </row>
    <row r="2323" spans="8:8" x14ac:dyDescent="0.25">
      <c r="H2323" t="s">
        <v>135</v>
      </c>
    </row>
    <row r="2324" spans="8:8" x14ac:dyDescent="0.25">
      <c r="H2324" t="s">
        <v>4918</v>
      </c>
    </row>
    <row r="2325" spans="8:8" x14ac:dyDescent="0.25">
      <c r="H2325" t="s">
        <v>30</v>
      </c>
    </row>
    <row r="2327" spans="8:8" x14ac:dyDescent="0.25">
      <c r="H2327" t="s">
        <v>2245</v>
      </c>
    </row>
    <row r="2328" spans="8:8" x14ac:dyDescent="0.25">
      <c r="H2328" t="s">
        <v>2756</v>
      </c>
    </row>
    <row r="2329" spans="8:8" x14ac:dyDescent="0.25">
      <c r="H2329" t="s">
        <v>135</v>
      </c>
    </row>
    <row r="2330" spans="8:8" x14ac:dyDescent="0.25">
      <c r="H2330" t="s">
        <v>2757</v>
      </c>
    </row>
    <row r="2331" spans="8:8" x14ac:dyDescent="0.25">
      <c r="H2331" t="s">
        <v>30</v>
      </c>
    </row>
    <row r="2333" spans="8:8" x14ac:dyDescent="0.25">
      <c r="H2333" t="s">
        <v>2246</v>
      </c>
    </row>
    <row r="2334" spans="8:8" x14ac:dyDescent="0.25">
      <c r="H2334" t="s">
        <v>2759</v>
      </c>
    </row>
    <row r="2335" spans="8:8" x14ac:dyDescent="0.25">
      <c r="H2335" t="s">
        <v>135</v>
      </c>
    </row>
    <row r="2336" spans="8:8" x14ac:dyDescent="0.25">
      <c r="H2336" t="s">
        <v>2760</v>
      </c>
    </row>
    <row r="2337" spans="8:8" x14ac:dyDescent="0.25">
      <c r="H2337" t="s">
        <v>30</v>
      </c>
    </row>
    <row r="2339" spans="8:8" x14ac:dyDescent="0.25">
      <c r="H2339" t="s">
        <v>2247</v>
      </c>
    </row>
    <row r="2340" spans="8:8" x14ac:dyDescent="0.25">
      <c r="H2340" t="s">
        <v>2762</v>
      </c>
    </row>
    <row r="2341" spans="8:8" x14ac:dyDescent="0.25">
      <c r="H2341" t="s">
        <v>135</v>
      </c>
    </row>
    <row r="2342" spans="8:8" x14ac:dyDescent="0.25">
      <c r="H2342" t="s">
        <v>2763</v>
      </c>
    </row>
    <row r="2343" spans="8:8" x14ac:dyDescent="0.25">
      <c r="H2343" t="s">
        <v>30</v>
      </c>
    </row>
    <row r="2345" spans="8:8" x14ac:dyDescent="0.25">
      <c r="H2345" t="s">
        <v>2248</v>
      </c>
    </row>
    <row r="2346" spans="8:8" x14ac:dyDescent="0.25">
      <c r="H2346" t="s">
        <v>2765</v>
      </c>
    </row>
    <row r="2347" spans="8:8" x14ac:dyDescent="0.25">
      <c r="H2347" t="s">
        <v>135</v>
      </c>
    </row>
    <row r="2348" spans="8:8" x14ac:dyDescent="0.25">
      <c r="H2348" t="s">
        <v>2766</v>
      </c>
    </row>
    <row r="2349" spans="8:8" x14ac:dyDescent="0.25">
      <c r="H2349" t="s">
        <v>30</v>
      </c>
    </row>
    <row r="2350" spans="8:8" x14ac:dyDescent="0.25">
      <c r="H2350" t="s">
        <v>136</v>
      </c>
    </row>
    <row r="2351" spans="8:8" x14ac:dyDescent="0.25">
      <c r="H2351" t="s">
        <v>2767</v>
      </c>
    </row>
    <row r="2352" spans="8:8" x14ac:dyDescent="0.25">
      <c r="H2352" t="s">
        <v>30</v>
      </c>
    </row>
    <row r="2353" spans="8:8" x14ac:dyDescent="0.25">
      <c r="H2353" t="s">
        <v>137</v>
      </c>
    </row>
    <row r="2354" spans="8:8" x14ac:dyDescent="0.25">
      <c r="H2354" t="s">
        <v>2768</v>
      </c>
    </row>
    <row r="2355" spans="8:8" x14ac:dyDescent="0.25">
      <c r="H2355" t="s">
        <v>30</v>
      </c>
    </row>
    <row r="2357" spans="8:8" x14ac:dyDescent="0.25">
      <c r="H2357" t="s">
        <v>2249</v>
      </c>
    </row>
    <row r="2358" spans="8:8" x14ac:dyDescent="0.25">
      <c r="H2358" t="s">
        <v>2770</v>
      </c>
    </row>
    <row r="2359" spans="8:8" x14ac:dyDescent="0.25">
      <c r="H2359" t="s">
        <v>135</v>
      </c>
    </row>
    <row r="2360" spans="8:8" x14ac:dyDescent="0.25">
      <c r="H2360" t="s">
        <v>4919</v>
      </c>
    </row>
    <row r="2361" spans="8:8" x14ac:dyDescent="0.25">
      <c r="H2361" t="s">
        <v>30</v>
      </c>
    </row>
    <row r="2363" spans="8:8" x14ac:dyDescent="0.25">
      <c r="H2363" t="s">
        <v>2250</v>
      </c>
    </row>
    <row r="2364" spans="8:8" x14ac:dyDescent="0.25">
      <c r="H2364" t="s">
        <v>2772</v>
      </c>
    </row>
    <row r="2365" spans="8:8" x14ac:dyDescent="0.25">
      <c r="H2365" t="s">
        <v>135</v>
      </c>
    </row>
    <row r="2366" spans="8:8" x14ac:dyDescent="0.25">
      <c r="H2366" t="s">
        <v>2773</v>
      </c>
    </row>
    <row r="2367" spans="8:8" x14ac:dyDescent="0.25">
      <c r="H2367" t="s">
        <v>30</v>
      </c>
    </row>
    <row r="2369" spans="8:8" x14ac:dyDescent="0.25">
      <c r="H2369" t="s">
        <v>2251</v>
      </c>
    </row>
    <row r="2370" spans="8:8" x14ac:dyDescent="0.25">
      <c r="H2370" t="s">
        <v>2775</v>
      </c>
    </row>
    <row r="2371" spans="8:8" x14ac:dyDescent="0.25">
      <c r="H2371" t="s">
        <v>135</v>
      </c>
    </row>
    <row r="2372" spans="8:8" x14ac:dyDescent="0.25">
      <c r="H2372" t="s">
        <v>2776</v>
      </c>
    </row>
    <row r="2373" spans="8:8" x14ac:dyDescent="0.25">
      <c r="H2373" t="s">
        <v>30</v>
      </c>
    </row>
    <row r="2375" spans="8:8" x14ac:dyDescent="0.25">
      <c r="H2375" t="s">
        <v>2252</v>
      </c>
    </row>
    <row r="2376" spans="8:8" x14ac:dyDescent="0.25">
      <c r="H2376" t="s">
        <v>2778</v>
      </c>
    </row>
    <row r="2377" spans="8:8" x14ac:dyDescent="0.25">
      <c r="H2377" t="s">
        <v>135</v>
      </c>
    </row>
    <row r="2378" spans="8:8" x14ac:dyDescent="0.25">
      <c r="H2378" t="s">
        <v>2779</v>
      </c>
    </row>
    <row r="2379" spans="8:8" x14ac:dyDescent="0.25">
      <c r="H2379" t="s">
        <v>30</v>
      </c>
    </row>
    <row r="2381" spans="8:8" x14ac:dyDescent="0.25">
      <c r="H2381" t="s">
        <v>2253</v>
      </c>
    </row>
    <row r="2382" spans="8:8" x14ac:dyDescent="0.25">
      <c r="H2382" t="s">
        <v>2781</v>
      </c>
    </row>
    <row r="2383" spans="8:8" x14ac:dyDescent="0.25">
      <c r="H2383" t="s">
        <v>135</v>
      </c>
    </row>
    <row r="2384" spans="8:8" x14ac:dyDescent="0.25">
      <c r="H2384" t="s">
        <v>2782</v>
      </c>
    </row>
    <row r="2385" spans="8:8" x14ac:dyDescent="0.25">
      <c r="H2385" t="s">
        <v>30</v>
      </c>
    </row>
    <row r="2386" spans="8:8" x14ac:dyDescent="0.25">
      <c r="H2386" t="s">
        <v>136</v>
      </c>
    </row>
    <row r="2387" spans="8:8" x14ac:dyDescent="0.25">
      <c r="H2387" t="s">
        <v>2783</v>
      </c>
    </row>
    <row r="2388" spans="8:8" x14ac:dyDescent="0.25">
      <c r="H2388" t="s">
        <v>30</v>
      </c>
    </row>
    <row r="2389" spans="8:8" x14ac:dyDescent="0.25">
      <c r="H2389" t="s">
        <v>137</v>
      </c>
    </row>
    <row r="2390" spans="8:8" x14ac:dyDescent="0.25">
      <c r="H2390" t="s">
        <v>2784</v>
      </c>
    </row>
    <row r="2391" spans="8:8" x14ac:dyDescent="0.25">
      <c r="H2391" t="s">
        <v>30</v>
      </c>
    </row>
    <row r="2393" spans="8:8" x14ac:dyDescent="0.25">
      <c r="H2393" t="s">
        <v>2254</v>
      </c>
    </row>
    <row r="2394" spans="8:8" x14ac:dyDescent="0.25">
      <c r="H2394" t="s">
        <v>2786</v>
      </c>
    </row>
    <row r="2395" spans="8:8" x14ac:dyDescent="0.25">
      <c r="H2395" t="s">
        <v>135</v>
      </c>
    </row>
    <row r="2396" spans="8:8" x14ac:dyDescent="0.25">
      <c r="H2396" t="s">
        <v>4920</v>
      </c>
    </row>
    <row r="2397" spans="8:8" x14ac:dyDescent="0.25">
      <c r="H2397" t="s">
        <v>30</v>
      </c>
    </row>
    <row r="2399" spans="8:8" x14ac:dyDescent="0.25">
      <c r="H2399" t="s">
        <v>2255</v>
      </c>
    </row>
    <row r="2400" spans="8:8" x14ac:dyDescent="0.25">
      <c r="H2400" t="s">
        <v>2788</v>
      </c>
    </row>
    <row r="2401" spans="8:8" x14ac:dyDescent="0.25">
      <c r="H2401" t="s">
        <v>135</v>
      </c>
    </row>
    <row r="2402" spans="8:8" x14ac:dyDescent="0.25">
      <c r="H2402" t="s">
        <v>2789</v>
      </c>
    </row>
    <row r="2403" spans="8:8" x14ac:dyDescent="0.25">
      <c r="H2403" t="s">
        <v>30</v>
      </c>
    </row>
    <row r="2405" spans="8:8" x14ac:dyDescent="0.25">
      <c r="H2405" t="s">
        <v>2256</v>
      </c>
    </row>
    <row r="2406" spans="8:8" x14ac:dyDescent="0.25">
      <c r="H2406" t="s">
        <v>2791</v>
      </c>
    </row>
    <row r="2407" spans="8:8" x14ac:dyDescent="0.25">
      <c r="H2407" t="s">
        <v>135</v>
      </c>
    </row>
    <row r="2408" spans="8:8" x14ac:dyDescent="0.25">
      <c r="H2408" t="s">
        <v>2792</v>
      </c>
    </row>
    <row r="2409" spans="8:8" x14ac:dyDescent="0.25">
      <c r="H2409" t="s">
        <v>30</v>
      </c>
    </row>
    <row r="2411" spans="8:8" x14ac:dyDescent="0.25">
      <c r="H2411" t="s">
        <v>2257</v>
      </c>
    </row>
    <row r="2412" spans="8:8" x14ac:dyDescent="0.25">
      <c r="H2412" t="s">
        <v>2794</v>
      </c>
    </row>
    <row r="2413" spans="8:8" x14ac:dyDescent="0.25">
      <c r="H2413" t="s">
        <v>135</v>
      </c>
    </row>
    <row r="2414" spans="8:8" x14ac:dyDescent="0.25">
      <c r="H2414" t="s">
        <v>2795</v>
      </c>
    </row>
    <row r="2415" spans="8:8" x14ac:dyDescent="0.25">
      <c r="H2415" t="s">
        <v>30</v>
      </c>
    </row>
    <row r="2417" spans="8:8" x14ac:dyDescent="0.25">
      <c r="H2417" t="s">
        <v>2258</v>
      </c>
    </row>
    <row r="2418" spans="8:8" x14ac:dyDescent="0.25">
      <c r="H2418" t="s">
        <v>2797</v>
      </c>
    </row>
    <row r="2419" spans="8:8" x14ac:dyDescent="0.25">
      <c r="H2419" t="s">
        <v>135</v>
      </c>
    </row>
    <row r="2420" spans="8:8" x14ac:dyDescent="0.25">
      <c r="H2420" t="s">
        <v>2798</v>
      </c>
    </row>
    <row r="2421" spans="8:8" x14ac:dyDescent="0.25">
      <c r="H2421" t="s">
        <v>30</v>
      </c>
    </row>
    <row r="2422" spans="8:8" x14ac:dyDescent="0.25">
      <c r="H2422" t="s">
        <v>136</v>
      </c>
    </row>
    <row r="2423" spans="8:8" x14ac:dyDescent="0.25">
      <c r="H2423" t="s">
        <v>2799</v>
      </c>
    </row>
    <row r="2424" spans="8:8" x14ac:dyDescent="0.25">
      <c r="H2424" t="s">
        <v>30</v>
      </c>
    </row>
    <row r="2425" spans="8:8" x14ac:dyDescent="0.25">
      <c r="H2425" t="s">
        <v>137</v>
      </c>
    </row>
    <row r="2426" spans="8:8" x14ac:dyDescent="0.25">
      <c r="H2426" t="s">
        <v>2800</v>
      </c>
    </row>
    <row r="2427" spans="8:8" x14ac:dyDescent="0.25">
      <c r="H2427" t="s">
        <v>30</v>
      </c>
    </row>
    <row r="2429" spans="8:8" x14ac:dyDescent="0.25">
      <c r="H2429" t="s">
        <v>2259</v>
      </c>
    </row>
    <row r="2430" spans="8:8" x14ac:dyDescent="0.25">
      <c r="H2430" t="s">
        <v>2802</v>
      </c>
    </row>
    <row r="2431" spans="8:8" x14ac:dyDescent="0.25">
      <c r="H2431" t="s">
        <v>135</v>
      </c>
    </row>
    <row r="2432" spans="8:8" x14ac:dyDescent="0.25">
      <c r="H2432" t="s">
        <v>4921</v>
      </c>
    </row>
    <row r="2433" spans="8:8" x14ac:dyDescent="0.25">
      <c r="H2433" t="s">
        <v>30</v>
      </c>
    </row>
    <row r="2435" spans="8:8" x14ac:dyDescent="0.25">
      <c r="H2435" t="s">
        <v>2260</v>
      </c>
    </row>
    <row r="2436" spans="8:8" x14ac:dyDescent="0.25">
      <c r="H2436" t="s">
        <v>2804</v>
      </c>
    </row>
    <row r="2437" spans="8:8" x14ac:dyDescent="0.25">
      <c r="H2437" t="s">
        <v>135</v>
      </c>
    </row>
    <row r="2438" spans="8:8" x14ac:dyDescent="0.25">
      <c r="H2438" t="s">
        <v>2805</v>
      </c>
    </row>
    <row r="2439" spans="8:8" x14ac:dyDescent="0.25">
      <c r="H2439" t="s">
        <v>30</v>
      </c>
    </row>
    <row r="2441" spans="8:8" x14ac:dyDescent="0.25">
      <c r="H2441" t="s">
        <v>2261</v>
      </c>
    </row>
    <row r="2442" spans="8:8" x14ac:dyDescent="0.25">
      <c r="H2442" t="s">
        <v>2807</v>
      </c>
    </row>
    <row r="2443" spans="8:8" x14ac:dyDescent="0.25">
      <c r="H2443" t="s">
        <v>135</v>
      </c>
    </row>
    <row r="2444" spans="8:8" x14ac:dyDescent="0.25">
      <c r="H2444" t="s">
        <v>2808</v>
      </c>
    </row>
    <row r="2445" spans="8:8" x14ac:dyDescent="0.25">
      <c r="H2445" t="s">
        <v>30</v>
      </c>
    </row>
    <row r="2447" spans="8:8" x14ac:dyDescent="0.25">
      <c r="H2447" t="s">
        <v>2262</v>
      </c>
    </row>
    <row r="2448" spans="8:8" x14ac:dyDescent="0.25">
      <c r="H2448" t="s">
        <v>2810</v>
      </c>
    </row>
    <row r="2449" spans="8:8" x14ac:dyDescent="0.25">
      <c r="H2449" t="s">
        <v>135</v>
      </c>
    </row>
    <row r="2450" spans="8:8" x14ac:dyDescent="0.25">
      <c r="H2450" t="s">
        <v>2811</v>
      </c>
    </row>
    <row r="2451" spans="8:8" x14ac:dyDescent="0.25">
      <c r="H2451" t="s">
        <v>30</v>
      </c>
    </row>
    <row r="2453" spans="8:8" x14ac:dyDescent="0.25">
      <c r="H2453" t="s">
        <v>2263</v>
      </c>
    </row>
    <row r="2454" spans="8:8" x14ac:dyDescent="0.25">
      <c r="H2454" t="s">
        <v>2813</v>
      </c>
    </row>
    <row r="2455" spans="8:8" x14ac:dyDescent="0.25">
      <c r="H2455" t="s">
        <v>135</v>
      </c>
    </row>
    <row r="2456" spans="8:8" x14ac:dyDescent="0.25">
      <c r="H2456" t="s">
        <v>2814</v>
      </c>
    </row>
    <row r="2457" spans="8:8" x14ac:dyDescent="0.25">
      <c r="H2457" t="s">
        <v>30</v>
      </c>
    </row>
    <row r="2458" spans="8:8" x14ac:dyDescent="0.25">
      <c r="H2458" t="s">
        <v>136</v>
      </c>
    </row>
    <row r="2459" spans="8:8" x14ac:dyDescent="0.25">
      <c r="H2459" t="s">
        <v>2815</v>
      </c>
    </row>
    <row r="2460" spans="8:8" x14ac:dyDescent="0.25">
      <c r="H2460" t="s">
        <v>30</v>
      </c>
    </row>
    <row r="2461" spans="8:8" x14ac:dyDescent="0.25">
      <c r="H2461" t="s">
        <v>137</v>
      </c>
    </row>
    <row r="2462" spans="8:8" x14ac:dyDescent="0.25">
      <c r="H2462" t="s">
        <v>2816</v>
      </c>
    </row>
    <row r="2463" spans="8:8" x14ac:dyDescent="0.25">
      <c r="H2463" t="s">
        <v>30</v>
      </c>
    </row>
    <row r="2465" spans="8:8" x14ac:dyDescent="0.25">
      <c r="H2465" t="s">
        <v>2264</v>
      </c>
    </row>
    <row r="2466" spans="8:8" x14ac:dyDescent="0.25">
      <c r="H2466" t="s">
        <v>2818</v>
      </c>
    </row>
    <row r="2467" spans="8:8" x14ac:dyDescent="0.25">
      <c r="H2467" t="s">
        <v>135</v>
      </c>
    </row>
    <row r="2468" spans="8:8" x14ac:dyDescent="0.25">
      <c r="H2468" t="s">
        <v>4922</v>
      </c>
    </row>
    <row r="2469" spans="8:8" x14ac:dyDescent="0.25">
      <c r="H2469" t="s">
        <v>30</v>
      </c>
    </row>
    <row r="2471" spans="8:8" x14ac:dyDescent="0.25">
      <c r="H2471" t="s">
        <v>2265</v>
      </c>
    </row>
    <row r="2472" spans="8:8" x14ac:dyDescent="0.25">
      <c r="H2472" t="s">
        <v>2820</v>
      </c>
    </row>
    <row r="2473" spans="8:8" x14ac:dyDescent="0.25">
      <c r="H2473" t="s">
        <v>135</v>
      </c>
    </row>
    <row r="2474" spans="8:8" x14ac:dyDescent="0.25">
      <c r="H2474" t="s">
        <v>2821</v>
      </c>
    </row>
    <row r="2475" spans="8:8" x14ac:dyDescent="0.25">
      <c r="H2475" t="s">
        <v>30</v>
      </c>
    </row>
    <row r="2477" spans="8:8" x14ac:dyDescent="0.25">
      <c r="H2477" t="s">
        <v>2266</v>
      </c>
    </row>
    <row r="2478" spans="8:8" x14ac:dyDescent="0.25">
      <c r="H2478" t="s">
        <v>2823</v>
      </c>
    </row>
    <row r="2479" spans="8:8" x14ac:dyDescent="0.25">
      <c r="H2479" t="s">
        <v>135</v>
      </c>
    </row>
    <row r="2480" spans="8:8" x14ac:dyDescent="0.25">
      <c r="H2480" t="s">
        <v>2824</v>
      </c>
    </row>
    <row r="2481" spans="8:8" x14ac:dyDescent="0.25">
      <c r="H2481" t="s">
        <v>30</v>
      </c>
    </row>
    <row r="2483" spans="8:8" x14ac:dyDescent="0.25">
      <c r="H2483" t="s">
        <v>2267</v>
      </c>
    </row>
    <row r="2484" spans="8:8" x14ac:dyDescent="0.25">
      <c r="H2484" t="s">
        <v>2826</v>
      </c>
    </row>
    <row r="2485" spans="8:8" x14ac:dyDescent="0.25">
      <c r="H2485" t="s">
        <v>135</v>
      </c>
    </row>
    <row r="2486" spans="8:8" x14ac:dyDescent="0.25">
      <c r="H2486" t="s">
        <v>2827</v>
      </c>
    </row>
    <row r="2487" spans="8:8" x14ac:dyDescent="0.25">
      <c r="H2487" t="s">
        <v>30</v>
      </c>
    </row>
    <row r="2488" spans="8:8" x14ac:dyDescent="0.25">
      <c r="H2488" t="s">
        <v>2828</v>
      </c>
    </row>
    <row r="2489" spans="8:8" x14ac:dyDescent="0.25">
      <c r="H2489" t="s">
        <v>136</v>
      </c>
    </row>
    <row r="2490" spans="8:8" x14ac:dyDescent="0.25">
      <c r="H2490" t="s">
        <v>2829</v>
      </c>
    </row>
    <row r="2491" spans="8:8" x14ac:dyDescent="0.25">
      <c r="H2491" t="s">
        <v>30</v>
      </c>
    </row>
    <row r="2493" spans="8:8" x14ac:dyDescent="0.25">
      <c r="H2493" t="s">
        <v>2268</v>
      </c>
    </row>
    <row r="2494" spans="8:8" x14ac:dyDescent="0.25">
      <c r="H2494" t="s">
        <v>2831</v>
      </c>
    </row>
    <row r="2495" spans="8:8" x14ac:dyDescent="0.25">
      <c r="H2495" t="s">
        <v>135</v>
      </c>
    </row>
    <row r="2496" spans="8:8" x14ac:dyDescent="0.25">
      <c r="H2496" t="s">
        <v>2832</v>
      </c>
    </row>
    <row r="2497" spans="8:8" x14ac:dyDescent="0.25">
      <c r="H2497" t="s">
        <v>30</v>
      </c>
    </row>
    <row r="2499" spans="8:8" x14ac:dyDescent="0.25">
      <c r="H2499" t="s">
        <v>2269</v>
      </c>
    </row>
    <row r="2500" spans="8:8" x14ac:dyDescent="0.25">
      <c r="H2500" t="s">
        <v>2834</v>
      </c>
    </row>
    <row r="2501" spans="8:8" x14ac:dyDescent="0.25">
      <c r="H2501" t="s">
        <v>135</v>
      </c>
    </row>
    <row r="2502" spans="8:8" x14ac:dyDescent="0.25">
      <c r="H2502" t="s">
        <v>2835</v>
      </c>
    </row>
    <row r="2503" spans="8:8" x14ac:dyDescent="0.25">
      <c r="H2503" t="s">
        <v>30</v>
      </c>
    </row>
    <row r="2505" spans="8:8" x14ac:dyDescent="0.25">
      <c r="H2505" t="s">
        <v>2270</v>
      </c>
    </row>
    <row r="2506" spans="8:8" x14ac:dyDescent="0.25">
      <c r="H2506" t="s">
        <v>2837</v>
      </c>
    </row>
    <row r="2507" spans="8:8" x14ac:dyDescent="0.25">
      <c r="H2507" t="s">
        <v>135</v>
      </c>
    </row>
    <row r="2508" spans="8:8" x14ac:dyDescent="0.25">
      <c r="H2508" t="s">
        <v>2838</v>
      </c>
    </row>
    <row r="2509" spans="8:8" x14ac:dyDescent="0.25">
      <c r="H2509" t="s">
        <v>30</v>
      </c>
    </row>
    <row r="2511" spans="8:8" x14ac:dyDescent="0.25">
      <c r="H2511" t="s">
        <v>2271</v>
      </c>
    </row>
    <row r="2512" spans="8:8" x14ac:dyDescent="0.25">
      <c r="H2512" t="s">
        <v>2840</v>
      </c>
    </row>
    <row r="2513" spans="8:8" x14ac:dyDescent="0.25">
      <c r="H2513" t="s">
        <v>135</v>
      </c>
    </row>
    <row r="2514" spans="8:8" x14ac:dyDescent="0.25">
      <c r="H2514" t="s">
        <v>2841</v>
      </c>
    </row>
    <row r="2515" spans="8:8" x14ac:dyDescent="0.25">
      <c r="H2515" t="s">
        <v>30</v>
      </c>
    </row>
    <row r="2517" spans="8:8" x14ac:dyDescent="0.25">
      <c r="H2517" t="s">
        <v>2272</v>
      </c>
    </row>
    <row r="2518" spans="8:8" x14ac:dyDescent="0.25">
      <c r="H2518" t="s">
        <v>2843</v>
      </c>
    </row>
    <row r="2519" spans="8:8" x14ac:dyDescent="0.25">
      <c r="H2519" t="s">
        <v>135</v>
      </c>
    </row>
    <row r="2520" spans="8:8" x14ac:dyDescent="0.25">
      <c r="H2520" t="s">
        <v>2844</v>
      </c>
    </row>
    <row r="2521" spans="8:8" x14ac:dyDescent="0.25">
      <c r="H2521" t="s">
        <v>30</v>
      </c>
    </row>
    <row r="2523" spans="8:8" x14ac:dyDescent="0.25">
      <c r="H2523" t="s">
        <v>2273</v>
      </c>
    </row>
    <row r="2524" spans="8:8" x14ac:dyDescent="0.25">
      <c r="H2524" t="s">
        <v>2846</v>
      </c>
    </row>
    <row r="2525" spans="8:8" x14ac:dyDescent="0.25">
      <c r="H2525" t="s">
        <v>135</v>
      </c>
    </row>
    <row r="2526" spans="8:8" x14ac:dyDescent="0.25">
      <c r="H2526" t="s">
        <v>2847</v>
      </c>
    </row>
    <row r="2527" spans="8:8" x14ac:dyDescent="0.25">
      <c r="H2527" t="s">
        <v>30</v>
      </c>
    </row>
    <row r="2529" spans="8:8" x14ac:dyDescent="0.25">
      <c r="H2529" t="s">
        <v>2274</v>
      </c>
    </row>
    <row r="2530" spans="8:8" x14ac:dyDescent="0.25">
      <c r="H2530" t="s">
        <v>2849</v>
      </c>
    </row>
    <row r="2531" spans="8:8" x14ac:dyDescent="0.25">
      <c r="H2531" t="s">
        <v>135</v>
      </c>
    </row>
    <row r="2532" spans="8:8" x14ac:dyDescent="0.25">
      <c r="H2532" t="s">
        <v>2850</v>
      </c>
    </row>
    <row r="2533" spans="8:8" x14ac:dyDescent="0.25">
      <c r="H2533" t="s">
        <v>30</v>
      </c>
    </row>
    <row r="2535" spans="8:8" x14ac:dyDescent="0.25">
      <c r="H2535" t="s">
        <v>2275</v>
      </c>
    </row>
    <row r="2536" spans="8:8" x14ac:dyDescent="0.25">
      <c r="H2536" t="s">
        <v>2852</v>
      </c>
    </row>
    <row r="2537" spans="8:8" x14ac:dyDescent="0.25">
      <c r="H2537" t="s">
        <v>135</v>
      </c>
    </row>
    <row r="2538" spans="8:8" x14ac:dyDescent="0.25">
      <c r="H2538" t="s">
        <v>2853</v>
      </c>
    </row>
    <row r="2539" spans="8:8" x14ac:dyDescent="0.25">
      <c r="H2539" t="s">
        <v>30</v>
      </c>
    </row>
    <row r="2541" spans="8:8" x14ac:dyDescent="0.25">
      <c r="H2541" t="s">
        <v>2276</v>
      </c>
    </row>
    <row r="2542" spans="8:8" x14ac:dyDescent="0.25">
      <c r="H2542" t="s">
        <v>2855</v>
      </c>
    </row>
    <row r="2543" spans="8:8" x14ac:dyDescent="0.25">
      <c r="H2543" t="s">
        <v>135</v>
      </c>
    </row>
    <row r="2544" spans="8:8" x14ac:dyDescent="0.25">
      <c r="H2544" t="s">
        <v>2856</v>
      </c>
    </row>
    <row r="2545" spans="8:8" x14ac:dyDescent="0.25">
      <c r="H2545" t="s">
        <v>30</v>
      </c>
    </row>
    <row r="2547" spans="8:8" x14ac:dyDescent="0.25">
      <c r="H2547" t="s">
        <v>2277</v>
      </c>
    </row>
    <row r="2548" spans="8:8" x14ac:dyDescent="0.25">
      <c r="H2548" t="s">
        <v>2858</v>
      </c>
    </row>
    <row r="2549" spans="8:8" x14ac:dyDescent="0.25">
      <c r="H2549" t="s">
        <v>135</v>
      </c>
    </row>
    <row r="2550" spans="8:8" x14ac:dyDescent="0.25">
      <c r="H2550" t="s">
        <v>2859</v>
      </c>
    </row>
    <row r="2551" spans="8:8" x14ac:dyDescent="0.25">
      <c r="H2551" t="s">
        <v>30</v>
      </c>
    </row>
    <row r="2553" spans="8:8" x14ac:dyDescent="0.25">
      <c r="H2553" t="s">
        <v>2278</v>
      </c>
    </row>
    <row r="2554" spans="8:8" x14ac:dyDescent="0.25">
      <c r="H2554" t="s">
        <v>2861</v>
      </c>
    </row>
    <row r="2555" spans="8:8" x14ac:dyDescent="0.25">
      <c r="H2555" t="s">
        <v>135</v>
      </c>
    </row>
    <row r="2556" spans="8:8" x14ac:dyDescent="0.25">
      <c r="H2556" t="s">
        <v>2862</v>
      </c>
    </row>
    <row r="2557" spans="8:8" x14ac:dyDescent="0.25">
      <c r="H2557" t="s">
        <v>30</v>
      </c>
    </row>
    <row r="2559" spans="8:8" x14ac:dyDescent="0.25">
      <c r="H2559" t="s">
        <v>2279</v>
      </c>
    </row>
    <row r="2560" spans="8:8" x14ac:dyDescent="0.25">
      <c r="H2560" t="s">
        <v>2864</v>
      </c>
    </row>
    <row r="2561" spans="8:8" x14ac:dyDescent="0.25">
      <c r="H2561" t="s">
        <v>135</v>
      </c>
    </row>
    <row r="2562" spans="8:8" x14ac:dyDescent="0.25">
      <c r="H2562" t="s">
        <v>2865</v>
      </c>
    </row>
    <row r="2563" spans="8:8" x14ac:dyDescent="0.25">
      <c r="H2563" t="s">
        <v>30</v>
      </c>
    </row>
    <row r="2565" spans="8:8" x14ac:dyDescent="0.25">
      <c r="H2565" t="s">
        <v>2280</v>
      </c>
    </row>
    <row r="2566" spans="8:8" x14ac:dyDescent="0.25">
      <c r="H2566" t="s">
        <v>2867</v>
      </c>
    </row>
    <row r="2567" spans="8:8" x14ac:dyDescent="0.25">
      <c r="H2567" t="s">
        <v>135</v>
      </c>
    </row>
    <row r="2568" spans="8:8" x14ac:dyDescent="0.25">
      <c r="H2568" t="s">
        <v>2868</v>
      </c>
    </row>
    <row r="2569" spans="8:8" x14ac:dyDescent="0.25">
      <c r="H2569" t="s">
        <v>30</v>
      </c>
    </row>
    <row r="2571" spans="8:8" x14ac:dyDescent="0.25">
      <c r="H2571" t="s">
        <v>2281</v>
      </c>
    </row>
    <row r="2572" spans="8:8" x14ac:dyDescent="0.25">
      <c r="H2572" t="s">
        <v>2870</v>
      </c>
    </row>
    <row r="2573" spans="8:8" x14ac:dyDescent="0.25">
      <c r="H2573" t="s">
        <v>135</v>
      </c>
    </row>
    <row r="2574" spans="8:8" x14ac:dyDescent="0.25">
      <c r="H2574" t="s">
        <v>2871</v>
      </c>
    </row>
    <row r="2575" spans="8:8" x14ac:dyDescent="0.25">
      <c r="H2575" t="s">
        <v>30</v>
      </c>
    </row>
    <row r="2577" spans="8:8" x14ac:dyDescent="0.25">
      <c r="H2577" t="s">
        <v>2282</v>
      </c>
    </row>
    <row r="2578" spans="8:8" x14ac:dyDescent="0.25">
      <c r="H2578" t="s">
        <v>2873</v>
      </c>
    </row>
    <row r="2579" spans="8:8" x14ac:dyDescent="0.25">
      <c r="H2579" t="s">
        <v>135</v>
      </c>
    </row>
    <row r="2580" spans="8:8" x14ac:dyDescent="0.25">
      <c r="H2580" t="s">
        <v>2874</v>
      </c>
    </row>
    <row r="2581" spans="8:8" x14ac:dyDescent="0.25">
      <c r="H2581" t="s">
        <v>30</v>
      </c>
    </row>
    <row r="2583" spans="8:8" x14ac:dyDescent="0.25">
      <c r="H2583" t="s">
        <v>2283</v>
      </c>
    </row>
    <row r="2584" spans="8:8" x14ac:dyDescent="0.25">
      <c r="H2584" t="s">
        <v>2876</v>
      </c>
    </row>
    <row r="2585" spans="8:8" x14ac:dyDescent="0.25">
      <c r="H2585" t="s">
        <v>135</v>
      </c>
    </row>
    <row r="2586" spans="8:8" x14ac:dyDescent="0.25">
      <c r="H2586" t="s">
        <v>2877</v>
      </c>
    </row>
    <row r="2587" spans="8:8" x14ac:dyDescent="0.25">
      <c r="H2587" t="s">
        <v>30</v>
      </c>
    </row>
    <row r="2589" spans="8:8" x14ac:dyDescent="0.25">
      <c r="H2589" t="s">
        <v>2284</v>
      </c>
    </row>
    <row r="2590" spans="8:8" x14ac:dyDescent="0.25">
      <c r="H2590" t="s">
        <v>2879</v>
      </c>
    </row>
    <row r="2591" spans="8:8" x14ac:dyDescent="0.25">
      <c r="H2591" t="s">
        <v>135</v>
      </c>
    </row>
    <row r="2592" spans="8:8" x14ac:dyDescent="0.25">
      <c r="H2592" t="s">
        <v>2880</v>
      </c>
    </row>
    <row r="2593" spans="8:8" x14ac:dyDescent="0.25">
      <c r="H2593" t="s">
        <v>30</v>
      </c>
    </row>
    <row r="2595" spans="8:8" x14ac:dyDescent="0.25">
      <c r="H2595" t="s">
        <v>2285</v>
      </c>
    </row>
    <row r="2596" spans="8:8" x14ac:dyDescent="0.25">
      <c r="H2596" t="s">
        <v>2882</v>
      </c>
    </row>
    <row r="2597" spans="8:8" x14ac:dyDescent="0.25">
      <c r="H2597" t="s">
        <v>135</v>
      </c>
    </row>
    <row r="2598" spans="8:8" x14ac:dyDescent="0.25">
      <c r="H2598" t="s">
        <v>2883</v>
      </c>
    </row>
    <row r="2599" spans="8:8" x14ac:dyDescent="0.25">
      <c r="H2599" t="s">
        <v>30</v>
      </c>
    </row>
    <row r="2601" spans="8:8" x14ac:dyDescent="0.25">
      <c r="H2601" t="s">
        <v>2286</v>
      </c>
    </row>
    <row r="2602" spans="8:8" x14ac:dyDescent="0.25">
      <c r="H2602" t="s">
        <v>2885</v>
      </c>
    </row>
    <row r="2603" spans="8:8" x14ac:dyDescent="0.25">
      <c r="H2603" t="s">
        <v>135</v>
      </c>
    </row>
    <row r="2604" spans="8:8" x14ac:dyDescent="0.25">
      <c r="H2604" t="s">
        <v>2886</v>
      </c>
    </row>
    <row r="2605" spans="8:8" x14ac:dyDescent="0.25">
      <c r="H2605" t="s">
        <v>30</v>
      </c>
    </row>
    <row r="2607" spans="8:8" x14ac:dyDescent="0.25">
      <c r="H2607" t="s">
        <v>2287</v>
      </c>
    </row>
    <row r="2608" spans="8:8" x14ac:dyDescent="0.25">
      <c r="H2608" t="s">
        <v>2888</v>
      </c>
    </row>
    <row r="2609" spans="8:8" x14ac:dyDescent="0.25">
      <c r="H2609" t="s">
        <v>135</v>
      </c>
    </row>
    <row r="2610" spans="8:8" x14ac:dyDescent="0.25">
      <c r="H2610" t="s">
        <v>2889</v>
      </c>
    </row>
    <row r="2611" spans="8:8" x14ac:dyDescent="0.25">
      <c r="H2611" t="s">
        <v>30</v>
      </c>
    </row>
    <row r="2613" spans="8:8" x14ac:dyDescent="0.25">
      <c r="H2613" t="s">
        <v>2288</v>
      </c>
    </row>
    <row r="2614" spans="8:8" x14ac:dyDescent="0.25">
      <c r="H2614" t="s">
        <v>2891</v>
      </c>
    </row>
    <row r="2615" spans="8:8" x14ac:dyDescent="0.25">
      <c r="H2615" t="s">
        <v>135</v>
      </c>
    </row>
    <row r="2616" spans="8:8" x14ac:dyDescent="0.25">
      <c r="H2616" t="s">
        <v>2892</v>
      </c>
    </row>
    <row r="2617" spans="8:8" x14ac:dyDescent="0.25">
      <c r="H2617" t="s">
        <v>30</v>
      </c>
    </row>
    <row r="2619" spans="8:8" x14ac:dyDescent="0.25">
      <c r="H2619" t="s">
        <v>2289</v>
      </c>
    </row>
    <row r="2620" spans="8:8" x14ac:dyDescent="0.25">
      <c r="H2620" t="s">
        <v>2894</v>
      </c>
    </row>
    <row r="2621" spans="8:8" x14ac:dyDescent="0.25">
      <c r="H2621" t="s">
        <v>135</v>
      </c>
    </row>
    <row r="2622" spans="8:8" x14ac:dyDescent="0.25">
      <c r="H2622" t="s">
        <v>2895</v>
      </c>
    </row>
    <row r="2623" spans="8:8" x14ac:dyDescent="0.25">
      <c r="H2623" t="s">
        <v>30</v>
      </c>
    </row>
    <row r="2625" spans="8:8" x14ac:dyDescent="0.25">
      <c r="H2625" t="s">
        <v>2290</v>
      </c>
    </row>
    <row r="2626" spans="8:8" x14ac:dyDescent="0.25">
      <c r="H2626" t="s">
        <v>2897</v>
      </c>
    </row>
    <row r="2627" spans="8:8" x14ac:dyDescent="0.25">
      <c r="H2627" t="s">
        <v>135</v>
      </c>
    </row>
    <row r="2628" spans="8:8" x14ac:dyDescent="0.25">
      <c r="H2628" t="s">
        <v>2898</v>
      </c>
    </row>
    <row r="2629" spans="8:8" x14ac:dyDescent="0.25">
      <c r="H2629" t="s">
        <v>30</v>
      </c>
    </row>
    <row r="2631" spans="8:8" x14ac:dyDescent="0.25">
      <c r="H2631" t="s">
        <v>2291</v>
      </c>
    </row>
    <row r="2632" spans="8:8" x14ac:dyDescent="0.25">
      <c r="H2632" t="s">
        <v>2900</v>
      </c>
    </row>
    <row r="2633" spans="8:8" x14ac:dyDescent="0.25">
      <c r="H2633" t="s">
        <v>135</v>
      </c>
    </row>
    <row r="2634" spans="8:8" x14ac:dyDescent="0.25">
      <c r="H2634" t="s">
        <v>2901</v>
      </c>
    </row>
    <row r="2635" spans="8:8" x14ac:dyDescent="0.25">
      <c r="H2635" t="s">
        <v>30</v>
      </c>
    </row>
    <row r="2637" spans="8:8" x14ac:dyDescent="0.25">
      <c r="H2637" t="s">
        <v>2292</v>
      </c>
    </row>
    <row r="2638" spans="8:8" x14ac:dyDescent="0.25">
      <c r="H2638" t="s">
        <v>2903</v>
      </c>
    </row>
    <row r="2639" spans="8:8" x14ac:dyDescent="0.25">
      <c r="H2639" t="s">
        <v>135</v>
      </c>
    </row>
    <row r="2640" spans="8:8" x14ac:dyDescent="0.25">
      <c r="H2640" t="s">
        <v>2904</v>
      </c>
    </row>
    <row r="2641" spans="8:8" x14ac:dyDescent="0.25">
      <c r="H2641" t="s">
        <v>30</v>
      </c>
    </row>
    <row r="2643" spans="8:8" x14ac:dyDescent="0.25">
      <c r="H2643" t="s">
        <v>2293</v>
      </c>
    </row>
    <row r="2644" spans="8:8" x14ac:dyDescent="0.25">
      <c r="H2644" t="s">
        <v>2906</v>
      </c>
    </row>
    <row r="2645" spans="8:8" x14ac:dyDescent="0.25">
      <c r="H2645" t="s">
        <v>135</v>
      </c>
    </row>
    <row r="2646" spans="8:8" x14ac:dyDescent="0.25">
      <c r="H2646" t="s">
        <v>2907</v>
      </c>
    </row>
    <row r="2647" spans="8:8" x14ac:dyDescent="0.25">
      <c r="H2647" t="s">
        <v>30</v>
      </c>
    </row>
    <row r="2649" spans="8:8" x14ac:dyDescent="0.25">
      <c r="H2649" t="s">
        <v>2294</v>
      </c>
    </row>
    <row r="2650" spans="8:8" x14ac:dyDescent="0.25">
      <c r="H2650" t="s">
        <v>2909</v>
      </c>
    </row>
    <row r="2651" spans="8:8" x14ac:dyDescent="0.25">
      <c r="H2651" t="s">
        <v>135</v>
      </c>
    </row>
    <row r="2652" spans="8:8" x14ac:dyDescent="0.25">
      <c r="H2652" t="s">
        <v>2910</v>
      </c>
    </row>
    <row r="2653" spans="8:8" x14ac:dyDescent="0.25">
      <c r="H2653" t="s">
        <v>30</v>
      </c>
    </row>
    <row r="2655" spans="8:8" x14ac:dyDescent="0.25">
      <c r="H2655" t="s">
        <v>2295</v>
      </c>
    </row>
    <row r="2656" spans="8:8" x14ac:dyDescent="0.25">
      <c r="H2656" t="s">
        <v>2912</v>
      </c>
    </row>
    <row r="2657" spans="8:8" x14ac:dyDescent="0.25">
      <c r="H2657" t="s">
        <v>135</v>
      </c>
    </row>
    <row r="2658" spans="8:8" x14ac:dyDescent="0.25">
      <c r="H2658" t="s">
        <v>2913</v>
      </c>
    </row>
    <row r="2659" spans="8:8" x14ac:dyDescent="0.25">
      <c r="H2659" t="s">
        <v>30</v>
      </c>
    </row>
    <row r="2661" spans="8:8" x14ac:dyDescent="0.25">
      <c r="H2661" t="s">
        <v>2296</v>
      </c>
    </row>
    <row r="2662" spans="8:8" x14ac:dyDescent="0.25">
      <c r="H2662" t="s">
        <v>2915</v>
      </c>
    </row>
    <row r="2663" spans="8:8" x14ac:dyDescent="0.25">
      <c r="H2663" t="s">
        <v>135</v>
      </c>
    </row>
    <row r="2664" spans="8:8" x14ac:dyDescent="0.25">
      <c r="H2664" t="s">
        <v>2916</v>
      </c>
    </row>
    <row r="2665" spans="8:8" x14ac:dyDescent="0.25">
      <c r="H2665" t="s">
        <v>30</v>
      </c>
    </row>
    <row r="2667" spans="8:8" x14ac:dyDescent="0.25">
      <c r="H2667" t="s">
        <v>2297</v>
      </c>
    </row>
    <row r="2668" spans="8:8" x14ac:dyDescent="0.25">
      <c r="H2668" t="s">
        <v>2918</v>
      </c>
    </row>
    <row r="2669" spans="8:8" x14ac:dyDescent="0.25">
      <c r="H2669" t="s">
        <v>135</v>
      </c>
    </row>
    <row r="2670" spans="8:8" x14ac:dyDescent="0.25">
      <c r="H2670" t="s">
        <v>2919</v>
      </c>
    </row>
    <row r="2671" spans="8:8" x14ac:dyDescent="0.25">
      <c r="H2671" t="s">
        <v>30</v>
      </c>
    </row>
    <row r="2673" spans="8:8" x14ac:dyDescent="0.25">
      <c r="H2673" t="s">
        <v>2298</v>
      </c>
    </row>
    <row r="2674" spans="8:8" x14ac:dyDescent="0.25">
      <c r="H2674" t="s">
        <v>2921</v>
      </c>
    </row>
    <row r="2675" spans="8:8" x14ac:dyDescent="0.25">
      <c r="H2675" t="s">
        <v>135</v>
      </c>
    </row>
    <row r="2676" spans="8:8" x14ac:dyDescent="0.25">
      <c r="H2676" t="s">
        <v>2922</v>
      </c>
    </row>
    <row r="2677" spans="8:8" x14ac:dyDescent="0.25">
      <c r="H2677" t="s">
        <v>30</v>
      </c>
    </row>
    <row r="2679" spans="8:8" x14ac:dyDescent="0.25">
      <c r="H2679" t="s">
        <v>2299</v>
      </c>
    </row>
    <row r="2680" spans="8:8" x14ac:dyDescent="0.25">
      <c r="H2680" t="s">
        <v>2924</v>
      </c>
    </row>
    <row r="2681" spans="8:8" x14ac:dyDescent="0.25">
      <c r="H2681" t="s">
        <v>135</v>
      </c>
    </row>
    <row r="2682" spans="8:8" x14ac:dyDescent="0.25">
      <c r="H2682" t="s">
        <v>2925</v>
      </c>
    </row>
    <row r="2683" spans="8:8" x14ac:dyDescent="0.25">
      <c r="H2683" t="s">
        <v>30</v>
      </c>
    </row>
    <row r="2685" spans="8:8" x14ac:dyDescent="0.25">
      <c r="H2685" t="s">
        <v>2300</v>
      </c>
    </row>
    <row r="2686" spans="8:8" x14ac:dyDescent="0.25">
      <c r="H2686" t="s">
        <v>2927</v>
      </c>
    </row>
    <row r="2687" spans="8:8" x14ac:dyDescent="0.25">
      <c r="H2687" t="s">
        <v>135</v>
      </c>
    </row>
    <row r="2688" spans="8:8" x14ac:dyDescent="0.25">
      <c r="H2688" t="s">
        <v>2928</v>
      </c>
    </row>
    <row r="2689" spans="8:8" x14ac:dyDescent="0.25">
      <c r="H2689" t="s">
        <v>30</v>
      </c>
    </row>
    <row r="2691" spans="8:8" x14ac:dyDescent="0.25">
      <c r="H2691" t="s">
        <v>2301</v>
      </c>
    </row>
    <row r="2692" spans="8:8" x14ac:dyDescent="0.25">
      <c r="H2692" t="s">
        <v>2930</v>
      </c>
    </row>
    <row r="2693" spans="8:8" x14ac:dyDescent="0.25">
      <c r="H2693" t="s">
        <v>135</v>
      </c>
    </row>
    <row r="2694" spans="8:8" x14ac:dyDescent="0.25">
      <c r="H2694" t="s">
        <v>2931</v>
      </c>
    </row>
    <row r="2695" spans="8:8" x14ac:dyDescent="0.25">
      <c r="H2695" t="s">
        <v>30</v>
      </c>
    </row>
    <row r="2697" spans="8:8" x14ac:dyDescent="0.25">
      <c r="H2697" t="s">
        <v>2302</v>
      </c>
    </row>
    <row r="2698" spans="8:8" x14ac:dyDescent="0.25">
      <c r="H2698" t="s">
        <v>2933</v>
      </c>
    </row>
    <row r="2699" spans="8:8" x14ac:dyDescent="0.25">
      <c r="H2699" t="s">
        <v>135</v>
      </c>
    </row>
    <row r="2700" spans="8:8" x14ac:dyDescent="0.25">
      <c r="H2700" t="s">
        <v>2934</v>
      </c>
    </row>
    <row r="2701" spans="8:8" x14ac:dyDescent="0.25">
      <c r="H2701" t="s">
        <v>30</v>
      </c>
    </row>
    <row r="2703" spans="8:8" x14ac:dyDescent="0.25">
      <c r="H2703" t="s">
        <v>2303</v>
      </c>
    </row>
    <row r="2704" spans="8:8" x14ac:dyDescent="0.25">
      <c r="H2704" t="s">
        <v>2936</v>
      </c>
    </row>
    <row r="2705" spans="8:8" x14ac:dyDescent="0.25">
      <c r="H2705" t="s">
        <v>135</v>
      </c>
    </row>
    <row r="2706" spans="8:8" x14ac:dyDescent="0.25">
      <c r="H2706" t="s">
        <v>2937</v>
      </c>
    </row>
    <row r="2707" spans="8:8" x14ac:dyDescent="0.25">
      <c r="H2707" t="s">
        <v>30</v>
      </c>
    </row>
    <row r="2709" spans="8:8" x14ac:dyDescent="0.25">
      <c r="H2709" t="s">
        <v>2304</v>
      </c>
    </row>
    <row r="2710" spans="8:8" x14ac:dyDescent="0.25">
      <c r="H2710" t="s">
        <v>2939</v>
      </c>
    </row>
    <row r="2711" spans="8:8" x14ac:dyDescent="0.25">
      <c r="H2711" t="s">
        <v>135</v>
      </c>
    </row>
    <row r="2712" spans="8:8" x14ac:dyDescent="0.25">
      <c r="H2712" t="s">
        <v>2940</v>
      </c>
    </row>
    <row r="2713" spans="8:8" x14ac:dyDescent="0.25">
      <c r="H2713" t="s">
        <v>30</v>
      </c>
    </row>
    <row r="2715" spans="8:8" x14ac:dyDescent="0.25">
      <c r="H2715" t="s">
        <v>2305</v>
      </c>
    </row>
    <row r="2716" spans="8:8" x14ac:dyDescent="0.25">
      <c r="H2716" t="s">
        <v>2942</v>
      </c>
    </row>
    <row r="2717" spans="8:8" x14ac:dyDescent="0.25">
      <c r="H2717" t="s">
        <v>135</v>
      </c>
    </row>
    <row r="2718" spans="8:8" x14ac:dyDescent="0.25">
      <c r="H2718" t="s">
        <v>2943</v>
      </c>
    </row>
    <row r="2719" spans="8:8" x14ac:dyDescent="0.25">
      <c r="H2719" t="s">
        <v>30</v>
      </c>
    </row>
    <row r="2721" spans="8:8" x14ac:dyDescent="0.25">
      <c r="H2721" t="s">
        <v>2306</v>
      </c>
    </row>
    <row r="2722" spans="8:8" x14ac:dyDescent="0.25">
      <c r="H2722" t="s">
        <v>2945</v>
      </c>
    </row>
    <row r="2723" spans="8:8" x14ac:dyDescent="0.25">
      <c r="H2723" t="s">
        <v>135</v>
      </c>
    </row>
    <row r="2724" spans="8:8" x14ac:dyDescent="0.25">
      <c r="H2724" t="s">
        <v>2946</v>
      </c>
    </row>
    <row r="2725" spans="8:8" x14ac:dyDescent="0.25">
      <c r="H2725" t="s">
        <v>30</v>
      </c>
    </row>
    <row r="2727" spans="8:8" x14ac:dyDescent="0.25">
      <c r="H2727" t="s">
        <v>2307</v>
      </c>
    </row>
    <row r="2728" spans="8:8" x14ac:dyDescent="0.25">
      <c r="H2728" t="s">
        <v>2948</v>
      </c>
    </row>
    <row r="2729" spans="8:8" x14ac:dyDescent="0.25">
      <c r="H2729" t="s">
        <v>135</v>
      </c>
    </row>
    <row r="2730" spans="8:8" x14ac:dyDescent="0.25">
      <c r="H2730" t="s">
        <v>2949</v>
      </c>
    </row>
    <row r="2731" spans="8:8" x14ac:dyDescent="0.25">
      <c r="H2731" t="s">
        <v>30</v>
      </c>
    </row>
    <row r="2733" spans="8:8" x14ac:dyDescent="0.25">
      <c r="H2733" t="s">
        <v>2308</v>
      </c>
    </row>
    <row r="2734" spans="8:8" x14ac:dyDescent="0.25">
      <c r="H2734" t="s">
        <v>2951</v>
      </c>
    </row>
    <row r="2735" spans="8:8" x14ac:dyDescent="0.25">
      <c r="H2735" t="s">
        <v>135</v>
      </c>
    </row>
    <row r="2736" spans="8:8" x14ac:dyDescent="0.25">
      <c r="H2736" t="s">
        <v>2952</v>
      </c>
    </row>
    <row r="2737" spans="8:8" x14ac:dyDescent="0.25">
      <c r="H2737" t="s">
        <v>30</v>
      </c>
    </row>
    <row r="2739" spans="8:8" x14ac:dyDescent="0.25">
      <c r="H2739" t="s">
        <v>2309</v>
      </c>
    </row>
    <row r="2740" spans="8:8" x14ac:dyDescent="0.25">
      <c r="H2740" t="s">
        <v>2954</v>
      </c>
    </row>
    <row r="2741" spans="8:8" x14ac:dyDescent="0.25">
      <c r="H2741" t="s">
        <v>135</v>
      </c>
    </row>
    <row r="2742" spans="8:8" x14ac:dyDescent="0.25">
      <c r="H2742" t="s">
        <v>2955</v>
      </c>
    </row>
    <row r="2743" spans="8:8" x14ac:dyDescent="0.25">
      <c r="H2743" t="s">
        <v>30</v>
      </c>
    </row>
    <row r="2745" spans="8:8" x14ac:dyDescent="0.25">
      <c r="H2745" t="s">
        <v>2310</v>
      </c>
    </row>
    <row r="2746" spans="8:8" x14ac:dyDescent="0.25">
      <c r="H2746" t="s">
        <v>2957</v>
      </c>
    </row>
    <row r="2747" spans="8:8" x14ac:dyDescent="0.25">
      <c r="H2747" t="s">
        <v>135</v>
      </c>
    </row>
    <row r="2748" spans="8:8" x14ac:dyDescent="0.25">
      <c r="H2748" t="s">
        <v>2958</v>
      </c>
    </row>
    <row r="2749" spans="8:8" x14ac:dyDescent="0.25">
      <c r="H2749" t="s">
        <v>30</v>
      </c>
    </row>
    <row r="2751" spans="8:8" x14ac:dyDescent="0.25">
      <c r="H2751" t="s">
        <v>2311</v>
      </c>
    </row>
    <row r="2752" spans="8:8" x14ac:dyDescent="0.25">
      <c r="H2752" t="s">
        <v>2960</v>
      </c>
    </row>
    <row r="2753" spans="8:8" x14ac:dyDescent="0.25">
      <c r="H2753" t="s">
        <v>135</v>
      </c>
    </row>
    <row r="2754" spans="8:8" x14ac:dyDescent="0.25">
      <c r="H2754" t="s">
        <v>2961</v>
      </c>
    </row>
    <row r="2755" spans="8:8" x14ac:dyDescent="0.25">
      <c r="H2755" t="s">
        <v>30</v>
      </c>
    </row>
    <row r="2757" spans="8:8" x14ac:dyDescent="0.25">
      <c r="H2757" t="s">
        <v>2312</v>
      </c>
    </row>
    <row r="2758" spans="8:8" x14ac:dyDescent="0.25">
      <c r="H2758" t="s">
        <v>2963</v>
      </c>
    </row>
    <row r="2759" spans="8:8" x14ac:dyDescent="0.25">
      <c r="H2759" t="s">
        <v>135</v>
      </c>
    </row>
    <row r="2760" spans="8:8" x14ac:dyDescent="0.25">
      <c r="H2760" t="s">
        <v>2964</v>
      </c>
    </row>
    <row r="2761" spans="8:8" x14ac:dyDescent="0.25">
      <c r="H2761" t="s">
        <v>30</v>
      </c>
    </row>
    <row r="2763" spans="8:8" x14ac:dyDescent="0.25">
      <c r="H2763" t="s">
        <v>2313</v>
      </c>
    </row>
    <row r="2764" spans="8:8" x14ac:dyDescent="0.25">
      <c r="H2764" t="s">
        <v>2966</v>
      </c>
    </row>
    <row r="2765" spans="8:8" x14ac:dyDescent="0.25">
      <c r="H2765" t="s">
        <v>135</v>
      </c>
    </row>
    <row r="2766" spans="8:8" x14ac:dyDescent="0.25">
      <c r="H2766" t="s">
        <v>2967</v>
      </c>
    </row>
    <row r="2767" spans="8:8" x14ac:dyDescent="0.25">
      <c r="H2767" t="s">
        <v>30</v>
      </c>
    </row>
    <row r="2769" spans="8:8" x14ac:dyDescent="0.25">
      <c r="H2769" t="s">
        <v>2314</v>
      </c>
    </row>
    <row r="2770" spans="8:8" x14ac:dyDescent="0.25">
      <c r="H2770" t="s">
        <v>2969</v>
      </c>
    </row>
    <row r="2771" spans="8:8" x14ac:dyDescent="0.25">
      <c r="H2771" t="s">
        <v>135</v>
      </c>
    </row>
    <row r="2772" spans="8:8" x14ac:dyDescent="0.25">
      <c r="H2772" t="s">
        <v>2970</v>
      </c>
    </row>
    <row r="2773" spans="8:8" x14ac:dyDescent="0.25">
      <c r="H2773" t="s">
        <v>30</v>
      </c>
    </row>
    <row r="2775" spans="8:8" x14ac:dyDescent="0.25">
      <c r="H2775" t="s">
        <v>2315</v>
      </c>
    </row>
    <row r="2776" spans="8:8" x14ac:dyDescent="0.25">
      <c r="H2776" t="s">
        <v>2972</v>
      </c>
    </row>
    <row r="2777" spans="8:8" x14ac:dyDescent="0.25">
      <c r="H2777" t="s">
        <v>135</v>
      </c>
    </row>
    <row r="2778" spans="8:8" x14ac:dyDescent="0.25">
      <c r="H2778" t="s">
        <v>2973</v>
      </c>
    </row>
    <row r="2779" spans="8:8" x14ac:dyDescent="0.25">
      <c r="H2779" t="s">
        <v>30</v>
      </c>
    </row>
    <row r="2781" spans="8:8" x14ac:dyDescent="0.25">
      <c r="H2781" t="s">
        <v>2316</v>
      </c>
    </row>
    <row r="2782" spans="8:8" x14ac:dyDescent="0.25">
      <c r="H2782" t="s">
        <v>2975</v>
      </c>
    </row>
    <row r="2783" spans="8:8" x14ac:dyDescent="0.25">
      <c r="H2783" t="s">
        <v>135</v>
      </c>
    </row>
    <row r="2784" spans="8:8" x14ac:dyDescent="0.25">
      <c r="H2784" t="s">
        <v>2976</v>
      </c>
    </row>
    <row r="2785" spans="8:8" x14ac:dyDescent="0.25">
      <c r="H2785" t="s">
        <v>30</v>
      </c>
    </row>
    <row r="2787" spans="8:8" x14ac:dyDescent="0.25">
      <c r="H2787" t="s">
        <v>2317</v>
      </c>
    </row>
    <row r="2788" spans="8:8" x14ac:dyDescent="0.25">
      <c r="H2788" t="s">
        <v>2978</v>
      </c>
    </row>
    <row r="2789" spans="8:8" x14ac:dyDescent="0.25">
      <c r="H2789" t="s">
        <v>135</v>
      </c>
    </row>
    <row r="2790" spans="8:8" x14ac:dyDescent="0.25">
      <c r="H2790" t="s">
        <v>2979</v>
      </c>
    </row>
    <row r="2791" spans="8:8" x14ac:dyDescent="0.25">
      <c r="H2791" t="s">
        <v>30</v>
      </c>
    </row>
    <row r="2793" spans="8:8" x14ac:dyDescent="0.25">
      <c r="H2793" t="s">
        <v>2318</v>
      </c>
    </row>
    <row r="2794" spans="8:8" x14ac:dyDescent="0.25">
      <c r="H2794" t="s">
        <v>2981</v>
      </c>
    </row>
    <row r="2795" spans="8:8" x14ac:dyDescent="0.25">
      <c r="H2795" t="s">
        <v>135</v>
      </c>
    </row>
    <row r="2796" spans="8:8" x14ac:dyDescent="0.25">
      <c r="H2796" t="s">
        <v>2982</v>
      </c>
    </row>
    <row r="2797" spans="8:8" x14ac:dyDescent="0.25">
      <c r="H2797" t="s">
        <v>30</v>
      </c>
    </row>
    <row r="2799" spans="8:8" x14ac:dyDescent="0.25">
      <c r="H2799" t="s">
        <v>2319</v>
      </c>
    </row>
    <row r="2800" spans="8:8" x14ac:dyDescent="0.25">
      <c r="H2800" t="s">
        <v>2984</v>
      </c>
    </row>
    <row r="2801" spans="8:8" x14ac:dyDescent="0.25">
      <c r="H2801" t="s">
        <v>135</v>
      </c>
    </row>
    <row r="2802" spans="8:8" x14ac:dyDescent="0.25">
      <c r="H2802" t="s">
        <v>2985</v>
      </c>
    </row>
    <row r="2803" spans="8:8" x14ac:dyDescent="0.25">
      <c r="H2803" t="s">
        <v>30</v>
      </c>
    </row>
    <row r="2805" spans="8:8" x14ac:dyDescent="0.25">
      <c r="H2805" t="s">
        <v>2320</v>
      </c>
    </row>
    <row r="2806" spans="8:8" x14ac:dyDescent="0.25">
      <c r="H2806" t="s">
        <v>2987</v>
      </c>
    </row>
    <row r="2807" spans="8:8" x14ac:dyDescent="0.25">
      <c r="H2807" t="s">
        <v>135</v>
      </c>
    </row>
    <row r="2808" spans="8:8" x14ac:dyDescent="0.25">
      <c r="H2808" t="s">
        <v>2988</v>
      </c>
    </row>
    <row r="2809" spans="8:8" x14ac:dyDescent="0.25">
      <c r="H2809" t="s">
        <v>30</v>
      </c>
    </row>
    <row r="2811" spans="8:8" x14ac:dyDescent="0.25">
      <c r="H2811" t="s">
        <v>2321</v>
      </c>
    </row>
    <row r="2812" spans="8:8" x14ac:dyDescent="0.25">
      <c r="H2812" t="s">
        <v>2990</v>
      </c>
    </row>
    <row r="2813" spans="8:8" x14ac:dyDescent="0.25">
      <c r="H2813" t="s">
        <v>135</v>
      </c>
    </row>
    <row r="2814" spans="8:8" x14ac:dyDescent="0.25">
      <c r="H2814" t="s">
        <v>2991</v>
      </c>
    </row>
    <row r="2815" spans="8:8" x14ac:dyDescent="0.25">
      <c r="H2815" t="s">
        <v>30</v>
      </c>
    </row>
    <row r="2817" spans="8:8" x14ac:dyDescent="0.25">
      <c r="H2817" t="s">
        <v>2322</v>
      </c>
    </row>
    <row r="2818" spans="8:8" x14ac:dyDescent="0.25">
      <c r="H2818" t="s">
        <v>2993</v>
      </c>
    </row>
    <row r="2819" spans="8:8" x14ac:dyDescent="0.25">
      <c r="H2819" t="s">
        <v>135</v>
      </c>
    </row>
    <row r="2820" spans="8:8" x14ac:dyDescent="0.25">
      <c r="H2820" t="s">
        <v>2994</v>
      </c>
    </row>
    <row r="2821" spans="8:8" x14ac:dyDescent="0.25">
      <c r="H2821" t="s">
        <v>30</v>
      </c>
    </row>
    <row r="2823" spans="8:8" x14ac:dyDescent="0.25">
      <c r="H2823" t="s">
        <v>2323</v>
      </c>
    </row>
    <row r="2824" spans="8:8" x14ac:dyDescent="0.25">
      <c r="H2824" t="s">
        <v>2996</v>
      </c>
    </row>
    <row r="2825" spans="8:8" x14ac:dyDescent="0.25">
      <c r="H2825" t="s">
        <v>135</v>
      </c>
    </row>
    <row r="2826" spans="8:8" x14ac:dyDescent="0.25">
      <c r="H2826" t="s">
        <v>2997</v>
      </c>
    </row>
    <row r="2827" spans="8:8" x14ac:dyDescent="0.25">
      <c r="H2827" t="s">
        <v>30</v>
      </c>
    </row>
    <row r="2829" spans="8:8" x14ac:dyDescent="0.25">
      <c r="H2829" t="s">
        <v>2324</v>
      </c>
    </row>
    <row r="2830" spans="8:8" x14ac:dyDescent="0.25">
      <c r="H2830" t="s">
        <v>2999</v>
      </c>
    </row>
    <row r="2831" spans="8:8" x14ac:dyDescent="0.25">
      <c r="H2831" t="s">
        <v>135</v>
      </c>
    </row>
    <row r="2832" spans="8:8" x14ac:dyDescent="0.25">
      <c r="H2832" t="s">
        <v>3000</v>
      </c>
    </row>
    <row r="2833" spans="8:8" x14ac:dyDescent="0.25">
      <c r="H2833" t="s">
        <v>30</v>
      </c>
    </row>
    <row r="2835" spans="8:8" x14ac:dyDescent="0.25">
      <c r="H2835" t="s">
        <v>2325</v>
      </c>
    </row>
    <row r="2836" spans="8:8" x14ac:dyDescent="0.25">
      <c r="H2836" t="s">
        <v>3002</v>
      </c>
    </row>
    <row r="2837" spans="8:8" x14ac:dyDescent="0.25">
      <c r="H2837" t="s">
        <v>135</v>
      </c>
    </row>
    <row r="2838" spans="8:8" x14ac:dyDescent="0.25">
      <c r="H2838" t="s">
        <v>3003</v>
      </c>
    </row>
    <row r="2839" spans="8:8" x14ac:dyDescent="0.25">
      <c r="H2839" t="s">
        <v>30</v>
      </c>
    </row>
    <row r="2841" spans="8:8" x14ac:dyDescent="0.25">
      <c r="H2841" t="s">
        <v>2326</v>
      </c>
    </row>
    <row r="2842" spans="8:8" x14ac:dyDescent="0.25">
      <c r="H2842" t="s">
        <v>3005</v>
      </c>
    </row>
    <row r="2843" spans="8:8" x14ac:dyDescent="0.25">
      <c r="H2843" t="s">
        <v>135</v>
      </c>
    </row>
    <row r="2844" spans="8:8" x14ac:dyDescent="0.25">
      <c r="H2844" t="s">
        <v>3006</v>
      </c>
    </row>
    <row r="2845" spans="8:8" x14ac:dyDescent="0.25">
      <c r="H2845" t="s">
        <v>30</v>
      </c>
    </row>
    <row r="2847" spans="8:8" x14ac:dyDescent="0.25">
      <c r="H2847" t="s">
        <v>2327</v>
      </c>
    </row>
    <row r="2848" spans="8:8" x14ac:dyDescent="0.25">
      <c r="H2848" t="s">
        <v>3008</v>
      </c>
    </row>
    <row r="2849" spans="8:8" x14ac:dyDescent="0.25">
      <c r="H2849" t="s">
        <v>135</v>
      </c>
    </row>
    <row r="2850" spans="8:8" x14ac:dyDescent="0.25">
      <c r="H2850" t="s">
        <v>3009</v>
      </c>
    </row>
    <row r="2851" spans="8:8" x14ac:dyDescent="0.25">
      <c r="H2851" t="s">
        <v>30</v>
      </c>
    </row>
    <row r="2853" spans="8:8" x14ac:dyDescent="0.25">
      <c r="H2853" t="s">
        <v>2328</v>
      </c>
    </row>
    <row r="2854" spans="8:8" x14ac:dyDescent="0.25">
      <c r="H2854" t="s">
        <v>3011</v>
      </c>
    </row>
    <row r="2855" spans="8:8" x14ac:dyDescent="0.25">
      <c r="H2855" t="s">
        <v>135</v>
      </c>
    </row>
    <row r="2856" spans="8:8" x14ac:dyDescent="0.25">
      <c r="H2856" t="s">
        <v>3012</v>
      </c>
    </row>
    <row r="2857" spans="8:8" x14ac:dyDescent="0.25">
      <c r="H2857" t="s">
        <v>30</v>
      </c>
    </row>
    <row r="2859" spans="8:8" x14ac:dyDescent="0.25">
      <c r="H2859" t="s">
        <v>2329</v>
      </c>
    </row>
    <row r="2860" spans="8:8" x14ac:dyDescent="0.25">
      <c r="H2860" t="s">
        <v>3014</v>
      </c>
    </row>
    <row r="2861" spans="8:8" x14ac:dyDescent="0.25">
      <c r="H2861" t="s">
        <v>135</v>
      </c>
    </row>
    <row r="2862" spans="8:8" x14ac:dyDescent="0.25">
      <c r="H2862" t="s">
        <v>3015</v>
      </c>
    </row>
    <row r="2863" spans="8:8" x14ac:dyDescent="0.25">
      <c r="H2863" t="s">
        <v>30</v>
      </c>
    </row>
    <row r="2865" spans="8:8" x14ac:dyDescent="0.25">
      <c r="H2865" t="s">
        <v>2330</v>
      </c>
    </row>
    <row r="2866" spans="8:8" x14ac:dyDescent="0.25">
      <c r="H2866" t="s">
        <v>3017</v>
      </c>
    </row>
    <row r="2867" spans="8:8" x14ac:dyDescent="0.25">
      <c r="H2867" t="s">
        <v>135</v>
      </c>
    </row>
    <row r="2868" spans="8:8" x14ac:dyDescent="0.25">
      <c r="H2868" t="s">
        <v>3018</v>
      </c>
    </row>
    <row r="2869" spans="8:8" x14ac:dyDescent="0.25">
      <c r="H2869" t="s">
        <v>30</v>
      </c>
    </row>
    <row r="2871" spans="8:8" x14ac:dyDescent="0.25">
      <c r="H2871" t="s">
        <v>2331</v>
      </c>
    </row>
    <row r="2872" spans="8:8" x14ac:dyDescent="0.25">
      <c r="H2872" t="s">
        <v>3020</v>
      </c>
    </row>
    <row r="2873" spans="8:8" x14ac:dyDescent="0.25">
      <c r="H2873" t="s">
        <v>135</v>
      </c>
    </row>
    <row r="2874" spans="8:8" x14ac:dyDescent="0.25">
      <c r="H2874" t="s">
        <v>3021</v>
      </c>
    </row>
    <row r="2875" spans="8:8" x14ac:dyDescent="0.25">
      <c r="H2875" t="s">
        <v>30</v>
      </c>
    </row>
    <row r="2877" spans="8:8" x14ac:dyDescent="0.25">
      <c r="H2877" t="s">
        <v>2332</v>
      </c>
    </row>
    <row r="2878" spans="8:8" x14ac:dyDescent="0.25">
      <c r="H2878" t="s">
        <v>3023</v>
      </c>
    </row>
    <row r="2879" spans="8:8" x14ac:dyDescent="0.25">
      <c r="H2879" t="s">
        <v>135</v>
      </c>
    </row>
    <row r="2880" spans="8:8" x14ac:dyDescent="0.25">
      <c r="H2880" t="s">
        <v>3024</v>
      </c>
    </row>
    <row r="2881" spans="8:8" x14ac:dyDescent="0.25">
      <c r="H2881" t="s">
        <v>30</v>
      </c>
    </row>
    <row r="2883" spans="8:8" x14ac:dyDescent="0.25">
      <c r="H2883" t="s">
        <v>2333</v>
      </c>
    </row>
    <row r="2884" spans="8:8" x14ac:dyDescent="0.25">
      <c r="H2884" t="s">
        <v>3026</v>
      </c>
    </row>
    <row r="2885" spans="8:8" x14ac:dyDescent="0.25">
      <c r="H2885" t="s">
        <v>135</v>
      </c>
    </row>
    <row r="2886" spans="8:8" x14ac:dyDescent="0.25">
      <c r="H2886" t="s">
        <v>3027</v>
      </c>
    </row>
    <row r="2887" spans="8:8" x14ac:dyDescent="0.25">
      <c r="H2887" t="s">
        <v>30</v>
      </c>
    </row>
    <row r="2889" spans="8:8" x14ac:dyDescent="0.25">
      <c r="H2889" t="s">
        <v>2334</v>
      </c>
    </row>
    <row r="2890" spans="8:8" x14ac:dyDescent="0.25">
      <c r="H2890" t="s">
        <v>3029</v>
      </c>
    </row>
    <row r="2891" spans="8:8" x14ac:dyDescent="0.25">
      <c r="H2891" t="s">
        <v>135</v>
      </c>
    </row>
    <row r="2892" spans="8:8" x14ac:dyDescent="0.25">
      <c r="H2892" t="s">
        <v>3030</v>
      </c>
    </row>
    <row r="2893" spans="8:8" x14ac:dyDescent="0.25">
      <c r="H2893" t="s">
        <v>30</v>
      </c>
    </row>
    <row r="2895" spans="8:8" x14ac:dyDescent="0.25">
      <c r="H2895" t="s">
        <v>2335</v>
      </c>
    </row>
    <row r="2896" spans="8:8" x14ac:dyDescent="0.25">
      <c r="H2896" t="s">
        <v>3032</v>
      </c>
    </row>
    <row r="2897" spans="8:8" x14ac:dyDescent="0.25">
      <c r="H2897" t="s">
        <v>135</v>
      </c>
    </row>
    <row r="2898" spans="8:8" x14ac:dyDescent="0.25">
      <c r="H2898" t="s">
        <v>3033</v>
      </c>
    </row>
    <row r="2899" spans="8:8" x14ac:dyDescent="0.25">
      <c r="H2899" t="s">
        <v>30</v>
      </c>
    </row>
    <row r="2901" spans="8:8" x14ac:dyDescent="0.25">
      <c r="H2901" t="s">
        <v>2336</v>
      </c>
    </row>
    <row r="2902" spans="8:8" x14ac:dyDescent="0.25">
      <c r="H2902" t="s">
        <v>3035</v>
      </c>
    </row>
    <row r="2903" spans="8:8" x14ac:dyDescent="0.25">
      <c r="H2903" t="s">
        <v>135</v>
      </c>
    </row>
    <row r="2904" spans="8:8" x14ac:dyDescent="0.25">
      <c r="H2904" t="s">
        <v>3036</v>
      </c>
    </row>
    <row r="2905" spans="8:8" x14ac:dyDescent="0.25">
      <c r="H2905" t="s">
        <v>30</v>
      </c>
    </row>
    <row r="2907" spans="8:8" x14ac:dyDescent="0.25">
      <c r="H2907" t="s">
        <v>2337</v>
      </c>
    </row>
    <row r="2908" spans="8:8" x14ac:dyDescent="0.25">
      <c r="H2908" t="s">
        <v>3038</v>
      </c>
    </row>
    <row r="2909" spans="8:8" x14ac:dyDescent="0.25">
      <c r="H2909" t="s">
        <v>135</v>
      </c>
    </row>
    <row r="2910" spans="8:8" x14ac:dyDescent="0.25">
      <c r="H2910" t="s">
        <v>3039</v>
      </c>
    </row>
    <row r="2911" spans="8:8" x14ac:dyDescent="0.25">
      <c r="H2911" t="s">
        <v>30</v>
      </c>
    </row>
    <row r="2913" spans="8:8" x14ac:dyDescent="0.25">
      <c r="H2913" t="s">
        <v>2338</v>
      </c>
    </row>
    <row r="2914" spans="8:8" x14ac:dyDescent="0.25">
      <c r="H2914" t="s">
        <v>3041</v>
      </c>
    </row>
    <row r="2915" spans="8:8" x14ac:dyDescent="0.25">
      <c r="H2915" t="s">
        <v>135</v>
      </c>
    </row>
    <row r="2916" spans="8:8" x14ac:dyDescent="0.25">
      <c r="H2916" t="s">
        <v>3042</v>
      </c>
    </row>
    <row r="2917" spans="8:8" x14ac:dyDescent="0.25">
      <c r="H2917" t="s">
        <v>30</v>
      </c>
    </row>
    <row r="2919" spans="8:8" x14ac:dyDescent="0.25">
      <c r="H2919" t="s">
        <v>2339</v>
      </c>
    </row>
    <row r="2920" spans="8:8" x14ac:dyDescent="0.25">
      <c r="H2920" t="s">
        <v>3044</v>
      </c>
    </row>
    <row r="2921" spans="8:8" x14ac:dyDescent="0.25">
      <c r="H2921" t="s">
        <v>135</v>
      </c>
    </row>
    <row r="2922" spans="8:8" x14ac:dyDescent="0.25">
      <c r="H2922" t="s">
        <v>3045</v>
      </c>
    </row>
    <row r="2923" spans="8:8" x14ac:dyDescent="0.25">
      <c r="H2923" t="s">
        <v>30</v>
      </c>
    </row>
    <row r="2925" spans="8:8" x14ac:dyDescent="0.25">
      <c r="H2925" t="s">
        <v>2340</v>
      </c>
    </row>
    <row r="2926" spans="8:8" x14ac:dyDescent="0.25">
      <c r="H2926" t="s">
        <v>3047</v>
      </c>
    </row>
    <row r="2927" spans="8:8" x14ac:dyDescent="0.25">
      <c r="H2927" t="s">
        <v>135</v>
      </c>
    </row>
    <row r="2928" spans="8:8" x14ac:dyDescent="0.25">
      <c r="H2928" t="s">
        <v>3048</v>
      </c>
    </row>
    <row r="2929" spans="8:8" x14ac:dyDescent="0.25">
      <c r="H2929" t="s">
        <v>30</v>
      </c>
    </row>
    <row r="2931" spans="8:8" x14ac:dyDescent="0.25">
      <c r="H2931" t="s">
        <v>2341</v>
      </c>
    </row>
    <row r="2932" spans="8:8" x14ac:dyDescent="0.25">
      <c r="H2932" t="s">
        <v>3050</v>
      </c>
    </row>
    <row r="2933" spans="8:8" x14ac:dyDescent="0.25">
      <c r="H2933" t="s">
        <v>135</v>
      </c>
    </row>
    <row r="2934" spans="8:8" x14ac:dyDescent="0.25">
      <c r="H2934" t="s">
        <v>3051</v>
      </c>
    </row>
    <row r="2935" spans="8:8" x14ac:dyDescent="0.25">
      <c r="H2935" t="s">
        <v>30</v>
      </c>
    </row>
    <row r="2937" spans="8:8" x14ac:dyDescent="0.25">
      <c r="H2937" t="s">
        <v>2342</v>
      </c>
    </row>
    <row r="2938" spans="8:8" x14ac:dyDescent="0.25">
      <c r="H2938" t="s">
        <v>3053</v>
      </c>
    </row>
    <row r="2939" spans="8:8" x14ac:dyDescent="0.25">
      <c r="H2939" t="s">
        <v>135</v>
      </c>
    </row>
    <row r="2940" spans="8:8" x14ac:dyDescent="0.25">
      <c r="H2940" t="s">
        <v>3054</v>
      </c>
    </row>
    <row r="2941" spans="8:8" x14ac:dyDescent="0.25">
      <c r="H2941" t="s">
        <v>30</v>
      </c>
    </row>
    <row r="2943" spans="8:8" x14ac:dyDescent="0.25">
      <c r="H2943" t="s">
        <v>2343</v>
      </c>
    </row>
    <row r="2944" spans="8:8" x14ac:dyDescent="0.25">
      <c r="H2944" t="s">
        <v>3056</v>
      </c>
    </row>
    <row r="2945" spans="8:8" x14ac:dyDescent="0.25">
      <c r="H2945" t="s">
        <v>135</v>
      </c>
    </row>
    <row r="2946" spans="8:8" x14ac:dyDescent="0.25">
      <c r="H2946" t="s">
        <v>3057</v>
      </c>
    </row>
    <row r="2947" spans="8:8" x14ac:dyDescent="0.25">
      <c r="H2947" t="s">
        <v>30</v>
      </c>
    </row>
    <row r="2949" spans="8:8" x14ac:dyDescent="0.25">
      <c r="H2949" t="s">
        <v>2344</v>
      </c>
    </row>
    <row r="2950" spans="8:8" x14ac:dyDescent="0.25">
      <c r="H2950" t="s">
        <v>3059</v>
      </c>
    </row>
    <row r="2951" spans="8:8" x14ac:dyDescent="0.25">
      <c r="H2951" t="s">
        <v>135</v>
      </c>
    </row>
    <row r="2952" spans="8:8" x14ac:dyDescent="0.25">
      <c r="H2952" t="s">
        <v>3060</v>
      </c>
    </row>
    <row r="2953" spans="8:8" x14ac:dyDescent="0.25">
      <c r="H2953" t="s">
        <v>30</v>
      </c>
    </row>
    <row r="2955" spans="8:8" x14ac:dyDescent="0.25">
      <c r="H2955" t="s">
        <v>2345</v>
      </c>
    </row>
    <row r="2956" spans="8:8" x14ac:dyDescent="0.25">
      <c r="H2956" t="s">
        <v>3062</v>
      </c>
    </row>
    <row r="2957" spans="8:8" x14ac:dyDescent="0.25">
      <c r="H2957" t="s">
        <v>135</v>
      </c>
    </row>
    <row r="2958" spans="8:8" x14ac:dyDescent="0.25">
      <c r="H2958" t="s">
        <v>3063</v>
      </c>
    </row>
    <row r="2959" spans="8:8" x14ac:dyDescent="0.25">
      <c r="H2959" t="s">
        <v>30</v>
      </c>
    </row>
    <row r="2961" spans="8:8" x14ac:dyDescent="0.25">
      <c r="H2961" t="s">
        <v>2346</v>
      </c>
    </row>
    <row r="2962" spans="8:8" x14ac:dyDescent="0.25">
      <c r="H2962" t="s">
        <v>3065</v>
      </c>
    </row>
    <row r="2963" spans="8:8" x14ac:dyDescent="0.25">
      <c r="H2963" t="s">
        <v>135</v>
      </c>
    </row>
    <row r="2964" spans="8:8" x14ac:dyDescent="0.25">
      <c r="H2964" t="s">
        <v>3066</v>
      </c>
    </row>
    <row r="2965" spans="8:8" x14ac:dyDescent="0.25">
      <c r="H2965" t="s">
        <v>30</v>
      </c>
    </row>
    <row r="2967" spans="8:8" x14ac:dyDescent="0.25">
      <c r="H2967" t="s">
        <v>2347</v>
      </c>
    </row>
    <row r="2968" spans="8:8" x14ac:dyDescent="0.25">
      <c r="H2968" t="s">
        <v>3068</v>
      </c>
    </row>
    <row r="2969" spans="8:8" x14ac:dyDescent="0.25">
      <c r="H2969" t="s">
        <v>135</v>
      </c>
    </row>
    <row r="2970" spans="8:8" x14ac:dyDescent="0.25">
      <c r="H2970" t="s">
        <v>3069</v>
      </c>
    </row>
    <row r="2971" spans="8:8" x14ac:dyDescent="0.25">
      <c r="H2971" t="s">
        <v>30</v>
      </c>
    </row>
    <row r="2973" spans="8:8" x14ac:dyDescent="0.25">
      <c r="H2973" t="s">
        <v>2348</v>
      </c>
    </row>
    <row r="2974" spans="8:8" x14ac:dyDescent="0.25">
      <c r="H2974" t="s">
        <v>3071</v>
      </c>
    </row>
    <row r="2975" spans="8:8" x14ac:dyDescent="0.25">
      <c r="H2975" t="s">
        <v>135</v>
      </c>
    </row>
    <row r="2976" spans="8:8" x14ac:dyDescent="0.25">
      <c r="H2976" t="s">
        <v>3072</v>
      </c>
    </row>
    <row r="2977" spans="8:8" x14ac:dyDescent="0.25">
      <c r="H2977" t="s">
        <v>30</v>
      </c>
    </row>
    <row r="2979" spans="8:8" x14ac:dyDescent="0.25">
      <c r="H2979" t="s">
        <v>2349</v>
      </c>
    </row>
    <row r="2980" spans="8:8" x14ac:dyDescent="0.25">
      <c r="H2980" t="s">
        <v>3074</v>
      </c>
    </row>
    <row r="2981" spans="8:8" x14ac:dyDescent="0.25">
      <c r="H2981" t="s">
        <v>135</v>
      </c>
    </row>
    <row r="2982" spans="8:8" x14ac:dyDescent="0.25">
      <c r="H2982" t="s">
        <v>3075</v>
      </c>
    </row>
    <row r="2983" spans="8:8" x14ac:dyDescent="0.25">
      <c r="H2983" t="s">
        <v>30</v>
      </c>
    </row>
    <row r="2985" spans="8:8" x14ac:dyDescent="0.25">
      <c r="H2985" t="s">
        <v>2350</v>
      </c>
    </row>
    <row r="2986" spans="8:8" x14ac:dyDescent="0.25">
      <c r="H2986" t="s">
        <v>3077</v>
      </c>
    </row>
    <row r="2987" spans="8:8" x14ac:dyDescent="0.25">
      <c r="H2987" t="s">
        <v>135</v>
      </c>
    </row>
    <row r="2988" spans="8:8" x14ac:dyDescent="0.25">
      <c r="H2988" t="s">
        <v>3078</v>
      </c>
    </row>
    <row r="2989" spans="8:8" x14ac:dyDescent="0.25">
      <c r="H2989" t="s">
        <v>30</v>
      </c>
    </row>
    <row r="2991" spans="8:8" x14ac:dyDescent="0.25">
      <c r="H2991" t="s">
        <v>2351</v>
      </c>
    </row>
    <row r="2992" spans="8:8" x14ac:dyDescent="0.25">
      <c r="H2992" t="s">
        <v>3080</v>
      </c>
    </row>
    <row r="2993" spans="8:8" x14ac:dyDescent="0.25">
      <c r="H2993" t="s">
        <v>135</v>
      </c>
    </row>
    <row r="2994" spans="8:8" x14ac:dyDescent="0.25">
      <c r="H2994" t="s">
        <v>3081</v>
      </c>
    </row>
    <row r="2995" spans="8:8" x14ac:dyDescent="0.25">
      <c r="H2995" t="s">
        <v>30</v>
      </c>
    </row>
    <row r="2997" spans="8:8" x14ac:dyDescent="0.25">
      <c r="H2997" t="s">
        <v>2352</v>
      </c>
    </row>
    <row r="2998" spans="8:8" x14ac:dyDescent="0.25">
      <c r="H2998" t="s">
        <v>3083</v>
      </c>
    </row>
    <row r="2999" spans="8:8" x14ac:dyDescent="0.25">
      <c r="H2999" t="s">
        <v>135</v>
      </c>
    </row>
    <row r="3000" spans="8:8" x14ac:dyDescent="0.25">
      <c r="H3000" t="s">
        <v>3084</v>
      </c>
    </row>
    <row r="3001" spans="8:8" x14ac:dyDescent="0.25">
      <c r="H3001" t="s">
        <v>30</v>
      </c>
    </row>
    <row r="3003" spans="8:8" x14ac:dyDescent="0.25">
      <c r="H3003" t="s">
        <v>2353</v>
      </c>
    </row>
    <row r="3004" spans="8:8" x14ac:dyDescent="0.25">
      <c r="H3004" t="s">
        <v>3086</v>
      </c>
    </row>
    <row r="3005" spans="8:8" x14ac:dyDescent="0.25">
      <c r="H3005" t="s">
        <v>135</v>
      </c>
    </row>
    <row r="3006" spans="8:8" x14ac:dyDescent="0.25">
      <c r="H3006" t="s">
        <v>3087</v>
      </c>
    </row>
    <row r="3007" spans="8:8" x14ac:dyDescent="0.25">
      <c r="H3007" t="s">
        <v>30</v>
      </c>
    </row>
    <row r="3009" spans="8:8" x14ac:dyDescent="0.25">
      <c r="H3009" t="s">
        <v>2354</v>
      </c>
    </row>
    <row r="3010" spans="8:8" x14ac:dyDescent="0.25">
      <c r="H3010" t="s">
        <v>3089</v>
      </c>
    </row>
    <row r="3011" spans="8:8" x14ac:dyDescent="0.25">
      <c r="H3011" t="s">
        <v>135</v>
      </c>
    </row>
    <row r="3012" spans="8:8" x14ac:dyDescent="0.25">
      <c r="H3012" t="s">
        <v>3090</v>
      </c>
    </row>
    <row r="3013" spans="8:8" x14ac:dyDescent="0.25">
      <c r="H3013" t="s">
        <v>30</v>
      </c>
    </row>
    <row r="3015" spans="8:8" x14ac:dyDescent="0.25">
      <c r="H3015" t="s">
        <v>2355</v>
      </c>
    </row>
    <row r="3016" spans="8:8" x14ac:dyDescent="0.25">
      <c r="H3016" t="s">
        <v>3092</v>
      </c>
    </row>
    <row r="3017" spans="8:8" x14ac:dyDescent="0.25">
      <c r="H3017" t="s">
        <v>135</v>
      </c>
    </row>
    <row r="3018" spans="8:8" x14ac:dyDescent="0.25">
      <c r="H3018" t="s">
        <v>3093</v>
      </c>
    </row>
    <row r="3019" spans="8:8" x14ac:dyDescent="0.25">
      <c r="H3019" t="s">
        <v>30</v>
      </c>
    </row>
    <row r="3021" spans="8:8" x14ac:dyDescent="0.25">
      <c r="H3021" t="s">
        <v>2356</v>
      </c>
    </row>
    <row r="3022" spans="8:8" x14ac:dyDescent="0.25">
      <c r="H3022" t="s">
        <v>3095</v>
      </c>
    </row>
    <row r="3023" spans="8:8" x14ac:dyDescent="0.25">
      <c r="H3023" t="s">
        <v>135</v>
      </c>
    </row>
    <row r="3024" spans="8:8" x14ac:dyDescent="0.25">
      <c r="H3024" t="s">
        <v>3096</v>
      </c>
    </row>
    <row r="3025" spans="8:8" x14ac:dyDescent="0.25">
      <c r="H3025" t="s">
        <v>30</v>
      </c>
    </row>
    <row r="3027" spans="8:8" x14ac:dyDescent="0.25">
      <c r="H3027" t="s">
        <v>2357</v>
      </c>
    </row>
    <row r="3028" spans="8:8" x14ac:dyDescent="0.25">
      <c r="H3028" t="s">
        <v>3098</v>
      </c>
    </row>
    <row r="3029" spans="8:8" x14ac:dyDescent="0.25">
      <c r="H3029" t="s">
        <v>135</v>
      </c>
    </row>
    <row r="3030" spans="8:8" x14ac:dyDescent="0.25">
      <c r="H3030" t="s">
        <v>3099</v>
      </c>
    </row>
    <row r="3031" spans="8:8" x14ac:dyDescent="0.25">
      <c r="H3031" t="s">
        <v>30</v>
      </c>
    </row>
    <row r="3033" spans="8:8" x14ac:dyDescent="0.25">
      <c r="H3033" t="s">
        <v>2358</v>
      </c>
    </row>
    <row r="3034" spans="8:8" x14ac:dyDescent="0.25">
      <c r="H3034" t="s">
        <v>3101</v>
      </c>
    </row>
    <row r="3035" spans="8:8" x14ac:dyDescent="0.25">
      <c r="H3035" t="s">
        <v>135</v>
      </c>
    </row>
    <row r="3036" spans="8:8" x14ac:dyDescent="0.25">
      <c r="H3036" t="s">
        <v>3102</v>
      </c>
    </row>
    <row r="3037" spans="8:8" x14ac:dyDescent="0.25">
      <c r="H3037" t="s">
        <v>30</v>
      </c>
    </row>
    <row r="3039" spans="8:8" x14ac:dyDescent="0.25">
      <c r="H3039" t="s">
        <v>2359</v>
      </c>
    </row>
    <row r="3040" spans="8:8" x14ac:dyDescent="0.25">
      <c r="H3040" t="s">
        <v>3104</v>
      </c>
    </row>
    <row r="3041" spans="8:8" x14ac:dyDescent="0.25">
      <c r="H3041" t="s">
        <v>135</v>
      </c>
    </row>
    <row r="3042" spans="8:8" x14ac:dyDescent="0.25">
      <c r="H3042" t="s">
        <v>3105</v>
      </c>
    </row>
    <row r="3043" spans="8:8" x14ac:dyDescent="0.25">
      <c r="H3043" t="s">
        <v>30</v>
      </c>
    </row>
    <row r="3045" spans="8:8" x14ac:dyDescent="0.25">
      <c r="H3045" t="s">
        <v>2360</v>
      </c>
    </row>
    <row r="3046" spans="8:8" x14ac:dyDescent="0.25">
      <c r="H3046" t="s">
        <v>3107</v>
      </c>
    </row>
    <row r="3047" spans="8:8" x14ac:dyDescent="0.25">
      <c r="H3047" t="s">
        <v>135</v>
      </c>
    </row>
    <row r="3048" spans="8:8" x14ac:dyDescent="0.25">
      <c r="H3048" t="s">
        <v>3108</v>
      </c>
    </row>
    <row r="3049" spans="8:8" x14ac:dyDescent="0.25">
      <c r="H3049" t="s">
        <v>30</v>
      </c>
    </row>
    <row r="3051" spans="8:8" x14ac:dyDescent="0.25">
      <c r="H3051" t="s">
        <v>2361</v>
      </c>
    </row>
    <row r="3052" spans="8:8" x14ac:dyDescent="0.25">
      <c r="H3052" t="s">
        <v>3110</v>
      </c>
    </row>
    <row r="3053" spans="8:8" x14ac:dyDescent="0.25">
      <c r="H3053" t="s">
        <v>135</v>
      </c>
    </row>
    <row r="3054" spans="8:8" x14ac:dyDescent="0.25">
      <c r="H3054" t="s">
        <v>3111</v>
      </c>
    </row>
    <row r="3055" spans="8:8" x14ac:dyDescent="0.25">
      <c r="H3055" t="s">
        <v>30</v>
      </c>
    </row>
    <row r="3057" spans="8:8" x14ac:dyDescent="0.25">
      <c r="H3057" t="s">
        <v>2362</v>
      </c>
    </row>
    <row r="3058" spans="8:8" x14ac:dyDescent="0.25">
      <c r="H3058" t="s">
        <v>3113</v>
      </c>
    </row>
    <row r="3059" spans="8:8" x14ac:dyDescent="0.25">
      <c r="H3059" t="s">
        <v>135</v>
      </c>
    </row>
    <row r="3060" spans="8:8" x14ac:dyDescent="0.25">
      <c r="H3060" t="s">
        <v>3114</v>
      </c>
    </row>
    <row r="3061" spans="8:8" x14ac:dyDescent="0.25">
      <c r="H3061" t="s">
        <v>30</v>
      </c>
    </row>
    <row r="3063" spans="8:8" x14ac:dyDescent="0.25">
      <c r="H3063" t="s">
        <v>2363</v>
      </c>
    </row>
    <row r="3064" spans="8:8" x14ac:dyDescent="0.25">
      <c r="H3064" t="s">
        <v>3116</v>
      </c>
    </row>
    <row r="3065" spans="8:8" x14ac:dyDescent="0.25">
      <c r="H3065" t="s">
        <v>135</v>
      </c>
    </row>
    <row r="3066" spans="8:8" x14ac:dyDescent="0.25">
      <c r="H3066" t="s">
        <v>3117</v>
      </c>
    </row>
    <row r="3067" spans="8:8" x14ac:dyDescent="0.25">
      <c r="H3067" t="s">
        <v>30</v>
      </c>
    </row>
    <row r="3069" spans="8:8" x14ac:dyDescent="0.25">
      <c r="H3069" t="s">
        <v>2364</v>
      </c>
    </row>
    <row r="3070" spans="8:8" x14ac:dyDescent="0.25">
      <c r="H3070" t="s">
        <v>3119</v>
      </c>
    </row>
    <row r="3071" spans="8:8" x14ac:dyDescent="0.25">
      <c r="H3071" t="s">
        <v>135</v>
      </c>
    </row>
    <row r="3072" spans="8:8" x14ac:dyDescent="0.25">
      <c r="H3072" t="s">
        <v>3120</v>
      </c>
    </row>
    <row r="3073" spans="8:8" x14ac:dyDescent="0.25">
      <c r="H3073" t="s">
        <v>30</v>
      </c>
    </row>
    <row r="3075" spans="8:8" x14ac:dyDescent="0.25">
      <c r="H3075" t="s">
        <v>2365</v>
      </c>
    </row>
    <row r="3076" spans="8:8" x14ac:dyDescent="0.25">
      <c r="H3076" t="s">
        <v>3122</v>
      </c>
    </row>
    <row r="3077" spans="8:8" x14ac:dyDescent="0.25">
      <c r="H3077" t="s">
        <v>135</v>
      </c>
    </row>
    <row r="3078" spans="8:8" x14ac:dyDescent="0.25">
      <c r="H3078" t="s">
        <v>3123</v>
      </c>
    </row>
    <row r="3079" spans="8:8" x14ac:dyDescent="0.25">
      <c r="H3079" t="s">
        <v>30</v>
      </c>
    </row>
    <row r="3081" spans="8:8" x14ac:dyDescent="0.25">
      <c r="H3081" t="s">
        <v>2366</v>
      </c>
    </row>
    <row r="3082" spans="8:8" x14ac:dyDescent="0.25">
      <c r="H3082" t="s">
        <v>3125</v>
      </c>
    </row>
    <row r="3083" spans="8:8" x14ac:dyDescent="0.25">
      <c r="H3083" t="s">
        <v>135</v>
      </c>
    </row>
    <row r="3084" spans="8:8" x14ac:dyDescent="0.25">
      <c r="H3084" t="s">
        <v>3126</v>
      </c>
    </row>
    <row r="3085" spans="8:8" x14ac:dyDescent="0.25">
      <c r="H3085" t="s">
        <v>30</v>
      </c>
    </row>
    <row r="3087" spans="8:8" x14ac:dyDescent="0.25">
      <c r="H3087" t="s">
        <v>2367</v>
      </c>
    </row>
    <row r="3088" spans="8:8" x14ac:dyDescent="0.25">
      <c r="H3088" t="s">
        <v>3128</v>
      </c>
    </row>
    <row r="3089" spans="8:8" x14ac:dyDescent="0.25">
      <c r="H3089" t="s">
        <v>135</v>
      </c>
    </row>
    <row r="3090" spans="8:8" x14ac:dyDescent="0.25">
      <c r="H3090" t="s">
        <v>3129</v>
      </c>
    </row>
    <row r="3091" spans="8:8" x14ac:dyDescent="0.25">
      <c r="H3091" t="s">
        <v>30</v>
      </c>
    </row>
    <row r="3093" spans="8:8" x14ac:dyDescent="0.25">
      <c r="H3093" t="s">
        <v>2368</v>
      </c>
    </row>
    <row r="3094" spans="8:8" x14ac:dyDescent="0.25">
      <c r="H3094" t="s">
        <v>3131</v>
      </c>
    </row>
    <row r="3095" spans="8:8" x14ac:dyDescent="0.25">
      <c r="H3095" t="s">
        <v>135</v>
      </c>
    </row>
    <row r="3096" spans="8:8" x14ac:dyDescent="0.25">
      <c r="H3096" t="s">
        <v>3132</v>
      </c>
    </row>
    <row r="3097" spans="8:8" x14ac:dyDescent="0.25">
      <c r="H3097" t="s">
        <v>30</v>
      </c>
    </row>
    <row r="3099" spans="8:8" x14ac:dyDescent="0.25">
      <c r="H3099" t="s">
        <v>2369</v>
      </c>
    </row>
    <row r="3100" spans="8:8" x14ac:dyDescent="0.25">
      <c r="H3100" t="s">
        <v>3134</v>
      </c>
    </row>
    <row r="3101" spans="8:8" x14ac:dyDescent="0.25">
      <c r="H3101" t="s">
        <v>135</v>
      </c>
    </row>
    <row r="3102" spans="8:8" x14ac:dyDescent="0.25">
      <c r="H3102" t="s">
        <v>3135</v>
      </c>
    </row>
    <row r="3103" spans="8:8" x14ac:dyDescent="0.25">
      <c r="H3103" t="s">
        <v>30</v>
      </c>
    </row>
    <row r="3105" spans="8:8" x14ac:dyDescent="0.25">
      <c r="H3105" t="s">
        <v>2370</v>
      </c>
    </row>
    <row r="3106" spans="8:8" x14ac:dyDescent="0.25">
      <c r="H3106" t="s">
        <v>3137</v>
      </c>
    </row>
    <row r="3107" spans="8:8" x14ac:dyDescent="0.25">
      <c r="H3107" t="s">
        <v>135</v>
      </c>
    </row>
    <row r="3108" spans="8:8" x14ac:dyDescent="0.25">
      <c r="H3108" t="s">
        <v>3138</v>
      </c>
    </row>
    <row r="3109" spans="8:8" x14ac:dyDescent="0.25">
      <c r="H3109" t="s">
        <v>30</v>
      </c>
    </row>
    <row r="3111" spans="8:8" x14ac:dyDescent="0.25">
      <c r="H3111" t="s">
        <v>2371</v>
      </c>
    </row>
    <row r="3112" spans="8:8" x14ac:dyDescent="0.25">
      <c r="H3112" t="s">
        <v>3140</v>
      </c>
    </row>
    <row r="3113" spans="8:8" x14ac:dyDescent="0.25">
      <c r="H3113" t="s">
        <v>135</v>
      </c>
    </row>
    <row r="3114" spans="8:8" x14ac:dyDescent="0.25">
      <c r="H3114" t="s">
        <v>3141</v>
      </c>
    </row>
    <row r="3115" spans="8:8" x14ac:dyDescent="0.25">
      <c r="H3115" t="s">
        <v>30</v>
      </c>
    </row>
    <row r="3117" spans="8:8" x14ac:dyDescent="0.25">
      <c r="H3117" t="s">
        <v>2372</v>
      </c>
    </row>
    <row r="3118" spans="8:8" x14ac:dyDescent="0.25">
      <c r="H3118" t="s">
        <v>3143</v>
      </c>
    </row>
    <row r="3119" spans="8:8" x14ac:dyDescent="0.25">
      <c r="H3119" t="s">
        <v>135</v>
      </c>
    </row>
    <row r="3120" spans="8:8" x14ac:dyDescent="0.25">
      <c r="H3120" t="s">
        <v>3144</v>
      </c>
    </row>
    <row r="3121" spans="8:8" x14ac:dyDescent="0.25">
      <c r="H3121" t="s">
        <v>30</v>
      </c>
    </row>
    <row r="3123" spans="8:8" x14ac:dyDescent="0.25">
      <c r="H3123" t="s">
        <v>2373</v>
      </c>
    </row>
    <row r="3124" spans="8:8" x14ac:dyDescent="0.25">
      <c r="H3124" t="s">
        <v>3146</v>
      </c>
    </row>
    <row r="3125" spans="8:8" x14ac:dyDescent="0.25">
      <c r="H3125" t="s">
        <v>135</v>
      </c>
    </row>
    <row r="3126" spans="8:8" x14ac:dyDescent="0.25">
      <c r="H3126" t="s">
        <v>3147</v>
      </c>
    </row>
    <row r="3127" spans="8:8" x14ac:dyDescent="0.25">
      <c r="H3127" t="s">
        <v>30</v>
      </c>
    </row>
    <row r="3129" spans="8:8" x14ac:dyDescent="0.25">
      <c r="H3129" t="s">
        <v>2374</v>
      </c>
    </row>
    <row r="3130" spans="8:8" x14ac:dyDescent="0.25">
      <c r="H3130" t="s">
        <v>3149</v>
      </c>
    </row>
    <row r="3131" spans="8:8" x14ac:dyDescent="0.25">
      <c r="H3131" t="s">
        <v>135</v>
      </c>
    </row>
    <row r="3132" spans="8:8" x14ac:dyDescent="0.25">
      <c r="H3132" t="s">
        <v>3150</v>
      </c>
    </row>
    <row r="3133" spans="8:8" x14ac:dyDescent="0.25">
      <c r="H3133" t="s">
        <v>30</v>
      </c>
    </row>
    <row r="3135" spans="8:8" x14ac:dyDescent="0.25">
      <c r="H3135" t="s">
        <v>2375</v>
      </c>
    </row>
    <row r="3136" spans="8:8" x14ac:dyDescent="0.25">
      <c r="H3136" t="s">
        <v>3152</v>
      </c>
    </row>
    <row r="3137" spans="8:8" x14ac:dyDescent="0.25">
      <c r="H3137" t="s">
        <v>135</v>
      </c>
    </row>
    <row r="3138" spans="8:8" x14ac:dyDescent="0.25">
      <c r="H3138" t="s">
        <v>3153</v>
      </c>
    </row>
    <row r="3139" spans="8:8" x14ac:dyDescent="0.25">
      <c r="H3139" t="s">
        <v>30</v>
      </c>
    </row>
    <row r="3141" spans="8:8" x14ac:dyDescent="0.25">
      <c r="H3141" t="s">
        <v>2376</v>
      </c>
    </row>
    <row r="3142" spans="8:8" x14ac:dyDescent="0.25">
      <c r="H3142" t="s">
        <v>3155</v>
      </c>
    </row>
    <row r="3143" spans="8:8" x14ac:dyDescent="0.25">
      <c r="H3143" t="s">
        <v>135</v>
      </c>
    </row>
    <row r="3144" spans="8:8" x14ac:dyDescent="0.25">
      <c r="H3144" t="s">
        <v>3156</v>
      </c>
    </row>
    <row r="3145" spans="8:8" x14ac:dyDescent="0.25">
      <c r="H3145" t="s">
        <v>30</v>
      </c>
    </row>
    <row r="3147" spans="8:8" x14ac:dyDescent="0.25">
      <c r="H3147" t="s">
        <v>2377</v>
      </c>
    </row>
    <row r="3148" spans="8:8" x14ac:dyDescent="0.25">
      <c r="H3148" t="s">
        <v>3158</v>
      </c>
    </row>
    <row r="3149" spans="8:8" x14ac:dyDescent="0.25">
      <c r="H3149" t="s">
        <v>135</v>
      </c>
    </row>
    <row r="3150" spans="8:8" x14ac:dyDescent="0.25">
      <c r="H3150" t="s">
        <v>3159</v>
      </c>
    </row>
    <row r="3151" spans="8:8" x14ac:dyDescent="0.25">
      <c r="H3151" t="s">
        <v>30</v>
      </c>
    </row>
    <row r="3153" spans="8:8" x14ac:dyDescent="0.25">
      <c r="H3153" t="s">
        <v>2378</v>
      </c>
    </row>
    <row r="3154" spans="8:8" x14ac:dyDescent="0.25">
      <c r="H3154" t="s">
        <v>3161</v>
      </c>
    </row>
    <row r="3155" spans="8:8" x14ac:dyDescent="0.25">
      <c r="H3155" t="s">
        <v>135</v>
      </c>
    </row>
    <row r="3156" spans="8:8" x14ac:dyDescent="0.25">
      <c r="H3156" t="s">
        <v>3162</v>
      </c>
    </row>
    <row r="3157" spans="8:8" x14ac:dyDescent="0.25">
      <c r="H3157" t="s">
        <v>30</v>
      </c>
    </row>
    <row r="3159" spans="8:8" x14ac:dyDescent="0.25">
      <c r="H3159" t="s">
        <v>2379</v>
      </c>
    </row>
    <row r="3160" spans="8:8" x14ac:dyDescent="0.25">
      <c r="H3160" t="s">
        <v>3164</v>
      </c>
    </row>
    <row r="3161" spans="8:8" x14ac:dyDescent="0.25">
      <c r="H3161" t="s">
        <v>135</v>
      </c>
    </row>
    <row r="3162" spans="8:8" x14ac:dyDescent="0.25">
      <c r="H3162" t="s">
        <v>3165</v>
      </c>
    </row>
    <row r="3163" spans="8:8" x14ac:dyDescent="0.25">
      <c r="H3163" t="s">
        <v>30</v>
      </c>
    </row>
    <row r="3165" spans="8:8" x14ac:dyDescent="0.25">
      <c r="H3165" t="s">
        <v>2380</v>
      </c>
    </row>
    <row r="3166" spans="8:8" x14ac:dyDescent="0.25">
      <c r="H3166" t="s">
        <v>3167</v>
      </c>
    </row>
    <row r="3167" spans="8:8" x14ac:dyDescent="0.25">
      <c r="H3167" t="s">
        <v>135</v>
      </c>
    </row>
    <row r="3168" spans="8:8" x14ac:dyDescent="0.25">
      <c r="H3168" t="s">
        <v>3168</v>
      </c>
    </row>
    <row r="3169" spans="8:8" x14ac:dyDescent="0.25">
      <c r="H3169" t="s">
        <v>30</v>
      </c>
    </row>
    <row r="3171" spans="8:8" x14ac:dyDescent="0.25">
      <c r="H3171" t="s">
        <v>2381</v>
      </c>
    </row>
    <row r="3172" spans="8:8" x14ac:dyDescent="0.25">
      <c r="H3172" t="s">
        <v>3170</v>
      </c>
    </row>
    <row r="3173" spans="8:8" x14ac:dyDescent="0.25">
      <c r="H3173" t="s">
        <v>135</v>
      </c>
    </row>
    <row r="3174" spans="8:8" x14ac:dyDescent="0.25">
      <c r="H3174" t="s">
        <v>3171</v>
      </c>
    </row>
    <row r="3175" spans="8:8" x14ac:dyDescent="0.25">
      <c r="H3175" t="s">
        <v>30</v>
      </c>
    </row>
    <row r="3177" spans="8:8" x14ac:dyDescent="0.25">
      <c r="H3177" t="s">
        <v>2382</v>
      </c>
    </row>
    <row r="3178" spans="8:8" x14ac:dyDescent="0.25">
      <c r="H3178" t="s">
        <v>3173</v>
      </c>
    </row>
    <row r="3179" spans="8:8" x14ac:dyDescent="0.25">
      <c r="H3179" t="s">
        <v>135</v>
      </c>
    </row>
    <row r="3180" spans="8:8" x14ac:dyDescent="0.25">
      <c r="H3180" t="s">
        <v>3174</v>
      </c>
    </row>
    <row r="3181" spans="8:8" x14ac:dyDescent="0.25">
      <c r="H3181" t="s">
        <v>30</v>
      </c>
    </row>
    <row r="3183" spans="8:8" x14ac:dyDescent="0.25">
      <c r="H3183" t="s">
        <v>2383</v>
      </c>
    </row>
    <row r="3184" spans="8:8" x14ac:dyDescent="0.25">
      <c r="H3184" t="s">
        <v>3176</v>
      </c>
    </row>
    <row r="3185" spans="8:8" x14ac:dyDescent="0.25">
      <c r="H3185" t="s">
        <v>135</v>
      </c>
    </row>
    <row r="3186" spans="8:8" x14ac:dyDescent="0.25">
      <c r="H3186" t="s">
        <v>3177</v>
      </c>
    </row>
    <row r="3187" spans="8:8" x14ac:dyDescent="0.25">
      <c r="H3187" t="s">
        <v>30</v>
      </c>
    </row>
    <row r="3189" spans="8:8" x14ac:dyDescent="0.25">
      <c r="H3189" t="s">
        <v>2384</v>
      </c>
    </row>
    <row r="3190" spans="8:8" x14ac:dyDescent="0.25">
      <c r="H3190" t="s">
        <v>3179</v>
      </c>
    </row>
    <row r="3191" spans="8:8" x14ac:dyDescent="0.25">
      <c r="H3191" t="s">
        <v>135</v>
      </c>
    </row>
    <row r="3192" spans="8:8" x14ac:dyDescent="0.25">
      <c r="H3192" t="s">
        <v>3180</v>
      </c>
    </row>
    <row r="3193" spans="8:8" x14ac:dyDescent="0.25">
      <c r="H3193" t="s">
        <v>30</v>
      </c>
    </row>
    <row r="3195" spans="8:8" x14ac:dyDescent="0.25">
      <c r="H3195" t="s">
        <v>2385</v>
      </c>
    </row>
    <row r="3196" spans="8:8" x14ac:dyDescent="0.25">
      <c r="H3196" t="s">
        <v>3182</v>
      </c>
    </row>
    <row r="3197" spans="8:8" x14ac:dyDescent="0.25">
      <c r="H3197" t="s">
        <v>135</v>
      </c>
    </row>
    <row r="3198" spans="8:8" x14ac:dyDescent="0.25">
      <c r="H3198" t="s">
        <v>3183</v>
      </c>
    </row>
    <row r="3199" spans="8:8" x14ac:dyDescent="0.25">
      <c r="H3199" t="s">
        <v>30</v>
      </c>
    </row>
    <row r="3201" spans="8:8" x14ac:dyDescent="0.25">
      <c r="H3201" t="s">
        <v>2386</v>
      </c>
    </row>
    <row r="3202" spans="8:8" x14ac:dyDescent="0.25">
      <c r="H3202" t="s">
        <v>3185</v>
      </c>
    </row>
    <row r="3203" spans="8:8" x14ac:dyDescent="0.25">
      <c r="H3203" t="s">
        <v>135</v>
      </c>
    </row>
    <row r="3204" spans="8:8" x14ac:dyDescent="0.25">
      <c r="H3204" t="s">
        <v>3186</v>
      </c>
    </row>
    <row r="3205" spans="8:8" x14ac:dyDescent="0.25">
      <c r="H3205" t="s">
        <v>30</v>
      </c>
    </row>
    <row r="3207" spans="8:8" x14ac:dyDescent="0.25">
      <c r="H3207" t="s">
        <v>2387</v>
      </c>
    </row>
    <row r="3208" spans="8:8" x14ac:dyDescent="0.25">
      <c r="H3208" t="s">
        <v>3188</v>
      </c>
    </row>
    <row r="3209" spans="8:8" x14ac:dyDescent="0.25">
      <c r="H3209" t="s">
        <v>135</v>
      </c>
    </row>
    <row r="3210" spans="8:8" x14ac:dyDescent="0.25">
      <c r="H3210" t="s">
        <v>3189</v>
      </c>
    </row>
    <row r="3211" spans="8:8" x14ac:dyDescent="0.25">
      <c r="H3211" t="s">
        <v>30</v>
      </c>
    </row>
    <row r="3213" spans="8:8" x14ac:dyDescent="0.25">
      <c r="H3213" t="s">
        <v>2388</v>
      </c>
    </row>
    <row r="3214" spans="8:8" x14ac:dyDescent="0.25">
      <c r="H3214" t="s">
        <v>3191</v>
      </c>
    </row>
    <row r="3215" spans="8:8" x14ac:dyDescent="0.25">
      <c r="H3215" t="s">
        <v>135</v>
      </c>
    </row>
    <row r="3216" spans="8:8" x14ac:dyDescent="0.25">
      <c r="H3216" t="s">
        <v>3192</v>
      </c>
    </row>
    <row r="3217" spans="8:8" x14ac:dyDescent="0.25">
      <c r="H3217" t="s">
        <v>30</v>
      </c>
    </row>
    <row r="3219" spans="8:8" x14ac:dyDescent="0.25">
      <c r="H3219" t="s">
        <v>2389</v>
      </c>
    </row>
    <row r="3220" spans="8:8" x14ac:dyDescent="0.25">
      <c r="H3220" t="s">
        <v>3194</v>
      </c>
    </row>
    <row r="3221" spans="8:8" x14ac:dyDescent="0.25">
      <c r="H3221" t="s">
        <v>135</v>
      </c>
    </row>
    <row r="3222" spans="8:8" x14ac:dyDescent="0.25">
      <c r="H3222" t="s">
        <v>3195</v>
      </c>
    </row>
    <row r="3223" spans="8:8" x14ac:dyDescent="0.25">
      <c r="H3223" t="s">
        <v>30</v>
      </c>
    </row>
    <row r="3225" spans="8:8" x14ac:dyDescent="0.25">
      <c r="H3225" t="s">
        <v>2390</v>
      </c>
    </row>
    <row r="3226" spans="8:8" x14ac:dyDescent="0.25">
      <c r="H3226" t="s">
        <v>3197</v>
      </c>
    </row>
    <row r="3227" spans="8:8" x14ac:dyDescent="0.25">
      <c r="H3227" t="s">
        <v>135</v>
      </c>
    </row>
    <row r="3228" spans="8:8" x14ac:dyDescent="0.25">
      <c r="H3228" t="s">
        <v>3198</v>
      </c>
    </row>
    <row r="3229" spans="8:8" x14ac:dyDescent="0.25">
      <c r="H3229" t="s">
        <v>30</v>
      </c>
    </row>
    <row r="3231" spans="8:8" x14ac:dyDescent="0.25">
      <c r="H3231" t="s">
        <v>2391</v>
      </c>
    </row>
    <row r="3232" spans="8:8" x14ac:dyDescent="0.25">
      <c r="H3232" t="s">
        <v>3200</v>
      </c>
    </row>
    <row r="3233" spans="8:8" x14ac:dyDescent="0.25">
      <c r="H3233" t="s">
        <v>135</v>
      </c>
    </row>
    <row r="3234" spans="8:8" x14ac:dyDescent="0.25">
      <c r="H3234" t="s">
        <v>3201</v>
      </c>
    </row>
    <row r="3235" spans="8:8" x14ac:dyDescent="0.25">
      <c r="H3235" t="s">
        <v>30</v>
      </c>
    </row>
    <row r="3237" spans="8:8" x14ac:dyDescent="0.25">
      <c r="H3237" t="s">
        <v>2392</v>
      </c>
    </row>
    <row r="3238" spans="8:8" x14ac:dyDescent="0.25">
      <c r="H3238" t="s">
        <v>3203</v>
      </c>
    </row>
    <row r="3239" spans="8:8" x14ac:dyDescent="0.25">
      <c r="H3239" t="s">
        <v>135</v>
      </c>
    </row>
    <row r="3240" spans="8:8" x14ac:dyDescent="0.25">
      <c r="H3240" t="s">
        <v>3204</v>
      </c>
    </row>
    <row r="3241" spans="8:8" x14ac:dyDescent="0.25">
      <c r="H3241" t="s">
        <v>30</v>
      </c>
    </row>
    <row r="3243" spans="8:8" x14ac:dyDescent="0.25">
      <c r="H3243" t="s">
        <v>2393</v>
      </c>
    </row>
    <row r="3244" spans="8:8" x14ac:dyDescent="0.25">
      <c r="H3244" t="s">
        <v>3206</v>
      </c>
    </row>
    <row r="3245" spans="8:8" x14ac:dyDescent="0.25">
      <c r="H3245" t="s">
        <v>135</v>
      </c>
    </row>
    <row r="3246" spans="8:8" x14ac:dyDescent="0.25">
      <c r="H3246" t="s">
        <v>3207</v>
      </c>
    </row>
    <row r="3247" spans="8:8" x14ac:dyDescent="0.25">
      <c r="H3247" t="s">
        <v>30</v>
      </c>
    </row>
    <row r="3249" spans="8:8" x14ac:dyDescent="0.25">
      <c r="H3249" t="s">
        <v>2394</v>
      </c>
    </row>
    <row r="3250" spans="8:8" x14ac:dyDescent="0.25">
      <c r="H3250" t="s">
        <v>3209</v>
      </c>
    </row>
    <row r="3251" spans="8:8" x14ac:dyDescent="0.25">
      <c r="H3251" t="s">
        <v>135</v>
      </c>
    </row>
    <row r="3252" spans="8:8" x14ac:dyDescent="0.25">
      <c r="H3252" t="s">
        <v>3210</v>
      </c>
    </row>
    <row r="3253" spans="8:8" x14ac:dyDescent="0.25">
      <c r="H3253" t="s">
        <v>30</v>
      </c>
    </row>
    <row r="3255" spans="8:8" x14ac:dyDescent="0.25">
      <c r="H3255" t="s">
        <v>2395</v>
      </c>
    </row>
    <row r="3256" spans="8:8" x14ac:dyDescent="0.25">
      <c r="H3256" t="s">
        <v>3212</v>
      </c>
    </row>
    <row r="3257" spans="8:8" x14ac:dyDescent="0.25">
      <c r="H3257" t="s">
        <v>135</v>
      </c>
    </row>
    <row r="3258" spans="8:8" x14ac:dyDescent="0.25">
      <c r="H3258" t="s">
        <v>3213</v>
      </c>
    </row>
    <row r="3259" spans="8:8" x14ac:dyDescent="0.25">
      <c r="H3259" t="s">
        <v>30</v>
      </c>
    </row>
    <row r="3261" spans="8:8" x14ac:dyDescent="0.25">
      <c r="H3261" t="s">
        <v>2396</v>
      </c>
    </row>
    <row r="3262" spans="8:8" x14ac:dyDescent="0.25">
      <c r="H3262" t="s">
        <v>3215</v>
      </c>
    </row>
    <row r="3263" spans="8:8" x14ac:dyDescent="0.25">
      <c r="H3263" t="s">
        <v>135</v>
      </c>
    </row>
    <row r="3264" spans="8:8" x14ac:dyDescent="0.25">
      <c r="H3264" t="s">
        <v>3216</v>
      </c>
    </row>
    <row r="3265" spans="8:8" x14ac:dyDescent="0.25">
      <c r="H3265" t="s">
        <v>30</v>
      </c>
    </row>
    <row r="3267" spans="8:8" x14ac:dyDescent="0.25">
      <c r="H3267" t="s">
        <v>2397</v>
      </c>
    </row>
    <row r="3268" spans="8:8" x14ac:dyDescent="0.25">
      <c r="H3268" t="s">
        <v>3218</v>
      </c>
    </row>
    <row r="3269" spans="8:8" x14ac:dyDescent="0.25">
      <c r="H3269" t="s">
        <v>135</v>
      </c>
    </row>
    <row r="3270" spans="8:8" x14ac:dyDescent="0.25">
      <c r="H3270" t="s">
        <v>3219</v>
      </c>
    </row>
    <row r="3271" spans="8:8" x14ac:dyDescent="0.25">
      <c r="H3271" t="s">
        <v>30</v>
      </c>
    </row>
    <row r="3273" spans="8:8" x14ac:dyDescent="0.25">
      <c r="H3273" t="s">
        <v>2398</v>
      </c>
    </row>
    <row r="3274" spans="8:8" x14ac:dyDescent="0.25">
      <c r="H3274" t="s">
        <v>3221</v>
      </c>
    </row>
    <row r="3275" spans="8:8" x14ac:dyDescent="0.25">
      <c r="H3275" t="s">
        <v>135</v>
      </c>
    </row>
    <row r="3276" spans="8:8" x14ac:dyDescent="0.25">
      <c r="H3276" t="s">
        <v>3222</v>
      </c>
    </row>
    <row r="3277" spans="8:8" x14ac:dyDescent="0.25">
      <c r="H3277" t="s">
        <v>30</v>
      </c>
    </row>
    <row r="3279" spans="8:8" x14ac:dyDescent="0.25">
      <c r="H3279" t="s">
        <v>2399</v>
      </c>
    </row>
    <row r="3280" spans="8:8" x14ac:dyDescent="0.25">
      <c r="H3280" t="s">
        <v>3224</v>
      </c>
    </row>
    <row r="3281" spans="8:8" x14ac:dyDescent="0.25">
      <c r="H3281" t="s">
        <v>135</v>
      </c>
    </row>
    <row r="3282" spans="8:8" x14ac:dyDescent="0.25">
      <c r="H3282" t="s">
        <v>3225</v>
      </c>
    </row>
    <row r="3283" spans="8:8" x14ac:dyDescent="0.25">
      <c r="H3283" t="s">
        <v>30</v>
      </c>
    </row>
    <row r="3285" spans="8:8" x14ac:dyDescent="0.25">
      <c r="H3285" t="s">
        <v>2400</v>
      </c>
    </row>
    <row r="3286" spans="8:8" x14ac:dyDescent="0.25">
      <c r="H3286" t="s">
        <v>3227</v>
      </c>
    </row>
    <row r="3287" spans="8:8" x14ac:dyDescent="0.25">
      <c r="H3287" t="s">
        <v>135</v>
      </c>
    </row>
    <row r="3288" spans="8:8" x14ac:dyDescent="0.25">
      <c r="H3288" t="s">
        <v>3228</v>
      </c>
    </row>
    <row r="3289" spans="8:8" x14ac:dyDescent="0.25">
      <c r="H3289" t="s">
        <v>30</v>
      </c>
    </row>
    <row r="3291" spans="8:8" x14ac:dyDescent="0.25">
      <c r="H3291" t="s">
        <v>2401</v>
      </c>
    </row>
    <row r="3292" spans="8:8" x14ac:dyDescent="0.25">
      <c r="H3292" t="s">
        <v>3230</v>
      </c>
    </row>
    <row r="3293" spans="8:8" x14ac:dyDescent="0.25">
      <c r="H3293" t="s">
        <v>135</v>
      </c>
    </row>
    <row r="3294" spans="8:8" x14ac:dyDescent="0.25">
      <c r="H3294" t="s">
        <v>3231</v>
      </c>
    </row>
    <row r="3295" spans="8:8" x14ac:dyDescent="0.25">
      <c r="H3295" t="s">
        <v>30</v>
      </c>
    </row>
    <row r="3297" spans="8:8" x14ac:dyDescent="0.25">
      <c r="H3297" t="s">
        <v>2402</v>
      </c>
    </row>
    <row r="3298" spans="8:8" x14ac:dyDescent="0.25">
      <c r="H3298" t="s">
        <v>3233</v>
      </c>
    </row>
    <row r="3299" spans="8:8" x14ac:dyDescent="0.25">
      <c r="H3299" t="s">
        <v>135</v>
      </c>
    </row>
    <row r="3300" spans="8:8" x14ac:dyDescent="0.25">
      <c r="H3300" t="s">
        <v>3234</v>
      </c>
    </row>
    <row r="3301" spans="8:8" x14ac:dyDescent="0.25">
      <c r="H3301" t="s">
        <v>30</v>
      </c>
    </row>
    <row r="3302" spans="8:8" x14ac:dyDescent="0.25">
      <c r="H3302" t="s">
        <v>3235</v>
      </c>
    </row>
    <row r="3303" spans="8:8" x14ac:dyDescent="0.25">
      <c r="H3303" t="s">
        <v>136</v>
      </c>
    </row>
    <row r="3304" spans="8:8" x14ac:dyDescent="0.25">
      <c r="H3304" t="s">
        <v>3236</v>
      </c>
    </row>
    <row r="3305" spans="8:8" x14ac:dyDescent="0.25">
      <c r="H3305" t="s">
        <v>30</v>
      </c>
    </row>
    <row r="3306" spans="8:8" x14ac:dyDescent="0.25">
      <c r="H3306" t="s">
        <v>3237</v>
      </c>
    </row>
    <row r="3307" spans="8:8" x14ac:dyDescent="0.25">
      <c r="H3307" t="s">
        <v>137</v>
      </c>
    </row>
    <row r="3308" spans="8:8" x14ac:dyDescent="0.25">
      <c r="H3308" t="s">
        <v>3238</v>
      </c>
    </row>
    <row r="3309" spans="8:8" x14ac:dyDescent="0.25">
      <c r="H3309" t="s">
        <v>30</v>
      </c>
    </row>
    <row r="3310" spans="8:8" x14ac:dyDescent="0.25">
      <c r="H3310" t="s">
        <v>138</v>
      </c>
    </row>
    <row r="3311" spans="8:8" x14ac:dyDescent="0.25">
      <c r="H3311" t="s">
        <v>3239</v>
      </c>
    </row>
    <row r="3312" spans="8:8" x14ac:dyDescent="0.25">
      <c r="H3312" t="s">
        <v>30</v>
      </c>
    </row>
    <row r="3314" spans="8:8" x14ac:dyDescent="0.25">
      <c r="H3314" t="s">
        <v>2403</v>
      </c>
    </row>
    <row r="3315" spans="8:8" x14ac:dyDescent="0.25">
      <c r="H3315" t="s">
        <v>3241</v>
      </c>
    </row>
    <row r="3316" spans="8:8" x14ac:dyDescent="0.25">
      <c r="H3316" t="s">
        <v>135</v>
      </c>
    </row>
    <row r="3317" spans="8:8" x14ac:dyDescent="0.25">
      <c r="H3317" t="s">
        <v>3242</v>
      </c>
    </row>
    <row r="3318" spans="8:8" x14ac:dyDescent="0.25">
      <c r="H3318" t="s">
        <v>30</v>
      </c>
    </row>
    <row r="3319" spans="8:8" x14ac:dyDescent="0.25">
      <c r="H3319" t="s">
        <v>136</v>
      </c>
    </row>
    <row r="3320" spans="8:8" x14ac:dyDescent="0.25">
      <c r="H3320" t="s">
        <v>3243</v>
      </c>
    </row>
    <row r="3321" spans="8:8" x14ac:dyDescent="0.25">
      <c r="H3321" t="s">
        <v>30</v>
      </c>
    </row>
    <row r="3322" spans="8:8" x14ac:dyDescent="0.25">
      <c r="H3322" t="s">
        <v>3244</v>
      </c>
    </row>
    <row r="3323" spans="8:8" x14ac:dyDescent="0.25">
      <c r="H3323" t="s">
        <v>137</v>
      </c>
    </row>
    <row r="3324" spans="8:8" x14ac:dyDescent="0.25">
      <c r="H3324" t="s">
        <v>3245</v>
      </c>
    </row>
    <row r="3325" spans="8:8" x14ac:dyDescent="0.25">
      <c r="H3325" t="s">
        <v>30</v>
      </c>
    </row>
    <row r="3326" spans="8:8" x14ac:dyDescent="0.25">
      <c r="H3326" t="s">
        <v>138</v>
      </c>
    </row>
    <row r="3327" spans="8:8" x14ac:dyDescent="0.25">
      <c r="H3327" t="s">
        <v>3246</v>
      </c>
    </row>
    <row r="3328" spans="8:8" x14ac:dyDescent="0.25">
      <c r="H3328" t="s">
        <v>30</v>
      </c>
    </row>
    <row r="3330" spans="8:8" x14ac:dyDescent="0.25">
      <c r="H3330" t="s">
        <v>2404</v>
      </c>
    </row>
    <row r="3331" spans="8:8" x14ac:dyDescent="0.25">
      <c r="H3331" t="s">
        <v>3248</v>
      </c>
    </row>
    <row r="3332" spans="8:8" x14ac:dyDescent="0.25">
      <c r="H3332" t="s">
        <v>135</v>
      </c>
    </row>
    <row r="3333" spans="8:8" x14ac:dyDescent="0.25">
      <c r="H3333" t="s">
        <v>3249</v>
      </c>
    </row>
    <row r="3334" spans="8:8" x14ac:dyDescent="0.25">
      <c r="H3334" t="s">
        <v>30</v>
      </c>
    </row>
    <row r="3335" spans="8:8" x14ac:dyDescent="0.25">
      <c r="H3335" t="s">
        <v>3250</v>
      </c>
    </row>
    <row r="3336" spans="8:8" x14ac:dyDescent="0.25">
      <c r="H3336" t="s">
        <v>137</v>
      </c>
    </row>
    <row r="3337" spans="8:8" x14ac:dyDescent="0.25">
      <c r="H3337" t="s">
        <v>3251</v>
      </c>
    </row>
    <row r="3338" spans="8:8" x14ac:dyDescent="0.25">
      <c r="H3338" t="s">
        <v>30</v>
      </c>
    </row>
    <row r="3339" spans="8:8" x14ac:dyDescent="0.25">
      <c r="H3339" t="s">
        <v>138</v>
      </c>
    </row>
    <row r="3340" spans="8:8" x14ac:dyDescent="0.25">
      <c r="H3340" t="s">
        <v>3252</v>
      </c>
    </row>
    <row r="3341" spans="8:8" x14ac:dyDescent="0.25">
      <c r="H3341" t="s">
        <v>30</v>
      </c>
    </row>
    <row r="3343" spans="8:8" x14ac:dyDescent="0.25">
      <c r="H3343" t="s">
        <v>28</v>
      </c>
    </row>
    <row r="3344" spans="8:8" x14ac:dyDescent="0.25">
      <c r="H3344" t="s">
        <v>119</v>
      </c>
    </row>
    <row r="3345" spans="8:8" x14ac:dyDescent="0.25">
      <c r="H3345" t="s">
        <v>139</v>
      </c>
    </row>
    <row r="3347" spans="8:8" x14ac:dyDescent="0.25">
      <c r="H3347" t="s">
        <v>29</v>
      </c>
    </row>
    <row r="3348" spans="8:8" x14ac:dyDescent="0.25">
      <c r="H3348" s="6" t="s">
        <v>84</v>
      </c>
    </row>
    <row r="16388" spans="8:8" x14ac:dyDescent="0.25">
      <c r="H16388" t="s">
        <v>2405</v>
      </c>
    </row>
    <row r="16389" spans="8:8" x14ac:dyDescent="0.25">
      <c r="H16389" t="s">
        <v>135</v>
      </c>
    </row>
    <row r="16390" spans="8:8" x14ac:dyDescent="0.25">
      <c r="H16390" t="s">
        <v>2406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2407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2408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2409</v>
      </c>
    </row>
    <row r="16400" spans="8:8" x14ac:dyDescent="0.25">
      <c r="H16400" t="s">
        <v>30</v>
      </c>
    </row>
    <row r="16402" spans="8:8" x14ac:dyDescent="0.25">
      <c r="H16402" t="s">
        <v>2410</v>
      </c>
    </row>
    <row r="16403" spans="8:8" x14ac:dyDescent="0.25">
      <c r="H16403" t="s">
        <v>2411</v>
      </c>
    </row>
    <row r="16404" spans="8:8" x14ac:dyDescent="0.25">
      <c r="H16404" t="s">
        <v>135</v>
      </c>
    </row>
    <row r="16405" spans="8:8" x14ac:dyDescent="0.25">
      <c r="H16405" t="s">
        <v>2412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2413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2414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2415</v>
      </c>
    </row>
    <row r="16415" spans="8:8" x14ac:dyDescent="0.25">
      <c r="H16415" t="s">
        <v>30</v>
      </c>
    </row>
    <row r="16417" spans="8:8" x14ac:dyDescent="0.25">
      <c r="H16417" t="s">
        <v>2416</v>
      </c>
    </row>
    <row r="16418" spans="8:8" x14ac:dyDescent="0.25">
      <c r="H16418" t="s">
        <v>2417</v>
      </c>
    </row>
    <row r="16419" spans="8:8" x14ac:dyDescent="0.25">
      <c r="H16419" t="s">
        <v>135</v>
      </c>
    </row>
    <row r="16420" spans="8:8" x14ac:dyDescent="0.25">
      <c r="H16420" t="s">
        <v>2418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2419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2420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2421</v>
      </c>
    </row>
    <row r="16430" spans="8:8" x14ac:dyDescent="0.25">
      <c r="H16430" t="s">
        <v>30</v>
      </c>
    </row>
    <row r="16432" spans="8:8" x14ac:dyDescent="0.25">
      <c r="H16432" t="s">
        <v>2422</v>
      </c>
    </row>
    <row r="16433" spans="8:8" x14ac:dyDescent="0.25">
      <c r="H16433" t="s">
        <v>2423</v>
      </c>
    </row>
    <row r="16434" spans="8:8" x14ac:dyDescent="0.25">
      <c r="H16434" t="s">
        <v>135</v>
      </c>
    </row>
    <row r="16435" spans="8:8" x14ac:dyDescent="0.25">
      <c r="H16435" t="s">
        <v>2424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2425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2426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2427</v>
      </c>
    </row>
    <row r="16445" spans="8:8" x14ac:dyDescent="0.25">
      <c r="H16445" t="s">
        <v>30</v>
      </c>
    </row>
    <row r="16447" spans="8:8" x14ac:dyDescent="0.25">
      <c r="H16447" t="s">
        <v>2428</v>
      </c>
    </row>
    <row r="16448" spans="8:8" x14ac:dyDescent="0.25">
      <c r="H16448" t="s">
        <v>2429</v>
      </c>
    </row>
    <row r="16449" spans="8:8" x14ac:dyDescent="0.25">
      <c r="H16449" t="s">
        <v>135</v>
      </c>
    </row>
    <row r="16450" spans="8:8" x14ac:dyDescent="0.25">
      <c r="H16450" t="s">
        <v>2430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2431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2432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2433</v>
      </c>
    </row>
    <row r="16460" spans="8:8" x14ac:dyDescent="0.25">
      <c r="H16460" t="s">
        <v>30</v>
      </c>
    </row>
    <row r="16462" spans="8:8" x14ac:dyDescent="0.25">
      <c r="H16462" t="s">
        <v>2434</v>
      </c>
    </row>
    <row r="16463" spans="8:8" x14ac:dyDescent="0.25">
      <c r="H16463" t="s">
        <v>2435</v>
      </c>
    </row>
    <row r="16464" spans="8:8" x14ac:dyDescent="0.25">
      <c r="H16464" t="s">
        <v>135</v>
      </c>
    </row>
    <row r="16465" spans="8:8" x14ac:dyDescent="0.25">
      <c r="H16465" t="s">
        <v>2436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2437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2438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2439</v>
      </c>
    </row>
    <row r="16475" spans="8:8" x14ac:dyDescent="0.25">
      <c r="H16475" t="s">
        <v>30</v>
      </c>
    </row>
    <row r="16477" spans="8:8" x14ac:dyDescent="0.25">
      <c r="H16477" t="s">
        <v>2440</v>
      </c>
    </row>
    <row r="16478" spans="8:8" x14ac:dyDescent="0.25">
      <c r="H16478" t="s">
        <v>2441</v>
      </c>
    </row>
    <row r="16479" spans="8:8" x14ac:dyDescent="0.25">
      <c r="H16479" t="s">
        <v>135</v>
      </c>
    </row>
    <row r="16480" spans="8:8" x14ac:dyDescent="0.25">
      <c r="H16480" t="s">
        <v>2442</v>
      </c>
    </row>
    <row r="16481" spans="8:8" x14ac:dyDescent="0.25">
      <c r="H16481" t="s">
        <v>30</v>
      </c>
    </row>
    <row r="16483" spans="8:8" x14ac:dyDescent="0.25">
      <c r="H16483" t="s">
        <v>2443</v>
      </c>
    </row>
    <row r="16484" spans="8:8" x14ac:dyDescent="0.25">
      <c r="H16484" t="s">
        <v>2444</v>
      </c>
    </row>
    <row r="16485" spans="8:8" x14ac:dyDescent="0.25">
      <c r="H16485" t="s">
        <v>135</v>
      </c>
    </row>
    <row r="16486" spans="8:8" x14ac:dyDescent="0.25">
      <c r="H16486" t="s">
        <v>2445</v>
      </c>
    </row>
    <row r="16487" spans="8:8" x14ac:dyDescent="0.25">
      <c r="H16487" t="s">
        <v>30</v>
      </c>
    </row>
    <row r="16489" spans="8:8" x14ac:dyDescent="0.25">
      <c r="H16489" t="s">
        <v>2446</v>
      </c>
    </row>
    <row r="16490" spans="8:8" x14ac:dyDescent="0.25">
      <c r="H16490" t="s">
        <v>2447</v>
      </c>
    </row>
    <row r="16491" spans="8:8" x14ac:dyDescent="0.25">
      <c r="H16491" t="s">
        <v>135</v>
      </c>
    </row>
    <row r="16492" spans="8:8" x14ac:dyDescent="0.25">
      <c r="H16492" t="s">
        <v>2448</v>
      </c>
    </row>
    <row r="16493" spans="8:8" x14ac:dyDescent="0.25">
      <c r="H16493" t="s">
        <v>30</v>
      </c>
    </row>
    <row r="16495" spans="8:8" x14ac:dyDescent="0.25">
      <c r="H16495" t="s">
        <v>2449</v>
      </c>
    </row>
    <row r="16496" spans="8:8" x14ac:dyDescent="0.25">
      <c r="H16496" t="s">
        <v>2450</v>
      </c>
    </row>
    <row r="16497" spans="8:8" x14ac:dyDescent="0.25">
      <c r="H16497" t="s">
        <v>135</v>
      </c>
    </row>
    <row r="16498" spans="8:8" x14ac:dyDescent="0.25">
      <c r="H16498" t="s">
        <v>2451</v>
      </c>
    </row>
    <row r="16499" spans="8:8" x14ac:dyDescent="0.25">
      <c r="H16499" t="s">
        <v>30</v>
      </c>
    </row>
    <row r="16501" spans="8:8" x14ac:dyDescent="0.25">
      <c r="H16501" t="s">
        <v>2452</v>
      </c>
    </row>
    <row r="16502" spans="8:8" x14ac:dyDescent="0.25">
      <c r="H16502" t="s">
        <v>2453</v>
      </c>
    </row>
    <row r="16503" spans="8:8" x14ac:dyDescent="0.25">
      <c r="H16503" t="s">
        <v>135</v>
      </c>
    </row>
    <row r="16504" spans="8:8" x14ac:dyDescent="0.25">
      <c r="H16504" t="s">
        <v>2454</v>
      </c>
    </row>
    <row r="16505" spans="8:8" x14ac:dyDescent="0.25">
      <c r="H16505" t="s">
        <v>30</v>
      </c>
    </row>
    <row r="16507" spans="8:8" x14ac:dyDescent="0.25">
      <c r="H16507" t="s">
        <v>2455</v>
      </c>
    </row>
    <row r="16508" spans="8:8" x14ac:dyDescent="0.25">
      <c r="H16508" t="s">
        <v>2456</v>
      </c>
    </row>
    <row r="16509" spans="8:8" x14ac:dyDescent="0.25">
      <c r="H16509" t="s">
        <v>135</v>
      </c>
    </row>
    <row r="16510" spans="8:8" x14ac:dyDescent="0.25">
      <c r="H16510" t="s">
        <v>2457</v>
      </c>
    </row>
    <row r="16511" spans="8:8" x14ac:dyDescent="0.25">
      <c r="H16511" t="s">
        <v>30</v>
      </c>
    </row>
    <row r="16513" spans="8:8" x14ac:dyDescent="0.25">
      <c r="H16513" t="s">
        <v>2458</v>
      </c>
    </row>
    <row r="16514" spans="8:8" x14ac:dyDescent="0.25">
      <c r="H16514" t="s">
        <v>2459</v>
      </c>
    </row>
    <row r="16515" spans="8:8" x14ac:dyDescent="0.25">
      <c r="H16515" t="s">
        <v>135</v>
      </c>
    </row>
    <row r="16516" spans="8:8" x14ac:dyDescent="0.25">
      <c r="H16516" t="s">
        <v>2460</v>
      </c>
    </row>
    <row r="16517" spans="8:8" x14ac:dyDescent="0.25">
      <c r="H16517" t="s">
        <v>30</v>
      </c>
    </row>
    <row r="16519" spans="8:8" x14ac:dyDescent="0.25">
      <c r="H16519" t="s">
        <v>2461</v>
      </c>
    </row>
    <row r="16520" spans="8:8" x14ac:dyDescent="0.25">
      <c r="H16520" t="s">
        <v>2462</v>
      </c>
    </row>
    <row r="16521" spans="8:8" x14ac:dyDescent="0.25">
      <c r="H16521" t="s">
        <v>135</v>
      </c>
    </row>
    <row r="16522" spans="8:8" x14ac:dyDescent="0.25">
      <c r="H16522" t="s">
        <v>2463</v>
      </c>
    </row>
    <row r="16523" spans="8:8" x14ac:dyDescent="0.25">
      <c r="H16523" t="s">
        <v>30</v>
      </c>
    </row>
    <row r="16525" spans="8:8" x14ac:dyDescent="0.25">
      <c r="H16525" t="s">
        <v>2464</v>
      </c>
    </row>
    <row r="16526" spans="8:8" x14ac:dyDescent="0.25">
      <c r="H16526" t="s">
        <v>2465</v>
      </c>
    </row>
    <row r="16527" spans="8:8" x14ac:dyDescent="0.25">
      <c r="H16527" t="s">
        <v>135</v>
      </c>
    </row>
    <row r="16528" spans="8:8" x14ac:dyDescent="0.25">
      <c r="H16528" t="s">
        <v>2466</v>
      </c>
    </row>
    <row r="16529" spans="8:8" x14ac:dyDescent="0.25">
      <c r="H16529" t="s">
        <v>30</v>
      </c>
    </row>
    <row r="16531" spans="8:8" x14ac:dyDescent="0.25">
      <c r="H16531" t="s">
        <v>2467</v>
      </c>
    </row>
    <row r="16532" spans="8:8" x14ac:dyDescent="0.25">
      <c r="H16532" t="s">
        <v>2468</v>
      </c>
    </row>
    <row r="16533" spans="8:8" x14ac:dyDescent="0.25">
      <c r="H16533" t="s">
        <v>135</v>
      </c>
    </row>
    <row r="16534" spans="8:8" x14ac:dyDescent="0.25">
      <c r="H16534" t="s">
        <v>2469</v>
      </c>
    </row>
    <row r="16535" spans="8:8" x14ac:dyDescent="0.25">
      <c r="H16535" t="s">
        <v>30</v>
      </c>
    </row>
    <row r="16537" spans="8:8" x14ac:dyDescent="0.25">
      <c r="H16537" t="s">
        <v>2470</v>
      </c>
    </row>
    <row r="16538" spans="8:8" x14ac:dyDescent="0.25">
      <c r="H16538" t="s">
        <v>2471</v>
      </c>
    </row>
    <row r="16539" spans="8:8" x14ac:dyDescent="0.25">
      <c r="H16539" t="s">
        <v>135</v>
      </c>
    </row>
    <row r="16540" spans="8:8" x14ac:dyDescent="0.25">
      <c r="H16540" t="s">
        <v>2472</v>
      </c>
    </row>
    <row r="16541" spans="8:8" x14ac:dyDescent="0.25">
      <c r="H16541" t="s">
        <v>30</v>
      </c>
    </row>
    <row r="16543" spans="8:8" x14ac:dyDescent="0.25">
      <c r="H16543" t="s">
        <v>2473</v>
      </c>
    </row>
    <row r="16544" spans="8:8" x14ac:dyDescent="0.25">
      <c r="H16544" t="s">
        <v>2474</v>
      </c>
    </row>
    <row r="16545" spans="8:8" x14ac:dyDescent="0.25">
      <c r="H16545" t="s">
        <v>135</v>
      </c>
    </row>
    <row r="16546" spans="8:8" x14ac:dyDescent="0.25">
      <c r="H16546" t="s">
        <v>2475</v>
      </c>
    </row>
    <row r="16547" spans="8:8" x14ac:dyDescent="0.25">
      <c r="H16547" t="s">
        <v>30</v>
      </c>
    </row>
    <row r="16549" spans="8:8" x14ac:dyDescent="0.25">
      <c r="H16549" t="s">
        <v>2476</v>
      </c>
    </row>
    <row r="16550" spans="8:8" x14ac:dyDescent="0.25">
      <c r="H16550" t="s">
        <v>2477</v>
      </c>
    </row>
    <row r="16551" spans="8:8" x14ac:dyDescent="0.25">
      <c r="H16551" t="s">
        <v>135</v>
      </c>
    </row>
    <row r="16552" spans="8:8" x14ac:dyDescent="0.25">
      <c r="H16552" t="s">
        <v>2478</v>
      </c>
    </row>
    <row r="16553" spans="8:8" x14ac:dyDescent="0.25">
      <c r="H16553" t="s">
        <v>30</v>
      </c>
    </row>
    <row r="16555" spans="8:8" x14ac:dyDescent="0.25">
      <c r="H16555" t="s">
        <v>2479</v>
      </c>
    </row>
    <row r="16556" spans="8:8" x14ac:dyDescent="0.25">
      <c r="H16556" t="s">
        <v>2480</v>
      </c>
    </row>
    <row r="16557" spans="8:8" x14ac:dyDescent="0.25">
      <c r="H16557" t="s">
        <v>135</v>
      </c>
    </row>
    <row r="16558" spans="8:8" x14ac:dyDescent="0.25">
      <c r="H16558" t="s">
        <v>2481</v>
      </c>
    </row>
    <row r="16559" spans="8:8" x14ac:dyDescent="0.25">
      <c r="H16559" t="s">
        <v>30</v>
      </c>
    </row>
    <row r="16561" spans="8:8" x14ac:dyDescent="0.25">
      <c r="H16561" t="s">
        <v>2482</v>
      </c>
    </row>
    <row r="16562" spans="8:8" x14ac:dyDescent="0.25">
      <c r="H16562" t="s">
        <v>2483</v>
      </c>
    </row>
    <row r="16563" spans="8:8" x14ac:dyDescent="0.25">
      <c r="H16563" t="s">
        <v>135</v>
      </c>
    </row>
    <row r="16564" spans="8:8" x14ac:dyDescent="0.25">
      <c r="H16564" t="s">
        <v>2484</v>
      </c>
    </row>
    <row r="16565" spans="8:8" x14ac:dyDescent="0.25">
      <c r="H16565" t="s">
        <v>30</v>
      </c>
    </row>
    <row r="16567" spans="8:8" x14ac:dyDescent="0.25">
      <c r="H16567" t="s">
        <v>2485</v>
      </c>
    </row>
    <row r="16568" spans="8:8" x14ac:dyDescent="0.25">
      <c r="H16568" t="s">
        <v>2486</v>
      </c>
    </row>
    <row r="16569" spans="8:8" x14ac:dyDescent="0.25">
      <c r="H16569" t="s">
        <v>135</v>
      </c>
    </row>
    <row r="16570" spans="8:8" x14ac:dyDescent="0.25">
      <c r="H16570" t="s">
        <v>2487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2488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2489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2490</v>
      </c>
    </row>
    <row r="16580" spans="8:8" x14ac:dyDescent="0.25">
      <c r="H16580" t="s">
        <v>30</v>
      </c>
    </row>
    <row r="16582" spans="8:8" x14ac:dyDescent="0.25">
      <c r="H16582" t="s">
        <v>2491</v>
      </c>
    </row>
    <row r="16583" spans="8:8" x14ac:dyDescent="0.25">
      <c r="H16583" t="s">
        <v>2492</v>
      </c>
    </row>
    <row r="16584" spans="8:8" x14ac:dyDescent="0.25">
      <c r="H16584" t="s">
        <v>135</v>
      </c>
    </row>
    <row r="16585" spans="8:8" x14ac:dyDescent="0.25">
      <c r="H16585" t="s">
        <v>2493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2494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2495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2496</v>
      </c>
    </row>
    <row r="16595" spans="8:8" x14ac:dyDescent="0.25">
      <c r="H16595" t="s">
        <v>30</v>
      </c>
    </row>
    <row r="16597" spans="8:8" x14ac:dyDescent="0.25">
      <c r="H16597" t="s">
        <v>2497</v>
      </c>
    </row>
    <row r="16598" spans="8:8" x14ac:dyDescent="0.25">
      <c r="H16598" t="s">
        <v>2498</v>
      </c>
    </row>
    <row r="16599" spans="8:8" x14ac:dyDescent="0.25">
      <c r="H16599" t="s">
        <v>135</v>
      </c>
    </row>
    <row r="16600" spans="8:8" x14ac:dyDescent="0.25">
      <c r="H16600" t="s">
        <v>4902</v>
      </c>
    </row>
    <row r="16601" spans="8:8" x14ac:dyDescent="0.25">
      <c r="H16601" t="s">
        <v>30</v>
      </c>
    </row>
    <row r="16603" spans="8:8" x14ac:dyDescent="0.25">
      <c r="H16603" t="s">
        <v>2499</v>
      </c>
    </row>
    <row r="16604" spans="8:8" x14ac:dyDescent="0.25">
      <c r="H16604" t="s">
        <v>2500</v>
      </c>
    </row>
    <row r="16605" spans="8:8" x14ac:dyDescent="0.25">
      <c r="H16605" t="s">
        <v>135</v>
      </c>
    </row>
    <row r="16606" spans="8:8" x14ac:dyDescent="0.25">
      <c r="H16606" t="s">
        <v>2501</v>
      </c>
    </row>
    <row r="16607" spans="8:8" x14ac:dyDescent="0.25">
      <c r="H16607" t="s">
        <v>30</v>
      </c>
    </row>
    <row r="16609" spans="8:8" x14ac:dyDescent="0.25">
      <c r="H16609" t="s">
        <v>2502</v>
      </c>
    </row>
    <row r="16610" spans="8:8" x14ac:dyDescent="0.25">
      <c r="H16610" t="s">
        <v>2503</v>
      </c>
    </row>
    <row r="16611" spans="8:8" x14ac:dyDescent="0.25">
      <c r="H16611" t="s">
        <v>135</v>
      </c>
    </row>
    <row r="16612" spans="8:8" x14ac:dyDescent="0.25">
      <c r="H16612" t="s">
        <v>2504</v>
      </c>
    </row>
    <row r="16613" spans="8:8" x14ac:dyDescent="0.25">
      <c r="H16613" t="s">
        <v>30</v>
      </c>
    </row>
    <row r="16615" spans="8:8" x14ac:dyDescent="0.25">
      <c r="H16615" t="s">
        <v>2505</v>
      </c>
    </row>
    <row r="16616" spans="8:8" x14ac:dyDescent="0.25">
      <c r="H16616" t="s">
        <v>2506</v>
      </c>
    </row>
    <row r="16617" spans="8:8" x14ac:dyDescent="0.25">
      <c r="H16617" t="s">
        <v>135</v>
      </c>
    </row>
    <row r="16618" spans="8:8" x14ac:dyDescent="0.25">
      <c r="H16618" t="s">
        <v>2507</v>
      </c>
    </row>
    <row r="16619" spans="8:8" x14ac:dyDescent="0.25">
      <c r="H16619" t="s">
        <v>30</v>
      </c>
    </row>
    <row r="16621" spans="8:8" x14ac:dyDescent="0.25">
      <c r="H16621" t="s">
        <v>2508</v>
      </c>
    </row>
    <row r="16622" spans="8:8" x14ac:dyDescent="0.25">
      <c r="H16622" t="s">
        <v>2509</v>
      </c>
    </row>
    <row r="16623" spans="8:8" x14ac:dyDescent="0.25">
      <c r="H16623" t="s">
        <v>135</v>
      </c>
    </row>
    <row r="16624" spans="8:8" x14ac:dyDescent="0.25">
      <c r="H16624" t="s">
        <v>2510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2511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2512</v>
      </c>
    </row>
    <row r="16631" spans="8:8" x14ac:dyDescent="0.25">
      <c r="H16631" t="s">
        <v>30</v>
      </c>
    </row>
    <row r="16633" spans="8:8" x14ac:dyDescent="0.25">
      <c r="H16633" t="s">
        <v>2513</v>
      </c>
    </row>
    <row r="16634" spans="8:8" x14ac:dyDescent="0.25">
      <c r="H16634" t="s">
        <v>2514</v>
      </c>
    </row>
    <row r="16635" spans="8:8" x14ac:dyDescent="0.25">
      <c r="H16635" t="s">
        <v>135</v>
      </c>
    </row>
    <row r="16636" spans="8:8" x14ac:dyDescent="0.25">
      <c r="H16636" t="s">
        <v>4903</v>
      </c>
    </row>
    <row r="16637" spans="8:8" x14ac:dyDescent="0.25">
      <c r="H16637" t="s">
        <v>30</v>
      </c>
    </row>
    <row r="16639" spans="8:8" x14ac:dyDescent="0.25">
      <c r="H16639" t="s">
        <v>2515</v>
      </c>
    </row>
    <row r="16640" spans="8:8" x14ac:dyDescent="0.25">
      <c r="H16640" t="s">
        <v>2516</v>
      </c>
    </row>
    <row r="16641" spans="8:8" x14ac:dyDescent="0.25">
      <c r="H16641" t="s">
        <v>135</v>
      </c>
    </row>
    <row r="16642" spans="8:8" x14ac:dyDescent="0.25">
      <c r="H16642" t="s">
        <v>2517</v>
      </c>
    </row>
    <row r="16643" spans="8:8" x14ac:dyDescent="0.25">
      <c r="H16643" t="s">
        <v>30</v>
      </c>
    </row>
    <row r="16645" spans="8:8" x14ac:dyDescent="0.25">
      <c r="H16645" t="s">
        <v>2518</v>
      </c>
    </row>
    <row r="16646" spans="8:8" x14ac:dyDescent="0.25">
      <c r="H16646" t="s">
        <v>2519</v>
      </c>
    </row>
    <row r="16647" spans="8:8" x14ac:dyDescent="0.25">
      <c r="H16647" t="s">
        <v>135</v>
      </c>
    </row>
    <row r="16648" spans="8:8" x14ac:dyDescent="0.25">
      <c r="H16648" t="s">
        <v>2520</v>
      </c>
    </row>
    <row r="16649" spans="8:8" x14ac:dyDescent="0.25">
      <c r="H16649" t="s">
        <v>30</v>
      </c>
    </row>
    <row r="16651" spans="8:8" x14ac:dyDescent="0.25">
      <c r="H16651" t="s">
        <v>2521</v>
      </c>
    </row>
    <row r="16652" spans="8:8" x14ac:dyDescent="0.25">
      <c r="H16652" t="s">
        <v>2522</v>
      </c>
    </row>
    <row r="16653" spans="8:8" x14ac:dyDescent="0.25">
      <c r="H16653" t="s">
        <v>135</v>
      </c>
    </row>
    <row r="16654" spans="8:8" x14ac:dyDescent="0.25">
      <c r="H16654" t="s">
        <v>2523</v>
      </c>
    </row>
    <row r="16655" spans="8:8" x14ac:dyDescent="0.25">
      <c r="H16655" t="s">
        <v>30</v>
      </c>
    </row>
    <row r="16657" spans="8:8" x14ac:dyDescent="0.25">
      <c r="H16657" t="s">
        <v>2524</v>
      </c>
    </row>
    <row r="16658" spans="8:8" x14ac:dyDescent="0.25">
      <c r="H16658" t="s">
        <v>2525</v>
      </c>
    </row>
    <row r="16659" spans="8:8" x14ac:dyDescent="0.25">
      <c r="H16659" t="s">
        <v>135</v>
      </c>
    </row>
    <row r="16660" spans="8:8" x14ac:dyDescent="0.25">
      <c r="H16660" t="s">
        <v>2526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2527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2528</v>
      </c>
    </row>
    <row r="16667" spans="8:8" x14ac:dyDescent="0.25">
      <c r="H16667" t="s">
        <v>30</v>
      </c>
    </row>
    <row r="16669" spans="8:8" x14ac:dyDescent="0.25">
      <c r="H16669" t="s">
        <v>2529</v>
      </c>
    </row>
    <row r="16670" spans="8:8" x14ac:dyDescent="0.25">
      <c r="H16670" t="s">
        <v>2530</v>
      </c>
    </row>
    <row r="16671" spans="8:8" x14ac:dyDescent="0.25">
      <c r="H16671" t="s">
        <v>135</v>
      </c>
    </row>
    <row r="16672" spans="8:8" x14ac:dyDescent="0.25">
      <c r="H16672" t="s">
        <v>4904</v>
      </c>
    </row>
    <row r="16673" spans="8:8" x14ac:dyDescent="0.25">
      <c r="H16673" t="s">
        <v>30</v>
      </c>
    </row>
    <row r="16675" spans="8:8" x14ac:dyDescent="0.25">
      <c r="H16675" t="s">
        <v>2531</v>
      </c>
    </row>
    <row r="16676" spans="8:8" x14ac:dyDescent="0.25">
      <c r="H16676" t="s">
        <v>2532</v>
      </c>
    </row>
    <row r="16677" spans="8:8" x14ac:dyDescent="0.25">
      <c r="H16677" t="s">
        <v>135</v>
      </c>
    </row>
    <row r="16678" spans="8:8" x14ac:dyDescent="0.25">
      <c r="H16678" t="s">
        <v>2533</v>
      </c>
    </row>
    <row r="16679" spans="8:8" x14ac:dyDescent="0.25">
      <c r="H16679" t="s">
        <v>30</v>
      </c>
    </row>
    <row r="16681" spans="8:8" x14ac:dyDescent="0.25">
      <c r="H16681" t="s">
        <v>2534</v>
      </c>
    </row>
    <row r="16682" spans="8:8" x14ac:dyDescent="0.25">
      <c r="H16682" t="s">
        <v>2535</v>
      </c>
    </row>
    <row r="16683" spans="8:8" x14ac:dyDescent="0.25">
      <c r="H16683" t="s">
        <v>135</v>
      </c>
    </row>
    <row r="16684" spans="8:8" x14ac:dyDescent="0.25">
      <c r="H16684" t="s">
        <v>2536</v>
      </c>
    </row>
    <row r="16685" spans="8:8" x14ac:dyDescent="0.25">
      <c r="H16685" t="s">
        <v>30</v>
      </c>
    </row>
    <row r="16687" spans="8:8" x14ac:dyDescent="0.25">
      <c r="H16687" t="s">
        <v>2537</v>
      </c>
    </row>
    <row r="16688" spans="8:8" x14ac:dyDescent="0.25">
      <c r="H16688" t="s">
        <v>2538</v>
      </c>
    </row>
    <row r="16689" spans="8:8" x14ac:dyDescent="0.25">
      <c r="H16689" t="s">
        <v>135</v>
      </c>
    </row>
    <row r="16690" spans="8:8" x14ac:dyDescent="0.25">
      <c r="H16690" t="s">
        <v>2539</v>
      </c>
    </row>
    <row r="16691" spans="8:8" x14ac:dyDescent="0.25">
      <c r="H16691" t="s">
        <v>30</v>
      </c>
    </row>
    <row r="16693" spans="8:8" x14ac:dyDescent="0.25">
      <c r="H16693" t="s">
        <v>2540</v>
      </c>
    </row>
    <row r="16694" spans="8:8" x14ac:dyDescent="0.25">
      <c r="H16694" t="s">
        <v>2541</v>
      </c>
    </row>
    <row r="16695" spans="8:8" x14ac:dyDescent="0.25">
      <c r="H16695" t="s">
        <v>135</v>
      </c>
    </row>
    <row r="16696" spans="8:8" x14ac:dyDescent="0.25">
      <c r="H16696" t="s">
        <v>2542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2543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2544</v>
      </c>
    </row>
    <row r="16703" spans="8:8" x14ac:dyDescent="0.25">
      <c r="H16703" t="s">
        <v>30</v>
      </c>
    </row>
    <row r="16705" spans="8:8" x14ac:dyDescent="0.25">
      <c r="H16705" t="s">
        <v>2545</v>
      </c>
    </row>
    <row r="16706" spans="8:8" x14ac:dyDescent="0.25">
      <c r="H16706" t="s">
        <v>2546</v>
      </c>
    </row>
    <row r="16707" spans="8:8" x14ac:dyDescent="0.25">
      <c r="H16707" t="s">
        <v>135</v>
      </c>
    </row>
    <row r="16708" spans="8:8" x14ac:dyDescent="0.25">
      <c r="H16708" t="s">
        <v>4905</v>
      </c>
    </row>
    <row r="16709" spans="8:8" x14ac:dyDescent="0.25">
      <c r="H16709" t="s">
        <v>30</v>
      </c>
    </row>
    <row r="16711" spans="8:8" x14ac:dyDescent="0.25">
      <c r="H16711" t="s">
        <v>2547</v>
      </c>
    </row>
    <row r="16712" spans="8:8" x14ac:dyDescent="0.25">
      <c r="H16712" t="s">
        <v>2548</v>
      </c>
    </row>
    <row r="16713" spans="8:8" x14ac:dyDescent="0.25">
      <c r="H16713" t="s">
        <v>135</v>
      </c>
    </row>
    <row r="16714" spans="8:8" x14ac:dyDescent="0.25">
      <c r="H16714" t="s">
        <v>2549</v>
      </c>
    </row>
    <row r="16715" spans="8:8" x14ac:dyDescent="0.25">
      <c r="H16715" t="s">
        <v>30</v>
      </c>
    </row>
    <row r="16717" spans="8:8" x14ac:dyDescent="0.25">
      <c r="H16717" t="s">
        <v>2550</v>
      </c>
    </row>
    <row r="16718" spans="8:8" x14ac:dyDescent="0.25">
      <c r="H16718" t="s">
        <v>2551</v>
      </c>
    </row>
    <row r="16719" spans="8:8" x14ac:dyDescent="0.25">
      <c r="H16719" t="s">
        <v>135</v>
      </c>
    </row>
    <row r="16720" spans="8:8" x14ac:dyDescent="0.25">
      <c r="H16720" t="s">
        <v>2552</v>
      </c>
    </row>
    <row r="16721" spans="8:8" x14ac:dyDescent="0.25">
      <c r="H16721" t="s">
        <v>30</v>
      </c>
    </row>
    <row r="16723" spans="8:8" x14ac:dyDescent="0.25">
      <c r="H16723" t="s">
        <v>2553</v>
      </c>
    </row>
    <row r="16724" spans="8:8" x14ac:dyDescent="0.25">
      <c r="H16724" t="s">
        <v>2554</v>
      </c>
    </row>
    <row r="16725" spans="8:8" x14ac:dyDescent="0.25">
      <c r="H16725" t="s">
        <v>135</v>
      </c>
    </row>
    <row r="16726" spans="8:8" x14ac:dyDescent="0.25">
      <c r="H16726" t="s">
        <v>2555</v>
      </c>
    </row>
    <row r="16727" spans="8:8" x14ac:dyDescent="0.25">
      <c r="H16727" t="s">
        <v>30</v>
      </c>
    </row>
    <row r="16729" spans="8:8" x14ac:dyDescent="0.25">
      <c r="H16729" t="s">
        <v>2556</v>
      </c>
    </row>
    <row r="16730" spans="8:8" x14ac:dyDescent="0.25">
      <c r="H16730" t="s">
        <v>2557</v>
      </c>
    </row>
    <row r="16731" spans="8:8" x14ac:dyDescent="0.25">
      <c r="H16731" t="s">
        <v>135</v>
      </c>
    </row>
    <row r="16732" spans="8:8" x14ac:dyDescent="0.25">
      <c r="H16732" t="s">
        <v>2558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2559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2560</v>
      </c>
    </row>
    <row r="16739" spans="8:8" x14ac:dyDescent="0.25">
      <c r="H16739" t="s">
        <v>30</v>
      </c>
    </row>
    <row r="16741" spans="8:8" x14ac:dyDescent="0.25">
      <c r="H16741" t="s">
        <v>2561</v>
      </c>
    </row>
    <row r="16742" spans="8:8" x14ac:dyDescent="0.25">
      <c r="H16742" t="s">
        <v>2562</v>
      </c>
    </row>
    <row r="16743" spans="8:8" x14ac:dyDescent="0.25">
      <c r="H16743" t="s">
        <v>135</v>
      </c>
    </row>
    <row r="16744" spans="8:8" x14ac:dyDescent="0.25">
      <c r="H16744" t="s">
        <v>4906</v>
      </c>
    </row>
    <row r="16745" spans="8:8" x14ac:dyDescent="0.25">
      <c r="H16745" t="s">
        <v>30</v>
      </c>
    </row>
    <row r="16747" spans="8:8" x14ac:dyDescent="0.25">
      <c r="H16747" t="s">
        <v>2563</v>
      </c>
    </row>
    <row r="16748" spans="8:8" x14ac:dyDescent="0.25">
      <c r="H16748" t="s">
        <v>2564</v>
      </c>
    </row>
    <row r="16749" spans="8:8" x14ac:dyDescent="0.25">
      <c r="H16749" t="s">
        <v>135</v>
      </c>
    </row>
    <row r="16750" spans="8:8" x14ac:dyDescent="0.25">
      <c r="H16750" t="s">
        <v>2565</v>
      </c>
    </row>
    <row r="16751" spans="8:8" x14ac:dyDescent="0.25">
      <c r="H16751" t="s">
        <v>30</v>
      </c>
    </row>
    <row r="16753" spans="8:8" x14ac:dyDescent="0.25">
      <c r="H16753" t="s">
        <v>2566</v>
      </c>
    </row>
    <row r="16754" spans="8:8" x14ac:dyDescent="0.25">
      <c r="H16754" t="s">
        <v>2567</v>
      </c>
    </row>
    <row r="16755" spans="8:8" x14ac:dyDescent="0.25">
      <c r="H16755" t="s">
        <v>135</v>
      </c>
    </row>
    <row r="16756" spans="8:8" x14ac:dyDescent="0.25">
      <c r="H16756" t="s">
        <v>2568</v>
      </c>
    </row>
    <row r="16757" spans="8:8" x14ac:dyDescent="0.25">
      <c r="H16757" t="s">
        <v>30</v>
      </c>
    </row>
    <row r="16759" spans="8:8" x14ac:dyDescent="0.25">
      <c r="H16759" t="s">
        <v>2569</v>
      </c>
    </row>
    <row r="16760" spans="8:8" x14ac:dyDescent="0.25">
      <c r="H16760" t="s">
        <v>2570</v>
      </c>
    </row>
    <row r="16761" spans="8:8" x14ac:dyDescent="0.25">
      <c r="H16761" t="s">
        <v>135</v>
      </c>
    </row>
    <row r="16762" spans="8:8" x14ac:dyDescent="0.25">
      <c r="H16762" t="s">
        <v>2571</v>
      </c>
    </row>
    <row r="16763" spans="8:8" x14ac:dyDescent="0.25">
      <c r="H16763" t="s">
        <v>30</v>
      </c>
    </row>
    <row r="16765" spans="8:8" x14ac:dyDescent="0.25">
      <c r="H16765" t="s">
        <v>2572</v>
      </c>
    </row>
    <row r="16766" spans="8:8" x14ac:dyDescent="0.25">
      <c r="H16766" t="s">
        <v>2573</v>
      </c>
    </row>
    <row r="16767" spans="8:8" x14ac:dyDescent="0.25">
      <c r="H16767" t="s">
        <v>135</v>
      </c>
    </row>
    <row r="16768" spans="8:8" x14ac:dyDescent="0.25">
      <c r="H16768" t="s">
        <v>2574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2575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2576</v>
      </c>
    </row>
    <row r="16775" spans="8:8" x14ac:dyDescent="0.25">
      <c r="H16775" t="s">
        <v>30</v>
      </c>
    </row>
    <row r="16777" spans="8:8" x14ac:dyDescent="0.25">
      <c r="H16777" t="s">
        <v>2577</v>
      </c>
    </row>
    <row r="16778" spans="8:8" x14ac:dyDescent="0.25">
      <c r="H16778" t="s">
        <v>2578</v>
      </c>
    </row>
    <row r="16779" spans="8:8" x14ac:dyDescent="0.25">
      <c r="H16779" t="s">
        <v>135</v>
      </c>
    </row>
    <row r="16780" spans="8:8" x14ac:dyDescent="0.25">
      <c r="H16780" t="s">
        <v>4907</v>
      </c>
    </row>
    <row r="16781" spans="8:8" x14ac:dyDescent="0.25">
      <c r="H16781" t="s">
        <v>30</v>
      </c>
    </row>
    <row r="16783" spans="8:8" x14ac:dyDescent="0.25">
      <c r="H16783" t="s">
        <v>2579</v>
      </c>
    </row>
    <row r="16784" spans="8:8" x14ac:dyDescent="0.25">
      <c r="H16784" t="s">
        <v>2580</v>
      </c>
    </row>
    <row r="16785" spans="8:8" x14ac:dyDescent="0.25">
      <c r="H16785" t="s">
        <v>135</v>
      </c>
    </row>
    <row r="16786" spans="8:8" x14ac:dyDescent="0.25">
      <c r="H16786" t="s">
        <v>2581</v>
      </c>
    </row>
    <row r="16787" spans="8:8" x14ac:dyDescent="0.25">
      <c r="H16787" t="s">
        <v>30</v>
      </c>
    </row>
    <row r="16789" spans="8:8" x14ac:dyDescent="0.25">
      <c r="H16789" t="s">
        <v>2582</v>
      </c>
    </row>
    <row r="16790" spans="8:8" x14ac:dyDescent="0.25">
      <c r="H16790" t="s">
        <v>2583</v>
      </c>
    </row>
    <row r="16791" spans="8:8" x14ac:dyDescent="0.25">
      <c r="H16791" t="s">
        <v>135</v>
      </c>
    </row>
    <row r="16792" spans="8:8" x14ac:dyDescent="0.25">
      <c r="H16792" t="s">
        <v>2584</v>
      </c>
    </row>
    <row r="16793" spans="8:8" x14ac:dyDescent="0.25">
      <c r="H16793" t="s">
        <v>30</v>
      </c>
    </row>
    <row r="16795" spans="8:8" x14ac:dyDescent="0.25">
      <c r="H16795" t="s">
        <v>2585</v>
      </c>
    </row>
    <row r="16796" spans="8:8" x14ac:dyDescent="0.25">
      <c r="H16796" t="s">
        <v>2586</v>
      </c>
    </row>
    <row r="16797" spans="8:8" x14ac:dyDescent="0.25">
      <c r="H16797" t="s">
        <v>135</v>
      </c>
    </row>
    <row r="16798" spans="8:8" x14ac:dyDescent="0.25">
      <c r="H16798" t="s">
        <v>2587</v>
      </c>
    </row>
    <row r="16799" spans="8:8" x14ac:dyDescent="0.25">
      <c r="H16799" t="s">
        <v>30</v>
      </c>
    </row>
    <row r="16801" spans="8:8" x14ac:dyDescent="0.25">
      <c r="H16801" t="s">
        <v>2588</v>
      </c>
    </row>
    <row r="16802" spans="8:8" x14ac:dyDescent="0.25">
      <c r="H16802" t="s">
        <v>2589</v>
      </c>
    </row>
    <row r="16803" spans="8:8" x14ac:dyDescent="0.25">
      <c r="H16803" t="s">
        <v>135</v>
      </c>
    </row>
    <row r="16804" spans="8:8" x14ac:dyDescent="0.25">
      <c r="H16804" t="s">
        <v>2590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2591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2592</v>
      </c>
    </row>
    <row r="16811" spans="8:8" x14ac:dyDescent="0.25">
      <c r="H16811" t="s">
        <v>30</v>
      </c>
    </row>
    <row r="16813" spans="8:8" x14ac:dyDescent="0.25">
      <c r="H16813" t="s">
        <v>2593</v>
      </c>
    </row>
    <row r="16814" spans="8:8" x14ac:dyDescent="0.25">
      <c r="H16814" t="s">
        <v>2594</v>
      </c>
    </row>
    <row r="16815" spans="8:8" x14ac:dyDescent="0.25">
      <c r="H16815" t="s">
        <v>135</v>
      </c>
    </row>
    <row r="16816" spans="8:8" x14ac:dyDescent="0.25">
      <c r="H16816" t="s">
        <v>4908</v>
      </c>
    </row>
    <row r="16817" spans="8:8" x14ac:dyDescent="0.25">
      <c r="H16817" t="s">
        <v>30</v>
      </c>
    </row>
    <row r="16819" spans="8:8" x14ac:dyDescent="0.25">
      <c r="H16819" t="s">
        <v>2595</v>
      </c>
    </row>
    <row r="16820" spans="8:8" x14ac:dyDescent="0.25">
      <c r="H16820" t="s">
        <v>2596</v>
      </c>
    </row>
    <row r="16821" spans="8:8" x14ac:dyDescent="0.25">
      <c r="H16821" t="s">
        <v>135</v>
      </c>
    </row>
    <row r="16822" spans="8:8" x14ac:dyDescent="0.25">
      <c r="H16822" t="s">
        <v>2597</v>
      </c>
    </row>
    <row r="16823" spans="8:8" x14ac:dyDescent="0.25">
      <c r="H16823" t="s">
        <v>30</v>
      </c>
    </row>
    <row r="16825" spans="8:8" x14ac:dyDescent="0.25">
      <c r="H16825" t="s">
        <v>2598</v>
      </c>
    </row>
    <row r="16826" spans="8:8" x14ac:dyDescent="0.25">
      <c r="H16826" t="s">
        <v>2599</v>
      </c>
    </row>
    <row r="16827" spans="8:8" x14ac:dyDescent="0.25">
      <c r="H16827" t="s">
        <v>135</v>
      </c>
    </row>
    <row r="16828" spans="8:8" x14ac:dyDescent="0.25">
      <c r="H16828" t="s">
        <v>2600</v>
      </c>
    </row>
    <row r="16829" spans="8:8" x14ac:dyDescent="0.25">
      <c r="H16829" t="s">
        <v>30</v>
      </c>
    </row>
    <row r="16831" spans="8:8" x14ac:dyDescent="0.25">
      <c r="H16831" t="s">
        <v>2601</v>
      </c>
    </row>
    <row r="16832" spans="8:8" x14ac:dyDescent="0.25">
      <c r="H16832" t="s">
        <v>2602</v>
      </c>
    </row>
    <row r="16833" spans="8:8" x14ac:dyDescent="0.25">
      <c r="H16833" t="s">
        <v>135</v>
      </c>
    </row>
    <row r="16834" spans="8:8" x14ac:dyDescent="0.25">
      <c r="H16834" t="s">
        <v>2603</v>
      </c>
    </row>
    <row r="16835" spans="8:8" x14ac:dyDescent="0.25">
      <c r="H16835" t="s">
        <v>30</v>
      </c>
    </row>
    <row r="16837" spans="8:8" x14ac:dyDescent="0.25">
      <c r="H16837" t="s">
        <v>2604</v>
      </c>
    </row>
    <row r="16838" spans="8:8" x14ac:dyDescent="0.25">
      <c r="H16838" t="s">
        <v>2605</v>
      </c>
    </row>
    <row r="16839" spans="8:8" x14ac:dyDescent="0.25">
      <c r="H16839" t="s">
        <v>135</v>
      </c>
    </row>
    <row r="16840" spans="8:8" x14ac:dyDescent="0.25">
      <c r="H16840" t="s">
        <v>2606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2607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2608</v>
      </c>
    </row>
    <row r="16847" spans="8:8" x14ac:dyDescent="0.25">
      <c r="H16847" t="s">
        <v>30</v>
      </c>
    </row>
    <row r="16849" spans="8:8" x14ac:dyDescent="0.25">
      <c r="H16849" t="s">
        <v>2609</v>
      </c>
    </row>
    <row r="16850" spans="8:8" x14ac:dyDescent="0.25">
      <c r="H16850" t="s">
        <v>2610</v>
      </c>
    </row>
    <row r="16851" spans="8:8" x14ac:dyDescent="0.25">
      <c r="H16851" t="s">
        <v>135</v>
      </c>
    </row>
    <row r="16852" spans="8:8" x14ac:dyDescent="0.25">
      <c r="H16852" t="s">
        <v>4909</v>
      </c>
    </row>
    <row r="16853" spans="8:8" x14ac:dyDescent="0.25">
      <c r="H16853" t="s">
        <v>30</v>
      </c>
    </row>
    <row r="16855" spans="8:8" x14ac:dyDescent="0.25">
      <c r="H16855" t="s">
        <v>2611</v>
      </c>
    </row>
    <row r="16856" spans="8:8" x14ac:dyDescent="0.25">
      <c r="H16856" t="s">
        <v>2612</v>
      </c>
    </row>
    <row r="16857" spans="8:8" x14ac:dyDescent="0.25">
      <c r="H16857" t="s">
        <v>135</v>
      </c>
    </row>
    <row r="16858" spans="8:8" x14ac:dyDescent="0.25">
      <c r="H16858" t="s">
        <v>2613</v>
      </c>
    </row>
    <row r="16859" spans="8:8" x14ac:dyDescent="0.25">
      <c r="H16859" t="s">
        <v>30</v>
      </c>
    </row>
    <row r="16861" spans="8:8" x14ac:dyDescent="0.25">
      <c r="H16861" t="s">
        <v>2614</v>
      </c>
    </row>
    <row r="16862" spans="8:8" x14ac:dyDescent="0.25">
      <c r="H16862" t="s">
        <v>2615</v>
      </c>
    </row>
    <row r="16863" spans="8:8" x14ac:dyDescent="0.25">
      <c r="H16863" t="s">
        <v>135</v>
      </c>
    </row>
    <row r="16864" spans="8:8" x14ac:dyDescent="0.25">
      <c r="H16864" t="s">
        <v>2616</v>
      </c>
    </row>
    <row r="16865" spans="8:8" x14ac:dyDescent="0.25">
      <c r="H16865" t="s">
        <v>30</v>
      </c>
    </row>
    <row r="16867" spans="8:8" x14ac:dyDescent="0.25">
      <c r="H16867" t="s">
        <v>2617</v>
      </c>
    </row>
    <row r="16868" spans="8:8" x14ac:dyDescent="0.25">
      <c r="H16868" t="s">
        <v>2618</v>
      </c>
    </row>
    <row r="16869" spans="8:8" x14ac:dyDescent="0.25">
      <c r="H16869" t="s">
        <v>135</v>
      </c>
    </row>
    <row r="16870" spans="8:8" x14ac:dyDescent="0.25">
      <c r="H16870" t="s">
        <v>2619</v>
      </c>
    </row>
    <row r="16871" spans="8:8" x14ac:dyDescent="0.25">
      <c r="H16871" t="s">
        <v>30</v>
      </c>
    </row>
    <row r="16873" spans="8:8" x14ac:dyDescent="0.25">
      <c r="H16873" t="s">
        <v>2620</v>
      </c>
    </row>
    <row r="16874" spans="8:8" x14ac:dyDescent="0.25">
      <c r="H16874" t="s">
        <v>2621</v>
      </c>
    </row>
    <row r="16875" spans="8:8" x14ac:dyDescent="0.25">
      <c r="H16875" t="s">
        <v>135</v>
      </c>
    </row>
    <row r="16876" spans="8:8" x14ac:dyDescent="0.25">
      <c r="H16876" t="s">
        <v>2622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2623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2624</v>
      </c>
    </row>
    <row r="16883" spans="8:8" x14ac:dyDescent="0.25">
      <c r="H16883" t="s">
        <v>30</v>
      </c>
    </row>
    <row r="16885" spans="8:8" x14ac:dyDescent="0.25">
      <c r="H16885" t="s">
        <v>2625</v>
      </c>
    </row>
    <row r="16886" spans="8:8" x14ac:dyDescent="0.25">
      <c r="H16886" t="s">
        <v>2626</v>
      </c>
    </row>
    <row r="16887" spans="8:8" x14ac:dyDescent="0.25">
      <c r="H16887" t="s">
        <v>135</v>
      </c>
    </row>
    <row r="16888" spans="8:8" x14ac:dyDescent="0.25">
      <c r="H16888" t="s">
        <v>4910</v>
      </c>
    </row>
    <row r="16889" spans="8:8" x14ac:dyDescent="0.25">
      <c r="H16889" t="s">
        <v>30</v>
      </c>
    </row>
    <row r="16891" spans="8:8" x14ac:dyDescent="0.25">
      <c r="H16891" t="s">
        <v>2627</v>
      </c>
    </row>
    <row r="16892" spans="8:8" x14ac:dyDescent="0.25">
      <c r="H16892" t="s">
        <v>2628</v>
      </c>
    </row>
    <row r="16893" spans="8:8" x14ac:dyDescent="0.25">
      <c r="H16893" t="s">
        <v>135</v>
      </c>
    </row>
    <row r="16894" spans="8:8" x14ac:dyDescent="0.25">
      <c r="H16894" t="s">
        <v>2629</v>
      </c>
    </row>
    <row r="16895" spans="8:8" x14ac:dyDescent="0.25">
      <c r="H16895" t="s">
        <v>30</v>
      </c>
    </row>
    <row r="16897" spans="8:8" x14ac:dyDescent="0.25">
      <c r="H16897" t="s">
        <v>2630</v>
      </c>
    </row>
    <row r="16898" spans="8:8" x14ac:dyDescent="0.25">
      <c r="H16898" t="s">
        <v>2631</v>
      </c>
    </row>
    <row r="16899" spans="8:8" x14ac:dyDescent="0.25">
      <c r="H16899" t="s">
        <v>135</v>
      </c>
    </row>
    <row r="16900" spans="8:8" x14ac:dyDescent="0.25">
      <c r="H16900" t="s">
        <v>2632</v>
      </c>
    </row>
    <row r="16901" spans="8:8" x14ac:dyDescent="0.25">
      <c r="H16901" t="s">
        <v>30</v>
      </c>
    </row>
    <row r="16903" spans="8:8" x14ac:dyDescent="0.25">
      <c r="H16903" t="s">
        <v>2633</v>
      </c>
    </row>
    <row r="16904" spans="8:8" x14ac:dyDescent="0.25">
      <c r="H16904" t="s">
        <v>2634</v>
      </c>
    </row>
    <row r="16905" spans="8:8" x14ac:dyDescent="0.25">
      <c r="H16905" t="s">
        <v>135</v>
      </c>
    </row>
    <row r="16906" spans="8:8" x14ac:dyDescent="0.25">
      <c r="H16906" t="s">
        <v>2635</v>
      </c>
    </row>
    <row r="16907" spans="8:8" x14ac:dyDescent="0.25">
      <c r="H16907" t="s">
        <v>30</v>
      </c>
    </row>
    <row r="16909" spans="8:8" x14ac:dyDescent="0.25">
      <c r="H16909" t="s">
        <v>2636</v>
      </c>
    </row>
    <row r="16910" spans="8:8" x14ac:dyDescent="0.25">
      <c r="H16910" t="s">
        <v>2637</v>
      </c>
    </row>
    <row r="16911" spans="8:8" x14ac:dyDescent="0.25">
      <c r="H16911" t="s">
        <v>135</v>
      </c>
    </row>
    <row r="16912" spans="8:8" x14ac:dyDescent="0.25">
      <c r="H16912" t="s">
        <v>2638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2639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2640</v>
      </c>
    </row>
    <row r="16919" spans="8:8" x14ac:dyDescent="0.25">
      <c r="H16919" t="s">
        <v>30</v>
      </c>
    </row>
    <row r="16921" spans="8:8" x14ac:dyDescent="0.25">
      <c r="H16921" t="s">
        <v>2641</v>
      </c>
    </row>
    <row r="16922" spans="8:8" x14ac:dyDescent="0.25">
      <c r="H16922" t="s">
        <v>2642</v>
      </c>
    </row>
    <row r="16923" spans="8:8" x14ac:dyDescent="0.25">
      <c r="H16923" t="s">
        <v>135</v>
      </c>
    </row>
    <row r="16924" spans="8:8" x14ac:dyDescent="0.25">
      <c r="H16924" t="s">
        <v>4911</v>
      </c>
    </row>
    <row r="16925" spans="8:8" x14ac:dyDescent="0.25">
      <c r="H16925" t="s">
        <v>30</v>
      </c>
    </row>
    <row r="16927" spans="8:8" x14ac:dyDescent="0.25">
      <c r="H16927" t="s">
        <v>2643</v>
      </c>
    </row>
    <row r="16928" spans="8:8" x14ac:dyDescent="0.25">
      <c r="H16928" t="s">
        <v>2644</v>
      </c>
    </row>
    <row r="16929" spans="8:8" x14ac:dyDescent="0.25">
      <c r="H16929" t="s">
        <v>135</v>
      </c>
    </row>
    <row r="16930" spans="8:8" x14ac:dyDescent="0.25">
      <c r="H16930" t="s">
        <v>2645</v>
      </c>
    </row>
    <row r="16931" spans="8:8" x14ac:dyDescent="0.25">
      <c r="H16931" t="s">
        <v>30</v>
      </c>
    </row>
    <row r="16933" spans="8:8" x14ac:dyDescent="0.25">
      <c r="H16933" t="s">
        <v>2646</v>
      </c>
    </row>
    <row r="16934" spans="8:8" x14ac:dyDescent="0.25">
      <c r="H16934" t="s">
        <v>2647</v>
      </c>
    </row>
    <row r="16935" spans="8:8" x14ac:dyDescent="0.25">
      <c r="H16935" t="s">
        <v>135</v>
      </c>
    </row>
    <row r="16936" spans="8:8" x14ac:dyDescent="0.25">
      <c r="H16936" t="s">
        <v>2648</v>
      </c>
    </row>
    <row r="16937" spans="8:8" x14ac:dyDescent="0.25">
      <c r="H16937" t="s">
        <v>30</v>
      </c>
    </row>
    <row r="16939" spans="8:8" x14ac:dyDescent="0.25">
      <c r="H16939" t="s">
        <v>2649</v>
      </c>
    </row>
    <row r="16940" spans="8:8" x14ac:dyDescent="0.25">
      <c r="H16940" t="s">
        <v>2650</v>
      </c>
    </row>
    <row r="16941" spans="8:8" x14ac:dyDescent="0.25">
      <c r="H16941" t="s">
        <v>135</v>
      </c>
    </row>
    <row r="16942" spans="8:8" x14ac:dyDescent="0.25">
      <c r="H16942" t="s">
        <v>2651</v>
      </c>
    </row>
    <row r="16943" spans="8:8" x14ac:dyDescent="0.25">
      <c r="H16943" t="s">
        <v>30</v>
      </c>
    </row>
    <row r="16945" spans="8:8" x14ac:dyDescent="0.25">
      <c r="H16945" t="s">
        <v>2652</v>
      </c>
    </row>
    <row r="16946" spans="8:8" x14ac:dyDescent="0.25">
      <c r="H16946" t="s">
        <v>2653</v>
      </c>
    </row>
    <row r="16947" spans="8:8" x14ac:dyDescent="0.25">
      <c r="H16947" t="s">
        <v>135</v>
      </c>
    </row>
    <row r="16948" spans="8:8" x14ac:dyDescent="0.25">
      <c r="H16948" t="s">
        <v>2654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2655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2656</v>
      </c>
    </row>
    <row r="16955" spans="8:8" x14ac:dyDescent="0.25">
      <c r="H16955" t="s">
        <v>30</v>
      </c>
    </row>
    <row r="16957" spans="8:8" x14ac:dyDescent="0.25">
      <c r="H16957" t="s">
        <v>2657</v>
      </c>
    </row>
    <row r="16958" spans="8:8" x14ac:dyDescent="0.25">
      <c r="H16958" t="s">
        <v>2658</v>
      </c>
    </row>
    <row r="16959" spans="8:8" x14ac:dyDescent="0.25">
      <c r="H16959" t="s">
        <v>135</v>
      </c>
    </row>
    <row r="16960" spans="8:8" x14ac:dyDescent="0.25">
      <c r="H16960" t="s">
        <v>4912</v>
      </c>
    </row>
    <row r="16961" spans="8:8" x14ac:dyDescent="0.25">
      <c r="H16961" t="s">
        <v>30</v>
      </c>
    </row>
    <row r="16963" spans="8:8" x14ac:dyDescent="0.25">
      <c r="H16963" t="s">
        <v>2659</v>
      </c>
    </row>
    <row r="16964" spans="8:8" x14ac:dyDescent="0.25">
      <c r="H16964" t="s">
        <v>2660</v>
      </c>
    </row>
    <row r="16965" spans="8:8" x14ac:dyDescent="0.25">
      <c r="H16965" t="s">
        <v>135</v>
      </c>
    </row>
    <row r="16966" spans="8:8" x14ac:dyDescent="0.25">
      <c r="H16966" t="s">
        <v>2661</v>
      </c>
    </row>
    <row r="16967" spans="8:8" x14ac:dyDescent="0.25">
      <c r="H16967" t="s">
        <v>30</v>
      </c>
    </row>
    <row r="16969" spans="8:8" x14ac:dyDescent="0.25">
      <c r="H16969" t="s">
        <v>2662</v>
      </c>
    </row>
    <row r="16970" spans="8:8" x14ac:dyDescent="0.25">
      <c r="H16970" t="s">
        <v>2663</v>
      </c>
    </row>
    <row r="16971" spans="8:8" x14ac:dyDescent="0.25">
      <c r="H16971" t="s">
        <v>135</v>
      </c>
    </row>
    <row r="16972" spans="8:8" x14ac:dyDescent="0.25">
      <c r="H16972" t="s">
        <v>2664</v>
      </c>
    </row>
    <row r="16973" spans="8:8" x14ac:dyDescent="0.25">
      <c r="H16973" t="s">
        <v>30</v>
      </c>
    </row>
    <row r="16975" spans="8:8" x14ac:dyDescent="0.25">
      <c r="H16975" t="s">
        <v>2665</v>
      </c>
    </row>
    <row r="16976" spans="8:8" x14ac:dyDescent="0.25">
      <c r="H16976" t="s">
        <v>2666</v>
      </c>
    </row>
    <row r="16977" spans="8:8" x14ac:dyDescent="0.25">
      <c r="H16977" t="s">
        <v>135</v>
      </c>
    </row>
    <row r="16978" spans="8:8" x14ac:dyDescent="0.25">
      <c r="H16978" t="s">
        <v>2667</v>
      </c>
    </row>
    <row r="16979" spans="8:8" x14ac:dyDescent="0.25">
      <c r="H16979" t="s">
        <v>30</v>
      </c>
    </row>
    <row r="16981" spans="8:8" x14ac:dyDescent="0.25">
      <c r="H16981" t="s">
        <v>2668</v>
      </c>
    </row>
    <row r="16982" spans="8:8" x14ac:dyDescent="0.25">
      <c r="H16982" t="s">
        <v>2669</v>
      </c>
    </row>
    <row r="16983" spans="8:8" x14ac:dyDescent="0.25">
      <c r="H16983" t="s">
        <v>135</v>
      </c>
    </row>
    <row r="16984" spans="8:8" x14ac:dyDescent="0.25">
      <c r="H16984" t="s">
        <v>2670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2671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2672</v>
      </c>
    </row>
    <row r="16991" spans="8:8" x14ac:dyDescent="0.25">
      <c r="H16991" t="s">
        <v>30</v>
      </c>
    </row>
    <row r="16993" spans="8:8" x14ac:dyDescent="0.25">
      <c r="H16993" t="s">
        <v>2673</v>
      </c>
    </row>
    <row r="16994" spans="8:8" x14ac:dyDescent="0.25">
      <c r="H16994" t="s">
        <v>2674</v>
      </c>
    </row>
    <row r="16995" spans="8:8" x14ac:dyDescent="0.25">
      <c r="H16995" t="s">
        <v>135</v>
      </c>
    </row>
    <row r="16996" spans="8:8" x14ac:dyDescent="0.25">
      <c r="H16996" t="s">
        <v>4913</v>
      </c>
    </row>
    <row r="16997" spans="8:8" x14ac:dyDescent="0.25">
      <c r="H16997" t="s">
        <v>30</v>
      </c>
    </row>
    <row r="16999" spans="8:8" x14ac:dyDescent="0.25">
      <c r="H16999" t="s">
        <v>2675</v>
      </c>
    </row>
    <row r="17000" spans="8:8" x14ac:dyDescent="0.25">
      <c r="H17000" t="s">
        <v>2676</v>
      </c>
    </row>
    <row r="17001" spans="8:8" x14ac:dyDescent="0.25">
      <c r="H17001" t="s">
        <v>135</v>
      </c>
    </row>
    <row r="17002" spans="8:8" x14ac:dyDescent="0.25">
      <c r="H17002" t="s">
        <v>2677</v>
      </c>
    </row>
    <row r="17003" spans="8:8" x14ac:dyDescent="0.25">
      <c r="H17003" t="s">
        <v>30</v>
      </c>
    </row>
    <row r="17005" spans="8:8" x14ac:dyDescent="0.25">
      <c r="H17005" t="s">
        <v>2678</v>
      </c>
    </row>
    <row r="17006" spans="8:8" x14ac:dyDescent="0.25">
      <c r="H17006" t="s">
        <v>2679</v>
      </c>
    </row>
    <row r="17007" spans="8:8" x14ac:dyDescent="0.25">
      <c r="H17007" t="s">
        <v>135</v>
      </c>
    </row>
    <row r="17008" spans="8:8" x14ac:dyDescent="0.25">
      <c r="H17008" t="s">
        <v>2680</v>
      </c>
    </row>
    <row r="17009" spans="8:8" x14ac:dyDescent="0.25">
      <c r="H17009" t="s">
        <v>30</v>
      </c>
    </row>
    <row r="17011" spans="8:8" x14ac:dyDescent="0.25">
      <c r="H17011" t="s">
        <v>2681</v>
      </c>
    </row>
    <row r="17012" spans="8:8" x14ac:dyDescent="0.25">
      <c r="H17012" t="s">
        <v>2682</v>
      </c>
    </row>
    <row r="17013" spans="8:8" x14ac:dyDescent="0.25">
      <c r="H17013" t="s">
        <v>135</v>
      </c>
    </row>
    <row r="17014" spans="8:8" x14ac:dyDescent="0.25">
      <c r="H17014" t="s">
        <v>2683</v>
      </c>
    </row>
    <row r="17015" spans="8:8" x14ac:dyDescent="0.25">
      <c r="H17015" t="s">
        <v>30</v>
      </c>
    </row>
    <row r="17017" spans="8:8" x14ac:dyDescent="0.25">
      <c r="H17017" t="s">
        <v>2684</v>
      </c>
    </row>
    <row r="17018" spans="8:8" x14ac:dyDescent="0.25">
      <c r="H17018" t="s">
        <v>2685</v>
      </c>
    </row>
    <row r="17019" spans="8:8" x14ac:dyDescent="0.25">
      <c r="H17019" t="s">
        <v>135</v>
      </c>
    </row>
    <row r="17020" spans="8:8" x14ac:dyDescent="0.25">
      <c r="H17020" t="s">
        <v>2686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2687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2688</v>
      </c>
    </row>
    <row r="17027" spans="8:8" x14ac:dyDescent="0.25">
      <c r="H17027" t="s">
        <v>30</v>
      </c>
    </row>
    <row r="17029" spans="8:8" x14ac:dyDescent="0.25">
      <c r="H17029" t="s">
        <v>2689</v>
      </c>
    </row>
    <row r="17030" spans="8:8" x14ac:dyDescent="0.25">
      <c r="H17030" t="s">
        <v>2690</v>
      </c>
    </row>
    <row r="17031" spans="8:8" x14ac:dyDescent="0.25">
      <c r="H17031" t="s">
        <v>135</v>
      </c>
    </row>
    <row r="17032" spans="8:8" x14ac:dyDescent="0.25">
      <c r="H17032" t="s">
        <v>4914</v>
      </c>
    </row>
    <row r="17033" spans="8:8" x14ac:dyDescent="0.25">
      <c r="H17033" t="s">
        <v>30</v>
      </c>
    </row>
    <row r="17035" spans="8:8" x14ac:dyDescent="0.25">
      <c r="H17035" t="s">
        <v>2691</v>
      </c>
    </row>
    <row r="17036" spans="8:8" x14ac:dyDescent="0.25">
      <c r="H17036" t="s">
        <v>2692</v>
      </c>
    </row>
    <row r="17037" spans="8:8" x14ac:dyDescent="0.25">
      <c r="H17037" t="s">
        <v>135</v>
      </c>
    </row>
    <row r="17038" spans="8:8" x14ac:dyDescent="0.25">
      <c r="H17038" t="s">
        <v>2693</v>
      </c>
    </row>
    <row r="17039" spans="8:8" x14ac:dyDescent="0.25">
      <c r="H17039" t="s">
        <v>30</v>
      </c>
    </row>
    <row r="17041" spans="8:8" x14ac:dyDescent="0.25">
      <c r="H17041" t="s">
        <v>2694</v>
      </c>
    </row>
    <row r="17042" spans="8:8" x14ac:dyDescent="0.25">
      <c r="H17042" t="s">
        <v>2695</v>
      </c>
    </row>
    <row r="17043" spans="8:8" x14ac:dyDescent="0.25">
      <c r="H17043" t="s">
        <v>135</v>
      </c>
    </row>
    <row r="17044" spans="8:8" x14ac:dyDescent="0.25">
      <c r="H17044" t="s">
        <v>2696</v>
      </c>
    </row>
    <row r="17045" spans="8:8" x14ac:dyDescent="0.25">
      <c r="H17045" t="s">
        <v>30</v>
      </c>
    </row>
    <row r="17047" spans="8:8" x14ac:dyDescent="0.25">
      <c r="H17047" t="s">
        <v>2697</v>
      </c>
    </row>
    <row r="17048" spans="8:8" x14ac:dyDescent="0.25">
      <c r="H17048" t="s">
        <v>2698</v>
      </c>
    </row>
    <row r="17049" spans="8:8" x14ac:dyDescent="0.25">
      <c r="H17049" t="s">
        <v>135</v>
      </c>
    </row>
    <row r="17050" spans="8:8" x14ac:dyDescent="0.25">
      <c r="H17050" t="s">
        <v>2699</v>
      </c>
    </row>
    <row r="17051" spans="8:8" x14ac:dyDescent="0.25">
      <c r="H17051" t="s">
        <v>30</v>
      </c>
    </row>
    <row r="17053" spans="8:8" x14ac:dyDescent="0.25">
      <c r="H17053" t="s">
        <v>2700</v>
      </c>
    </row>
    <row r="17054" spans="8:8" x14ac:dyDescent="0.25">
      <c r="H17054" t="s">
        <v>2701</v>
      </c>
    </row>
    <row r="17055" spans="8:8" x14ac:dyDescent="0.25">
      <c r="H17055" t="s">
        <v>135</v>
      </c>
    </row>
    <row r="17056" spans="8:8" x14ac:dyDescent="0.25">
      <c r="H17056" t="s">
        <v>2702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2703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2704</v>
      </c>
    </row>
    <row r="17063" spans="8:8" x14ac:dyDescent="0.25">
      <c r="H17063" t="s">
        <v>30</v>
      </c>
    </row>
    <row r="17065" spans="8:8" x14ac:dyDescent="0.25">
      <c r="H17065" t="s">
        <v>2705</v>
      </c>
    </row>
    <row r="17066" spans="8:8" x14ac:dyDescent="0.25">
      <c r="H17066" t="s">
        <v>2706</v>
      </c>
    </row>
    <row r="17067" spans="8:8" x14ac:dyDescent="0.25">
      <c r="H17067" t="s">
        <v>135</v>
      </c>
    </row>
    <row r="17068" spans="8:8" x14ac:dyDescent="0.25">
      <c r="H17068" t="s">
        <v>4915</v>
      </c>
    </row>
    <row r="17069" spans="8:8" x14ac:dyDescent="0.25">
      <c r="H17069" t="s">
        <v>30</v>
      </c>
    </row>
    <row r="17071" spans="8:8" x14ac:dyDescent="0.25">
      <c r="H17071" t="s">
        <v>2707</v>
      </c>
    </row>
    <row r="17072" spans="8:8" x14ac:dyDescent="0.25">
      <c r="H17072" t="s">
        <v>2708</v>
      </c>
    </row>
    <row r="17073" spans="8:8" x14ac:dyDescent="0.25">
      <c r="H17073" t="s">
        <v>135</v>
      </c>
    </row>
    <row r="17074" spans="8:8" x14ac:dyDescent="0.25">
      <c r="H17074" t="s">
        <v>2709</v>
      </c>
    </row>
    <row r="17075" spans="8:8" x14ac:dyDescent="0.25">
      <c r="H17075" t="s">
        <v>30</v>
      </c>
    </row>
    <row r="17077" spans="8:8" x14ac:dyDescent="0.25">
      <c r="H17077" t="s">
        <v>2710</v>
      </c>
    </row>
    <row r="17078" spans="8:8" x14ac:dyDescent="0.25">
      <c r="H17078" t="s">
        <v>2711</v>
      </c>
    </row>
    <row r="17079" spans="8:8" x14ac:dyDescent="0.25">
      <c r="H17079" t="s">
        <v>135</v>
      </c>
    </row>
    <row r="17080" spans="8:8" x14ac:dyDescent="0.25">
      <c r="H17080" t="s">
        <v>2712</v>
      </c>
    </row>
    <row r="17081" spans="8:8" x14ac:dyDescent="0.25">
      <c r="H17081" t="s">
        <v>30</v>
      </c>
    </row>
    <row r="17083" spans="8:8" x14ac:dyDescent="0.25">
      <c r="H17083" t="s">
        <v>2713</v>
      </c>
    </row>
    <row r="17084" spans="8:8" x14ac:dyDescent="0.25">
      <c r="H17084" t="s">
        <v>2714</v>
      </c>
    </row>
    <row r="17085" spans="8:8" x14ac:dyDescent="0.25">
      <c r="H17085" t="s">
        <v>135</v>
      </c>
    </row>
    <row r="17086" spans="8:8" x14ac:dyDescent="0.25">
      <c r="H17086" t="s">
        <v>2715</v>
      </c>
    </row>
    <row r="17087" spans="8:8" x14ac:dyDescent="0.25">
      <c r="H17087" t="s">
        <v>30</v>
      </c>
    </row>
    <row r="17089" spans="8:8" x14ac:dyDescent="0.25">
      <c r="H17089" t="s">
        <v>2716</v>
      </c>
    </row>
    <row r="17090" spans="8:8" x14ac:dyDescent="0.25">
      <c r="H17090" t="s">
        <v>2717</v>
      </c>
    </row>
    <row r="17091" spans="8:8" x14ac:dyDescent="0.25">
      <c r="H17091" t="s">
        <v>135</v>
      </c>
    </row>
    <row r="17092" spans="8:8" x14ac:dyDescent="0.25">
      <c r="H17092" t="s">
        <v>2718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2719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2720</v>
      </c>
    </row>
    <row r="17099" spans="8:8" x14ac:dyDescent="0.25">
      <c r="H17099" t="s">
        <v>30</v>
      </c>
    </row>
    <row r="17101" spans="8:8" x14ac:dyDescent="0.25">
      <c r="H17101" t="s">
        <v>2721</v>
      </c>
    </row>
    <row r="17102" spans="8:8" x14ac:dyDescent="0.25">
      <c r="H17102" t="s">
        <v>2722</v>
      </c>
    </row>
    <row r="17103" spans="8:8" x14ac:dyDescent="0.25">
      <c r="H17103" t="s">
        <v>135</v>
      </c>
    </row>
    <row r="17104" spans="8:8" x14ac:dyDescent="0.25">
      <c r="H17104" t="s">
        <v>4916</v>
      </c>
    </row>
    <row r="17105" spans="8:8" x14ac:dyDescent="0.25">
      <c r="H17105" t="s">
        <v>30</v>
      </c>
    </row>
    <row r="17107" spans="8:8" x14ac:dyDescent="0.25">
      <c r="H17107" t="s">
        <v>2723</v>
      </c>
    </row>
    <row r="17108" spans="8:8" x14ac:dyDescent="0.25">
      <c r="H17108" t="s">
        <v>2724</v>
      </c>
    </row>
    <row r="17109" spans="8:8" x14ac:dyDescent="0.25">
      <c r="H17109" t="s">
        <v>135</v>
      </c>
    </row>
    <row r="17110" spans="8:8" x14ac:dyDescent="0.25">
      <c r="H17110" t="s">
        <v>2725</v>
      </c>
    </row>
    <row r="17111" spans="8:8" x14ac:dyDescent="0.25">
      <c r="H17111" t="s">
        <v>30</v>
      </c>
    </row>
    <row r="17113" spans="8:8" x14ac:dyDescent="0.25">
      <c r="H17113" t="s">
        <v>2726</v>
      </c>
    </row>
    <row r="17114" spans="8:8" x14ac:dyDescent="0.25">
      <c r="H17114" t="s">
        <v>2727</v>
      </c>
    </row>
    <row r="17115" spans="8:8" x14ac:dyDescent="0.25">
      <c r="H17115" t="s">
        <v>135</v>
      </c>
    </row>
    <row r="17116" spans="8:8" x14ac:dyDescent="0.25">
      <c r="H17116" t="s">
        <v>2728</v>
      </c>
    </row>
    <row r="17117" spans="8:8" x14ac:dyDescent="0.25">
      <c r="H17117" t="s">
        <v>30</v>
      </c>
    </row>
    <row r="17119" spans="8:8" x14ac:dyDescent="0.25">
      <c r="H17119" t="s">
        <v>2729</v>
      </c>
    </row>
    <row r="17120" spans="8:8" x14ac:dyDescent="0.25">
      <c r="H17120" t="s">
        <v>2730</v>
      </c>
    </row>
    <row r="17121" spans="8:8" x14ac:dyDescent="0.25">
      <c r="H17121" t="s">
        <v>135</v>
      </c>
    </row>
    <row r="17122" spans="8:8" x14ac:dyDescent="0.25">
      <c r="H17122" t="s">
        <v>2731</v>
      </c>
    </row>
    <row r="17123" spans="8:8" x14ac:dyDescent="0.25">
      <c r="H17123" t="s">
        <v>30</v>
      </c>
    </row>
    <row r="17125" spans="8:8" x14ac:dyDescent="0.25">
      <c r="H17125" t="s">
        <v>2732</v>
      </c>
    </row>
    <row r="17126" spans="8:8" x14ac:dyDescent="0.25">
      <c r="H17126" t="s">
        <v>2733</v>
      </c>
    </row>
    <row r="17127" spans="8:8" x14ac:dyDescent="0.25">
      <c r="H17127" t="s">
        <v>135</v>
      </c>
    </row>
    <row r="17128" spans="8:8" x14ac:dyDescent="0.25">
      <c r="H17128" t="s">
        <v>2734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2735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2736</v>
      </c>
    </row>
    <row r="17135" spans="8:8" x14ac:dyDescent="0.25">
      <c r="H17135" t="s">
        <v>30</v>
      </c>
    </row>
    <row r="17137" spans="8:8" x14ac:dyDescent="0.25">
      <c r="H17137" t="s">
        <v>2737</v>
      </c>
    </row>
    <row r="17138" spans="8:8" x14ac:dyDescent="0.25">
      <c r="H17138" t="s">
        <v>2738</v>
      </c>
    </row>
    <row r="17139" spans="8:8" x14ac:dyDescent="0.25">
      <c r="H17139" t="s">
        <v>135</v>
      </c>
    </row>
    <row r="17140" spans="8:8" x14ac:dyDescent="0.25">
      <c r="H17140" t="s">
        <v>4917</v>
      </c>
    </row>
    <row r="17141" spans="8:8" x14ac:dyDescent="0.25">
      <c r="H17141" t="s">
        <v>30</v>
      </c>
    </row>
    <row r="17143" spans="8:8" x14ac:dyDescent="0.25">
      <c r="H17143" t="s">
        <v>2739</v>
      </c>
    </row>
    <row r="17144" spans="8:8" x14ac:dyDescent="0.25">
      <c r="H17144" t="s">
        <v>2740</v>
      </c>
    </row>
    <row r="17145" spans="8:8" x14ac:dyDescent="0.25">
      <c r="H17145" t="s">
        <v>135</v>
      </c>
    </row>
    <row r="17146" spans="8:8" x14ac:dyDescent="0.25">
      <c r="H17146" t="s">
        <v>2741</v>
      </c>
    </row>
    <row r="17147" spans="8:8" x14ac:dyDescent="0.25">
      <c r="H17147" t="s">
        <v>30</v>
      </c>
    </row>
    <row r="17149" spans="8:8" x14ac:dyDescent="0.25">
      <c r="H17149" t="s">
        <v>2742</v>
      </c>
    </row>
    <row r="17150" spans="8:8" x14ac:dyDescent="0.25">
      <c r="H17150" t="s">
        <v>2743</v>
      </c>
    </row>
    <row r="17151" spans="8:8" x14ac:dyDescent="0.25">
      <c r="H17151" t="s">
        <v>135</v>
      </c>
    </row>
    <row r="17152" spans="8:8" x14ac:dyDescent="0.25">
      <c r="H17152" t="s">
        <v>2744</v>
      </c>
    </row>
    <row r="17153" spans="8:8" x14ac:dyDescent="0.25">
      <c r="H17153" t="s">
        <v>30</v>
      </c>
    </row>
    <row r="17155" spans="8:8" x14ac:dyDescent="0.25">
      <c r="H17155" t="s">
        <v>2745</v>
      </c>
    </row>
    <row r="17156" spans="8:8" x14ac:dyDescent="0.25">
      <c r="H17156" t="s">
        <v>2746</v>
      </c>
    </row>
    <row r="17157" spans="8:8" x14ac:dyDescent="0.25">
      <c r="H17157" t="s">
        <v>135</v>
      </c>
    </row>
    <row r="17158" spans="8:8" x14ac:dyDescent="0.25">
      <c r="H17158" t="s">
        <v>2747</v>
      </c>
    </row>
    <row r="17159" spans="8:8" x14ac:dyDescent="0.25">
      <c r="H17159" t="s">
        <v>30</v>
      </c>
    </row>
    <row r="17161" spans="8:8" x14ac:dyDescent="0.25">
      <c r="H17161" t="s">
        <v>2748</v>
      </c>
    </row>
    <row r="17162" spans="8:8" x14ac:dyDescent="0.25">
      <c r="H17162" t="s">
        <v>2749</v>
      </c>
    </row>
    <row r="17163" spans="8:8" x14ac:dyDescent="0.25">
      <c r="H17163" t="s">
        <v>135</v>
      </c>
    </row>
    <row r="17164" spans="8:8" x14ac:dyDescent="0.25">
      <c r="H17164" t="s">
        <v>2750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2751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2752</v>
      </c>
    </row>
    <row r="17171" spans="8:8" x14ac:dyDescent="0.25">
      <c r="H17171" t="s">
        <v>30</v>
      </c>
    </row>
    <row r="17173" spans="8:8" x14ac:dyDescent="0.25">
      <c r="H17173" t="s">
        <v>2753</v>
      </c>
    </row>
    <row r="17174" spans="8:8" x14ac:dyDescent="0.25">
      <c r="H17174" t="s">
        <v>2754</v>
      </c>
    </row>
    <row r="17175" spans="8:8" x14ac:dyDescent="0.25">
      <c r="H17175" t="s">
        <v>135</v>
      </c>
    </row>
    <row r="17176" spans="8:8" x14ac:dyDescent="0.25">
      <c r="H17176" t="s">
        <v>4918</v>
      </c>
    </row>
    <row r="17177" spans="8:8" x14ac:dyDescent="0.25">
      <c r="H17177" t="s">
        <v>30</v>
      </c>
    </row>
    <row r="17179" spans="8:8" x14ac:dyDescent="0.25">
      <c r="H17179" t="s">
        <v>2755</v>
      </c>
    </row>
    <row r="17180" spans="8:8" x14ac:dyDescent="0.25">
      <c r="H17180" t="s">
        <v>2756</v>
      </c>
    </row>
    <row r="17181" spans="8:8" x14ac:dyDescent="0.25">
      <c r="H17181" t="s">
        <v>135</v>
      </c>
    </row>
    <row r="17182" spans="8:8" x14ac:dyDescent="0.25">
      <c r="H17182" t="s">
        <v>2757</v>
      </c>
    </row>
    <row r="17183" spans="8:8" x14ac:dyDescent="0.25">
      <c r="H17183" t="s">
        <v>30</v>
      </c>
    </row>
    <row r="17185" spans="8:8" x14ac:dyDescent="0.25">
      <c r="H17185" t="s">
        <v>2758</v>
      </c>
    </row>
    <row r="17186" spans="8:8" x14ac:dyDescent="0.25">
      <c r="H17186" t="s">
        <v>2759</v>
      </c>
    </row>
    <row r="17187" spans="8:8" x14ac:dyDescent="0.25">
      <c r="H17187" t="s">
        <v>135</v>
      </c>
    </row>
    <row r="17188" spans="8:8" x14ac:dyDescent="0.25">
      <c r="H17188" t="s">
        <v>2760</v>
      </c>
    </row>
    <row r="17189" spans="8:8" x14ac:dyDescent="0.25">
      <c r="H17189" t="s">
        <v>30</v>
      </c>
    </row>
    <row r="17191" spans="8:8" x14ac:dyDescent="0.25">
      <c r="H17191" t="s">
        <v>2761</v>
      </c>
    </row>
    <row r="17192" spans="8:8" x14ac:dyDescent="0.25">
      <c r="H17192" t="s">
        <v>2762</v>
      </c>
    </row>
    <row r="17193" spans="8:8" x14ac:dyDescent="0.25">
      <c r="H17193" t="s">
        <v>135</v>
      </c>
    </row>
    <row r="17194" spans="8:8" x14ac:dyDescent="0.25">
      <c r="H17194" t="s">
        <v>2763</v>
      </c>
    </row>
    <row r="17195" spans="8:8" x14ac:dyDescent="0.25">
      <c r="H17195" t="s">
        <v>30</v>
      </c>
    </row>
    <row r="17197" spans="8:8" x14ac:dyDescent="0.25">
      <c r="H17197" t="s">
        <v>2764</v>
      </c>
    </row>
    <row r="17198" spans="8:8" x14ac:dyDescent="0.25">
      <c r="H17198" t="s">
        <v>2765</v>
      </c>
    </row>
    <row r="17199" spans="8:8" x14ac:dyDescent="0.25">
      <c r="H17199" t="s">
        <v>135</v>
      </c>
    </row>
    <row r="17200" spans="8:8" x14ac:dyDescent="0.25">
      <c r="H17200" t="s">
        <v>2766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2767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2768</v>
      </c>
    </row>
    <row r="17207" spans="8:8" x14ac:dyDescent="0.25">
      <c r="H17207" t="s">
        <v>30</v>
      </c>
    </row>
    <row r="17209" spans="8:8" x14ac:dyDescent="0.25">
      <c r="H17209" t="s">
        <v>2769</v>
      </c>
    </row>
    <row r="17210" spans="8:8" x14ac:dyDescent="0.25">
      <c r="H17210" t="s">
        <v>2770</v>
      </c>
    </row>
    <row r="17211" spans="8:8" x14ac:dyDescent="0.25">
      <c r="H17211" t="s">
        <v>135</v>
      </c>
    </row>
    <row r="17212" spans="8:8" x14ac:dyDescent="0.25">
      <c r="H17212" t="s">
        <v>4919</v>
      </c>
    </row>
    <row r="17213" spans="8:8" x14ac:dyDescent="0.25">
      <c r="H17213" t="s">
        <v>30</v>
      </c>
    </row>
    <row r="17215" spans="8:8" x14ac:dyDescent="0.25">
      <c r="H17215" t="s">
        <v>2771</v>
      </c>
    </row>
    <row r="17216" spans="8:8" x14ac:dyDescent="0.25">
      <c r="H17216" t="s">
        <v>2772</v>
      </c>
    </row>
    <row r="17217" spans="8:8" x14ac:dyDescent="0.25">
      <c r="H17217" t="s">
        <v>135</v>
      </c>
    </row>
    <row r="17218" spans="8:8" x14ac:dyDescent="0.25">
      <c r="H17218" t="s">
        <v>2773</v>
      </c>
    </row>
    <row r="17219" spans="8:8" x14ac:dyDescent="0.25">
      <c r="H17219" t="s">
        <v>30</v>
      </c>
    </row>
    <row r="17221" spans="8:8" x14ac:dyDescent="0.25">
      <c r="H17221" t="s">
        <v>2774</v>
      </c>
    </row>
    <row r="17222" spans="8:8" x14ac:dyDescent="0.25">
      <c r="H17222" t="s">
        <v>2775</v>
      </c>
    </row>
    <row r="17223" spans="8:8" x14ac:dyDescent="0.25">
      <c r="H17223" t="s">
        <v>135</v>
      </c>
    </row>
    <row r="17224" spans="8:8" x14ac:dyDescent="0.25">
      <c r="H17224" t="s">
        <v>2776</v>
      </c>
    </row>
    <row r="17225" spans="8:8" x14ac:dyDescent="0.25">
      <c r="H17225" t="s">
        <v>30</v>
      </c>
    </row>
    <row r="17227" spans="8:8" x14ac:dyDescent="0.25">
      <c r="H17227" t="s">
        <v>2777</v>
      </c>
    </row>
    <row r="17228" spans="8:8" x14ac:dyDescent="0.25">
      <c r="H17228" t="s">
        <v>2778</v>
      </c>
    </row>
    <row r="17229" spans="8:8" x14ac:dyDescent="0.25">
      <c r="H17229" t="s">
        <v>135</v>
      </c>
    </row>
    <row r="17230" spans="8:8" x14ac:dyDescent="0.25">
      <c r="H17230" t="s">
        <v>2779</v>
      </c>
    </row>
    <row r="17231" spans="8:8" x14ac:dyDescent="0.25">
      <c r="H17231" t="s">
        <v>30</v>
      </c>
    </row>
    <row r="17233" spans="8:8" x14ac:dyDescent="0.25">
      <c r="H17233" t="s">
        <v>2780</v>
      </c>
    </row>
    <row r="17234" spans="8:8" x14ac:dyDescent="0.25">
      <c r="H17234" t="s">
        <v>2781</v>
      </c>
    </row>
    <row r="17235" spans="8:8" x14ac:dyDescent="0.25">
      <c r="H17235" t="s">
        <v>135</v>
      </c>
    </row>
    <row r="17236" spans="8:8" x14ac:dyDescent="0.25">
      <c r="H17236" t="s">
        <v>2782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2783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2784</v>
      </c>
    </row>
    <row r="17243" spans="8:8" x14ac:dyDescent="0.25">
      <c r="H17243" t="s">
        <v>30</v>
      </c>
    </row>
    <row r="17245" spans="8:8" x14ac:dyDescent="0.25">
      <c r="H17245" t="s">
        <v>2785</v>
      </c>
    </row>
    <row r="17246" spans="8:8" x14ac:dyDescent="0.25">
      <c r="H17246" t="s">
        <v>2786</v>
      </c>
    </row>
    <row r="17247" spans="8:8" x14ac:dyDescent="0.25">
      <c r="H17247" t="s">
        <v>135</v>
      </c>
    </row>
    <row r="17248" spans="8:8" x14ac:dyDescent="0.25">
      <c r="H17248" t="s">
        <v>4920</v>
      </c>
    </row>
    <row r="17249" spans="8:8" x14ac:dyDescent="0.25">
      <c r="H17249" t="s">
        <v>30</v>
      </c>
    </row>
    <row r="17251" spans="8:8" x14ac:dyDescent="0.25">
      <c r="H17251" t="s">
        <v>2787</v>
      </c>
    </row>
    <row r="17252" spans="8:8" x14ac:dyDescent="0.25">
      <c r="H17252" t="s">
        <v>2788</v>
      </c>
    </row>
    <row r="17253" spans="8:8" x14ac:dyDescent="0.25">
      <c r="H17253" t="s">
        <v>135</v>
      </c>
    </row>
    <row r="17254" spans="8:8" x14ac:dyDescent="0.25">
      <c r="H17254" t="s">
        <v>2789</v>
      </c>
    </row>
    <row r="17255" spans="8:8" x14ac:dyDescent="0.25">
      <c r="H17255" t="s">
        <v>30</v>
      </c>
    </row>
    <row r="17257" spans="8:8" x14ac:dyDescent="0.25">
      <c r="H17257" t="s">
        <v>2790</v>
      </c>
    </row>
    <row r="17258" spans="8:8" x14ac:dyDescent="0.25">
      <c r="H17258" t="s">
        <v>2791</v>
      </c>
    </row>
    <row r="17259" spans="8:8" x14ac:dyDescent="0.25">
      <c r="H17259" t="s">
        <v>135</v>
      </c>
    </row>
    <row r="17260" spans="8:8" x14ac:dyDescent="0.25">
      <c r="H17260" t="s">
        <v>2792</v>
      </c>
    </row>
    <row r="17261" spans="8:8" x14ac:dyDescent="0.25">
      <c r="H17261" t="s">
        <v>30</v>
      </c>
    </row>
    <row r="17263" spans="8:8" x14ac:dyDescent="0.25">
      <c r="H17263" t="s">
        <v>2793</v>
      </c>
    </row>
    <row r="17264" spans="8:8" x14ac:dyDescent="0.25">
      <c r="H17264" t="s">
        <v>2794</v>
      </c>
    </row>
    <row r="17265" spans="8:8" x14ac:dyDescent="0.25">
      <c r="H17265" t="s">
        <v>135</v>
      </c>
    </row>
    <row r="17266" spans="8:8" x14ac:dyDescent="0.25">
      <c r="H17266" t="s">
        <v>2795</v>
      </c>
    </row>
    <row r="17267" spans="8:8" x14ac:dyDescent="0.25">
      <c r="H17267" t="s">
        <v>30</v>
      </c>
    </row>
    <row r="17269" spans="8:8" x14ac:dyDescent="0.25">
      <c r="H17269" t="s">
        <v>2796</v>
      </c>
    </row>
    <row r="17270" spans="8:8" x14ac:dyDescent="0.25">
      <c r="H17270" t="s">
        <v>2797</v>
      </c>
    </row>
    <row r="17271" spans="8:8" x14ac:dyDescent="0.25">
      <c r="H17271" t="s">
        <v>135</v>
      </c>
    </row>
    <row r="17272" spans="8:8" x14ac:dyDescent="0.25">
      <c r="H17272" t="s">
        <v>2798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2799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2800</v>
      </c>
    </row>
    <row r="17279" spans="8:8" x14ac:dyDescent="0.25">
      <c r="H17279" t="s">
        <v>30</v>
      </c>
    </row>
    <row r="17281" spans="8:8" x14ac:dyDescent="0.25">
      <c r="H17281" t="s">
        <v>2801</v>
      </c>
    </row>
    <row r="17282" spans="8:8" x14ac:dyDescent="0.25">
      <c r="H17282" t="s">
        <v>2802</v>
      </c>
    </row>
    <row r="17283" spans="8:8" x14ac:dyDescent="0.25">
      <c r="H17283" t="s">
        <v>135</v>
      </c>
    </row>
    <row r="17284" spans="8:8" x14ac:dyDescent="0.25">
      <c r="H17284" t="s">
        <v>4921</v>
      </c>
    </row>
    <row r="17285" spans="8:8" x14ac:dyDescent="0.25">
      <c r="H17285" t="s">
        <v>30</v>
      </c>
    </row>
    <row r="17287" spans="8:8" x14ac:dyDescent="0.25">
      <c r="H17287" t="s">
        <v>2803</v>
      </c>
    </row>
    <row r="17288" spans="8:8" x14ac:dyDescent="0.25">
      <c r="H17288" t="s">
        <v>2804</v>
      </c>
    </row>
    <row r="17289" spans="8:8" x14ac:dyDescent="0.25">
      <c r="H17289" t="s">
        <v>135</v>
      </c>
    </row>
    <row r="17290" spans="8:8" x14ac:dyDescent="0.25">
      <c r="H17290" t="s">
        <v>2805</v>
      </c>
    </row>
    <row r="17291" spans="8:8" x14ac:dyDescent="0.25">
      <c r="H17291" t="s">
        <v>30</v>
      </c>
    </row>
    <row r="17293" spans="8:8" x14ac:dyDescent="0.25">
      <c r="H17293" t="s">
        <v>2806</v>
      </c>
    </row>
    <row r="17294" spans="8:8" x14ac:dyDescent="0.25">
      <c r="H17294" t="s">
        <v>2807</v>
      </c>
    </row>
    <row r="17295" spans="8:8" x14ac:dyDescent="0.25">
      <c r="H17295" t="s">
        <v>135</v>
      </c>
    </row>
    <row r="17296" spans="8:8" x14ac:dyDescent="0.25">
      <c r="H17296" t="s">
        <v>2808</v>
      </c>
    </row>
    <row r="17297" spans="8:8" x14ac:dyDescent="0.25">
      <c r="H17297" t="s">
        <v>30</v>
      </c>
    </row>
    <row r="17299" spans="8:8" x14ac:dyDescent="0.25">
      <c r="H17299" t="s">
        <v>2809</v>
      </c>
    </row>
    <row r="17300" spans="8:8" x14ac:dyDescent="0.25">
      <c r="H17300" t="s">
        <v>2810</v>
      </c>
    </row>
    <row r="17301" spans="8:8" x14ac:dyDescent="0.25">
      <c r="H17301" t="s">
        <v>135</v>
      </c>
    </row>
    <row r="17302" spans="8:8" x14ac:dyDescent="0.25">
      <c r="H17302" t="s">
        <v>2811</v>
      </c>
    </row>
    <row r="17303" spans="8:8" x14ac:dyDescent="0.25">
      <c r="H17303" t="s">
        <v>30</v>
      </c>
    </row>
    <row r="17305" spans="8:8" x14ac:dyDescent="0.25">
      <c r="H17305" t="s">
        <v>2812</v>
      </c>
    </row>
    <row r="17306" spans="8:8" x14ac:dyDescent="0.25">
      <c r="H17306" t="s">
        <v>2813</v>
      </c>
    </row>
    <row r="17307" spans="8:8" x14ac:dyDescent="0.25">
      <c r="H17307" t="s">
        <v>135</v>
      </c>
    </row>
    <row r="17308" spans="8:8" x14ac:dyDescent="0.25">
      <c r="H17308" t="s">
        <v>2814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2815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2816</v>
      </c>
    </row>
    <row r="17315" spans="8:8" x14ac:dyDescent="0.25">
      <c r="H17315" t="s">
        <v>30</v>
      </c>
    </row>
    <row r="17317" spans="8:8" x14ac:dyDescent="0.25">
      <c r="H17317" t="s">
        <v>2817</v>
      </c>
    </row>
    <row r="17318" spans="8:8" x14ac:dyDescent="0.25">
      <c r="H17318" t="s">
        <v>2818</v>
      </c>
    </row>
    <row r="17319" spans="8:8" x14ac:dyDescent="0.25">
      <c r="H17319" t="s">
        <v>135</v>
      </c>
    </row>
    <row r="17320" spans="8:8" x14ac:dyDescent="0.25">
      <c r="H17320" t="s">
        <v>4922</v>
      </c>
    </row>
    <row r="17321" spans="8:8" x14ac:dyDescent="0.25">
      <c r="H17321" t="s">
        <v>30</v>
      </c>
    </row>
    <row r="17323" spans="8:8" x14ac:dyDescent="0.25">
      <c r="H17323" t="s">
        <v>2819</v>
      </c>
    </row>
    <row r="17324" spans="8:8" x14ac:dyDescent="0.25">
      <c r="H17324" t="s">
        <v>2820</v>
      </c>
    </row>
    <row r="17325" spans="8:8" x14ac:dyDescent="0.25">
      <c r="H17325" t="s">
        <v>135</v>
      </c>
    </row>
    <row r="17326" spans="8:8" x14ac:dyDescent="0.25">
      <c r="H17326" t="s">
        <v>2821</v>
      </c>
    </row>
    <row r="17327" spans="8:8" x14ac:dyDescent="0.25">
      <c r="H17327" t="s">
        <v>30</v>
      </c>
    </row>
    <row r="17329" spans="8:8" x14ac:dyDescent="0.25">
      <c r="H17329" t="s">
        <v>2822</v>
      </c>
    </row>
    <row r="17330" spans="8:8" x14ac:dyDescent="0.25">
      <c r="H17330" t="s">
        <v>2823</v>
      </c>
    </row>
    <row r="17331" spans="8:8" x14ac:dyDescent="0.25">
      <c r="H17331" t="s">
        <v>135</v>
      </c>
    </row>
    <row r="17332" spans="8:8" x14ac:dyDescent="0.25">
      <c r="H17332" t="s">
        <v>2824</v>
      </c>
    </row>
    <row r="17333" spans="8:8" x14ac:dyDescent="0.25">
      <c r="H17333" t="s">
        <v>30</v>
      </c>
    </row>
    <row r="17335" spans="8:8" x14ac:dyDescent="0.25">
      <c r="H17335" t="s">
        <v>2825</v>
      </c>
    </row>
    <row r="17336" spans="8:8" x14ac:dyDescent="0.25">
      <c r="H17336" t="s">
        <v>2826</v>
      </c>
    </row>
    <row r="17337" spans="8:8" x14ac:dyDescent="0.25">
      <c r="H17337" t="s">
        <v>135</v>
      </c>
    </row>
    <row r="17338" spans="8:8" x14ac:dyDescent="0.25">
      <c r="H17338" t="s">
        <v>2827</v>
      </c>
    </row>
    <row r="17339" spans="8:8" x14ac:dyDescent="0.25">
      <c r="H17339" t="s">
        <v>30</v>
      </c>
    </row>
    <row r="17340" spans="8:8" x14ac:dyDescent="0.25">
      <c r="H17340" t="s">
        <v>2828</v>
      </c>
    </row>
    <row r="17341" spans="8:8" x14ac:dyDescent="0.25">
      <c r="H17341" t="s">
        <v>136</v>
      </c>
    </row>
    <row r="17342" spans="8:8" x14ac:dyDescent="0.25">
      <c r="H17342" t="s">
        <v>2829</v>
      </c>
    </row>
    <row r="17343" spans="8:8" x14ac:dyDescent="0.25">
      <c r="H17343" t="s">
        <v>30</v>
      </c>
    </row>
    <row r="17345" spans="8:8" x14ac:dyDescent="0.25">
      <c r="H17345" t="s">
        <v>2830</v>
      </c>
    </row>
    <row r="17346" spans="8:8" x14ac:dyDescent="0.25">
      <c r="H17346" t="s">
        <v>2831</v>
      </c>
    </row>
    <row r="17347" spans="8:8" x14ac:dyDescent="0.25">
      <c r="H17347" t="s">
        <v>135</v>
      </c>
    </row>
    <row r="17348" spans="8:8" x14ac:dyDescent="0.25">
      <c r="H17348" t="s">
        <v>2832</v>
      </c>
    </row>
    <row r="17349" spans="8:8" x14ac:dyDescent="0.25">
      <c r="H17349" t="s">
        <v>30</v>
      </c>
    </row>
    <row r="17351" spans="8:8" x14ac:dyDescent="0.25">
      <c r="H17351" t="s">
        <v>2833</v>
      </c>
    </row>
    <row r="17352" spans="8:8" x14ac:dyDescent="0.25">
      <c r="H17352" t="s">
        <v>2834</v>
      </c>
    </row>
    <row r="17353" spans="8:8" x14ac:dyDescent="0.25">
      <c r="H17353" t="s">
        <v>135</v>
      </c>
    </row>
    <row r="17354" spans="8:8" x14ac:dyDescent="0.25">
      <c r="H17354" t="s">
        <v>2835</v>
      </c>
    </row>
    <row r="17355" spans="8:8" x14ac:dyDescent="0.25">
      <c r="H17355" t="s">
        <v>30</v>
      </c>
    </row>
    <row r="17357" spans="8:8" x14ac:dyDescent="0.25">
      <c r="H17357" t="s">
        <v>2836</v>
      </c>
    </row>
    <row r="17358" spans="8:8" x14ac:dyDescent="0.25">
      <c r="H17358" t="s">
        <v>2837</v>
      </c>
    </row>
    <row r="17359" spans="8:8" x14ac:dyDescent="0.25">
      <c r="H17359" t="s">
        <v>135</v>
      </c>
    </row>
    <row r="17360" spans="8:8" x14ac:dyDescent="0.25">
      <c r="H17360" t="s">
        <v>2838</v>
      </c>
    </row>
    <row r="17361" spans="8:8" x14ac:dyDescent="0.25">
      <c r="H17361" t="s">
        <v>30</v>
      </c>
    </row>
    <row r="17363" spans="8:8" x14ac:dyDescent="0.25">
      <c r="H17363" t="s">
        <v>2839</v>
      </c>
    </row>
    <row r="17364" spans="8:8" x14ac:dyDescent="0.25">
      <c r="H17364" t="s">
        <v>2840</v>
      </c>
    </row>
    <row r="17365" spans="8:8" x14ac:dyDescent="0.25">
      <c r="H17365" t="s">
        <v>135</v>
      </c>
    </row>
    <row r="17366" spans="8:8" x14ac:dyDescent="0.25">
      <c r="H17366" t="s">
        <v>2841</v>
      </c>
    </row>
    <row r="17367" spans="8:8" x14ac:dyDescent="0.25">
      <c r="H17367" t="s">
        <v>30</v>
      </c>
    </row>
    <row r="17369" spans="8:8" x14ac:dyDescent="0.25">
      <c r="H17369" t="s">
        <v>2842</v>
      </c>
    </row>
    <row r="17370" spans="8:8" x14ac:dyDescent="0.25">
      <c r="H17370" t="s">
        <v>2843</v>
      </c>
    </row>
    <row r="17371" spans="8:8" x14ac:dyDescent="0.25">
      <c r="H17371" t="s">
        <v>135</v>
      </c>
    </row>
    <row r="17372" spans="8:8" x14ac:dyDescent="0.25">
      <c r="H17372" t="s">
        <v>2844</v>
      </c>
    </row>
    <row r="17373" spans="8:8" x14ac:dyDescent="0.25">
      <c r="H17373" t="s">
        <v>30</v>
      </c>
    </row>
    <row r="17375" spans="8:8" x14ac:dyDescent="0.25">
      <c r="H17375" t="s">
        <v>2845</v>
      </c>
    </row>
    <row r="17376" spans="8:8" x14ac:dyDescent="0.25">
      <c r="H17376" t="s">
        <v>2846</v>
      </c>
    </row>
    <row r="17377" spans="8:8" x14ac:dyDescent="0.25">
      <c r="H17377" t="s">
        <v>135</v>
      </c>
    </row>
    <row r="17378" spans="8:8" x14ac:dyDescent="0.25">
      <c r="H17378" t="s">
        <v>2847</v>
      </c>
    </row>
    <row r="17379" spans="8:8" x14ac:dyDescent="0.25">
      <c r="H17379" t="s">
        <v>30</v>
      </c>
    </row>
    <row r="17381" spans="8:8" x14ac:dyDescent="0.25">
      <c r="H17381" t="s">
        <v>2848</v>
      </c>
    </row>
    <row r="17382" spans="8:8" x14ac:dyDescent="0.25">
      <c r="H17382" t="s">
        <v>2849</v>
      </c>
    </row>
    <row r="17383" spans="8:8" x14ac:dyDescent="0.25">
      <c r="H17383" t="s">
        <v>135</v>
      </c>
    </row>
    <row r="17384" spans="8:8" x14ac:dyDescent="0.25">
      <c r="H17384" t="s">
        <v>2850</v>
      </c>
    </row>
    <row r="17385" spans="8:8" x14ac:dyDescent="0.25">
      <c r="H17385" t="s">
        <v>30</v>
      </c>
    </row>
    <row r="17387" spans="8:8" x14ac:dyDescent="0.25">
      <c r="H17387" t="s">
        <v>2851</v>
      </c>
    </row>
    <row r="17388" spans="8:8" x14ac:dyDescent="0.25">
      <c r="H17388" t="s">
        <v>2852</v>
      </c>
    </row>
    <row r="17389" spans="8:8" x14ac:dyDescent="0.25">
      <c r="H17389" t="s">
        <v>135</v>
      </c>
    </row>
    <row r="17390" spans="8:8" x14ac:dyDescent="0.25">
      <c r="H17390" t="s">
        <v>2853</v>
      </c>
    </row>
    <row r="17391" spans="8:8" x14ac:dyDescent="0.25">
      <c r="H17391" t="s">
        <v>30</v>
      </c>
    </row>
    <row r="17393" spans="8:8" x14ac:dyDescent="0.25">
      <c r="H17393" t="s">
        <v>2854</v>
      </c>
    </row>
    <row r="17394" spans="8:8" x14ac:dyDescent="0.25">
      <c r="H17394" t="s">
        <v>2855</v>
      </c>
    </row>
    <row r="17395" spans="8:8" x14ac:dyDescent="0.25">
      <c r="H17395" t="s">
        <v>135</v>
      </c>
    </row>
    <row r="17396" spans="8:8" x14ac:dyDescent="0.25">
      <c r="H17396" t="s">
        <v>2856</v>
      </c>
    </row>
    <row r="17397" spans="8:8" x14ac:dyDescent="0.25">
      <c r="H17397" t="s">
        <v>30</v>
      </c>
    </row>
    <row r="17399" spans="8:8" x14ac:dyDescent="0.25">
      <c r="H17399" t="s">
        <v>2857</v>
      </c>
    </row>
    <row r="17400" spans="8:8" x14ac:dyDescent="0.25">
      <c r="H17400" t="s">
        <v>2858</v>
      </c>
    </row>
    <row r="17401" spans="8:8" x14ac:dyDescent="0.25">
      <c r="H17401" t="s">
        <v>135</v>
      </c>
    </row>
    <row r="17402" spans="8:8" x14ac:dyDescent="0.25">
      <c r="H17402" t="s">
        <v>2859</v>
      </c>
    </row>
    <row r="17403" spans="8:8" x14ac:dyDescent="0.25">
      <c r="H17403" t="s">
        <v>30</v>
      </c>
    </row>
    <row r="17405" spans="8:8" x14ac:dyDescent="0.25">
      <c r="H17405" t="s">
        <v>2860</v>
      </c>
    </row>
    <row r="17406" spans="8:8" x14ac:dyDescent="0.25">
      <c r="H17406" t="s">
        <v>2861</v>
      </c>
    </row>
    <row r="17407" spans="8:8" x14ac:dyDescent="0.25">
      <c r="H17407" t="s">
        <v>135</v>
      </c>
    </row>
    <row r="17408" spans="8:8" x14ac:dyDescent="0.25">
      <c r="H17408" t="s">
        <v>2862</v>
      </c>
    </row>
    <row r="17409" spans="8:8" x14ac:dyDescent="0.25">
      <c r="H17409" t="s">
        <v>30</v>
      </c>
    </row>
    <row r="17411" spans="8:8" x14ac:dyDescent="0.25">
      <c r="H17411" t="s">
        <v>2863</v>
      </c>
    </row>
    <row r="17412" spans="8:8" x14ac:dyDescent="0.25">
      <c r="H17412" t="s">
        <v>2864</v>
      </c>
    </row>
    <row r="17413" spans="8:8" x14ac:dyDescent="0.25">
      <c r="H17413" t="s">
        <v>135</v>
      </c>
    </row>
    <row r="17414" spans="8:8" x14ac:dyDescent="0.25">
      <c r="H17414" t="s">
        <v>2865</v>
      </c>
    </row>
    <row r="17415" spans="8:8" x14ac:dyDescent="0.25">
      <c r="H17415" t="s">
        <v>30</v>
      </c>
    </row>
    <row r="17417" spans="8:8" x14ac:dyDescent="0.25">
      <c r="H17417" t="s">
        <v>2866</v>
      </c>
    </row>
    <row r="17418" spans="8:8" x14ac:dyDescent="0.25">
      <c r="H17418" t="s">
        <v>2867</v>
      </c>
    </row>
    <row r="17419" spans="8:8" x14ac:dyDescent="0.25">
      <c r="H17419" t="s">
        <v>135</v>
      </c>
    </row>
    <row r="17420" spans="8:8" x14ac:dyDescent="0.25">
      <c r="H17420" t="s">
        <v>2868</v>
      </c>
    </row>
    <row r="17421" spans="8:8" x14ac:dyDescent="0.25">
      <c r="H17421" t="s">
        <v>30</v>
      </c>
    </row>
    <row r="17423" spans="8:8" x14ac:dyDescent="0.25">
      <c r="H17423" t="s">
        <v>2869</v>
      </c>
    </row>
    <row r="17424" spans="8:8" x14ac:dyDescent="0.25">
      <c r="H17424" t="s">
        <v>2870</v>
      </c>
    </row>
    <row r="17425" spans="8:8" x14ac:dyDescent="0.25">
      <c r="H17425" t="s">
        <v>135</v>
      </c>
    </row>
    <row r="17426" spans="8:8" x14ac:dyDescent="0.25">
      <c r="H17426" t="s">
        <v>2871</v>
      </c>
    </row>
    <row r="17427" spans="8:8" x14ac:dyDescent="0.25">
      <c r="H17427" t="s">
        <v>30</v>
      </c>
    </row>
    <row r="17429" spans="8:8" x14ac:dyDescent="0.25">
      <c r="H17429" t="s">
        <v>2872</v>
      </c>
    </row>
    <row r="17430" spans="8:8" x14ac:dyDescent="0.25">
      <c r="H17430" t="s">
        <v>2873</v>
      </c>
    </row>
    <row r="17431" spans="8:8" x14ac:dyDescent="0.25">
      <c r="H17431" t="s">
        <v>135</v>
      </c>
    </row>
    <row r="17432" spans="8:8" x14ac:dyDescent="0.25">
      <c r="H17432" t="s">
        <v>2874</v>
      </c>
    </row>
    <row r="17433" spans="8:8" x14ac:dyDescent="0.25">
      <c r="H17433" t="s">
        <v>30</v>
      </c>
    </row>
    <row r="17435" spans="8:8" x14ac:dyDescent="0.25">
      <c r="H17435" t="s">
        <v>2875</v>
      </c>
    </row>
    <row r="17436" spans="8:8" x14ac:dyDescent="0.25">
      <c r="H17436" t="s">
        <v>2876</v>
      </c>
    </row>
    <row r="17437" spans="8:8" x14ac:dyDescent="0.25">
      <c r="H17437" t="s">
        <v>135</v>
      </c>
    </row>
    <row r="17438" spans="8:8" x14ac:dyDescent="0.25">
      <c r="H17438" t="s">
        <v>2877</v>
      </c>
    </row>
    <row r="17439" spans="8:8" x14ac:dyDescent="0.25">
      <c r="H17439" t="s">
        <v>30</v>
      </c>
    </row>
    <row r="17441" spans="8:8" x14ac:dyDescent="0.25">
      <c r="H17441" t="s">
        <v>2878</v>
      </c>
    </row>
    <row r="17442" spans="8:8" x14ac:dyDescent="0.25">
      <c r="H17442" t="s">
        <v>2879</v>
      </c>
    </row>
    <row r="17443" spans="8:8" x14ac:dyDescent="0.25">
      <c r="H17443" t="s">
        <v>135</v>
      </c>
    </row>
    <row r="17444" spans="8:8" x14ac:dyDescent="0.25">
      <c r="H17444" t="s">
        <v>2880</v>
      </c>
    </row>
    <row r="17445" spans="8:8" x14ac:dyDescent="0.25">
      <c r="H17445" t="s">
        <v>30</v>
      </c>
    </row>
    <row r="17447" spans="8:8" x14ac:dyDescent="0.25">
      <c r="H17447" t="s">
        <v>2881</v>
      </c>
    </row>
    <row r="17448" spans="8:8" x14ac:dyDescent="0.25">
      <c r="H17448" t="s">
        <v>2882</v>
      </c>
    </row>
    <row r="17449" spans="8:8" x14ac:dyDescent="0.25">
      <c r="H17449" t="s">
        <v>135</v>
      </c>
    </row>
    <row r="17450" spans="8:8" x14ac:dyDescent="0.25">
      <c r="H17450" t="s">
        <v>2883</v>
      </c>
    </row>
    <row r="17451" spans="8:8" x14ac:dyDescent="0.25">
      <c r="H17451" t="s">
        <v>30</v>
      </c>
    </row>
    <row r="17453" spans="8:8" x14ac:dyDescent="0.25">
      <c r="H17453" t="s">
        <v>2884</v>
      </c>
    </row>
    <row r="17454" spans="8:8" x14ac:dyDescent="0.25">
      <c r="H17454" t="s">
        <v>2885</v>
      </c>
    </row>
    <row r="17455" spans="8:8" x14ac:dyDescent="0.25">
      <c r="H17455" t="s">
        <v>135</v>
      </c>
    </row>
    <row r="17456" spans="8:8" x14ac:dyDescent="0.25">
      <c r="H17456" t="s">
        <v>2886</v>
      </c>
    </row>
    <row r="17457" spans="8:8" x14ac:dyDescent="0.25">
      <c r="H17457" t="s">
        <v>30</v>
      </c>
    </row>
    <row r="17459" spans="8:8" x14ac:dyDescent="0.25">
      <c r="H17459" t="s">
        <v>2887</v>
      </c>
    </row>
    <row r="17460" spans="8:8" x14ac:dyDescent="0.25">
      <c r="H17460" t="s">
        <v>2888</v>
      </c>
    </row>
    <row r="17461" spans="8:8" x14ac:dyDescent="0.25">
      <c r="H17461" t="s">
        <v>135</v>
      </c>
    </row>
    <row r="17462" spans="8:8" x14ac:dyDescent="0.25">
      <c r="H17462" t="s">
        <v>2889</v>
      </c>
    </row>
    <row r="17463" spans="8:8" x14ac:dyDescent="0.25">
      <c r="H17463" t="s">
        <v>30</v>
      </c>
    </row>
    <row r="17465" spans="8:8" x14ac:dyDescent="0.25">
      <c r="H17465" t="s">
        <v>2890</v>
      </c>
    </row>
    <row r="17466" spans="8:8" x14ac:dyDescent="0.25">
      <c r="H17466" t="s">
        <v>2891</v>
      </c>
    </row>
    <row r="17467" spans="8:8" x14ac:dyDescent="0.25">
      <c r="H17467" t="s">
        <v>135</v>
      </c>
    </row>
    <row r="17468" spans="8:8" x14ac:dyDescent="0.25">
      <c r="H17468" t="s">
        <v>2892</v>
      </c>
    </row>
    <row r="17469" spans="8:8" x14ac:dyDescent="0.25">
      <c r="H17469" t="s">
        <v>30</v>
      </c>
    </row>
    <row r="17471" spans="8:8" x14ac:dyDescent="0.25">
      <c r="H17471" t="s">
        <v>2893</v>
      </c>
    </row>
    <row r="17472" spans="8:8" x14ac:dyDescent="0.25">
      <c r="H17472" t="s">
        <v>2894</v>
      </c>
    </row>
    <row r="17473" spans="8:8" x14ac:dyDescent="0.25">
      <c r="H17473" t="s">
        <v>135</v>
      </c>
    </row>
    <row r="17474" spans="8:8" x14ac:dyDescent="0.25">
      <c r="H17474" t="s">
        <v>2895</v>
      </c>
    </row>
    <row r="17475" spans="8:8" x14ac:dyDescent="0.25">
      <c r="H17475" t="s">
        <v>30</v>
      </c>
    </row>
    <row r="17477" spans="8:8" x14ac:dyDescent="0.25">
      <c r="H17477" t="s">
        <v>2896</v>
      </c>
    </row>
    <row r="17478" spans="8:8" x14ac:dyDescent="0.25">
      <c r="H17478" t="s">
        <v>2897</v>
      </c>
    </row>
    <row r="17479" spans="8:8" x14ac:dyDescent="0.25">
      <c r="H17479" t="s">
        <v>135</v>
      </c>
    </row>
    <row r="17480" spans="8:8" x14ac:dyDescent="0.25">
      <c r="H17480" t="s">
        <v>2898</v>
      </c>
    </row>
    <row r="17481" spans="8:8" x14ac:dyDescent="0.25">
      <c r="H17481" t="s">
        <v>30</v>
      </c>
    </row>
    <row r="17483" spans="8:8" x14ac:dyDescent="0.25">
      <c r="H17483" t="s">
        <v>2899</v>
      </c>
    </row>
    <row r="17484" spans="8:8" x14ac:dyDescent="0.25">
      <c r="H17484" t="s">
        <v>2900</v>
      </c>
    </row>
    <row r="17485" spans="8:8" x14ac:dyDescent="0.25">
      <c r="H17485" t="s">
        <v>135</v>
      </c>
    </row>
    <row r="17486" spans="8:8" x14ac:dyDescent="0.25">
      <c r="H17486" t="s">
        <v>2901</v>
      </c>
    </row>
    <row r="17487" spans="8:8" x14ac:dyDescent="0.25">
      <c r="H17487" t="s">
        <v>30</v>
      </c>
    </row>
    <row r="17489" spans="8:8" x14ac:dyDescent="0.25">
      <c r="H17489" t="s">
        <v>2902</v>
      </c>
    </row>
    <row r="17490" spans="8:8" x14ac:dyDescent="0.25">
      <c r="H17490" t="s">
        <v>2903</v>
      </c>
    </row>
    <row r="17491" spans="8:8" x14ac:dyDescent="0.25">
      <c r="H17491" t="s">
        <v>135</v>
      </c>
    </row>
    <row r="17492" spans="8:8" x14ac:dyDescent="0.25">
      <c r="H17492" t="s">
        <v>2904</v>
      </c>
    </row>
    <row r="17493" spans="8:8" x14ac:dyDescent="0.25">
      <c r="H17493" t="s">
        <v>30</v>
      </c>
    </row>
    <row r="17495" spans="8:8" x14ac:dyDescent="0.25">
      <c r="H17495" t="s">
        <v>2905</v>
      </c>
    </row>
    <row r="17496" spans="8:8" x14ac:dyDescent="0.25">
      <c r="H17496" t="s">
        <v>2906</v>
      </c>
    </row>
    <row r="17497" spans="8:8" x14ac:dyDescent="0.25">
      <c r="H17497" t="s">
        <v>135</v>
      </c>
    </row>
    <row r="17498" spans="8:8" x14ac:dyDescent="0.25">
      <c r="H17498" t="s">
        <v>2907</v>
      </c>
    </row>
    <row r="17499" spans="8:8" x14ac:dyDescent="0.25">
      <c r="H17499" t="s">
        <v>30</v>
      </c>
    </row>
    <row r="17501" spans="8:8" x14ac:dyDescent="0.25">
      <c r="H17501" t="s">
        <v>2908</v>
      </c>
    </row>
    <row r="17502" spans="8:8" x14ac:dyDescent="0.25">
      <c r="H17502" t="s">
        <v>2909</v>
      </c>
    </row>
    <row r="17503" spans="8:8" x14ac:dyDescent="0.25">
      <c r="H17503" t="s">
        <v>135</v>
      </c>
    </row>
    <row r="17504" spans="8:8" x14ac:dyDescent="0.25">
      <c r="H17504" t="s">
        <v>2910</v>
      </c>
    </row>
    <row r="17505" spans="8:8" x14ac:dyDescent="0.25">
      <c r="H17505" t="s">
        <v>30</v>
      </c>
    </row>
    <row r="17507" spans="8:8" x14ac:dyDescent="0.25">
      <c r="H17507" t="s">
        <v>2911</v>
      </c>
    </row>
    <row r="17508" spans="8:8" x14ac:dyDescent="0.25">
      <c r="H17508" t="s">
        <v>2912</v>
      </c>
    </row>
    <row r="17509" spans="8:8" x14ac:dyDescent="0.25">
      <c r="H17509" t="s">
        <v>135</v>
      </c>
    </row>
    <row r="17510" spans="8:8" x14ac:dyDescent="0.25">
      <c r="H17510" t="s">
        <v>2913</v>
      </c>
    </row>
    <row r="17511" spans="8:8" x14ac:dyDescent="0.25">
      <c r="H17511" t="s">
        <v>30</v>
      </c>
    </row>
    <row r="17513" spans="8:8" x14ac:dyDescent="0.25">
      <c r="H17513" t="s">
        <v>2914</v>
      </c>
    </row>
    <row r="17514" spans="8:8" x14ac:dyDescent="0.25">
      <c r="H17514" t="s">
        <v>2915</v>
      </c>
    </row>
    <row r="17515" spans="8:8" x14ac:dyDescent="0.25">
      <c r="H17515" t="s">
        <v>135</v>
      </c>
    </row>
    <row r="17516" spans="8:8" x14ac:dyDescent="0.25">
      <c r="H17516" t="s">
        <v>2916</v>
      </c>
    </row>
    <row r="17517" spans="8:8" x14ac:dyDescent="0.25">
      <c r="H17517" t="s">
        <v>30</v>
      </c>
    </row>
    <row r="17519" spans="8:8" x14ac:dyDescent="0.25">
      <c r="H17519" t="s">
        <v>2917</v>
      </c>
    </row>
    <row r="17520" spans="8:8" x14ac:dyDescent="0.25">
      <c r="H17520" t="s">
        <v>2918</v>
      </c>
    </row>
    <row r="17521" spans="8:8" x14ac:dyDescent="0.25">
      <c r="H17521" t="s">
        <v>135</v>
      </c>
    </row>
    <row r="17522" spans="8:8" x14ac:dyDescent="0.25">
      <c r="H17522" t="s">
        <v>2919</v>
      </c>
    </row>
    <row r="17523" spans="8:8" x14ac:dyDescent="0.25">
      <c r="H17523" t="s">
        <v>30</v>
      </c>
    </row>
    <row r="17525" spans="8:8" x14ac:dyDescent="0.25">
      <c r="H17525" t="s">
        <v>2920</v>
      </c>
    </row>
    <row r="17526" spans="8:8" x14ac:dyDescent="0.25">
      <c r="H17526" t="s">
        <v>2921</v>
      </c>
    </row>
    <row r="17527" spans="8:8" x14ac:dyDescent="0.25">
      <c r="H17527" t="s">
        <v>135</v>
      </c>
    </row>
    <row r="17528" spans="8:8" x14ac:dyDescent="0.25">
      <c r="H17528" t="s">
        <v>2922</v>
      </c>
    </row>
    <row r="17529" spans="8:8" x14ac:dyDescent="0.25">
      <c r="H17529" t="s">
        <v>30</v>
      </c>
    </row>
    <row r="17531" spans="8:8" x14ac:dyDescent="0.25">
      <c r="H17531" t="s">
        <v>2923</v>
      </c>
    </row>
    <row r="17532" spans="8:8" x14ac:dyDescent="0.25">
      <c r="H17532" t="s">
        <v>2924</v>
      </c>
    </row>
    <row r="17533" spans="8:8" x14ac:dyDescent="0.25">
      <c r="H17533" t="s">
        <v>135</v>
      </c>
    </row>
    <row r="17534" spans="8:8" x14ac:dyDescent="0.25">
      <c r="H17534" t="s">
        <v>2925</v>
      </c>
    </row>
    <row r="17535" spans="8:8" x14ac:dyDescent="0.25">
      <c r="H17535" t="s">
        <v>30</v>
      </c>
    </row>
    <row r="17537" spans="8:8" x14ac:dyDescent="0.25">
      <c r="H17537" t="s">
        <v>2926</v>
      </c>
    </row>
    <row r="17538" spans="8:8" x14ac:dyDescent="0.25">
      <c r="H17538" t="s">
        <v>2927</v>
      </c>
    </row>
    <row r="17539" spans="8:8" x14ac:dyDescent="0.25">
      <c r="H17539" t="s">
        <v>135</v>
      </c>
    </row>
    <row r="17540" spans="8:8" x14ac:dyDescent="0.25">
      <c r="H17540" t="s">
        <v>2928</v>
      </c>
    </row>
    <row r="17541" spans="8:8" x14ac:dyDescent="0.25">
      <c r="H17541" t="s">
        <v>30</v>
      </c>
    </row>
    <row r="17543" spans="8:8" x14ac:dyDescent="0.25">
      <c r="H17543" t="s">
        <v>2929</v>
      </c>
    </row>
    <row r="17544" spans="8:8" x14ac:dyDescent="0.25">
      <c r="H17544" t="s">
        <v>2930</v>
      </c>
    </row>
    <row r="17545" spans="8:8" x14ac:dyDescent="0.25">
      <c r="H17545" t="s">
        <v>135</v>
      </c>
    </row>
    <row r="17546" spans="8:8" x14ac:dyDescent="0.25">
      <c r="H17546" t="s">
        <v>2931</v>
      </c>
    </row>
    <row r="17547" spans="8:8" x14ac:dyDescent="0.25">
      <c r="H17547" t="s">
        <v>30</v>
      </c>
    </row>
    <row r="17549" spans="8:8" x14ac:dyDescent="0.25">
      <c r="H17549" t="s">
        <v>2932</v>
      </c>
    </row>
    <row r="17550" spans="8:8" x14ac:dyDescent="0.25">
      <c r="H17550" t="s">
        <v>2933</v>
      </c>
    </row>
    <row r="17551" spans="8:8" x14ac:dyDescent="0.25">
      <c r="H17551" t="s">
        <v>135</v>
      </c>
    </row>
    <row r="17552" spans="8:8" x14ac:dyDescent="0.25">
      <c r="H17552" t="s">
        <v>2934</v>
      </c>
    </row>
    <row r="17553" spans="8:8" x14ac:dyDescent="0.25">
      <c r="H17553" t="s">
        <v>30</v>
      </c>
    </row>
    <row r="17555" spans="8:8" x14ac:dyDescent="0.25">
      <c r="H17555" t="s">
        <v>2935</v>
      </c>
    </row>
    <row r="17556" spans="8:8" x14ac:dyDescent="0.25">
      <c r="H17556" t="s">
        <v>2936</v>
      </c>
    </row>
    <row r="17557" spans="8:8" x14ac:dyDescent="0.25">
      <c r="H17557" t="s">
        <v>135</v>
      </c>
    </row>
    <row r="17558" spans="8:8" x14ac:dyDescent="0.25">
      <c r="H17558" t="s">
        <v>2937</v>
      </c>
    </row>
    <row r="17559" spans="8:8" x14ac:dyDescent="0.25">
      <c r="H17559" t="s">
        <v>30</v>
      </c>
    </row>
    <row r="17561" spans="8:8" x14ac:dyDescent="0.25">
      <c r="H17561" t="s">
        <v>2938</v>
      </c>
    </row>
    <row r="17562" spans="8:8" x14ac:dyDescent="0.25">
      <c r="H17562" t="s">
        <v>2939</v>
      </c>
    </row>
    <row r="17563" spans="8:8" x14ac:dyDescent="0.25">
      <c r="H17563" t="s">
        <v>135</v>
      </c>
    </row>
    <row r="17564" spans="8:8" x14ac:dyDescent="0.25">
      <c r="H17564" t="s">
        <v>2940</v>
      </c>
    </row>
    <row r="17565" spans="8:8" x14ac:dyDescent="0.25">
      <c r="H17565" t="s">
        <v>30</v>
      </c>
    </row>
    <row r="17567" spans="8:8" x14ac:dyDescent="0.25">
      <c r="H17567" t="s">
        <v>2941</v>
      </c>
    </row>
    <row r="17568" spans="8:8" x14ac:dyDescent="0.25">
      <c r="H17568" t="s">
        <v>2942</v>
      </c>
    </row>
    <row r="17569" spans="8:8" x14ac:dyDescent="0.25">
      <c r="H17569" t="s">
        <v>135</v>
      </c>
    </row>
    <row r="17570" spans="8:8" x14ac:dyDescent="0.25">
      <c r="H17570" t="s">
        <v>2943</v>
      </c>
    </row>
    <row r="17571" spans="8:8" x14ac:dyDescent="0.25">
      <c r="H17571" t="s">
        <v>30</v>
      </c>
    </row>
    <row r="17573" spans="8:8" x14ac:dyDescent="0.25">
      <c r="H17573" t="s">
        <v>2944</v>
      </c>
    </row>
    <row r="17574" spans="8:8" x14ac:dyDescent="0.25">
      <c r="H17574" t="s">
        <v>2945</v>
      </c>
    </row>
    <row r="17575" spans="8:8" x14ac:dyDescent="0.25">
      <c r="H17575" t="s">
        <v>135</v>
      </c>
    </row>
    <row r="17576" spans="8:8" x14ac:dyDescent="0.25">
      <c r="H17576" t="s">
        <v>2946</v>
      </c>
    </row>
    <row r="17577" spans="8:8" x14ac:dyDescent="0.25">
      <c r="H17577" t="s">
        <v>30</v>
      </c>
    </row>
    <row r="17579" spans="8:8" x14ac:dyDescent="0.25">
      <c r="H17579" t="s">
        <v>2947</v>
      </c>
    </row>
    <row r="17580" spans="8:8" x14ac:dyDescent="0.25">
      <c r="H17580" t="s">
        <v>2948</v>
      </c>
    </row>
    <row r="17581" spans="8:8" x14ac:dyDescent="0.25">
      <c r="H17581" t="s">
        <v>135</v>
      </c>
    </row>
    <row r="17582" spans="8:8" x14ac:dyDescent="0.25">
      <c r="H17582" t="s">
        <v>2949</v>
      </c>
    </row>
    <row r="17583" spans="8:8" x14ac:dyDescent="0.25">
      <c r="H17583" t="s">
        <v>30</v>
      </c>
    </row>
    <row r="17585" spans="8:8" x14ac:dyDescent="0.25">
      <c r="H17585" t="s">
        <v>2950</v>
      </c>
    </row>
    <row r="17586" spans="8:8" x14ac:dyDescent="0.25">
      <c r="H17586" t="s">
        <v>2951</v>
      </c>
    </row>
    <row r="17587" spans="8:8" x14ac:dyDescent="0.25">
      <c r="H17587" t="s">
        <v>135</v>
      </c>
    </row>
    <row r="17588" spans="8:8" x14ac:dyDescent="0.25">
      <c r="H17588" t="s">
        <v>2952</v>
      </c>
    </row>
    <row r="17589" spans="8:8" x14ac:dyDescent="0.25">
      <c r="H17589" t="s">
        <v>30</v>
      </c>
    </row>
    <row r="17591" spans="8:8" x14ac:dyDescent="0.25">
      <c r="H17591" t="s">
        <v>2953</v>
      </c>
    </row>
    <row r="17592" spans="8:8" x14ac:dyDescent="0.25">
      <c r="H17592" t="s">
        <v>2954</v>
      </c>
    </row>
    <row r="17593" spans="8:8" x14ac:dyDescent="0.25">
      <c r="H17593" t="s">
        <v>135</v>
      </c>
    </row>
    <row r="17594" spans="8:8" x14ac:dyDescent="0.25">
      <c r="H17594" t="s">
        <v>2955</v>
      </c>
    </row>
    <row r="17595" spans="8:8" x14ac:dyDescent="0.25">
      <c r="H17595" t="s">
        <v>30</v>
      </c>
    </row>
    <row r="17597" spans="8:8" x14ac:dyDescent="0.25">
      <c r="H17597" t="s">
        <v>2956</v>
      </c>
    </row>
    <row r="17598" spans="8:8" x14ac:dyDescent="0.25">
      <c r="H17598" t="s">
        <v>2957</v>
      </c>
    </row>
    <row r="17599" spans="8:8" x14ac:dyDescent="0.25">
      <c r="H17599" t="s">
        <v>135</v>
      </c>
    </row>
    <row r="17600" spans="8:8" x14ac:dyDescent="0.25">
      <c r="H17600" t="s">
        <v>2958</v>
      </c>
    </row>
    <row r="17601" spans="8:8" x14ac:dyDescent="0.25">
      <c r="H17601" t="s">
        <v>30</v>
      </c>
    </row>
    <row r="17603" spans="8:8" x14ac:dyDescent="0.25">
      <c r="H17603" t="s">
        <v>2959</v>
      </c>
    </row>
    <row r="17604" spans="8:8" x14ac:dyDescent="0.25">
      <c r="H17604" t="s">
        <v>2960</v>
      </c>
    </row>
    <row r="17605" spans="8:8" x14ac:dyDescent="0.25">
      <c r="H17605" t="s">
        <v>135</v>
      </c>
    </row>
    <row r="17606" spans="8:8" x14ac:dyDescent="0.25">
      <c r="H17606" t="s">
        <v>2961</v>
      </c>
    </row>
    <row r="17607" spans="8:8" x14ac:dyDescent="0.25">
      <c r="H17607" t="s">
        <v>30</v>
      </c>
    </row>
    <row r="17609" spans="8:8" x14ac:dyDescent="0.25">
      <c r="H17609" t="s">
        <v>2962</v>
      </c>
    </row>
    <row r="17610" spans="8:8" x14ac:dyDescent="0.25">
      <c r="H17610" t="s">
        <v>2963</v>
      </c>
    </row>
    <row r="17611" spans="8:8" x14ac:dyDescent="0.25">
      <c r="H17611" t="s">
        <v>135</v>
      </c>
    </row>
    <row r="17612" spans="8:8" x14ac:dyDescent="0.25">
      <c r="H17612" t="s">
        <v>2964</v>
      </c>
    </row>
    <row r="17613" spans="8:8" x14ac:dyDescent="0.25">
      <c r="H17613" t="s">
        <v>30</v>
      </c>
    </row>
    <row r="17615" spans="8:8" x14ac:dyDescent="0.25">
      <c r="H17615" t="s">
        <v>2965</v>
      </c>
    </row>
    <row r="17616" spans="8:8" x14ac:dyDescent="0.25">
      <c r="H17616" t="s">
        <v>2966</v>
      </c>
    </row>
    <row r="17617" spans="8:8" x14ac:dyDescent="0.25">
      <c r="H17617" t="s">
        <v>135</v>
      </c>
    </row>
    <row r="17618" spans="8:8" x14ac:dyDescent="0.25">
      <c r="H17618" t="s">
        <v>2967</v>
      </c>
    </row>
    <row r="17619" spans="8:8" x14ac:dyDescent="0.25">
      <c r="H17619" t="s">
        <v>30</v>
      </c>
    </row>
    <row r="17621" spans="8:8" x14ac:dyDescent="0.25">
      <c r="H17621" t="s">
        <v>2968</v>
      </c>
    </row>
    <row r="17622" spans="8:8" x14ac:dyDescent="0.25">
      <c r="H17622" t="s">
        <v>2969</v>
      </c>
    </row>
    <row r="17623" spans="8:8" x14ac:dyDescent="0.25">
      <c r="H17623" t="s">
        <v>135</v>
      </c>
    </row>
    <row r="17624" spans="8:8" x14ac:dyDescent="0.25">
      <c r="H17624" t="s">
        <v>2970</v>
      </c>
    </row>
    <row r="17625" spans="8:8" x14ac:dyDescent="0.25">
      <c r="H17625" t="s">
        <v>30</v>
      </c>
    </row>
    <row r="17627" spans="8:8" x14ac:dyDescent="0.25">
      <c r="H17627" t="s">
        <v>2971</v>
      </c>
    </row>
    <row r="17628" spans="8:8" x14ac:dyDescent="0.25">
      <c r="H17628" t="s">
        <v>2972</v>
      </c>
    </row>
    <row r="17629" spans="8:8" x14ac:dyDescent="0.25">
      <c r="H17629" t="s">
        <v>135</v>
      </c>
    </row>
    <row r="17630" spans="8:8" x14ac:dyDescent="0.25">
      <c r="H17630" t="s">
        <v>2973</v>
      </c>
    </row>
    <row r="17631" spans="8:8" x14ac:dyDescent="0.25">
      <c r="H17631" t="s">
        <v>30</v>
      </c>
    </row>
    <row r="17633" spans="8:8" x14ac:dyDescent="0.25">
      <c r="H17633" t="s">
        <v>2974</v>
      </c>
    </row>
    <row r="17634" spans="8:8" x14ac:dyDescent="0.25">
      <c r="H17634" t="s">
        <v>2975</v>
      </c>
    </row>
    <row r="17635" spans="8:8" x14ac:dyDescent="0.25">
      <c r="H17635" t="s">
        <v>135</v>
      </c>
    </row>
    <row r="17636" spans="8:8" x14ac:dyDescent="0.25">
      <c r="H17636" t="s">
        <v>2976</v>
      </c>
    </row>
    <row r="17637" spans="8:8" x14ac:dyDescent="0.25">
      <c r="H17637" t="s">
        <v>30</v>
      </c>
    </row>
    <row r="17639" spans="8:8" x14ac:dyDescent="0.25">
      <c r="H17639" t="s">
        <v>2977</v>
      </c>
    </row>
    <row r="17640" spans="8:8" x14ac:dyDescent="0.25">
      <c r="H17640" t="s">
        <v>2978</v>
      </c>
    </row>
    <row r="17641" spans="8:8" x14ac:dyDescent="0.25">
      <c r="H17641" t="s">
        <v>135</v>
      </c>
    </row>
    <row r="17642" spans="8:8" x14ac:dyDescent="0.25">
      <c r="H17642" t="s">
        <v>2979</v>
      </c>
    </row>
    <row r="17643" spans="8:8" x14ac:dyDescent="0.25">
      <c r="H17643" t="s">
        <v>30</v>
      </c>
    </row>
    <row r="17645" spans="8:8" x14ac:dyDescent="0.25">
      <c r="H17645" t="s">
        <v>2980</v>
      </c>
    </row>
    <row r="17646" spans="8:8" x14ac:dyDescent="0.25">
      <c r="H17646" t="s">
        <v>2981</v>
      </c>
    </row>
    <row r="17647" spans="8:8" x14ac:dyDescent="0.25">
      <c r="H17647" t="s">
        <v>135</v>
      </c>
    </row>
    <row r="17648" spans="8:8" x14ac:dyDescent="0.25">
      <c r="H17648" t="s">
        <v>2982</v>
      </c>
    </row>
    <row r="17649" spans="8:8" x14ac:dyDescent="0.25">
      <c r="H17649" t="s">
        <v>30</v>
      </c>
    </row>
    <row r="17651" spans="8:8" x14ac:dyDescent="0.25">
      <c r="H17651" t="s">
        <v>2983</v>
      </c>
    </row>
    <row r="17652" spans="8:8" x14ac:dyDescent="0.25">
      <c r="H17652" t="s">
        <v>2984</v>
      </c>
    </row>
    <row r="17653" spans="8:8" x14ac:dyDescent="0.25">
      <c r="H17653" t="s">
        <v>135</v>
      </c>
    </row>
    <row r="17654" spans="8:8" x14ac:dyDescent="0.25">
      <c r="H17654" t="s">
        <v>2985</v>
      </c>
    </row>
    <row r="17655" spans="8:8" x14ac:dyDescent="0.25">
      <c r="H17655" t="s">
        <v>30</v>
      </c>
    </row>
    <row r="17657" spans="8:8" x14ac:dyDescent="0.25">
      <c r="H17657" t="s">
        <v>2986</v>
      </c>
    </row>
    <row r="17658" spans="8:8" x14ac:dyDescent="0.25">
      <c r="H17658" t="s">
        <v>2987</v>
      </c>
    </row>
    <row r="17659" spans="8:8" x14ac:dyDescent="0.25">
      <c r="H17659" t="s">
        <v>135</v>
      </c>
    </row>
    <row r="17660" spans="8:8" x14ac:dyDescent="0.25">
      <c r="H17660" t="s">
        <v>2988</v>
      </c>
    </row>
    <row r="17661" spans="8:8" x14ac:dyDescent="0.25">
      <c r="H17661" t="s">
        <v>30</v>
      </c>
    </row>
    <row r="17663" spans="8:8" x14ac:dyDescent="0.25">
      <c r="H17663" t="s">
        <v>2989</v>
      </c>
    </row>
    <row r="17664" spans="8:8" x14ac:dyDescent="0.25">
      <c r="H17664" t="s">
        <v>2990</v>
      </c>
    </row>
    <row r="17665" spans="8:8" x14ac:dyDescent="0.25">
      <c r="H17665" t="s">
        <v>135</v>
      </c>
    </row>
    <row r="17666" spans="8:8" x14ac:dyDescent="0.25">
      <c r="H17666" t="s">
        <v>2991</v>
      </c>
    </row>
    <row r="17667" spans="8:8" x14ac:dyDescent="0.25">
      <c r="H17667" t="s">
        <v>30</v>
      </c>
    </row>
    <row r="17669" spans="8:8" x14ac:dyDescent="0.25">
      <c r="H17669" t="s">
        <v>2992</v>
      </c>
    </row>
    <row r="17670" spans="8:8" x14ac:dyDescent="0.25">
      <c r="H17670" t="s">
        <v>2993</v>
      </c>
    </row>
    <row r="17671" spans="8:8" x14ac:dyDescent="0.25">
      <c r="H17671" t="s">
        <v>135</v>
      </c>
    </row>
    <row r="17672" spans="8:8" x14ac:dyDescent="0.25">
      <c r="H17672" t="s">
        <v>2994</v>
      </c>
    </row>
    <row r="17673" spans="8:8" x14ac:dyDescent="0.25">
      <c r="H17673" t="s">
        <v>30</v>
      </c>
    </row>
    <row r="17675" spans="8:8" x14ac:dyDescent="0.25">
      <c r="H17675" t="s">
        <v>2995</v>
      </c>
    </row>
    <row r="17676" spans="8:8" x14ac:dyDescent="0.25">
      <c r="H17676" t="s">
        <v>2996</v>
      </c>
    </row>
    <row r="17677" spans="8:8" x14ac:dyDescent="0.25">
      <c r="H17677" t="s">
        <v>135</v>
      </c>
    </row>
    <row r="17678" spans="8:8" x14ac:dyDescent="0.25">
      <c r="H17678" t="s">
        <v>2997</v>
      </c>
    </row>
    <row r="17679" spans="8:8" x14ac:dyDescent="0.25">
      <c r="H17679" t="s">
        <v>30</v>
      </c>
    </row>
    <row r="17681" spans="8:8" x14ac:dyDescent="0.25">
      <c r="H17681" t="s">
        <v>2998</v>
      </c>
    </row>
    <row r="17682" spans="8:8" x14ac:dyDescent="0.25">
      <c r="H17682" t="s">
        <v>2999</v>
      </c>
    </row>
    <row r="17683" spans="8:8" x14ac:dyDescent="0.25">
      <c r="H17683" t="s">
        <v>135</v>
      </c>
    </row>
    <row r="17684" spans="8:8" x14ac:dyDescent="0.25">
      <c r="H17684" t="s">
        <v>3000</v>
      </c>
    </row>
    <row r="17685" spans="8:8" x14ac:dyDescent="0.25">
      <c r="H17685" t="s">
        <v>30</v>
      </c>
    </row>
    <row r="17687" spans="8:8" x14ac:dyDescent="0.25">
      <c r="H17687" t="s">
        <v>3001</v>
      </c>
    </row>
    <row r="17688" spans="8:8" x14ac:dyDescent="0.25">
      <c r="H17688" t="s">
        <v>3002</v>
      </c>
    </row>
    <row r="17689" spans="8:8" x14ac:dyDescent="0.25">
      <c r="H17689" t="s">
        <v>135</v>
      </c>
    </row>
    <row r="17690" spans="8:8" x14ac:dyDescent="0.25">
      <c r="H17690" t="s">
        <v>3003</v>
      </c>
    </row>
    <row r="17691" spans="8:8" x14ac:dyDescent="0.25">
      <c r="H17691" t="s">
        <v>30</v>
      </c>
    </row>
    <row r="17693" spans="8:8" x14ac:dyDescent="0.25">
      <c r="H17693" t="s">
        <v>3004</v>
      </c>
    </row>
    <row r="17694" spans="8:8" x14ac:dyDescent="0.25">
      <c r="H17694" t="s">
        <v>3005</v>
      </c>
    </row>
    <row r="17695" spans="8:8" x14ac:dyDescent="0.25">
      <c r="H17695" t="s">
        <v>135</v>
      </c>
    </row>
    <row r="17696" spans="8:8" x14ac:dyDescent="0.25">
      <c r="H17696" t="s">
        <v>3006</v>
      </c>
    </row>
    <row r="17697" spans="8:8" x14ac:dyDescent="0.25">
      <c r="H17697" t="s">
        <v>30</v>
      </c>
    </row>
    <row r="17699" spans="8:8" x14ac:dyDescent="0.25">
      <c r="H17699" t="s">
        <v>3007</v>
      </c>
    </row>
    <row r="17700" spans="8:8" x14ac:dyDescent="0.25">
      <c r="H17700" t="s">
        <v>3008</v>
      </c>
    </row>
    <row r="17701" spans="8:8" x14ac:dyDescent="0.25">
      <c r="H17701" t="s">
        <v>135</v>
      </c>
    </row>
    <row r="17702" spans="8:8" x14ac:dyDescent="0.25">
      <c r="H17702" t="s">
        <v>3009</v>
      </c>
    </row>
    <row r="17703" spans="8:8" x14ac:dyDescent="0.25">
      <c r="H17703" t="s">
        <v>30</v>
      </c>
    </row>
    <row r="17705" spans="8:8" x14ac:dyDescent="0.25">
      <c r="H17705" t="s">
        <v>3010</v>
      </c>
    </row>
    <row r="17706" spans="8:8" x14ac:dyDescent="0.25">
      <c r="H17706" t="s">
        <v>3011</v>
      </c>
    </row>
    <row r="17707" spans="8:8" x14ac:dyDescent="0.25">
      <c r="H17707" t="s">
        <v>135</v>
      </c>
    </row>
    <row r="17708" spans="8:8" x14ac:dyDescent="0.25">
      <c r="H17708" t="s">
        <v>3012</v>
      </c>
    </row>
    <row r="17709" spans="8:8" x14ac:dyDescent="0.25">
      <c r="H17709" t="s">
        <v>30</v>
      </c>
    </row>
    <row r="17711" spans="8:8" x14ac:dyDescent="0.25">
      <c r="H17711" t="s">
        <v>3013</v>
      </c>
    </row>
    <row r="17712" spans="8:8" x14ac:dyDescent="0.25">
      <c r="H17712" t="s">
        <v>3014</v>
      </c>
    </row>
    <row r="17713" spans="8:8" x14ac:dyDescent="0.25">
      <c r="H17713" t="s">
        <v>135</v>
      </c>
    </row>
    <row r="17714" spans="8:8" x14ac:dyDescent="0.25">
      <c r="H17714" t="s">
        <v>3015</v>
      </c>
    </row>
    <row r="17715" spans="8:8" x14ac:dyDescent="0.25">
      <c r="H17715" t="s">
        <v>30</v>
      </c>
    </row>
    <row r="17717" spans="8:8" x14ac:dyDescent="0.25">
      <c r="H17717" t="s">
        <v>3016</v>
      </c>
    </row>
    <row r="17718" spans="8:8" x14ac:dyDescent="0.25">
      <c r="H17718" t="s">
        <v>3017</v>
      </c>
    </row>
    <row r="17719" spans="8:8" x14ac:dyDescent="0.25">
      <c r="H17719" t="s">
        <v>135</v>
      </c>
    </row>
    <row r="17720" spans="8:8" x14ac:dyDescent="0.25">
      <c r="H17720" t="s">
        <v>3018</v>
      </c>
    </row>
    <row r="17721" spans="8:8" x14ac:dyDescent="0.25">
      <c r="H17721" t="s">
        <v>30</v>
      </c>
    </row>
    <row r="17723" spans="8:8" x14ac:dyDescent="0.25">
      <c r="H17723" t="s">
        <v>3019</v>
      </c>
    </row>
    <row r="17724" spans="8:8" x14ac:dyDescent="0.25">
      <c r="H17724" t="s">
        <v>3020</v>
      </c>
    </row>
    <row r="17725" spans="8:8" x14ac:dyDescent="0.25">
      <c r="H17725" t="s">
        <v>135</v>
      </c>
    </row>
    <row r="17726" spans="8:8" x14ac:dyDescent="0.25">
      <c r="H17726" t="s">
        <v>3021</v>
      </c>
    </row>
    <row r="17727" spans="8:8" x14ac:dyDescent="0.25">
      <c r="H17727" t="s">
        <v>30</v>
      </c>
    </row>
    <row r="17729" spans="8:8" x14ac:dyDescent="0.25">
      <c r="H17729" t="s">
        <v>3022</v>
      </c>
    </row>
    <row r="17730" spans="8:8" x14ac:dyDescent="0.25">
      <c r="H17730" t="s">
        <v>3023</v>
      </c>
    </row>
    <row r="17731" spans="8:8" x14ac:dyDescent="0.25">
      <c r="H17731" t="s">
        <v>135</v>
      </c>
    </row>
    <row r="17732" spans="8:8" x14ac:dyDescent="0.25">
      <c r="H17732" t="s">
        <v>3024</v>
      </c>
    </row>
    <row r="17733" spans="8:8" x14ac:dyDescent="0.25">
      <c r="H17733" t="s">
        <v>30</v>
      </c>
    </row>
    <row r="17735" spans="8:8" x14ac:dyDescent="0.25">
      <c r="H17735" t="s">
        <v>3025</v>
      </c>
    </row>
    <row r="17736" spans="8:8" x14ac:dyDescent="0.25">
      <c r="H17736" t="s">
        <v>3026</v>
      </c>
    </row>
    <row r="17737" spans="8:8" x14ac:dyDescent="0.25">
      <c r="H17737" t="s">
        <v>135</v>
      </c>
    </row>
    <row r="17738" spans="8:8" x14ac:dyDescent="0.25">
      <c r="H17738" t="s">
        <v>3027</v>
      </c>
    </row>
    <row r="17739" spans="8:8" x14ac:dyDescent="0.25">
      <c r="H17739" t="s">
        <v>30</v>
      </c>
    </row>
    <row r="17741" spans="8:8" x14ac:dyDescent="0.25">
      <c r="H17741" t="s">
        <v>3028</v>
      </c>
    </row>
    <row r="17742" spans="8:8" x14ac:dyDescent="0.25">
      <c r="H17742" t="s">
        <v>3029</v>
      </c>
    </row>
    <row r="17743" spans="8:8" x14ac:dyDescent="0.25">
      <c r="H17743" t="s">
        <v>135</v>
      </c>
    </row>
    <row r="17744" spans="8:8" x14ac:dyDescent="0.25">
      <c r="H17744" t="s">
        <v>3030</v>
      </c>
    </row>
    <row r="17745" spans="8:8" x14ac:dyDescent="0.25">
      <c r="H17745" t="s">
        <v>30</v>
      </c>
    </row>
    <row r="17747" spans="8:8" x14ac:dyDescent="0.25">
      <c r="H17747" t="s">
        <v>3031</v>
      </c>
    </row>
    <row r="17748" spans="8:8" x14ac:dyDescent="0.25">
      <c r="H17748" t="s">
        <v>3032</v>
      </c>
    </row>
    <row r="17749" spans="8:8" x14ac:dyDescent="0.25">
      <c r="H17749" t="s">
        <v>135</v>
      </c>
    </row>
    <row r="17750" spans="8:8" x14ac:dyDescent="0.25">
      <c r="H17750" t="s">
        <v>3033</v>
      </c>
    </row>
    <row r="17751" spans="8:8" x14ac:dyDescent="0.25">
      <c r="H17751" t="s">
        <v>30</v>
      </c>
    </row>
    <row r="17753" spans="8:8" x14ac:dyDescent="0.25">
      <c r="H17753" t="s">
        <v>3034</v>
      </c>
    </row>
    <row r="17754" spans="8:8" x14ac:dyDescent="0.25">
      <c r="H17754" t="s">
        <v>3035</v>
      </c>
    </row>
    <row r="17755" spans="8:8" x14ac:dyDescent="0.25">
      <c r="H17755" t="s">
        <v>135</v>
      </c>
    </row>
    <row r="17756" spans="8:8" x14ac:dyDescent="0.25">
      <c r="H17756" t="s">
        <v>3036</v>
      </c>
    </row>
    <row r="17757" spans="8:8" x14ac:dyDescent="0.25">
      <c r="H17757" t="s">
        <v>30</v>
      </c>
    </row>
    <row r="17759" spans="8:8" x14ac:dyDescent="0.25">
      <c r="H17759" t="s">
        <v>3037</v>
      </c>
    </row>
    <row r="17760" spans="8:8" x14ac:dyDescent="0.25">
      <c r="H17760" t="s">
        <v>3038</v>
      </c>
    </row>
    <row r="17761" spans="8:8" x14ac:dyDescent="0.25">
      <c r="H17761" t="s">
        <v>135</v>
      </c>
    </row>
    <row r="17762" spans="8:8" x14ac:dyDescent="0.25">
      <c r="H17762" t="s">
        <v>3039</v>
      </c>
    </row>
    <row r="17763" spans="8:8" x14ac:dyDescent="0.25">
      <c r="H17763" t="s">
        <v>30</v>
      </c>
    </row>
    <row r="17765" spans="8:8" x14ac:dyDescent="0.25">
      <c r="H17765" t="s">
        <v>3040</v>
      </c>
    </row>
    <row r="17766" spans="8:8" x14ac:dyDescent="0.25">
      <c r="H17766" t="s">
        <v>3041</v>
      </c>
    </row>
    <row r="17767" spans="8:8" x14ac:dyDescent="0.25">
      <c r="H17767" t="s">
        <v>135</v>
      </c>
    </row>
    <row r="17768" spans="8:8" x14ac:dyDescent="0.25">
      <c r="H17768" t="s">
        <v>3042</v>
      </c>
    </row>
    <row r="17769" spans="8:8" x14ac:dyDescent="0.25">
      <c r="H17769" t="s">
        <v>30</v>
      </c>
    </row>
    <row r="17771" spans="8:8" x14ac:dyDescent="0.25">
      <c r="H17771" t="s">
        <v>3043</v>
      </c>
    </row>
    <row r="17772" spans="8:8" x14ac:dyDescent="0.25">
      <c r="H17772" t="s">
        <v>3044</v>
      </c>
    </row>
    <row r="17773" spans="8:8" x14ac:dyDescent="0.25">
      <c r="H17773" t="s">
        <v>135</v>
      </c>
    </row>
    <row r="17774" spans="8:8" x14ac:dyDescent="0.25">
      <c r="H17774" t="s">
        <v>3045</v>
      </c>
    </row>
    <row r="17775" spans="8:8" x14ac:dyDescent="0.25">
      <c r="H17775" t="s">
        <v>30</v>
      </c>
    </row>
    <row r="17777" spans="8:8" x14ac:dyDescent="0.25">
      <c r="H17777" t="s">
        <v>3046</v>
      </c>
    </row>
    <row r="17778" spans="8:8" x14ac:dyDescent="0.25">
      <c r="H17778" t="s">
        <v>3047</v>
      </c>
    </row>
    <row r="17779" spans="8:8" x14ac:dyDescent="0.25">
      <c r="H17779" t="s">
        <v>135</v>
      </c>
    </row>
    <row r="17780" spans="8:8" x14ac:dyDescent="0.25">
      <c r="H17780" t="s">
        <v>3048</v>
      </c>
    </row>
    <row r="17781" spans="8:8" x14ac:dyDescent="0.25">
      <c r="H17781" t="s">
        <v>30</v>
      </c>
    </row>
    <row r="17783" spans="8:8" x14ac:dyDescent="0.25">
      <c r="H17783" t="s">
        <v>3049</v>
      </c>
    </row>
    <row r="17784" spans="8:8" x14ac:dyDescent="0.25">
      <c r="H17784" t="s">
        <v>3050</v>
      </c>
    </row>
    <row r="17785" spans="8:8" x14ac:dyDescent="0.25">
      <c r="H17785" t="s">
        <v>135</v>
      </c>
    </row>
    <row r="17786" spans="8:8" x14ac:dyDescent="0.25">
      <c r="H17786" t="s">
        <v>3051</v>
      </c>
    </row>
    <row r="17787" spans="8:8" x14ac:dyDescent="0.25">
      <c r="H17787" t="s">
        <v>30</v>
      </c>
    </row>
    <row r="17789" spans="8:8" x14ac:dyDescent="0.25">
      <c r="H17789" t="s">
        <v>3052</v>
      </c>
    </row>
    <row r="17790" spans="8:8" x14ac:dyDescent="0.25">
      <c r="H17790" t="s">
        <v>3053</v>
      </c>
    </row>
    <row r="17791" spans="8:8" x14ac:dyDescent="0.25">
      <c r="H17791" t="s">
        <v>135</v>
      </c>
    </row>
    <row r="17792" spans="8:8" x14ac:dyDescent="0.25">
      <c r="H17792" t="s">
        <v>3054</v>
      </c>
    </row>
    <row r="17793" spans="8:8" x14ac:dyDescent="0.25">
      <c r="H17793" t="s">
        <v>30</v>
      </c>
    </row>
    <row r="17795" spans="8:8" x14ac:dyDescent="0.25">
      <c r="H17795" t="s">
        <v>3055</v>
      </c>
    </row>
    <row r="17796" spans="8:8" x14ac:dyDescent="0.25">
      <c r="H17796" t="s">
        <v>3056</v>
      </c>
    </row>
    <row r="17797" spans="8:8" x14ac:dyDescent="0.25">
      <c r="H17797" t="s">
        <v>135</v>
      </c>
    </row>
    <row r="17798" spans="8:8" x14ac:dyDescent="0.25">
      <c r="H17798" t="s">
        <v>3057</v>
      </c>
    </row>
    <row r="17799" spans="8:8" x14ac:dyDescent="0.25">
      <c r="H17799" t="s">
        <v>30</v>
      </c>
    </row>
    <row r="17801" spans="8:8" x14ac:dyDescent="0.25">
      <c r="H17801" t="s">
        <v>3058</v>
      </c>
    </row>
    <row r="17802" spans="8:8" x14ac:dyDescent="0.25">
      <c r="H17802" t="s">
        <v>3059</v>
      </c>
    </row>
    <row r="17803" spans="8:8" x14ac:dyDescent="0.25">
      <c r="H17803" t="s">
        <v>135</v>
      </c>
    </row>
    <row r="17804" spans="8:8" x14ac:dyDescent="0.25">
      <c r="H17804" t="s">
        <v>3060</v>
      </c>
    </row>
    <row r="17805" spans="8:8" x14ac:dyDescent="0.25">
      <c r="H17805" t="s">
        <v>30</v>
      </c>
    </row>
    <row r="17807" spans="8:8" x14ac:dyDescent="0.25">
      <c r="H17807" t="s">
        <v>3061</v>
      </c>
    </row>
    <row r="17808" spans="8:8" x14ac:dyDescent="0.25">
      <c r="H17808" t="s">
        <v>3062</v>
      </c>
    </row>
    <row r="17809" spans="8:8" x14ac:dyDescent="0.25">
      <c r="H17809" t="s">
        <v>135</v>
      </c>
    </row>
    <row r="17810" spans="8:8" x14ac:dyDescent="0.25">
      <c r="H17810" t="s">
        <v>3063</v>
      </c>
    </row>
    <row r="17811" spans="8:8" x14ac:dyDescent="0.25">
      <c r="H17811" t="s">
        <v>30</v>
      </c>
    </row>
    <row r="17813" spans="8:8" x14ac:dyDescent="0.25">
      <c r="H17813" t="s">
        <v>3064</v>
      </c>
    </row>
    <row r="17814" spans="8:8" x14ac:dyDescent="0.25">
      <c r="H17814" t="s">
        <v>3065</v>
      </c>
    </row>
    <row r="17815" spans="8:8" x14ac:dyDescent="0.25">
      <c r="H17815" t="s">
        <v>135</v>
      </c>
    </row>
    <row r="17816" spans="8:8" x14ac:dyDescent="0.25">
      <c r="H17816" t="s">
        <v>3066</v>
      </c>
    </row>
    <row r="17817" spans="8:8" x14ac:dyDescent="0.25">
      <c r="H17817" t="s">
        <v>30</v>
      </c>
    </row>
    <row r="17819" spans="8:8" x14ac:dyDescent="0.25">
      <c r="H17819" t="s">
        <v>3067</v>
      </c>
    </row>
    <row r="17820" spans="8:8" x14ac:dyDescent="0.25">
      <c r="H17820" t="s">
        <v>3068</v>
      </c>
    </row>
    <row r="17821" spans="8:8" x14ac:dyDescent="0.25">
      <c r="H17821" t="s">
        <v>135</v>
      </c>
    </row>
    <row r="17822" spans="8:8" x14ac:dyDescent="0.25">
      <c r="H17822" t="s">
        <v>3069</v>
      </c>
    </row>
    <row r="17823" spans="8:8" x14ac:dyDescent="0.25">
      <c r="H17823" t="s">
        <v>30</v>
      </c>
    </row>
    <row r="17825" spans="8:8" x14ac:dyDescent="0.25">
      <c r="H17825" t="s">
        <v>3070</v>
      </c>
    </row>
    <row r="17826" spans="8:8" x14ac:dyDescent="0.25">
      <c r="H17826" t="s">
        <v>3071</v>
      </c>
    </row>
    <row r="17827" spans="8:8" x14ac:dyDescent="0.25">
      <c r="H17827" t="s">
        <v>135</v>
      </c>
    </row>
    <row r="17828" spans="8:8" x14ac:dyDescent="0.25">
      <c r="H17828" t="s">
        <v>3072</v>
      </c>
    </row>
    <row r="17829" spans="8:8" x14ac:dyDescent="0.25">
      <c r="H17829" t="s">
        <v>30</v>
      </c>
    </row>
    <row r="17831" spans="8:8" x14ac:dyDescent="0.25">
      <c r="H17831" t="s">
        <v>3073</v>
      </c>
    </row>
    <row r="17832" spans="8:8" x14ac:dyDescent="0.25">
      <c r="H17832" t="s">
        <v>3074</v>
      </c>
    </row>
    <row r="17833" spans="8:8" x14ac:dyDescent="0.25">
      <c r="H17833" t="s">
        <v>135</v>
      </c>
    </row>
    <row r="17834" spans="8:8" x14ac:dyDescent="0.25">
      <c r="H17834" t="s">
        <v>3075</v>
      </c>
    </row>
    <row r="17835" spans="8:8" x14ac:dyDescent="0.25">
      <c r="H17835" t="s">
        <v>30</v>
      </c>
    </row>
    <row r="17837" spans="8:8" x14ac:dyDescent="0.25">
      <c r="H17837" t="s">
        <v>3076</v>
      </c>
    </row>
    <row r="17838" spans="8:8" x14ac:dyDescent="0.25">
      <c r="H17838" t="s">
        <v>3077</v>
      </c>
    </row>
    <row r="17839" spans="8:8" x14ac:dyDescent="0.25">
      <c r="H17839" t="s">
        <v>135</v>
      </c>
    </row>
    <row r="17840" spans="8:8" x14ac:dyDescent="0.25">
      <c r="H17840" t="s">
        <v>3078</v>
      </c>
    </row>
    <row r="17841" spans="8:8" x14ac:dyDescent="0.25">
      <c r="H17841" t="s">
        <v>30</v>
      </c>
    </row>
    <row r="17843" spans="8:8" x14ac:dyDescent="0.25">
      <c r="H17843" t="s">
        <v>3079</v>
      </c>
    </row>
    <row r="17844" spans="8:8" x14ac:dyDescent="0.25">
      <c r="H17844" t="s">
        <v>3080</v>
      </c>
    </row>
    <row r="17845" spans="8:8" x14ac:dyDescent="0.25">
      <c r="H17845" t="s">
        <v>135</v>
      </c>
    </row>
    <row r="17846" spans="8:8" x14ac:dyDescent="0.25">
      <c r="H17846" t="s">
        <v>3081</v>
      </c>
    </row>
    <row r="17847" spans="8:8" x14ac:dyDescent="0.25">
      <c r="H17847" t="s">
        <v>30</v>
      </c>
    </row>
    <row r="17849" spans="8:8" x14ac:dyDescent="0.25">
      <c r="H17849" t="s">
        <v>3082</v>
      </c>
    </row>
    <row r="17850" spans="8:8" x14ac:dyDescent="0.25">
      <c r="H17850" t="s">
        <v>3083</v>
      </c>
    </row>
    <row r="17851" spans="8:8" x14ac:dyDescent="0.25">
      <c r="H17851" t="s">
        <v>135</v>
      </c>
    </row>
    <row r="17852" spans="8:8" x14ac:dyDescent="0.25">
      <c r="H17852" t="s">
        <v>3084</v>
      </c>
    </row>
    <row r="17853" spans="8:8" x14ac:dyDescent="0.25">
      <c r="H17853" t="s">
        <v>30</v>
      </c>
    </row>
    <row r="17855" spans="8:8" x14ac:dyDescent="0.25">
      <c r="H17855" t="s">
        <v>3085</v>
      </c>
    </row>
    <row r="17856" spans="8:8" x14ac:dyDescent="0.25">
      <c r="H17856" t="s">
        <v>3086</v>
      </c>
    </row>
    <row r="17857" spans="8:8" x14ac:dyDescent="0.25">
      <c r="H17857" t="s">
        <v>135</v>
      </c>
    </row>
    <row r="17858" spans="8:8" x14ac:dyDescent="0.25">
      <c r="H17858" t="s">
        <v>3087</v>
      </c>
    </row>
    <row r="17859" spans="8:8" x14ac:dyDescent="0.25">
      <c r="H17859" t="s">
        <v>30</v>
      </c>
    </row>
    <row r="17861" spans="8:8" x14ac:dyDescent="0.25">
      <c r="H17861" t="s">
        <v>3088</v>
      </c>
    </row>
    <row r="17862" spans="8:8" x14ac:dyDescent="0.25">
      <c r="H17862" t="s">
        <v>3089</v>
      </c>
    </row>
    <row r="17863" spans="8:8" x14ac:dyDescent="0.25">
      <c r="H17863" t="s">
        <v>135</v>
      </c>
    </row>
    <row r="17864" spans="8:8" x14ac:dyDescent="0.25">
      <c r="H17864" t="s">
        <v>3090</v>
      </c>
    </row>
    <row r="17865" spans="8:8" x14ac:dyDescent="0.25">
      <c r="H17865" t="s">
        <v>30</v>
      </c>
    </row>
    <row r="17867" spans="8:8" x14ac:dyDescent="0.25">
      <c r="H17867" t="s">
        <v>3091</v>
      </c>
    </row>
    <row r="17868" spans="8:8" x14ac:dyDescent="0.25">
      <c r="H17868" t="s">
        <v>3092</v>
      </c>
    </row>
    <row r="17869" spans="8:8" x14ac:dyDescent="0.25">
      <c r="H17869" t="s">
        <v>135</v>
      </c>
    </row>
    <row r="17870" spans="8:8" x14ac:dyDescent="0.25">
      <c r="H17870" t="s">
        <v>3093</v>
      </c>
    </row>
    <row r="17871" spans="8:8" x14ac:dyDescent="0.25">
      <c r="H17871" t="s">
        <v>30</v>
      </c>
    </row>
    <row r="17873" spans="8:8" x14ac:dyDescent="0.25">
      <c r="H17873" t="s">
        <v>3094</v>
      </c>
    </row>
    <row r="17874" spans="8:8" x14ac:dyDescent="0.25">
      <c r="H17874" t="s">
        <v>3095</v>
      </c>
    </row>
    <row r="17875" spans="8:8" x14ac:dyDescent="0.25">
      <c r="H17875" t="s">
        <v>135</v>
      </c>
    </row>
    <row r="17876" spans="8:8" x14ac:dyDescent="0.25">
      <c r="H17876" t="s">
        <v>3096</v>
      </c>
    </row>
    <row r="17877" spans="8:8" x14ac:dyDescent="0.25">
      <c r="H17877" t="s">
        <v>30</v>
      </c>
    </row>
    <row r="17879" spans="8:8" x14ac:dyDescent="0.25">
      <c r="H17879" t="s">
        <v>3097</v>
      </c>
    </row>
    <row r="17880" spans="8:8" x14ac:dyDescent="0.25">
      <c r="H17880" t="s">
        <v>3098</v>
      </c>
    </row>
    <row r="17881" spans="8:8" x14ac:dyDescent="0.25">
      <c r="H17881" t="s">
        <v>135</v>
      </c>
    </row>
    <row r="17882" spans="8:8" x14ac:dyDescent="0.25">
      <c r="H17882" t="s">
        <v>3099</v>
      </c>
    </row>
    <row r="17883" spans="8:8" x14ac:dyDescent="0.25">
      <c r="H17883" t="s">
        <v>30</v>
      </c>
    </row>
    <row r="17885" spans="8:8" x14ac:dyDescent="0.25">
      <c r="H17885" t="s">
        <v>3100</v>
      </c>
    </row>
    <row r="17886" spans="8:8" x14ac:dyDescent="0.25">
      <c r="H17886" t="s">
        <v>3101</v>
      </c>
    </row>
    <row r="17887" spans="8:8" x14ac:dyDescent="0.25">
      <c r="H17887" t="s">
        <v>135</v>
      </c>
    </row>
    <row r="17888" spans="8:8" x14ac:dyDescent="0.25">
      <c r="H17888" t="s">
        <v>3102</v>
      </c>
    </row>
    <row r="17889" spans="8:8" x14ac:dyDescent="0.25">
      <c r="H17889" t="s">
        <v>30</v>
      </c>
    </row>
    <row r="17891" spans="8:8" x14ac:dyDescent="0.25">
      <c r="H17891" t="s">
        <v>3103</v>
      </c>
    </row>
    <row r="17892" spans="8:8" x14ac:dyDescent="0.25">
      <c r="H17892" t="s">
        <v>3104</v>
      </c>
    </row>
    <row r="17893" spans="8:8" x14ac:dyDescent="0.25">
      <c r="H17893" t="s">
        <v>135</v>
      </c>
    </row>
    <row r="17894" spans="8:8" x14ac:dyDescent="0.25">
      <c r="H17894" t="s">
        <v>3105</v>
      </c>
    </row>
    <row r="17895" spans="8:8" x14ac:dyDescent="0.25">
      <c r="H17895" t="s">
        <v>30</v>
      </c>
    </row>
    <row r="17897" spans="8:8" x14ac:dyDescent="0.25">
      <c r="H17897" t="s">
        <v>3106</v>
      </c>
    </row>
    <row r="17898" spans="8:8" x14ac:dyDescent="0.25">
      <c r="H17898" t="s">
        <v>3107</v>
      </c>
    </row>
    <row r="17899" spans="8:8" x14ac:dyDescent="0.25">
      <c r="H17899" t="s">
        <v>135</v>
      </c>
    </row>
    <row r="17900" spans="8:8" x14ac:dyDescent="0.25">
      <c r="H17900" t="s">
        <v>3108</v>
      </c>
    </row>
    <row r="17901" spans="8:8" x14ac:dyDescent="0.25">
      <c r="H17901" t="s">
        <v>30</v>
      </c>
    </row>
    <row r="17903" spans="8:8" x14ac:dyDescent="0.25">
      <c r="H17903" t="s">
        <v>3109</v>
      </c>
    </row>
    <row r="17904" spans="8:8" x14ac:dyDescent="0.25">
      <c r="H17904" t="s">
        <v>3110</v>
      </c>
    </row>
    <row r="17905" spans="8:8" x14ac:dyDescent="0.25">
      <c r="H17905" t="s">
        <v>135</v>
      </c>
    </row>
    <row r="17906" spans="8:8" x14ac:dyDescent="0.25">
      <c r="H17906" t="s">
        <v>3111</v>
      </c>
    </row>
    <row r="17907" spans="8:8" x14ac:dyDescent="0.25">
      <c r="H17907" t="s">
        <v>30</v>
      </c>
    </row>
    <row r="17909" spans="8:8" x14ac:dyDescent="0.25">
      <c r="H17909" t="s">
        <v>3112</v>
      </c>
    </row>
    <row r="17910" spans="8:8" x14ac:dyDescent="0.25">
      <c r="H17910" t="s">
        <v>3113</v>
      </c>
    </row>
    <row r="17911" spans="8:8" x14ac:dyDescent="0.25">
      <c r="H17911" t="s">
        <v>135</v>
      </c>
    </row>
    <row r="17912" spans="8:8" x14ac:dyDescent="0.25">
      <c r="H17912" t="s">
        <v>3114</v>
      </c>
    </row>
    <row r="17913" spans="8:8" x14ac:dyDescent="0.25">
      <c r="H17913" t="s">
        <v>30</v>
      </c>
    </row>
    <row r="17915" spans="8:8" x14ac:dyDescent="0.25">
      <c r="H17915" t="s">
        <v>3115</v>
      </c>
    </row>
    <row r="17916" spans="8:8" x14ac:dyDescent="0.25">
      <c r="H17916" t="s">
        <v>3116</v>
      </c>
    </row>
    <row r="17917" spans="8:8" x14ac:dyDescent="0.25">
      <c r="H17917" t="s">
        <v>135</v>
      </c>
    </row>
    <row r="17918" spans="8:8" x14ac:dyDescent="0.25">
      <c r="H17918" t="s">
        <v>3117</v>
      </c>
    </row>
    <row r="17919" spans="8:8" x14ac:dyDescent="0.25">
      <c r="H17919" t="s">
        <v>30</v>
      </c>
    </row>
    <row r="17921" spans="8:8" x14ac:dyDescent="0.25">
      <c r="H17921" t="s">
        <v>3118</v>
      </c>
    </row>
    <row r="17922" spans="8:8" x14ac:dyDescent="0.25">
      <c r="H17922" t="s">
        <v>3119</v>
      </c>
    </row>
    <row r="17923" spans="8:8" x14ac:dyDescent="0.25">
      <c r="H17923" t="s">
        <v>135</v>
      </c>
    </row>
    <row r="17924" spans="8:8" x14ac:dyDescent="0.25">
      <c r="H17924" t="s">
        <v>3120</v>
      </c>
    </row>
    <row r="17925" spans="8:8" x14ac:dyDescent="0.25">
      <c r="H17925" t="s">
        <v>30</v>
      </c>
    </row>
    <row r="17927" spans="8:8" x14ac:dyDescent="0.25">
      <c r="H17927" t="s">
        <v>3121</v>
      </c>
    </row>
    <row r="17928" spans="8:8" x14ac:dyDescent="0.25">
      <c r="H17928" t="s">
        <v>3122</v>
      </c>
    </row>
    <row r="17929" spans="8:8" x14ac:dyDescent="0.25">
      <c r="H17929" t="s">
        <v>135</v>
      </c>
    </row>
    <row r="17930" spans="8:8" x14ac:dyDescent="0.25">
      <c r="H17930" t="s">
        <v>3123</v>
      </c>
    </row>
    <row r="17931" spans="8:8" x14ac:dyDescent="0.25">
      <c r="H17931" t="s">
        <v>30</v>
      </c>
    </row>
    <row r="17933" spans="8:8" x14ac:dyDescent="0.25">
      <c r="H17933" t="s">
        <v>3124</v>
      </c>
    </row>
    <row r="17934" spans="8:8" x14ac:dyDescent="0.25">
      <c r="H17934" t="s">
        <v>3125</v>
      </c>
    </row>
    <row r="17935" spans="8:8" x14ac:dyDescent="0.25">
      <c r="H17935" t="s">
        <v>135</v>
      </c>
    </row>
    <row r="17936" spans="8:8" x14ac:dyDescent="0.25">
      <c r="H17936" t="s">
        <v>3126</v>
      </c>
    </row>
    <row r="17937" spans="8:8" x14ac:dyDescent="0.25">
      <c r="H17937" t="s">
        <v>30</v>
      </c>
    </row>
    <row r="17939" spans="8:8" x14ac:dyDescent="0.25">
      <c r="H17939" t="s">
        <v>3127</v>
      </c>
    </row>
    <row r="17940" spans="8:8" x14ac:dyDescent="0.25">
      <c r="H17940" t="s">
        <v>3128</v>
      </c>
    </row>
    <row r="17941" spans="8:8" x14ac:dyDescent="0.25">
      <c r="H17941" t="s">
        <v>135</v>
      </c>
    </row>
    <row r="17942" spans="8:8" x14ac:dyDescent="0.25">
      <c r="H17942" t="s">
        <v>3129</v>
      </c>
    </row>
    <row r="17943" spans="8:8" x14ac:dyDescent="0.25">
      <c r="H17943" t="s">
        <v>30</v>
      </c>
    </row>
    <row r="17945" spans="8:8" x14ac:dyDescent="0.25">
      <c r="H17945" t="s">
        <v>3130</v>
      </c>
    </row>
    <row r="17946" spans="8:8" x14ac:dyDescent="0.25">
      <c r="H17946" t="s">
        <v>3131</v>
      </c>
    </row>
    <row r="17947" spans="8:8" x14ac:dyDescent="0.25">
      <c r="H17947" t="s">
        <v>135</v>
      </c>
    </row>
    <row r="17948" spans="8:8" x14ac:dyDescent="0.25">
      <c r="H17948" t="s">
        <v>3132</v>
      </c>
    </row>
    <row r="17949" spans="8:8" x14ac:dyDescent="0.25">
      <c r="H17949" t="s">
        <v>30</v>
      </c>
    </row>
    <row r="17951" spans="8:8" x14ac:dyDescent="0.25">
      <c r="H17951" t="s">
        <v>3133</v>
      </c>
    </row>
    <row r="17952" spans="8:8" x14ac:dyDescent="0.25">
      <c r="H17952" t="s">
        <v>3134</v>
      </c>
    </row>
    <row r="17953" spans="8:8" x14ac:dyDescent="0.25">
      <c r="H17953" t="s">
        <v>135</v>
      </c>
    </row>
    <row r="17954" spans="8:8" x14ac:dyDescent="0.25">
      <c r="H17954" t="s">
        <v>3135</v>
      </c>
    </row>
    <row r="17955" spans="8:8" x14ac:dyDescent="0.25">
      <c r="H17955" t="s">
        <v>30</v>
      </c>
    </row>
    <row r="17957" spans="8:8" x14ac:dyDescent="0.25">
      <c r="H17957" t="s">
        <v>3136</v>
      </c>
    </row>
    <row r="17958" spans="8:8" x14ac:dyDescent="0.25">
      <c r="H17958" t="s">
        <v>3137</v>
      </c>
    </row>
    <row r="17959" spans="8:8" x14ac:dyDescent="0.25">
      <c r="H17959" t="s">
        <v>135</v>
      </c>
    </row>
    <row r="17960" spans="8:8" x14ac:dyDescent="0.25">
      <c r="H17960" t="s">
        <v>3138</v>
      </c>
    </row>
    <row r="17961" spans="8:8" x14ac:dyDescent="0.25">
      <c r="H17961" t="s">
        <v>30</v>
      </c>
    </row>
    <row r="17963" spans="8:8" x14ac:dyDescent="0.25">
      <c r="H17963" t="s">
        <v>3139</v>
      </c>
    </row>
    <row r="17964" spans="8:8" x14ac:dyDescent="0.25">
      <c r="H17964" t="s">
        <v>3140</v>
      </c>
    </row>
    <row r="17965" spans="8:8" x14ac:dyDescent="0.25">
      <c r="H17965" t="s">
        <v>135</v>
      </c>
    </row>
    <row r="17966" spans="8:8" x14ac:dyDescent="0.25">
      <c r="H17966" t="s">
        <v>3141</v>
      </c>
    </row>
    <row r="17967" spans="8:8" x14ac:dyDescent="0.25">
      <c r="H17967" t="s">
        <v>30</v>
      </c>
    </row>
    <row r="17969" spans="8:8" x14ac:dyDescent="0.25">
      <c r="H17969" t="s">
        <v>3142</v>
      </c>
    </row>
    <row r="17970" spans="8:8" x14ac:dyDescent="0.25">
      <c r="H17970" t="s">
        <v>3143</v>
      </c>
    </row>
    <row r="17971" spans="8:8" x14ac:dyDescent="0.25">
      <c r="H17971" t="s">
        <v>135</v>
      </c>
    </row>
    <row r="17972" spans="8:8" x14ac:dyDescent="0.25">
      <c r="H17972" t="s">
        <v>3144</v>
      </c>
    </row>
    <row r="17973" spans="8:8" x14ac:dyDescent="0.25">
      <c r="H17973" t="s">
        <v>30</v>
      </c>
    </row>
    <row r="17975" spans="8:8" x14ac:dyDescent="0.25">
      <c r="H17975" t="s">
        <v>3145</v>
      </c>
    </row>
    <row r="17976" spans="8:8" x14ac:dyDescent="0.25">
      <c r="H17976" t="s">
        <v>3146</v>
      </c>
    </row>
    <row r="17977" spans="8:8" x14ac:dyDescent="0.25">
      <c r="H17977" t="s">
        <v>135</v>
      </c>
    </row>
    <row r="17978" spans="8:8" x14ac:dyDescent="0.25">
      <c r="H17978" t="s">
        <v>3147</v>
      </c>
    </row>
    <row r="17979" spans="8:8" x14ac:dyDescent="0.25">
      <c r="H17979" t="s">
        <v>30</v>
      </c>
    </row>
    <row r="17981" spans="8:8" x14ac:dyDescent="0.25">
      <c r="H17981" t="s">
        <v>3148</v>
      </c>
    </row>
    <row r="17982" spans="8:8" x14ac:dyDescent="0.25">
      <c r="H17982" t="s">
        <v>3149</v>
      </c>
    </row>
    <row r="17983" spans="8:8" x14ac:dyDescent="0.25">
      <c r="H17983" t="s">
        <v>135</v>
      </c>
    </row>
    <row r="17984" spans="8:8" x14ac:dyDescent="0.25">
      <c r="H17984" t="s">
        <v>3150</v>
      </c>
    </row>
    <row r="17985" spans="8:8" x14ac:dyDescent="0.25">
      <c r="H17985" t="s">
        <v>30</v>
      </c>
    </row>
    <row r="17987" spans="8:8" x14ac:dyDescent="0.25">
      <c r="H17987" t="s">
        <v>3151</v>
      </c>
    </row>
    <row r="17988" spans="8:8" x14ac:dyDescent="0.25">
      <c r="H17988" t="s">
        <v>3152</v>
      </c>
    </row>
    <row r="17989" spans="8:8" x14ac:dyDescent="0.25">
      <c r="H17989" t="s">
        <v>135</v>
      </c>
    </row>
    <row r="17990" spans="8:8" x14ac:dyDescent="0.25">
      <c r="H17990" t="s">
        <v>3153</v>
      </c>
    </row>
    <row r="17991" spans="8:8" x14ac:dyDescent="0.25">
      <c r="H17991" t="s">
        <v>30</v>
      </c>
    </row>
    <row r="17993" spans="8:8" x14ac:dyDescent="0.25">
      <c r="H17993" t="s">
        <v>3154</v>
      </c>
    </row>
    <row r="17994" spans="8:8" x14ac:dyDescent="0.25">
      <c r="H17994" t="s">
        <v>3155</v>
      </c>
    </row>
    <row r="17995" spans="8:8" x14ac:dyDescent="0.25">
      <c r="H17995" t="s">
        <v>135</v>
      </c>
    </row>
    <row r="17996" spans="8:8" x14ac:dyDescent="0.25">
      <c r="H17996" t="s">
        <v>3156</v>
      </c>
    </row>
    <row r="17997" spans="8:8" x14ac:dyDescent="0.25">
      <c r="H17997" t="s">
        <v>30</v>
      </c>
    </row>
    <row r="17999" spans="8:8" x14ac:dyDescent="0.25">
      <c r="H17999" t="s">
        <v>3157</v>
      </c>
    </row>
    <row r="18000" spans="8:8" x14ac:dyDescent="0.25">
      <c r="H18000" t="s">
        <v>3158</v>
      </c>
    </row>
    <row r="18001" spans="8:8" x14ac:dyDescent="0.25">
      <c r="H18001" t="s">
        <v>135</v>
      </c>
    </row>
    <row r="18002" spans="8:8" x14ac:dyDescent="0.25">
      <c r="H18002" t="s">
        <v>3159</v>
      </c>
    </row>
    <row r="18003" spans="8:8" x14ac:dyDescent="0.25">
      <c r="H18003" t="s">
        <v>30</v>
      </c>
    </row>
    <row r="18005" spans="8:8" x14ac:dyDescent="0.25">
      <c r="H18005" t="s">
        <v>3160</v>
      </c>
    </row>
    <row r="18006" spans="8:8" x14ac:dyDescent="0.25">
      <c r="H18006" t="s">
        <v>3161</v>
      </c>
    </row>
    <row r="18007" spans="8:8" x14ac:dyDescent="0.25">
      <c r="H18007" t="s">
        <v>135</v>
      </c>
    </row>
    <row r="18008" spans="8:8" x14ac:dyDescent="0.25">
      <c r="H18008" t="s">
        <v>3162</v>
      </c>
    </row>
    <row r="18009" spans="8:8" x14ac:dyDescent="0.25">
      <c r="H18009" t="s">
        <v>30</v>
      </c>
    </row>
    <row r="18011" spans="8:8" x14ac:dyDescent="0.25">
      <c r="H18011" t="s">
        <v>3163</v>
      </c>
    </row>
    <row r="18012" spans="8:8" x14ac:dyDescent="0.25">
      <c r="H18012" t="s">
        <v>3164</v>
      </c>
    </row>
    <row r="18013" spans="8:8" x14ac:dyDescent="0.25">
      <c r="H18013" t="s">
        <v>135</v>
      </c>
    </row>
    <row r="18014" spans="8:8" x14ac:dyDescent="0.25">
      <c r="H18014" t="s">
        <v>3165</v>
      </c>
    </row>
    <row r="18015" spans="8:8" x14ac:dyDescent="0.25">
      <c r="H18015" t="s">
        <v>30</v>
      </c>
    </row>
    <row r="18017" spans="8:8" x14ac:dyDescent="0.25">
      <c r="H18017" t="s">
        <v>3166</v>
      </c>
    </row>
    <row r="18018" spans="8:8" x14ac:dyDescent="0.25">
      <c r="H18018" t="s">
        <v>3167</v>
      </c>
    </row>
    <row r="18019" spans="8:8" x14ac:dyDescent="0.25">
      <c r="H18019" t="s">
        <v>135</v>
      </c>
    </row>
    <row r="18020" spans="8:8" x14ac:dyDescent="0.25">
      <c r="H18020" t="s">
        <v>3168</v>
      </c>
    </row>
    <row r="18021" spans="8:8" x14ac:dyDescent="0.25">
      <c r="H18021" t="s">
        <v>30</v>
      </c>
    </row>
    <row r="18023" spans="8:8" x14ac:dyDescent="0.25">
      <c r="H18023" t="s">
        <v>3169</v>
      </c>
    </row>
    <row r="18024" spans="8:8" x14ac:dyDescent="0.25">
      <c r="H18024" t="s">
        <v>3170</v>
      </c>
    </row>
    <row r="18025" spans="8:8" x14ac:dyDescent="0.25">
      <c r="H18025" t="s">
        <v>135</v>
      </c>
    </row>
    <row r="18026" spans="8:8" x14ac:dyDescent="0.25">
      <c r="H18026" t="s">
        <v>3171</v>
      </c>
    </row>
    <row r="18027" spans="8:8" x14ac:dyDescent="0.25">
      <c r="H18027" t="s">
        <v>30</v>
      </c>
    </row>
    <row r="18029" spans="8:8" x14ac:dyDescent="0.25">
      <c r="H18029" t="s">
        <v>3172</v>
      </c>
    </row>
    <row r="18030" spans="8:8" x14ac:dyDescent="0.25">
      <c r="H18030" t="s">
        <v>3173</v>
      </c>
    </row>
    <row r="18031" spans="8:8" x14ac:dyDescent="0.25">
      <c r="H18031" t="s">
        <v>135</v>
      </c>
    </row>
    <row r="18032" spans="8:8" x14ac:dyDescent="0.25">
      <c r="H18032" t="s">
        <v>3174</v>
      </c>
    </row>
    <row r="18033" spans="8:8" x14ac:dyDescent="0.25">
      <c r="H18033" t="s">
        <v>30</v>
      </c>
    </row>
    <row r="18035" spans="8:8" x14ac:dyDescent="0.25">
      <c r="H18035" t="s">
        <v>3175</v>
      </c>
    </row>
    <row r="18036" spans="8:8" x14ac:dyDescent="0.25">
      <c r="H18036" t="s">
        <v>3176</v>
      </c>
    </row>
    <row r="18037" spans="8:8" x14ac:dyDescent="0.25">
      <c r="H18037" t="s">
        <v>135</v>
      </c>
    </row>
    <row r="18038" spans="8:8" x14ac:dyDescent="0.25">
      <c r="H18038" t="s">
        <v>3177</v>
      </c>
    </row>
    <row r="18039" spans="8:8" x14ac:dyDescent="0.25">
      <c r="H18039" t="s">
        <v>30</v>
      </c>
    </row>
    <row r="18041" spans="8:8" x14ac:dyDescent="0.25">
      <c r="H18041" t="s">
        <v>3178</v>
      </c>
    </row>
    <row r="18042" spans="8:8" x14ac:dyDescent="0.25">
      <c r="H18042" t="s">
        <v>3179</v>
      </c>
    </row>
    <row r="18043" spans="8:8" x14ac:dyDescent="0.25">
      <c r="H18043" t="s">
        <v>135</v>
      </c>
    </row>
    <row r="18044" spans="8:8" x14ac:dyDescent="0.25">
      <c r="H18044" t="s">
        <v>3180</v>
      </c>
    </row>
    <row r="18045" spans="8:8" x14ac:dyDescent="0.25">
      <c r="H18045" t="s">
        <v>30</v>
      </c>
    </row>
    <row r="18047" spans="8:8" x14ac:dyDescent="0.25">
      <c r="H18047" t="s">
        <v>3181</v>
      </c>
    </row>
    <row r="18048" spans="8:8" x14ac:dyDescent="0.25">
      <c r="H18048" t="s">
        <v>3182</v>
      </c>
    </row>
    <row r="18049" spans="8:8" x14ac:dyDescent="0.25">
      <c r="H18049" t="s">
        <v>135</v>
      </c>
    </row>
    <row r="18050" spans="8:8" x14ac:dyDescent="0.25">
      <c r="H18050" t="s">
        <v>3183</v>
      </c>
    </row>
    <row r="18051" spans="8:8" x14ac:dyDescent="0.25">
      <c r="H18051" t="s">
        <v>30</v>
      </c>
    </row>
    <row r="18053" spans="8:8" x14ac:dyDescent="0.25">
      <c r="H18053" t="s">
        <v>3184</v>
      </c>
    </row>
    <row r="18054" spans="8:8" x14ac:dyDescent="0.25">
      <c r="H18054" t="s">
        <v>3185</v>
      </c>
    </row>
    <row r="18055" spans="8:8" x14ac:dyDescent="0.25">
      <c r="H18055" t="s">
        <v>135</v>
      </c>
    </row>
    <row r="18056" spans="8:8" x14ac:dyDescent="0.25">
      <c r="H18056" t="s">
        <v>3186</v>
      </c>
    </row>
    <row r="18057" spans="8:8" x14ac:dyDescent="0.25">
      <c r="H18057" t="s">
        <v>30</v>
      </c>
    </row>
    <row r="18059" spans="8:8" x14ac:dyDescent="0.25">
      <c r="H18059" t="s">
        <v>3187</v>
      </c>
    </row>
    <row r="18060" spans="8:8" x14ac:dyDescent="0.25">
      <c r="H18060" t="s">
        <v>3188</v>
      </c>
    </row>
    <row r="18061" spans="8:8" x14ac:dyDescent="0.25">
      <c r="H18061" t="s">
        <v>135</v>
      </c>
    </row>
    <row r="18062" spans="8:8" x14ac:dyDescent="0.25">
      <c r="H18062" t="s">
        <v>3189</v>
      </c>
    </row>
    <row r="18063" spans="8:8" x14ac:dyDescent="0.25">
      <c r="H18063" t="s">
        <v>30</v>
      </c>
    </row>
    <row r="18065" spans="8:8" x14ac:dyDescent="0.25">
      <c r="H18065" t="s">
        <v>3190</v>
      </c>
    </row>
    <row r="18066" spans="8:8" x14ac:dyDescent="0.25">
      <c r="H18066" t="s">
        <v>3191</v>
      </c>
    </row>
    <row r="18067" spans="8:8" x14ac:dyDescent="0.25">
      <c r="H18067" t="s">
        <v>135</v>
      </c>
    </row>
    <row r="18068" spans="8:8" x14ac:dyDescent="0.25">
      <c r="H18068" t="s">
        <v>3192</v>
      </c>
    </row>
    <row r="18069" spans="8:8" x14ac:dyDescent="0.25">
      <c r="H18069" t="s">
        <v>30</v>
      </c>
    </row>
    <row r="18071" spans="8:8" x14ac:dyDescent="0.25">
      <c r="H18071" t="s">
        <v>3193</v>
      </c>
    </row>
    <row r="18072" spans="8:8" x14ac:dyDescent="0.25">
      <c r="H18072" t="s">
        <v>3194</v>
      </c>
    </row>
    <row r="18073" spans="8:8" x14ac:dyDescent="0.25">
      <c r="H18073" t="s">
        <v>135</v>
      </c>
    </row>
    <row r="18074" spans="8:8" x14ac:dyDescent="0.25">
      <c r="H18074" t="s">
        <v>3195</v>
      </c>
    </row>
    <row r="18075" spans="8:8" x14ac:dyDescent="0.25">
      <c r="H18075" t="s">
        <v>30</v>
      </c>
    </row>
    <row r="18077" spans="8:8" x14ac:dyDescent="0.25">
      <c r="H18077" t="s">
        <v>3196</v>
      </c>
    </row>
    <row r="18078" spans="8:8" x14ac:dyDescent="0.25">
      <c r="H18078" t="s">
        <v>3197</v>
      </c>
    </row>
    <row r="18079" spans="8:8" x14ac:dyDescent="0.25">
      <c r="H18079" t="s">
        <v>135</v>
      </c>
    </row>
    <row r="18080" spans="8:8" x14ac:dyDescent="0.25">
      <c r="H18080" t="s">
        <v>3198</v>
      </c>
    </row>
    <row r="18081" spans="8:8" x14ac:dyDescent="0.25">
      <c r="H18081" t="s">
        <v>30</v>
      </c>
    </row>
    <row r="18083" spans="8:8" x14ac:dyDescent="0.25">
      <c r="H18083" t="s">
        <v>3199</v>
      </c>
    </row>
    <row r="18084" spans="8:8" x14ac:dyDescent="0.25">
      <c r="H18084" t="s">
        <v>3200</v>
      </c>
    </row>
    <row r="18085" spans="8:8" x14ac:dyDescent="0.25">
      <c r="H18085" t="s">
        <v>135</v>
      </c>
    </row>
    <row r="18086" spans="8:8" x14ac:dyDescent="0.25">
      <c r="H18086" t="s">
        <v>3201</v>
      </c>
    </row>
    <row r="18087" spans="8:8" x14ac:dyDescent="0.25">
      <c r="H18087" t="s">
        <v>30</v>
      </c>
    </row>
    <row r="18089" spans="8:8" x14ac:dyDescent="0.25">
      <c r="H18089" t="s">
        <v>3202</v>
      </c>
    </row>
    <row r="18090" spans="8:8" x14ac:dyDescent="0.25">
      <c r="H18090" t="s">
        <v>3203</v>
      </c>
    </row>
    <row r="18091" spans="8:8" x14ac:dyDescent="0.25">
      <c r="H18091" t="s">
        <v>135</v>
      </c>
    </row>
    <row r="18092" spans="8:8" x14ac:dyDescent="0.25">
      <c r="H18092" t="s">
        <v>3204</v>
      </c>
    </row>
    <row r="18093" spans="8:8" x14ac:dyDescent="0.25">
      <c r="H18093" t="s">
        <v>30</v>
      </c>
    </row>
    <row r="18095" spans="8:8" x14ac:dyDescent="0.25">
      <c r="H18095" t="s">
        <v>3205</v>
      </c>
    </row>
    <row r="18096" spans="8:8" x14ac:dyDescent="0.25">
      <c r="H18096" t="s">
        <v>3206</v>
      </c>
    </row>
    <row r="18097" spans="8:8" x14ac:dyDescent="0.25">
      <c r="H18097" t="s">
        <v>135</v>
      </c>
    </row>
    <row r="18098" spans="8:8" x14ac:dyDescent="0.25">
      <c r="H18098" t="s">
        <v>3207</v>
      </c>
    </row>
    <row r="18099" spans="8:8" x14ac:dyDescent="0.25">
      <c r="H18099" t="s">
        <v>30</v>
      </c>
    </row>
    <row r="18101" spans="8:8" x14ac:dyDescent="0.25">
      <c r="H18101" t="s">
        <v>3208</v>
      </c>
    </row>
    <row r="18102" spans="8:8" x14ac:dyDescent="0.25">
      <c r="H18102" t="s">
        <v>3209</v>
      </c>
    </row>
    <row r="18103" spans="8:8" x14ac:dyDescent="0.25">
      <c r="H18103" t="s">
        <v>135</v>
      </c>
    </row>
    <row r="18104" spans="8:8" x14ac:dyDescent="0.25">
      <c r="H18104" t="s">
        <v>3210</v>
      </c>
    </row>
    <row r="18105" spans="8:8" x14ac:dyDescent="0.25">
      <c r="H18105" t="s">
        <v>30</v>
      </c>
    </row>
    <row r="18107" spans="8:8" x14ac:dyDescent="0.25">
      <c r="H18107" t="s">
        <v>3211</v>
      </c>
    </row>
    <row r="18108" spans="8:8" x14ac:dyDescent="0.25">
      <c r="H18108" t="s">
        <v>3212</v>
      </c>
    </row>
    <row r="18109" spans="8:8" x14ac:dyDescent="0.25">
      <c r="H18109" t="s">
        <v>135</v>
      </c>
    </row>
    <row r="18110" spans="8:8" x14ac:dyDescent="0.25">
      <c r="H18110" t="s">
        <v>3213</v>
      </c>
    </row>
    <row r="18111" spans="8:8" x14ac:dyDescent="0.25">
      <c r="H18111" t="s">
        <v>30</v>
      </c>
    </row>
    <row r="18113" spans="8:8" x14ac:dyDescent="0.25">
      <c r="H18113" t="s">
        <v>3214</v>
      </c>
    </row>
    <row r="18114" spans="8:8" x14ac:dyDescent="0.25">
      <c r="H18114" t="s">
        <v>3215</v>
      </c>
    </row>
    <row r="18115" spans="8:8" x14ac:dyDescent="0.25">
      <c r="H18115" t="s">
        <v>135</v>
      </c>
    </row>
    <row r="18116" spans="8:8" x14ac:dyDescent="0.25">
      <c r="H18116" t="s">
        <v>3216</v>
      </c>
    </row>
    <row r="18117" spans="8:8" x14ac:dyDescent="0.25">
      <c r="H18117" t="s">
        <v>30</v>
      </c>
    </row>
    <row r="18119" spans="8:8" x14ac:dyDescent="0.25">
      <c r="H18119" t="s">
        <v>3217</v>
      </c>
    </row>
    <row r="18120" spans="8:8" x14ac:dyDescent="0.25">
      <c r="H18120" t="s">
        <v>3218</v>
      </c>
    </row>
    <row r="18121" spans="8:8" x14ac:dyDescent="0.25">
      <c r="H18121" t="s">
        <v>135</v>
      </c>
    </row>
    <row r="18122" spans="8:8" x14ac:dyDescent="0.25">
      <c r="H18122" t="s">
        <v>3219</v>
      </c>
    </row>
    <row r="18123" spans="8:8" x14ac:dyDescent="0.25">
      <c r="H18123" t="s">
        <v>30</v>
      </c>
    </row>
    <row r="18125" spans="8:8" x14ac:dyDescent="0.25">
      <c r="H18125" t="s">
        <v>3220</v>
      </c>
    </row>
    <row r="18126" spans="8:8" x14ac:dyDescent="0.25">
      <c r="H18126" t="s">
        <v>3221</v>
      </c>
    </row>
    <row r="18127" spans="8:8" x14ac:dyDescent="0.25">
      <c r="H18127" t="s">
        <v>135</v>
      </c>
    </row>
    <row r="18128" spans="8:8" x14ac:dyDescent="0.25">
      <c r="H18128" t="s">
        <v>3222</v>
      </c>
    </row>
    <row r="18129" spans="8:8" x14ac:dyDescent="0.25">
      <c r="H18129" t="s">
        <v>30</v>
      </c>
    </row>
    <row r="18131" spans="8:8" x14ac:dyDescent="0.25">
      <c r="H18131" t="s">
        <v>3223</v>
      </c>
    </row>
    <row r="18132" spans="8:8" x14ac:dyDescent="0.25">
      <c r="H18132" t="s">
        <v>3224</v>
      </c>
    </row>
    <row r="18133" spans="8:8" x14ac:dyDescent="0.25">
      <c r="H18133" t="s">
        <v>135</v>
      </c>
    </row>
    <row r="18134" spans="8:8" x14ac:dyDescent="0.25">
      <c r="H18134" t="s">
        <v>3225</v>
      </c>
    </row>
    <row r="18135" spans="8:8" x14ac:dyDescent="0.25">
      <c r="H18135" t="s">
        <v>30</v>
      </c>
    </row>
    <row r="18137" spans="8:8" x14ac:dyDescent="0.25">
      <c r="H18137" t="s">
        <v>3226</v>
      </c>
    </row>
    <row r="18138" spans="8:8" x14ac:dyDescent="0.25">
      <c r="H18138" t="s">
        <v>3227</v>
      </c>
    </row>
    <row r="18139" spans="8:8" x14ac:dyDescent="0.25">
      <c r="H18139" t="s">
        <v>135</v>
      </c>
    </row>
    <row r="18140" spans="8:8" x14ac:dyDescent="0.25">
      <c r="H18140" t="s">
        <v>3228</v>
      </c>
    </row>
    <row r="18141" spans="8:8" x14ac:dyDescent="0.25">
      <c r="H18141" t="s">
        <v>30</v>
      </c>
    </row>
    <row r="18143" spans="8:8" x14ac:dyDescent="0.25">
      <c r="H18143" t="s">
        <v>3229</v>
      </c>
    </row>
    <row r="18144" spans="8:8" x14ac:dyDescent="0.25">
      <c r="H18144" t="s">
        <v>3230</v>
      </c>
    </row>
    <row r="18145" spans="8:8" x14ac:dyDescent="0.25">
      <c r="H18145" t="s">
        <v>135</v>
      </c>
    </row>
    <row r="18146" spans="8:8" x14ac:dyDescent="0.25">
      <c r="H18146" t="s">
        <v>3231</v>
      </c>
    </row>
    <row r="18147" spans="8:8" x14ac:dyDescent="0.25">
      <c r="H18147" t="s">
        <v>30</v>
      </c>
    </row>
    <row r="18149" spans="8:8" x14ac:dyDescent="0.25">
      <c r="H18149" t="s">
        <v>3232</v>
      </c>
    </row>
    <row r="18150" spans="8:8" x14ac:dyDescent="0.25">
      <c r="H18150" t="s">
        <v>3233</v>
      </c>
    </row>
    <row r="18151" spans="8:8" x14ac:dyDescent="0.25">
      <c r="H18151" t="s">
        <v>135</v>
      </c>
    </row>
    <row r="18152" spans="8:8" x14ac:dyDescent="0.25">
      <c r="H18152" t="s">
        <v>3234</v>
      </c>
    </row>
    <row r="18153" spans="8:8" x14ac:dyDescent="0.25">
      <c r="H18153" t="s">
        <v>30</v>
      </c>
    </row>
    <row r="18154" spans="8:8" x14ac:dyDescent="0.25">
      <c r="H18154" t="s">
        <v>3235</v>
      </c>
    </row>
    <row r="18155" spans="8:8" x14ac:dyDescent="0.25">
      <c r="H18155" t="s">
        <v>136</v>
      </c>
    </row>
    <row r="18156" spans="8:8" x14ac:dyDescent="0.25">
      <c r="H18156" t="s">
        <v>3236</v>
      </c>
    </row>
    <row r="18157" spans="8:8" x14ac:dyDescent="0.25">
      <c r="H18157" t="s">
        <v>30</v>
      </c>
    </row>
    <row r="18158" spans="8:8" x14ac:dyDescent="0.25">
      <c r="H18158" t="s">
        <v>3237</v>
      </c>
    </row>
    <row r="18159" spans="8:8" x14ac:dyDescent="0.25">
      <c r="H18159" t="s">
        <v>137</v>
      </c>
    </row>
    <row r="18160" spans="8:8" x14ac:dyDescent="0.25">
      <c r="H18160" t="s">
        <v>3238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3239</v>
      </c>
    </row>
    <row r="18164" spans="8:8" x14ac:dyDescent="0.25">
      <c r="H18164" t="s">
        <v>30</v>
      </c>
    </row>
    <row r="18166" spans="8:8" x14ac:dyDescent="0.25">
      <c r="H18166" t="s">
        <v>3240</v>
      </c>
    </row>
    <row r="18167" spans="8:8" x14ac:dyDescent="0.25">
      <c r="H18167" t="s">
        <v>3241</v>
      </c>
    </row>
    <row r="18168" spans="8:8" x14ac:dyDescent="0.25">
      <c r="H18168" t="s">
        <v>135</v>
      </c>
    </row>
    <row r="18169" spans="8:8" x14ac:dyDescent="0.25">
      <c r="H18169" t="s">
        <v>3242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3243</v>
      </c>
    </row>
    <row r="18173" spans="8:8" x14ac:dyDescent="0.25">
      <c r="H18173" t="s">
        <v>30</v>
      </c>
    </row>
    <row r="18174" spans="8:8" x14ac:dyDescent="0.25">
      <c r="H18174" t="s">
        <v>3244</v>
      </c>
    </row>
    <row r="18175" spans="8:8" x14ac:dyDescent="0.25">
      <c r="H18175" t="s">
        <v>137</v>
      </c>
    </row>
    <row r="18176" spans="8:8" x14ac:dyDescent="0.25">
      <c r="H18176" t="s">
        <v>3245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3246</v>
      </c>
    </row>
    <row r="18180" spans="8:8" x14ac:dyDescent="0.25">
      <c r="H18180" t="s">
        <v>30</v>
      </c>
    </row>
    <row r="18182" spans="8:8" x14ac:dyDescent="0.25">
      <c r="H18182" t="s">
        <v>3247</v>
      </c>
    </row>
    <row r="18183" spans="8:8" x14ac:dyDescent="0.25">
      <c r="H18183" t="s">
        <v>3248</v>
      </c>
    </row>
    <row r="18184" spans="8:8" x14ac:dyDescent="0.25">
      <c r="H18184" t="s">
        <v>135</v>
      </c>
    </row>
    <row r="18185" spans="8:8" x14ac:dyDescent="0.25">
      <c r="H18185" t="s">
        <v>3249</v>
      </c>
    </row>
    <row r="18186" spans="8:8" x14ac:dyDescent="0.25">
      <c r="H18186" t="s">
        <v>30</v>
      </c>
    </row>
    <row r="18187" spans="8:8" x14ac:dyDescent="0.25">
      <c r="H18187" t="s">
        <v>3250</v>
      </c>
    </row>
    <row r="18188" spans="8:8" x14ac:dyDescent="0.25">
      <c r="H18188" t="s">
        <v>137</v>
      </c>
    </row>
    <row r="18189" spans="8:8" x14ac:dyDescent="0.25">
      <c r="H18189" t="s">
        <v>3251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3252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139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0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1361</v>
      </c>
    </row>
    <row r="8" spans="1:8" x14ac:dyDescent="0.25">
      <c r="B8" s="1" t="s">
        <v>19</v>
      </c>
      <c r="H8" t="s">
        <v>1362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3253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1364</v>
      </c>
    </row>
    <row r="14" spans="1:8" x14ac:dyDescent="0.25">
      <c r="B14" s="1" t="s">
        <v>35</v>
      </c>
      <c r="H14" t="s">
        <v>1365</v>
      </c>
    </row>
    <row r="15" spans="1:8" x14ac:dyDescent="0.25">
      <c r="B15" t="s">
        <v>34</v>
      </c>
      <c r="H15" t="s">
        <v>135</v>
      </c>
    </row>
    <row r="16" spans="1:8" x14ac:dyDescent="0.25">
      <c r="H16" t="s">
        <v>3254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1367</v>
      </c>
    </row>
    <row r="20" spans="2:8" x14ac:dyDescent="0.25">
      <c r="B20" s="1"/>
      <c r="H20" t="s">
        <v>1368</v>
      </c>
    </row>
    <row r="21" spans="2:8" x14ac:dyDescent="0.25">
      <c r="H21" t="s">
        <v>135</v>
      </c>
    </row>
    <row r="22" spans="2:8" x14ac:dyDescent="0.25">
      <c r="H22" t="s">
        <v>3255</v>
      </c>
    </row>
    <row r="23" spans="2:8" x14ac:dyDescent="0.25">
      <c r="H23" t="s">
        <v>30</v>
      </c>
    </row>
    <row r="25" spans="2:8" x14ac:dyDescent="0.25">
      <c r="H25" t="s">
        <v>1370</v>
      </c>
    </row>
    <row r="26" spans="2:8" x14ac:dyDescent="0.25">
      <c r="H26" t="s">
        <v>1371</v>
      </c>
    </row>
    <row r="27" spans="2:8" x14ac:dyDescent="0.25">
      <c r="H27" t="s">
        <v>135</v>
      </c>
    </row>
    <row r="28" spans="2:8" x14ac:dyDescent="0.25">
      <c r="H28" t="s">
        <v>3256</v>
      </c>
    </row>
    <row r="29" spans="2:8" x14ac:dyDescent="0.25">
      <c r="H29" t="s">
        <v>30</v>
      </c>
    </row>
    <row r="31" spans="2:8" x14ac:dyDescent="0.25">
      <c r="H31" t="s">
        <v>1373</v>
      </c>
    </row>
    <row r="32" spans="2:8" x14ac:dyDescent="0.25">
      <c r="H32" t="s">
        <v>1374</v>
      </c>
    </row>
    <row r="33" spans="8:8" x14ac:dyDescent="0.25">
      <c r="H33" t="s">
        <v>135</v>
      </c>
    </row>
    <row r="34" spans="8:8" x14ac:dyDescent="0.25">
      <c r="H34" t="s">
        <v>3257</v>
      </c>
    </row>
    <row r="35" spans="8:8" x14ac:dyDescent="0.25">
      <c r="H35" t="s">
        <v>30</v>
      </c>
    </row>
    <row r="37" spans="8:8" x14ac:dyDescent="0.25">
      <c r="H37" t="s">
        <v>1376</v>
      </c>
    </row>
    <row r="38" spans="8:8" x14ac:dyDescent="0.25">
      <c r="H38" t="s">
        <v>1377</v>
      </c>
    </row>
    <row r="39" spans="8:8" x14ac:dyDescent="0.25">
      <c r="H39" t="s">
        <v>135</v>
      </c>
    </row>
    <row r="40" spans="8:8" x14ac:dyDescent="0.25">
      <c r="H40" t="s">
        <v>3258</v>
      </c>
    </row>
    <row r="41" spans="8:8" x14ac:dyDescent="0.25">
      <c r="H41" t="s">
        <v>30</v>
      </c>
    </row>
    <row r="43" spans="8:8" x14ac:dyDescent="0.25">
      <c r="H43" t="s">
        <v>1379</v>
      </c>
    </row>
    <row r="44" spans="8:8" x14ac:dyDescent="0.25">
      <c r="H44" t="s">
        <v>1380</v>
      </c>
    </row>
    <row r="45" spans="8:8" x14ac:dyDescent="0.25">
      <c r="H45" t="s">
        <v>135</v>
      </c>
    </row>
    <row r="46" spans="8:8" x14ac:dyDescent="0.25">
      <c r="H46" t="s">
        <v>3259</v>
      </c>
    </row>
    <row r="47" spans="8:8" x14ac:dyDescent="0.25">
      <c r="H47" t="s">
        <v>30</v>
      </c>
    </row>
    <row r="49" spans="8:8" x14ac:dyDescent="0.25">
      <c r="H49" t="s">
        <v>1382</v>
      </c>
    </row>
    <row r="50" spans="8:8" x14ac:dyDescent="0.25">
      <c r="H50" t="s">
        <v>1383</v>
      </c>
    </row>
    <row r="51" spans="8:8" x14ac:dyDescent="0.25">
      <c r="H51" t="s">
        <v>135</v>
      </c>
    </row>
    <row r="52" spans="8:8" x14ac:dyDescent="0.25">
      <c r="H52" t="s">
        <v>3260</v>
      </c>
    </row>
    <row r="53" spans="8:8" x14ac:dyDescent="0.25">
      <c r="H53" t="s">
        <v>30</v>
      </c>
    </row>
    <row r="55" spans="8:8" x14ac:dyDescent="0.25">
      <c r="H55" t="s">
        <v>1385</v>
      </c>
    </row>
    <row r="56" spans="8:8" x14ac:dyDescent="0.25">
      <c r="H56" t="s">
        <v>1386</v>
      </c>
    </row>
    <row r="57" spans="8:8" x14ac:dyDescent="0.25">
      <c r="H57" t="s">
        <v>135</v>
      </c>
    </row>
    <row r="58" spans="8:8" x14ac:dyDescent="0.25">
      <c r="H58" t="s">
        <v>3261</v>
      </c>
    </row>
    <row r="59" spans="8:8" x14ac:dyDescent="0.25">
      <c r="H59" t="s">
        <v>30</v>
      </c>
    </row>
    <row r="61" spans="8:8" x14ac:dyDescent="0.25">
      <c r="H61" t="s">
        <v>1388</v>
      </c>
    </row>
    <row r="62" spans="8:8" x14ac:dyDescent="0.25">
      <c r="H62" t="s">
        <v>1389</v>
      </c>
    </row>
    <row r="63" spans="8:8" x14ac:dyDescent="0.25">
      <c r="H63" t="s">
        <v>135</v>
      </c>
    </row>
    <row r="64" spans="8:8" x14ac:dyDescent="0.25">
      <c r="H64" t="s">
        <v>3262</v>
      </c>
    </row>
    <row r="65" spans="8:8" x14ac:dyDescent="0.25">
      <c r="H65" t="s">
        <v>30</v>
      </c>
    </row>
    <row r="66" spans="8:8" x14ac:dyDescent="0.25">
      <c r="H66" t="s">
        <v>136</v>
      </c>
    </row>
    <row r="67" spans="8:8" x14ac:dyDescent="0.25">
      <c r="H67" t="s">
        <v>3263</v>
      </c>
    </row>
    <row r="68" spans="8:8" x14ac:dyDescent="0.25">
      <c r="H68" t="s">
        <v>30</v>
      </c>
    </row>
    <row r="69" spans="8:8" x14ac:dyDescent="0.25">
      <c r="H69" t="s">
        <v>1392</v>
      </c>
    </row>
    <row r="70" spans="8:8" x14ac:dyDescent="0.25">
      <c r="H70" t="s">
        <v>137</v>
      </c>
    </row>
    <row r="71" spans="8:8" x14ac:dyDescent="0.25">
      <c r="H71" t="s">
        <v>3264</v>
      </c>
    </row>
    <row r="72" spans="8:8" x14ac:dyDescent="0.25">
      <c r="H72" t="s">
        <v>30</v>
      </c>
    </row>
    <row r="74" spans="8:8" x14ac:dyDescent="0.25">
      <c r="H74" t="s">
        <v>1394</v>
      </c>
    </row>
    <row r="75" spans="8:8" x14ac:dyDescent="0.25">
      <c r="H75" t="s">
        <v>1395</v>
      </c>
    </row>
    <row r="76" spans="8:8" x14ac:dyDescent="0.25">
      <c r="H76" t="s">
        <v>135</v>
      </c>
    </row>
    <row r="77" spans="8:8" x14ac:dyDescent="0.25">
      <c r="H77" t="s">
        <v>4945</v>
      </c>
    </row>
    <row r="78" spans="8:8" x14ac:dyDescent="0.25">
      <c r="H78" t="s">
        <v>30</v>
      </c>
    </row>
    <row r="80" spans="8:8" x14ac:dyDescent="0.25">
      <c r="H80" t="s">
        <v>1396</v>
      </c>
    </row>
    <row r="81" spans="8:8" x14ac:dyDescent="0.25">
      <c r="H81" t="s">
        <v>1397</v>
      </c>
    </row>
    <row r="82" spans="8:8" x14ac:dyDescent="0.25">
      <c r="H82" t="s">
        <v>135</v>
      </c>
    </row>
    <row r="83" spans="8:8" x14ac:dyDescent="0.25">
      <c r="H83" t="s">
        <v>3265</v>
      </c>
    </row>
    <row r="84" spans="8:8" x14ac:dyDescent="0.25">
      <c r="H84" t="s">
        <v>30</v>
      </c>
    </row>
    <row r="86" spans="8:8" x14ac:dyDescent="0.25">
      <c r="H86" t="s">
        <v>1399</v>
      </c>
    </row>
    <row r="87" spans="8:8" x14ac:dyDescent="0.25">
      <c r="H87" t="s">
        <v>1400</v>
      </c>
    </row>
    <row r="88" spans="8:8" x14ac:dyDescent="0.25">
      <c r="H88" t="s">
        <v>135</v>
      </c>
    </row>
    <row r="89" spans="8:8" x14ac:dyDescent="0.25">
      <c r="H89" t="s">
        <v>3266</v>
      </c>
    </row>
    <row r="90" spans="8:8" x14ac:dyDescent="0.25">
      <c r="H90" t="s">
        <v>30</v>
      </c>
    </row>
    <row r="92" spans="8:8" x14ac:dyDescent="0.25">
      <c r="H92" t="s">
        <v>1402</v>
      </c>
    </row>
    <row r="93" spans="8:8" x14ac:dyDescent="0.25">
      <c r="H93" t="s">
        <v>1403</v>
      </c>
    </row>
    <row r="94" spans="8:8" x14ac:dyDescent="0.25">
      <c r="H94" t="s">
        <v>135</v>
      </c>
    </row>
    <row r="95" spans="8:8" x14ac:dyDescent="0.25">
      <c r="H95" t="s">
        <v>3267</v>
      </c>
    </row>
    <row r="96" spans="8:8" x14ac:dyDescent="0.25">
      <c r="H96" t="s">
        <v>30</v>
      </c>
    </row>
    <row r="98" spans="8:8" x14ac:dyDescent="0.25">
      <c r="H98" t="s">
        <v>1405</v>
      </c>
    </row>
    <row r="99" spans="8:8" x14ac:dyDescent="0.25">
      <c r="H99" t="s">
        <v>1406</v>
      </c>
    </row>
    <row r="100" spans="8:8" x14ac:dyDescent="0.25">
      <c r="H100" t="s">
        <v>135</v>
      </c>
    </row>
    <row r="101" spans="8:8" x14ac:dyDescent="0.25">
      <c r="H101" t="s">
        <v>3268</v>
      </c>
    </row>
    <row r="102" spans="8:8" x14ac:dyDescent="0.25">
      <c r="H102" t="s">
        <v>30</v>
      </c>
    </row>
    <row r="104" spans="8:8" x14ac:dyDescent="0.25">
      <c r="H104" t="s">
        <v>1408</v>
      </c>
    </row>
    <row r="105" spans="8:8" x14ac:dyDescent="0.25">
      <c r="H105" t="s">
        <v>1409</v>
      </c>
    </row>
    <row r="106" spans="8:8" x14ac:dyDescent="0.25">
      <c r="H106" t="s">
        <v>135</v>
      </c>
    </row>
    <row r="107" spans="8:8" x14ac:dyDescent="0.25">
      <c r="H107" t="s">
        <v>3269</v>
      </c>
    </row>
    <row r="108" spans="8:8" x14ac:dyDescent="0.25">
      <c r="H108" t="s">
        <v>30</v>
      </c>
    </row>
    <row r="110" spans="8:8" x14ac:dyDescent="0.25">
      <c r="H110" t="s">
        <v>1411</v>
      </c>
    </row>
    <row r="111" spans="8:8" x14ac:dyDescent="0.25">
      <c r="H111" t="s">
        <v>1412</v>
      </c>
    </row>
    <row r="112" spans="8:8" x14ac:dyDescent="0.25">
      <c r="H112" t="s">
        <v>135</v>
      </c>
    </row>
    <row r="113" spans="8:8" x14ac:dyDescent="0.25">
      <c r="H113" t="s">
        <v>3270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3271</v>
      </c>
    </row>
    <row r="117" spans="8:8" x14ac:dyDescent="0.25">
      <c r="H117" t="s">
        <v>30</v>
      </c>
    </row>
    <row r="119" spans="8:8" x14ac:dyDescent="0.25">
      <c r="H119" t="s">
        <v>1415</v>
      </c>
    </row>
    <row r="120" spans="8:8" x14ac:dyDescent="0.25">
      <c r="H120" t="s">
        <v>1416</v>
      </c>
    </row>
    <row r="121" spans="8:8" x14ac:dyDescent="0.25">
      <c r="H121" t="s">
        <v>135</v>
      </c>
    </row>
    <row r="122" spans="8:8" x14ac:dyDescent="0.25">
      <c r="H122" t="s">
        <v>3272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3273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3274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3275</v>
      </c>
    </row>
    <row r="132" spans="8:8" x14ac:dyDescent="0.25">
      <c r="H132" t="s">
        <v>30</v>
      </c>
    </row>
    <row r="134" spans="8:8" x14ac:dyDescent="0.25">
      <c r="H134" t="s">
        <v>1421</v>
      </c>
    </row>
    <row r="135" spans="8:8" x14ac:dyDescent="0.25">
      <c r="H135" t="s">
        <v>1422</v>
      </c>
    </row>
    <row r="136" spans="8:8" x14ac:dyDescent="0.25">
      <c r="H136" t="s">
        <v>135</v>
      </c>
    </row>
    <row r="137" spans="8:8" x14ac:dyDescent="0.25">
      <c r="H137" t="s">
        <v>3276</v>
      </c>
    </row>
    <row r="138" spans="8:8" x14ac:dyDescent="0.25">
      <c r="H138" t="s">
        <v>30</v>
      </c>
    </row>
    <row r="140" spans="8:8" x14ac:dyDescent="0.25">
      <c r="H140" t="s">
        <v>1424</v>
      </c>
    </row>
    <row r="141" spans="8:8" x14ac:dyDescent="0.25">
      <c r="H141" t="s">
        <v>1425</v>
      </c>
    </row>
    <row r="142" spans="8:8" x14ac:dyDescent="0.25">
      <c r="H142" t="s">
        <v>135</v>
      </c>
    </row>
    <row r="143" spans="8:8" x14ac:dyDescent="0.25">
      <c r="H143" t="s">
        <v>3277</v>
      </c>
    </row>
    <row r="144" spans="8:8" x14ac:dyDescent="0.25">
      <c r="H144" t="s">
        <v>30</v>
      </c>
    </row>
    <row r="146" spans="8:8" x14ac:dyDescent="0.25">
      <c r="H146" t="s">
        <v>1427</v>
      </c>
    </row>
    <row r="147" spans="8:8" x14ac:dyDescent="0.25">
      <c r="H147" t="s">
        <v>1428</v>
      </c>
    </row>
    <row r="148" spans="8:8" x14ac:dyDescent="0.25">
      <c r="H148" t="s">
        <v>135</v>
      </c>
    </row>
    <row r="149" spans="8:8" x14ac:dyDescent="0.25">
      <c r="H149" t="s">
        <v>3278</v>
      </c>
    </row>
    <row r="150" spans="8:8" x14ac:dyDescent="0.25">
      <c r="H150" t="s">
        <v>30</v>
      </c>
    </row>
    <row r="152" spans="8:8" x14ac:dyDescent="0.25">
      <c r="H152" t="s">
        <v>1430</v>
      </c>
    </row>
    <row r="153" spans="8:8" x14ac:dyDescent="0.25">
      <c r="H153" t="s">
        <v>1431</v>
      </c>
    </row>
    <row r="154" spans="8:8" x14ac:dyDescent="0.25">
      <c r="H154" t="s">
        <v>135</v>
      </c>
    </row>
    <row r="155" spans="8:8" x14ac:dyDescent="0.25">
      <c r="H155" t="s">
        <v>3279</v>
      </c>
    </row>
    <row r="156" spans="8:8" x14ac:dyDescent="0.25">
      <c r="H156" t="s">
        <v>30</v>
      </c>
    </row>
    <row r="158" spans="8:8" x14ac:dyDescent="0.25">
      <c r="H158" t="s">
        <v>1433</v>
      </c>
    </row>
    <row r="159" spans="8:8" x14ac:dyDescent="0.25">
      <c r="H159" t="s">
        <v>1434</v>
      </c>
    </row>
    <row r="160" spans="8:8" x14ac:dyDescent="0.25">
      <c r="H160" t="s">
        <v>135</v>
      </c>
    </row>
    <row r="161" spans="8:8" x14ac:dyDescent="0.25">
      <c r="H161" t="s">
        <v>3280</v>
      </c>
    </row>
    <row r="162" spans="8:8" x14ac:dyDescent="0.25">
      <c r="H162" t="s">
        <v>30</v>
      </c>
    </row>
    <row r="164" spans="8:8" x14ac:dyDescent="0.25">
      <c r="H164" t="s">
        <v>1436</v>
      </c>
    </row>
    <row r="165" spans="8:8" x14ac:dyDescent="0.25">
      <c r="H165" t="s">
        <v>1437</v>
      </c>
    </row>
    <row r="166" spans="8:8" x14ac:dyDescent="0.25">
      <c r="H166" t="s">
        <v>135</v>
      </c>
    </row>
    <row r="167" spans="8:8" x14ac:dyDescent="0.25">
      <c r="H167" t="s">
        <v>3281</v>
      </c>
    </row>
    <row r="168" spans="8:8" x14ac:dyDescent="0.25">
      <c r="H168" t="s">
        <v>30</v>
      </c>
    </row>
    <row r="170" spans="8:8" x14ac:dyDescent="0.25">
      <c r="H170" t="s">
        <v>1439</v>
      </c>
    </row>
    <row r="171" spans="8:8" x14ac:dyDescent="0.25">
      <c r="H171" t="s">
        <v>1440</v>
      </c>
    </row>
    <row r="172" spans="8:8" x14ac:dyDescent="0.25">
      <c r="H172" t="s">
        <v>135</v>
      </c>
    </row>
    <row r="173" spans="8:8" x14ac:dyDescent="0.25">
      <c r="H173" t="s">
        <v>3282</v>
      </c>
    </row>
    <row r="174" spans="8:8" x14ac:dyDescent="0.25">
      <c r="H174" t="s">
        <v>30</v>
      </c>
    </row>
    <row r="176" spans="8:8" x14ac:dyDescent="0.25">
      <c r="H176" t="s">
        <v>1442</v>
      </c>
    </row>
    <row r="177" spans="8:8" x14ac:dyDescent="0.25">
      <c r="H177" t="s">
        <v>1443</v>
      </c>
    </row>
    <row r="178" spans="8:8" x14ac:dyDescent="0.25">
      <c r="H178" t="s">
        <v>135</v>
      </c>
    </row>
    <row r="179" spans="8:8" x14ac:dyDescent="0.25">
      <c r="H179" t="s">
        <v>3283</v>
      </c>
    </row>
    <row r="180" spans="8:8" x14ac:dyDescent="0.25">
      <c r="H180" t="s">
        <v>30</v>
      </c>
    </row>
    <row r="182" spans="8:8" x14ac:dyDescent="0.25">
      <c r="H182" t="s">
        <v>1445</v>
      </c>
    </row>
    <row r="183" spans="8:8" x14ac:dyDescent="0.25">
      <c r="H183" t="s">
        <v>1446</v>
      </c>
    </row>
    <row r="184" spans="8:8" x14ac:dyDescent="0.25">
      <c r="H184" t="s">
        <v>135</v>
      </c>
    </row>
    <row r="185" spans="8:8" x14ac:dyDescent="0.25">
      <c r="H185" t="s">
        <v>3284</v>
      </c>
    </row>
    <row r="186" spans="8:8" x14ac:dyDescent="0.25">
      <c r="H186" t="s">
        <v>30</v>
      </c>
    </row>
    <row r="188" spans="8:8" x14ac:dyDescent="0.25">
      <c r="H188" t="s">
        <v>1448</v>
      </c>
    </row>
    <row r="189" spans="8:8" x14ac:dyDescent="0.25">
      <c r="H189" t="s">
        <v>1449</v>
      </c>
    </row>
    <row r="190" spans="8:8" x14ac:dyDescent="0.25">
      <c r="H190" t="s">
        <v>135</v>
      </c>
    </row>
    <row r="191" spans="8:8" x14ac:dyDescent="0.25">
      <c r="H191" t="s">
        <v>3285</v>
      </c>
    </row>
    <row r="192" spans="8:8" x14ac:dyDescent="0.25">
      <c r="H192" t="s">
        <v>30</v>
      </c>
    </row>
    <row r="194" spans="8:8" x14ac:dyDescent="0.25">
      <c r="H194" t="s">
        <v>1451</v>
      </c>
    </row>
    <row r="195" spans="8:8" x14ac:dyDescent="0.25">
      <c r="H195" t="s">
        <v>1452</v>
      </c>
    </row>
    <row r="196" spans="8:8" x14ac:dyDescent="0.25">
      <c r="H196" t="s">
        <v>135</v>
      </c>
    </row>
    <row r="197" spans="8:8" x14ac:dyDescent="0.25">
      <c r="H197" t="s">
        <v>3286</v>
      </c>
    </row>
    <row r="198" spans="8:8" x14ac:dyDescent="0.25">
      <c r="H198" t="s">
        <v>30</v>
      </c>
    </row>
    <row r="200" spans="8:8" x14ac:dyDescent="0.25">
      <c r="H200" t="s">
        <v>1454</v>
      </c>
    </row>
    <row r="201" spans="8:8" x14ac:dyDescent="0.25">
      <c r="H201" t="s">
        <v>1455</v>
      </c>
    </row>
    <row r="202" spans="8:8" x14ac:dyDescent="0.25">
      <c r="H202" t="s">
        <v>135</v>
      </c>
    </row>
    <row r="203" spans="8:8" x14ac:dyDescent="0.25">
      <c r="H203" t="s">
        <v>3287</v>
      </c>
    </row>
    <row r="204" spans="8:8" x14ac:dyDescent="0.25">
      <c r="H204" t="s">
        <v>30</v>
      </c>
    </row>
    <row r="206" spans="8:8" x14ac:dyDescent="0.25">
      <c r="H206" t="s">
        <v>1457</v>
      </c>
    </row>
    <row r="207" spans="8:8" x14ac:dyDescent="0.25">
      <c r="H207" t="s">
        <v>1458</v>
      </c>
    </row>
    <row r="208" spans="8:8" x14ac:dyDescent="0.25">
      <c r="H208" t="s">
        <v>135</v>
      </c>
    </row>
    <row r="209" spans="8:8" x14ac:dyDescent="0.25">
      <c r="H209" t="s">
        <v>3288</v>
      </c>
    </row>
    <row r="210" spans="8:8" x14ac:dyDescent="0.25">
      <c r="H210" t="s">
        <v>30</v>
      </c>
    </row>
    <row r="212" spans="8:8" x14ac:dyDescent="0.25">
      <c r="H212" t="s">
        <v>1460</v>
      </c>
    </row>
    <row r="213" spans="8:8" x14ac:dyDescent="0.25">
      <c r="H213" t="s">
        <v>1461</v>
      </c>
    </row>
    <row r="214" spans="8:8" x14ac:dyDescent="0.25">
      <c r="H214" t="s">
        <v>135</v>
      </c>
    </row>
    <row r="215" spans="8:8" x14ac:dyDescent="0.25">
      <c r="H215" t="s">
        <v>3289</v>
      </c>
    </row>
    <row r="216" spans="8:8" x14ac:dyDescent="0.25">
      <c r="H216" t="s">
        <v>30</v>
      </c>
    </row>
    <row r="218" spans="8:8" x14ac:dyDescent="0.25">
      <c r="H218" t="s">
        <v>1463</v>
      </c>
    </row>
    <row r="219" spans="8:8" x14ac:dyDescent="0.25">
      <c r="H219" t="s">
        <v>1464</v>
      </c>
    </row>
    <row r="220" spans="8:8" x14ac:dyDescent="0.25">
      <c r="H220" t="s">
        <v>135</v>
      </c>
    </row>
    <row r="221" spans="8:8" x14ac:dyDescent="0.25">
      <c r="H221" t="s">
        <v>3290</v>
      </c>
    </row>
    <row r="222" spans="8:8" x14ac:dyDescent="0.25">
      <c r="H222" t="s">
        <v>30</v>
      </c>
    </row>
    <row r="224" spans="8:8" x14ac:dyDescent="0.25">
      <c r="H224" t="s">
        <v>1466</v>
      </c>
    </row>
    <row r="225" spans="8:8" x14ac:dyDescent="0.25">
      <c r="H225" t="s">
        <v>1467</v>
      </c>
    </row>
    <row r="226" spans="8:8" x14ac:dyDescent="0.25">
      <c r="H226" t="s">
        <v>135</v>
      </c>
    </row>
    <row r="227" spans="8:8" x14ac:dyDescent="0.25">
      <c r="H227" t="s">
        <v>3291</v>
      </c>
    </row>
    <row r="228" spans="8:8" x14ac:dyDescent="0.25">
      <c r="H228" t="s">
        <v>30</v>
      </c>
    </row>
    <row r="230" spans="8:8" x14ac:dyDescent="0.25">
      <c r="H230" t="s">
        <v>1469</v>
      </c>
    </row>
    <row r="231" spans="8:8" x14ac:dyDescent="0.25">
      <c r="H231" t="s">
        <v>1470</v>
      </c>
    </row>
    <row r="232" spans="8:8" x14ac:dyDescent="0.25">
      <c r="H232" t="s">
        <v>135</v>
      </c>
    </row>
    <row r="233" spans="8:8" x14ac:dyDescent="0.25">
      <c r="H233" t="s">
        <v>3292</v>
      </c>
    </row>
    <row r="234" spans="8:8" x14ac:dyDescent="0.25">
      <c r="H234" t="s">
        <v>30</v>
      </c>
    </row>
    <row r="236" spans="8:8" x14ac:dyDescent="0.25">
      <c r="H236" t="s">
        <v>1472</v>
      </c>
    </row>
    <row r="237" spans="8:8" x14ac:dyDescent="0.25">
      <c r="H237" t="s">
        <v>1473</v>
      </c>
    </row>
    <row r="238" spans="8:8" x14ac:dyDescent="0.25">
      <c r="H238" t="s">
        <v>135</v>
      </c>
    </row>
    <row r="239" spans="8:8" x14ac:dyDescent="0.25">
      <c r="H239" t="s">
        <v>3293</v>
      </c>
    </row>
    <row r="240" spans="8:8" x14ac:dyDescent="0.25">
      <c r="H240" t="s">
        <v>30</v>
      </c>
    </row>
    <row r="242" spans="8:8" x14ac:dyDescent="0.25">
      <c r="H242" t="s">
        <v>1475</v>
      </c>
    </row>
    <row r="243" spans="8:8" x14ac:dyDescent="0.25">
      <c r="H243" t="s">
        <v>1476</v>
      </c>
    </row>
    <row r="244" spans="8:8" x14ac:dyDescent="0.25">
      <c r="H244" t="s">
        <v>135</v>
      </c>
    </row>
    <row r="245" spans="8:8" x14ac:dyDescent="0.25">
      <c r="H245" t="s">
        <v>3294</v>
      </c>
    </row>
    <row r="246" spans="8:8" x14ac:dyDescent="0.25">
      <c r="H246" t="s">
        <v>30</v>
      </c>
    </row>
    <row r="248" spans="8:8" x14ac:dyDescent="0.25">
      <c r="H248" t="s">
        <v>1478</v>
      </c>
    </row>
    <row r="249" spans="8:8" x14ac:dyDescent="0.25">
      <c r="H249" t="s">
        <v>1479</v>
      </c>
    </row>
    <row r="250" spans="8:8" x14ac:dyDescent="0.25">
      <c r="H250" t="s">
        <v>135</v>
      </c>
    </row>
    <row r="251" spans="8:8" x14ac:dyDescent="0.25">
      <c r="H251" t="s">
        <v>3295</v>
      </c>
    </row>
    <row r="252" spans="8:8" x14ac:dyDescent="0.25">
      <c r="H252" t="s">
        <v>30</v>
      </c>
    </row>
    <row r="254" spans="8:8" x14ac:dyDescent="0.25">
      <c r="H254" t="s">
        <v>1481</v>
      </c>
    </row>
    <row r="255" spans="8:8" x14ac:dyDescent="0.25">
      <c r="H255" t="s">
        <v>1482</v>
      </c>
    </row>
    <row r="256" spans="8:8" x14ac:dyDescent="0.25">
      <c r="H256" t="s">
        <v>135</v>
      </c>
    </row>
    <row r="257" spans="8:8" x14ac:dyDescent="0.25">
      <c r="H257" t="s">
        <v>3296</v>
      </c>
    </row>
    <row r="258" spans="8:8" x14ac:dyDescent="0.25">
      <c r="H258" t="s">
        <v>30</v>
      </c>
    </row>
    <row r="260" spans="8:8" x14ac:dyDescent="0.25">
      <c r="H260" t="s">
        <v>1484</v>
      </c>
    </row>
    <row r="261" spans="8:8" x14ac:dyDescent="0.25">
      <c r="H261" t="s">
        <v>1485</v>
      </c>
    </row>
    <row r="262" spans="8:8" x14ac:dyDescent="0.25">
      <c r="H262" t="s">
        <v>135</v>
      </c>
    </row>
    <row r="263" spans="8:8" x14ac:dyDescent="0.25">
      <c r="H263" t="s">
        <v>3297</v>
      </c>
    </row>
    <row r="264" spans="8:8" x14ac:dyDescent="0.25">
      <c r="H264" t="s">
        <v>30</v>
      </c>
    </row>
    <row r="266" spans="8:8" x14ac:dyDescent="0.25">
      <c r="H266" t="s">
        <v>1487</v>
      </c>
    </row>
    <row r="267" spans="8:8" x14ac:dyDescent="0.25">
      <c r="H267" t="s">
        <v>1488</v>
      </c>
    </row>
    <row r="268" spans="8:8" x14ac:dyDescent="0.25">
      <c r="H268" t="s">
        <v>135</v>
      </c>
    </row>
    <row r="269" spans="8:8" x14ac:dyDescent="0.25">
      <c r="H269" t="s">
        <v>3298</v>
      </c>
    </row>
    <row r="270" spans="8:8" x14ac:dyDescent="0.25">
      <c r="H270" t="s">
        <v>30</v>
      </c>
    </row>
    <row r="272" spans="8:8" x14ac:dyDescent="0.25">
      <c r="H272" t="s">
        <v>1490</v>
      </c>
    </row>
    <row r="273" spans="8:8" x14ac:dyDescent="0.25">
      <c r="H273" t="s">
        <v>1491</v>
      </c>
    </row>
    <row r="274" spans="8:8" x14ac:dyDescent="0.25">
      <c r="H274" t="s">
        <v>135</v>
      </c>
    </row>
    <row r="275" spans="8:8" x14ac:dyDescent="0.25">
      <c r="H275" t="s">
        <v>3299</v>
      </c>
    </row>
    <row r="276" spans="8:8" x14ac:dyDescent="0.25">
      <c r="H276" t="s">
        <v>30</v>
      </c>
    </row>
    <row r="277" spans="8:8" x14ac:dyDescent="0.25">
      <c r="H277" t="s">
        <v>1493</v>
      </c>
    </row>
    <row r="278" spans="8:8" x14ac:dyDescent="0.25">
      <c r="H278" t="s">
        <v>136</v>
      </c>
    </row>
    <row r="279" spans="8:8" x14ac:dyDescent="0.25">
      <c r="H279" t="s">
        <v>3300</v>
      </c>
    </row>
    <row r="280" spans="8:8" x14ac:dyDescent="0.25">
      <c r="H280" t="s">
        <v>30</v>
      </c>
    </row>
    <row r="281" spans="8:8" x14ac:dyDescent="0.25">
      <c r="H281" t="s">
        <v>1495</v>
      </c>
    </row>
    <row r="282" spans="8:8" x14ac:dyDescent="0.25">
      <c r="H282" t="s">
        <v>137</v>
      </c>
    </row>
    <row r="283" spans="8:8" x14ac:dyDescent="0.25">
      <c r="H283" t="s">
        <v>3301</v>
      </c>
    </row>
    <row r="284" spans="8:8" x14ac:dyDescent="0.25">
      <c r="H284" t="s">
        <v>30</v>
      </c>
    </row>
    <row r="285" spans="8:8" x14ac:dyDescent="0.25">
      <c r="H285" t="s">
        <v>138</v>
      </c>
    </row>
    <row r="286" spans="8:8" x14ac:dyDescent="0.25">
      <c r="H286" t="s">
        <v>3302</v>
      </c>
    </row>
    <row r="287" spans="8:8" x14ac:dyDescent="0.25">
      <c r="H287" t="s">
        <v>30</v>
      </c>
    </row>
    <row r="289" spans="8:8" x14ac:dyDescent="0.25">
      <c r="H289" t="s">
        <v>1498</v>
      </c>
    </row>
    <row r="290" spans="8:8" x14ac:dyDescent="0.25">
      <c r="H290" t="s">
        <v>1499</v>
      </c>
    </row>
    <row r="291" spans="8:8" x14ac:dyDescent="0.25">
      <c r="H291" t="s">
        <v>135</v>
      </c>
    </row>
    <row r="292" spans="8:8" x14ac:dyDescent="0.25">
      <c r="H292" t="s">
        <v>3303</v>
      </c>
    </row>
    <row r="293" spans="8:8" x14ac:dyDescent="0.25">
      <c r="H293" t="s">
        <v>30</v>
      </c>
    </row>
    <row r="294" spans="8:8" x14ac:dyDescent="0.25">
      <c r="H294" t="s">
        <v>1501</v>
      </c>
    </row>
    <row r="295" spans="8:8" x14ac:dyDescent="0.25">
      <c r="H295" t="s">
        <v>137</v>
      </c>
    </row>
    <row r="296" spans="8:8" x14ac:dyDescent="0.25">
      <c r="H296" t="s">
        <v>3304</v>
      </c>
    </row>
    <row r="297" spans="8:8" x14ac:dyDescent="0.25">
      <c r="H297" t="s">
        <v>30</v>
      </c>
    </row>
    <row r="298" spans="8:8" x14ac:dyDescent="0.25">
      <c r="H298" t="s">
        <v>138</v>
      </c>
    </row>
    <row r="299" spans="8:8" x14ac:dyDescent="0.25">
      <c r="H299" t="s">
        <v>3305</v>
      </c>
    </row>
    <row r="300" spans="8:8" x14ac:dyDescent="0.25">
      <c r="H300" t="s">
        <v>30</v>
      </c>
    </row>
    <row r="302" spans="8:8" x14ac:dyDescent="0.25">
      <c r="H302" t="s">
        <v>1504</v>
      </c>
    </row>
    <row r="303" spans="8:8" x14ac:dyDescent="0.25">
      <c r="H303" t="s">
        <v>1505</v>
      </c>
    </row>
    <row r="304" spans="8:8" x14ac:dyDescent="0.25">
      <c r="H304" t="s">
        <v>135</v>
      </c>
    </row>
    <row r="305" spans="8:8" x14ac:dyDescent="0.25">
      <c r="H305" t="s">
        <v>3306</v>
      </c>
    </row>
    <row r="306" spans="8:8" x14ac:dyDescent="0.25">
      <c r="H306" t="s">
        <v>30</v>
      </c>
    </row>
    <row r="307" spans="8:8" x14ac:dyDescent="0.25">
      <c r="H307" t="s">
        <v>1507</v>
      </c>
    </row>
    <row r="308" spans="8:8" x14ac:dyDescent="0.25">
      <c r="H308" t="s">
        <v>136</v>
      </c>
    </row>
    <row r="309" spans="8:8" x14ac:dyDescent="0.25">
      <c r="H309" t="s">
        <v>3307</v>
      </c>
    </row>
    <row r="310" spans="8:8" x14ac:dyDescent="0.25">
      <c r="H310" t="s">
        <v>30</v>
      </c>
    </row>
    <row r="311" spans="8:8" x14ac:dyDescent="0.25">
      <c r="H311" t="s">
        <v>1509</v>
      </c>
    </row>
    <row r="312" spans="8:8" x14ac:dyDescent="0.25">
      <c r="H312" t="s">
        <v>137</v>
      </c>
    </row>
    <row r="313" spans="8:8" x14ac:dyDescent="0.25">
      <c r="H313" t="s">
        <v>3308</v>
      </c>
    </row>
    <row r="314" spans="8:8" x14ac:dyDescent="0.25">
      <c r="H314" t="s">
        <v>30</v>
      </c>
    </row>
    <row r="315" spans="8:8" x14ac:dyDescent="0.25">
      <c r="H315" t="s">
        <v>1511</v>
      </c>
    </row>
    <row r="316" spans="8:8" x14ac:dyDescent="0.25">
      <c r="H316" t="s">
        <v>138</v>
      </c>
    </row>
    <row r="317" spans="8:8" x14ac:dyDescent="0.25">
      <c r="H317" t="s">
        <v>3309</v>
      </c>
    </row>
    <row r="318" spans="8:8" x14ac:dyDescent="0.25">
      <c r="H318" t="s">
        <v>30</v>
      </c>
    </row>
    <row r="320" spans="8:8" x14ac:dyDescent="0.25">
      <c r="H320" t="s">
        <v>1513</v>
      </c>
    </row>
    <row r="321" spans="8:8" x14ac:dyDescent="0.25">
      <c r="H321" t="s">
        <v>1514</v>
      </c>
    </row>
    <row r="322" spans="8:8" x14ac:dyDescent="0.25">
      <c r="H322" t="s">
        <v>135</v>
      </c>
    </row>
    <row r="323" spans="8:8" x14ac:dyDescent="0.25">
      <c r="H323" t="s">
        <v>3310</v>
      </c>
    </row>
    <row r="324" spans="8:8" x14ac:dyDescent="0.25">
      <c r="H324" t="s">
        <v>30</v>
      </c>
    </row>
    <row r="326" spans="8:8" x14ac:dyDescent="0.25">
      <c r="H326" t="s">
        <v>1516</v>
      </c>
    </row>
    <row r="327" spans="8:8" x14ac:dyDescent="0.25">
      <c r="H327" t="s">
        <v>1517</v>
      </c>
    </row>
    <row r="328" spans="8:8" x14ac:dyDescent="0.25">
      <c r="H328" t="s">
        <v>135</v>
      </c>
    </row>
    <row r="329" spans="8:8" x14ac:dyDescent="0.25">
      <c r="H329" t="s">
        <v>3311</v>
      </c>
    </row>
    <row r="330" spans="8:8" x14ac:dyDescent="0.25">
      <c r="H330" t="s">
        <v>30</v>
      </c>
    </row>
    <row r="332" spans="8:8" x14ac:dyDescent="0.25">
      <c r="H332" t="s">
        <v>1519</v>
      </c>
    </row>
    <row r="333" spans="8:8" x14ac:dyDescent="0.25">
      <c r="H333" t="s">
        <v>1520</v>
      </c>
    </row>
    <row r="334" spans="8:8" x14ac:dyDescent="0.25">
      <c r="H334" t="s">
        <v>135</v>
      </c>
    </row>
    <row r="335" spans="8:8" x14ac:dyDescent="0.25">
      <c r="H335" t="s">
        <v>3312</v>
      </c>
    </row>
    <row r="336" spans="8:8" x14ac:dyDescent="0.25">
      <c r="H336" t="s">
        <v>30</v>
      </c>
    </row>
    <row r="338" spans="8:8" x14ac:dyDescent="0.25">
      <c r="H338" t="s">
        <v>1522</v>
      </c>
    </row>
    <row r="339" spans="8:8" x14ac:dyDescent="0.25">
      <c r="H339" t="s">
        <v>1523</v>
      </c>
    </row>
    <row r="340" spans="8:8" x14ac:dyDescent="0.25">
      <c r="H340" t="s">
        <v>135</v>
      </c>
    </row>
    <row r="341" spans="8:8" x14ac:dyDescent="0.25">
      <c r="H341" t="s">
        <v>3313</v>
      </c>
    </row>
    <row r="342" spans="8:8" x14ac:dyDescent="0.25">
      <c r="H342" t="s">
        <v>30</v>
      </c>
    </row>
    <row r="344" spans="8:8" x14ac:dyDescent="0.25">
      <c r="H344" t="s">
        <v>1525</v>
      </c>
    </row>
    <row r="345" spans="8:8" x14ac:dyDescent="0.25">
      <c r="H345" t="s">
        <v>1526</v>
      </c>
    </row>
    <row r="346" spans="8:8" x14ac:dyDescent="0.25">
      <c r="H346" t="s">
        <v>135</v>
      </c>
    </row>
    <row r="347" spans="8:8" x14ac:dyDescent="0.25">
      <c r="H347" t="s">
        <v>3314</v>
      </c>
    </row>
    <row r="348" spans="8:8" x14ac:dyDescent="0.25">
      <c r="H348" t="s">
        <v>30</v>
      </c>
    </row>
    <row r="350" spans="8:8" x14ac:dyDescent="0.25">
      <c r="H350" t="s">
        <v>1528</v>
      </c>
    </row>
    <row r="351" spans="8:8" x14ac:dyDescent="0.25">
      <c r="H351" t="s">
        <v>1529</v>
      </c>
    </row>
    <row r="352" spans="8:8" x14ac:dyDescent="0.25">
      <c r="H352" t="s">
        <v>135</v>
      </c>
    </row>
    <row r="353" spans="8:8" x14ac:dyDescent="0.25">
      <c r="H353" t="s">
        <v>3315</v>
      </c>
    </row>
    <row r="354" spans="8:8" x14ac:dyDescent="0.25">
      <c r="H354" t="s">
        <v>30</v>
      </c>
    </row>
    <row r="355" spans="8:8" x14ac:dyDescent="0.25">
      <c r="H355" t="s">
        <v>1531</v>
      </c>
    </row>
    <row r="356" spans="8:8" x14ac:dyDescent="0.25">
      <c r="H356" t="s">
        <v>137</v>
      </c>
    </row>
    <row r="357" spans="8:8" x14ac:dyDescent="0.25">
      <c r="H357" t="s">
        <v>3316</v>
      </c>
    </row>
    <row r="358" spans="8:8" x14ac:dyDescent="0.25">
      <c r="H358" t="s">
        <v>30</v>
      </c>
    </row>
    <row r="359" spans="8:8" x14ac:dyDescent="0.25">
      <c r="H359" t="s">
        <v>138</v>
      </c>
    </row>
    <row r="360" spans="8:8" x14ac:dyDescent="0.25">
      <c r="H360" t="s">
        <v>3317</v>
      </c>
    </row>
    <row r="361" spans="8:8" x14ac:dyDescent="0.25">
      <c r="H361" t="s">
        <v>30</v>
      </c>
    </row>
    <row r="363" spans="8:8" x14ac:dyDescent="0.25">
      <c r="H363" t="s">
        <v>1534</v>
      </c>
    </row>
    <row r="364" spans="8:8" x14ac:dyDescent="0.25">
      <c r="H364" t="s">
        <v>1535</v>
      </c>
    </row>
    <row r="365" spans="8:8" x14ac:dyDescent="0.25">
      <c r="H365" t="s">
        <v>135</v>
      </c>
    </row>
    <row r="366" spans="8:8" x14ac:dyDescent="0.25">
      <c r="H366" t="s">
        <v>3318</v>
      </c>
    </row>
    <row r="367" spans="8:8" x14ac:dyDescent="0.25">
      <c r="H367" t="s">
        <v>30</v>
      </c>
    </row>
    <row r="368" spans="8:8" x14ac:dyDescent="0.25">
      <c r="H368" t="s">
        <v>1537</v>
      </c>
    </row>
    <row r="369" spans="8:8" x14ac:dyDescent="0.25">
      <c r="H369" t="s">
        <v>137</v>
      </c>
    </row>
    <row r="370" spans="8:8" x14ac:dyDescent="0.25">
      <c r="H370" t="s">
        <v>3319</v>
      </c>
    </row>
    <row r="371" spans="8:8" x14ac:dyDescent="0.25">
      <c r="H371" t="s">
        <v>30</v>
      </c>
    </row>
    <row r="372" spans="8:8" x14ac:dyDescent="0.25">
      <c r="H372" t="s">
        <v>138</v>
      </c>
    </row>
    <row r="373" spans="8:8" x14ac:dyDescent="0.25">
      <c r="H373" t="s">
        <v>3320</v>
      </c>
    </row>
    <row r="374" spans="8:8" x14ac:dyDescent="0.25">
      <c r="H374" t="s">
        <v>30</v>
      </c>
    </row>
    <row r="376" spans="8:8" x14ac:dyDescent="0.25">
      <c r="H376" t="s">
        <v>1540</v>
      </c>
    </row>
    <row r="377" spans="8:8" x14ac:dyDescent="0.25">
      <c r="H377" t="s">
        <v>1541</v>
      </c>
    </row>
    <row r="378" spans="8:8" x14ac:dyDescent="0.25">
      <c r="H378" t="s">
        <v>135</v>
      </c>
    </row>
    <row r="379" spans="8:8" x14ac:dyDescent="0.25">
      <c r="H379" t="s">
        <v>3321</v>
      </c>
    </row>
    <row r="380" spans="8:8" x14ac:dyDescent="0.25">
      <c r="H380" t="s">
        <v>30</v>
      </c>
    </row>
    <row r="381" spans="8:8" x14ac:dyDescent="0.25">
      <c r="H381" t="s">
        <v>1543</v>
      </c>
    </row>
    <row r="382" spans="8:8" x14ac:dyDescent="0.25">
      <c r="H382" t="s">
        <v>137</v>
      </c>
    </row>
    <row r="383" spans="8:8" x14ac:dyDescent="0.25">
      <c r="H383" t="s">
        <v>3322</v>
      </c>
    </row>
    <row r="384" spans="8:8" x14ac:dyDescent="0.25">
      <c r="H384" t="s">
        <v>30</v>
      </c>
    </row>
    <row r="385" spans="8:8" x14ac:dyDescent="0.25">
      <c r="H385" t="s">
        <v>138</v>
      </c>
    </row>
    <row r="386" spans="8:8" x14ac:dyDescent="0.25">
      <c r="H386" t="s">
        <v>3323</v>
      </c>
    </row>
    <row r="387" spans="8:8" x14ac:dyDescent="0.25">
      <c r="H387" t="s">
        <v>30</v>
      </c>
    </row>
    <row r="389" spans="8:8" x14ac:dyDescent="0.25">
      <c r="H389" t="s">
        <v>1546</v>
      </c>
    </row>
    <row r="390" spans="8:8" x14ac:dyDescent="0.25">
      <c r="H390" t="s">
        <v>1547</v>
      </c>
    </row>
    <row r="391" spans="8:8" x14ac:dyDescent="0.25">
      <c r="H391" t="s">
        <v>135</v>
      </c>
    </row>
    <row r="392" spans="8:8" x14ac:dyDescent="0.25">
      <c r="H392" t="s">
        <v>3324</v>
      </c>
    </row>
    <row r="393" spans="8:8" x14ac:dyDescent="0.25">
      <c r="H393" t="s">
        <v>30</v>
      </c>
    </row>
    <row r="394" spans="8:8" x14ac:dyDescent="0.25">
      <c r="H394" t="s">
        <v>136</v>
      </c>
    </row>
    <row r="395" spans="8:8" x14ac:dyDescent="0.25">
      <c r="H395" t="s">
        <v>3325</v>
      </c>
    </row>
    <row r="396" spans="8:8" x14ac:dyDescent="0.25">
      <c r="H396" t="s">
        <v>30</v>
      </c>
    </row>
    <row r="398" spans="8:8" x14ac:dyDescent="0.25">
      <c r="H398" t="s">
        <v>1550</v>
      </c>
    </row>
    <row r="399" spans="8:8" x14ac:dyDescent="0.25">
      <c r="H399" t="s">
        <v>1551</v>
      </c>
    </row>
    <row r="400" spans="8:8" x14ac:dyDescent="0.25">
      <c r="H400" t="s">
        <v>135</v>
      </c>
    </row>
    <row r="401" spans="8:8" x14ac:dyDescent="0.25">
      <c r="H401" t="s">
        <v>3326</v>
      </c>
    </row>
    <row r="402" spans="8:8" x14ac:dyDescent="0.25">
      <c r="H402" t="s">
        <v>30</v>
      </c>
    </row>
    <row r="403" spans="8:8" x14ac:dyDescent="0.25">
      <c r="H403" t="s">
        <v>136</v>
      </c>
    </row>
    <row r="404" spans="8:8" x14ac:dyDescent="0.25">
      <c r="H404" t="s">
        <v>3327</v>
      </c>
    </row>
    <row r="405" spans="8:8" x14ac:dyDescent="0.25">
      <c r="H405" t="s">
        <v>30</v>
      </c>
    </row>
    <row r="406" spans="8:8" x14ac:dyDescent="0.25">
      <c r="H406" t="s">
        <v>137</v>
      </c>
    </row>
    <row r="407" spans="8:8" x14ac:dyDescent="0.25">
      <c r="H407" t="s">
        <v>3328</v>
      </c>
    </row>
    <row r="408" spans="8:8" x14ac:dyDescent="0.25">
      <c r="H408" t="s">
        <v>30</v>
      </c>
    </row>
    <row r="409" spans="8:8" x14ac:dyDescent="0.25">
      <c r="H409" t="s">
        <v>138</v>
      </c>
    </row>
    <row r="410" spans="8:8" x14ac:dyDescent="0.25">
      <c r="H410" t="s">
        <v>3329</v>
      </c>
    </row>
    <row r="411" spans="8:8" x14ac:dyDescent="0.25">
      <c r="H411" t="s">
        <v>30</v>
      </c>
    </row>
    <row r="413" spans="8:8" x14ac:dyDescent="0.25">
      <c r="H413" t="s">
        <v>1556</v>
      </c>
    </row>
    <row r="414" spans="8:8" x14ac:dyDescent="0.25">
      <c r="H414" t="s">
        <v>1557</v>
      </c>
    </row>
    <row r="415" spans="8:8" x14ac:dyDescent="0.25">
      <c r="H415" t="s">
        <v>135</v>
      </c>
    </row>
    <row r="416" spans="8:8" x14ac:dyDescent="0.25">
      <c r="H416" t="s">
        <v>3330</v>
      </c>
    </row>
    <row r="417" spans="8:8" x14ac:dyDescent="0.25">
      <c r="H417" t="s">
        <v>30</v>
      </c>
    </row>
    <row r="418" spans="8:8" x14ac:dyDescent="0.25">
      <c r="H418" t="s">
        <v>1559</v>
      </c>
    </row>
    <row r="419" spans="8:8" x14ac:dyDescent="0.25">
      <c r="H419" t="s">
        <v>136</v>
      </c>
    </row>
    <row r="420" spans="8:8" x14ac:dyDescent="0.25">
      <c r="H420" t="s">
        <v>3331</v>
      </c>
    </row>
    <row r="421" spans="8:8" x14ac:dyDescent="0.25">
      <c r="H421" t="s">
        <v>30</v>
      </c>
    </row>
    <row r="422" spans="8:8" x14ac:dyDescent="0.25">
      <c r="H422" t="s">
        <v>1561</v>
      </c>
    </row>
    <row r="423" spans="8:8" x14ac:dyDescent="0.25">
      <c r="H423" t="s">
        <v>137</v>
      </c>
    </row>
    <row r="424" spans="8:8" x14ac:dyDescent="0.25">
      <c r="H424" t="s">
        <v>3332</v>
      </c>
    </row>
    <row r="425" spans="8:8" x14ac:dyDescent="0.25">
      <c r="H425" t="s">
        <v>30</v>
      </c>
    </row>
    <row r="426" spans="8:8" x14ac:dyDescent="0.25">
      <c r="H426" t="s">
        <v>1563</v>
      </c>
    </row>
    <row r="427" spans="8:8" x14ac:dyDescent="0.25">
      <c r="H427" t="s">
        <v>138</v>
      </c>
    </row>
    <row r="428" spans="8:8" x14ac:dyDescent="0.25">
      <c r="H428" t="s">
        <v>3333</v>
      </c>
    </row>
    <row r="429" spans="8:8" x14ac:dyDescent="0.25">
      <c r="H429" t="s">
        <v>30</v>
      </c>
    </row>
    <row r="431" spans="8:8" x14ac:dyDescent="0.25">
      <c r="H431" t="s">
        <v>1565</v>
      </c>
    </row>
    <row r="432" spans="8:8" x14ac:dyDescent="0.25">
      <c r="H432" t="s">
        <v>1566</v>
      </c>
    </row>
    <row r="433" spans="8:8" x14ac:dyDescent="0.25">
      <c r="H433" t="s">
        <v>135</v>
      </c>
    </row>
    <row r="434" spans="8:8" x14ac:dyDescent="0.25">
      <c r="H434" t="s">
        <v>3334</v>
      </c>
    </row>
    <row r="435" spans="8:8" x14ac:dyDescent="0.25">
      <c r="H435" t="s">
        <v>30</v>
      </c>
    </row>
    <row r="436" spans="8:8" x14ac:dyDescent="0.25">
      <c r="H436" t="s">
        <v>1568</v>
      </c>
    </row>
    <row r="437" spans="8:8" x14ac:dyDescent="0.25">
      <c r="H437" t="s">
        <v>136</v>
      </c>
    </row>
    <row r="438" spans="8:8" x14ac:dyDescent="0.25">
      <c r="H438" t="s">
        <v>3335</v>
      </c>
    </row>
    <row r="439" spans="8:8" x14ac:dyDescent="0.25">
      <c r="H439" t="s">
        <v>30</v>
      </c>
    </row>
    <row r="440" spans="8:8" x14ac:dyDescent="0.25">
      <c r="H440" t="s">
        <v>1570</v>
      </c>
    </row>
    <row r="441" spans="8:8" x14ac:dyDescent="0.25">
      <c r="H441" t="s">
        <v>137</v>
      </c>
    </row>
    <row r="442" spans="8:8" x14ac:dyDescent="0.25">
      <c r="H442" t="s">
        <v>3336</v>
      </c>
    </row>
    <row r="443" spans="8:8" x14ac:dyDescent="0.25">
      <c r="H443" t="s">
        <v>30</v>
      </c>
    </row>
    <row r="444" spans="8:8" x14ac:dyDescent="0.25">
      <c r="H444" t="s">
        <v>1572</v>
      </c>
    </row>
    <row r="445" spans="8:8" x14ac:dyDescent="0.25">
      <c r="H445" t="s">
        <v>138</v>
      </c>
    </row>
    <row r="446" spans="8:8" x14ac:dyDescent="0.25">
      <c r="H446" t="s">
        <v>3337</v>
      </c>
    </row>
    <row r="447" spans="8:8" x14ac:dyDescent="0.25">
      <c r="H447" t="s">
        <v>30</v>
      </c>
    </row>
    <row r="449" spans="8:8" x14ac:dyDescent="0.25">
      <c r="H449" t="s">
        <v>1574</v>
      </c>
    </row>
    <row r="450" spans="8:8" x14ac:dyDescent="0.25">
      <c r="H450" t="s">
        <v>1575</v>
      </c>
    </row>
    <row r="451" spans="8:8" x14ac:dyDescent="0.25">
      <c r="H451" t="s">
        <v>135</v>
      </c>
    </row>
    <row r="452" spans="8:8" x14ac:dyDescent="0.25">
      <c r="H452" t="s">
        <v>3338</v>
      </c>
    </row>
    <row r="453" spans="8:8" x14ac:dyDescent="0.25">
      <c r="H453" t="s">
        <v>30</v>
      </c>
    </row>
    <row r="454" spans="8:8" x14ac:dyDescent="0.25">
      <c r="H454" t="s">
        <v>1577</v>
      </c>
    </row>
    <row r="455" spans="8:8" x14ac:dyDescent="0.25">
      <c r="H455" t="s">
        <v>136</v>
      </c>
    </row>
    <row r="456" spans="8:8" x14ac:dyDescent="0.25">
      <c r="H456" t="s">
        <v>3339</v>
      </c>
    </row>
    <row r="457" spans="8:8" x14ac:dyDescent="0.25">
      <c r="H457" t="s">
        <v>30</v>
      </c>
    </row>
    <row r="459" spans="8:8" x14ac:dyDescent="0.25">
      <c r="H459" t="s">
        <v>1579</v>
      </c>
    </row>
    <row r="460" spans="8:8" x14ac:dyDescent="0.25">
      <c r="H460" t="s">
        <v>1632</v>
      </c>
    </row>
    <row r="461" spans="8:8" x14ac:dyDescent="0.25">
      <c r="H461" t="s">
        <v>135</v>
      </c>
    </row>
    <row r="462" spans="8:8" x14ac:dyDescent="0.25">
      <c r="H462" t="s">
        <v>3340</v>
      </c>
    </row>
    <row r="463" spans="8:8" x14ac:dyDescent="0.25">
      <c r="H463" t="s">
        <v>30</v>
      </c>
    </row>
    <row r="465" spans="8:8" x14ac:dyDescent="0.25">
      <c r="H465" t="s">
        <v>1580</v>
      </c>
    </row>
    <row r="466" spans="8:8" x14ac:dyDescent="0.25">
      <c r="H466" t="s">
        <v>1635</v>
      </c>
    </row>
    <row r="467" spans="8:8" x14ac:dyDescent="0.25">
      <c r="H467" t="s">
        <v>135</v>
      </c>
    </row>
    <row r="468" spans="8:8" x14ac:dyDescent="0.25">
      <c r="H468" t="s">
        <v>3341</v>
      </c>
    </row>
    <row r="469" spans="8:8" x14ac:dyDescent="0.25">
      <c r="H469" t="s">
        <v>30</v>
      </c>
    </row>
    <row r="471" spans="8:8" x14ac:dyDescent="0.25">
      <c r="H471" t="s">
        <v>1581</v>
      </c>
    </row>
    <row r="472" spans="8:8" x14ac:dyDescent="0.25">
      <c r="H472" t="s">
        <v>1638</v>
      </c>
    </row>
    <row r="473" spans="8:8" x14ac:dyDescent="0.25">
      <c r="H473" t="s">
        <v>135</v>
      </c>
    </row>
    <row r="474" spans="8:8" x14ac:dyDescent="0.25">
      <c r="H474" t="s">
        <v>3342</v>
      </c>
    </row>
    <row r="475" spans="8:8" x14ac:dyDescent="0.25">
      <c r="H475" t="s">
        <v>30</v>
      </c>
    </row>
    <row r="477" spans="8:8" x14ac:dyDescent="0.25">
      <c r="H477" t="s">
        <v>1582</v>
      </c>
    </row>
    <row r="478" spans="8:8" x14ac:dyDescent="0.25">
      <c r="H478" t="s">
        <v>1641</v>
      </c>
    </row>
    <row r="479" spans="8:8" x14ac:dyDescent="0.25">
      <c r="H479" t="s">
        <v>135</v>
      </c>
    </row>
    <row r="480" spans="8:8" x14ac:dyDescent="0.25">
      <c r="H480" t="s">
        <v>3343</v>
      </c>
    </row>
    <row r="481" spans="8:8" x14ac:dyDescent="0.25">
      <c r="H481" t="s">
        <v>30</v>
      </c>
    </row>
    <row r="483" spans="8:8" x14ac:dyDescent="0.25">
      <c r="H483" t="s">
        <v>1583</v>
      </c>
    </row>
    <row r="484" spans="8:8" x14ac:dyDescent="0.25">
      <c r="H484" t="s">
        <v>1644</v>
      </c>
    </row>
    <row r="485" spans="8:8" x14ac:dyDescent="0.25">
      <c r="H485" t="s">
        <v>135</v>
      </c>
    </row>
    <row r="486" spans="8:8" x14ac:dyDescent="0.25">
      <c r="H486" t="s">
        <v>3344</v>
      </c>
    </row>
    <row r="487" spans="8:8" x14ac:dyDescent="0.25">
      <c r="H487" t="s">
        <v>30</v>
      </c>
    </row>
    <row r="489" spans="8:8" x14ac:dyDescent="0.25">
      <c r="H489" t="s">
        <v>1584</v>
      </c>
    </row>
    <row r="490" spans="8:8" x14ac:dyDescent="0.25">
      <c r="H490" t="s">
        <v>1647</v>
      </c>
    </row>
    <row r="491" spans="8:8" x14ac:dyDescent="0.25">
      <c r="H491" t="s">
        <v>135</v>
      </c>
    </row>
    <row r="492" spans="8:8" x14ac:dyDescent="0.25">
      <c r="H492" t="s">
        <v>3345</v>
      </c>
    </row>
    <row r="493" spans="8:8" x14ac:dyDescent="0.25">
      <c r="H493" t="s">
        <v>30</v>
      </c>
    </row>
    <row r="495" spans="8:8" x14ac:dyDescent="0.25">
      <c r="H495" t="s">
        <v>1585</v>
      </c>
    </row>
    <row r="496" spans="8:8" x14ac:dyDescent="0.25">
      <c r="H496" t="s">
        <v>1650</v>
      </c>
    </row>
    <row r="497" spans="8:8" x14ac:dyDescent="0.25">
      <c r="H497" t="s">
        <v>135</v>
      </c>
    </row>
    <row r="498" spans="8:8" x14ac:dyDescent="0.25">
      <c r="H498" t="s">
        <v>3346</v>
      </c>
    </row>
    <row r="499" spans="8:8" x14ac:dyDescent="0.25">
      <c r="H499" t="s">
        <v>30</v>
      </c>
    </row>
    <row r="501" spans="8:8" x14ac:dyDescent="0.25">
      <c r="H501" t="s">
        <v>1586</v>
      </c>
    </row>
    <row r="502" spans="8:8" x14ac:dyDescent="0.25">
      <c r="H502" t="s">
        <v>1653</v>
      </c>
    </row>
    <row r="503" spans="8:8" x14ac:dyDescent="0.25">
      <c r="H503" t="s">
        <v>135</v>
      </c>
    </row>
    <row r="504" spans="8:8" x14ac:dyDescent="0.25">
      <c r="H504" t="s">
        <v>3347</v>
      </c>
    </row>
    <row r="505" spans="8:8" x14ac:dyDescent="0.25">
      <c r="H505" t="s">
        <v>30</v>
      </c>
    </row>
    <row r="507" spans="8:8" x14ac:dyDescent="0.25">
      <c r="H507" t="s">
        <v>1587</v>
      </c>
    </row>
    <row r="508" spans="8:8" x14ac:dyDescent="0.25">
      <c r="H508" t="s">
        <v>1656</v>
      </c>
    </row>
    <row r="509" spans="8:8" x14ac:dyDescent="0.25">
      <c r="H509" t="s">
        <v>135</v>
      </c>
    </row>
    <row r="510" spans="8:8" x14ac:dyDescent="0.25">
      <c r="H510" t="s">
        <v>3348</v>
      </c>
    </row>
    <row r="511" spans="8:8" x14ac:dyDescent="0.25">
      <c r="H511" t="s">
        <v>30</v>
      </c>
    </row>
    <row r="513" spans="8:8" x14ac:dyDescent="0.25">
      <c r="H513" t="s">
        <v>1588</v>
      </c>
    </row>
    <row r="514" spans="8:8" x14ac:dyDescent="0.25">
      <c r="H514" t="s">
        <v>1659</v>
      </c>
    </row>
    <row r="515" spans="8:8" x14ac:dyDescent="0.25">
      <c r="H515" t="s">
        <v>135</v>
      </c>
    </row>
    <row r="516" spans="8:8" x14ac:dyDescent="0.25">
      <c r="H516" t="s">
        <v>3349</v>
      </c>
    </row>
    <row r="517" spans="8:8" x14ac:dyDescent="0.25">
      <c r="H517" t="s">
        <v>30</v>
      </c>
    </row>
    <row r="518" spans="8:8" x14ac:dyDescent="0.25">
      <c r="H518" t="s">
        <v>1661</v>
      </c>
    </row>
    <row r="519" spans="8:8" x14ac:dyDescent="0.25">
      <c r="H519" t="s">
        <v>136</v>
      </c>
    </row>
    <row r="520" spans="8:8" x14ac:dyDescent="0.25">
      <c r="H520" t="s">
        <v>3350</v>
      </c>
    </row>
    <row r="521" spans="8:8" x14ac:dyDescent="0.25">
      <c r="H521" t="s">
        <v>30</v>
      </c>
    </row>
    <row r="522" spans="8:8" x14ac:dyDescent="0.25">
      <c r="H522" t="s">
        <v>1663</v>
      </c>
    </row>
    <row r="523" spans="8:8" x14ac:dyDescent="0.25">
      <c r="H523" t="s">
        <v>137</v>
      </c>
    </row>
    <row r="524" spans="8:8" x14ac:dyDescent="0.25">
      <c r="H524" t="s">
        <v>3351</v>
      </c>
    </row>
    <row r="525" spans="8:8" x14ac:dyDescent="0.25">
      <c r="H525" t="s">
        <v>30</v>
      </c>
    </row>
    <row r="526" spans="8:8" x14ac:dyDescent="0.25">
      <c r="H526" t="s">
        <v>1665</v>
      </c>
    </row>
    <row r="527" spans="8:8" x14ac:dyDescent="0.25">
      <c r="H527" t="s">
        <v>138</v>
      </c>
    </row>
    <row r="528" spans="8:8" x14ac:dyDescent="0.25">
      <c r="H528" t="s">
        <v>3352</v>
      </c>
    </row>
    <row r="529" spans="8:8" x14ac:dyDescent="0.25">
      <c r="H529" t="s">
        <v>30</v>
      </c>
    </row>
    <row r="531" spans="8:8" x14ac:dyDescent="0.25">
      <c r="H531" t="s">
        <v>1589</v>
      </c>
    </row>
    <row r="532" spans="8:8" x14ac:dyDescent="0.25">
      <c r="H532" t="s">
        <v>1668</v>
      </c>
    </row>
    <row r="533" spans="8:8" x14ac:dyDescent="0.25">
      <c r="H533" t="s">
        <v>135</v>
      </c>
    </row>
    <row r="534" spans="8:8" x14ac:dyDescent="0.25">
      <c r="H534" t="s">
        <v>3353</v>
      </c>
    </row>
    <row r="535" spans="8:8" x14ac:dyDescent="0.25">
      <c r="H535" t="s">
        <v>30</v>
      </c>
    </row>
    <row r="536" spans="8:8" x14ac:dyDescent="0.25">
      <c r="H536" t="s">
        <v>1670</v>
      </c>
    </row>
    <row r="537" spans="8:8" x14ac:dyDescent="0.25">
      <c r="H537" t="s">
        <v>136</v>
      </c>
    </row>
    <row r="538" spans="8:8" x14ac:dyDescent="0.25">
      <c r="H538" t="s">
        <v>3354</v>
      </c>
    </row>
    <row r="539" spans="8:8" x14ac:dyDescent="0.25">
      <c r="H539" t="s">
        <v>30</v>
      </c>
    </row>
    <row r="541" spans="8:8" x14ac:dyDescent="0.25">
      <c r="H541" t="s">
        <v>1590</v>
      </c>
    </row>
    <row r="542" spans="8:8" x14ac:dyDescent="0.25">
      <c r="H542" t="s">
        <v>1673</v>
      </c>
    </row>
    <row r="543" spans="8:8" x14ac:dyDescent="0.25">
      <c r="H543" t="s">
        <v>135</v>
      </c>
    </row>
    <row r="544" spans="8:8" x14ac:dyDescent="0.25">
      <c r="H544" t="s">
        <v>3355</v>
      </c>
    </row>
    <row r="545" spans="8:8" x14ac:dyDescent="0.25">
      <c r="H545" t="s">
        <v>30</v>
      </c>
    </row>
    <row r="547" spans="8:8" x14ac:dyDescent="0.25">
      <c r="H547" t="s">
        <v>1591</v>
      </c>
    </row>
    <row r="548" spans="8:8" x14ac:dyDescent="0.25">
      <c r="H548" t="s">
        <v>1676</v>
      </c>
    </row>
    <row r="549" spans="8:8" x14ac:dyDescent="0.25">
      <c r="H549" t="s">
        <v>135</v>
      </c>
    </row>
    <row r="550" spans="8:8" x14ac:dyDescent="0.25">
      <c r="H550" t="s">
        <v>3356</v>
      </c>
    </row>
    <row r="551" spans="8:8" x14ac:dyDescent="0.25">
      <c r="H551" t="s">
        <v>30</v>
      </c>
    </row>
    <row r="553" spans="8:8" x14ac:dyDescent="0.25">
      <c r="H553" t="s">
        <v>1592</v>
      </c>
    </row>
    <row r="554" spans="8:8" x14ac:dyDescent="0.25">
      <c r="H554" t="s">
        <v>1679</v>
      </c>
    </row>
    <row r="555" spans="8:8" x14ac:dyDescent="0.25">
      <c r="H555" t="s">
        <v>135</v>
      </c>
    </row>
    <row r="556" spans="8:8" x14ac:dyDescent="0.25">
      <c r="H556" t="s">
        <v>3357</v>
      </c>
    </row>
    <row r="557" spans="8:8" x14ac:dyDescent="0.25">
      <c r="H557" t="s">
        <v>30</v>
      </c>
    </row>
    <row r="559" spans="8:8" x14ac:dyDescent="0.25">
      <c r="H559" t="s">
        <v>1593</v>
      </c>
    </row>
    <row r="560" spans="8:8" x14ac:dyDescent="0.25">
      <c r="H560" t="s">
        <v>1682</v>
      </c>
    </row>
    <row r="561" spans="8:8" x14ac:dyDescent="0.25">
      <c r="H561" t="s">
        <v>135</v>
      </c>
    </row>
    <row r="562" spans="8:8" x14ac:dyDescent="0.25">
      <c r="H562" t="s">
        <v>3358</v>
      </c>
    </row>
    <row r="563" spans="8:8" x14ac:dyDescent="0.25">
      <c r="H563" t="s">
        <v>30</v>
      </c>
    </row>
    <row r="565" spans="8:8" x14ac:dyDescent="0.25">
      <c r="H565" t="s">
        <v>1594</v>
      </c>
    </row>
    <row r="566" spans="8:8" x14ac:dyDescent="0.25">
      <c r="H566" t="s">
        <v>1685</v>
      </c>
    </row>
    <row r="567" spans="8:8" x14ac:dyDescent="0.25">
      <c r="H567" t="s">
        <v>135</v>
      </c>
    </row>
    <row r="568" spans="8:8" x14ac:dyDescent="0.25">
      <c r="H568" t="s">
        <v>3359</v>
      </c>
    </row>
    <row r="569" spans="8:8" x14ac:dyDescent="0.25">
      <c r="H569" t="s">
        <v>30</v>
      </c>
    </row>
    <row r="571" spans="8:8" x14ac:dyDescent="0.25">
      <c r="H571" t="s">
        <v>1595</v>
      </c>
    </row>
    <row r="572" spans="8:8" x14ac:dyDescent="0.25">
      <c r="H572" t="s">
        <v>1688</v>
      </c>
    </row>
    <row r="573" spans="8:8" x14ac:dyDescent="0.25">
      <c r="H573" t="s">
        <v>135</v>
      </c>
    </row>
    <row r="574" spans="8:8" x14ac:dyDescent="0.25">
      <c r="H574" t="s">
        <v>3360</v>
      </c>
    </row>
    <row r="575" spans="8:8" x14ac:dyDescent="0.25">
      <c r="H575" t="s">
        <v>30</v>
      </c>
    </row>
    <row r="577" spans="8:8" x14ac:dyDescent="0.25">
      <c r="H577" t="s">
        <v>1596</v>
      </c>
    </row>
    <row r="578" spans="8:8" x14ac:dyDescent="0.25">
      <c r="H578" t="s">
        <v>1691</v>
      </c>
    </row>
    <row r="579" spans="8:8" x14ac:dyDescent="0.25">
      <c r="H579" t="s">
        <v>135</v>
      </c>
    </row>
    <row r="580" spans="8:8" x14ac:dyDescent="0.25">
      <c r="H580" t="s">
        <v>3361</v>
      </c>
    </row>
    <row r="581" spans="8:8" x14ac:dyDescent="0.25">
      <c r="H581" t="s">
        <v>30</v>
      </c>
    </row>
    <row r="583" spans="8:8" x14ac:dyDescent="0.25">
      <c r="H583" t="s">
        <v>1597</v>
      </c>
    </row>
    <row r="584" spans="8:8" x14ac:dyDescent="0.25">
      <c r="H584" t="s">
        <v>1694</v>
      </c>
    </row>
    <row r="585" spans="8:8" x14ac:dyDescent="0.25">
      <c r="H585" t="s">
        <v>135</v>
      </c>
    </row>
    <row r="586" spans="8:8" x14ac:dyDescent="0.25">
      <c r="H586" t="s">
        <v>3362</v>
      </c>
    </row>
    <row r="587" spans="8:8" x14ac:dyDescent="0.25">
      <c r="H587" t="s">
        <v>30</v>
      </c>
    </row>
    <row r="589" spans="8:8" x14ac:dyDescent="0.25">
      <c r="H589" t="s">
        <v>1598</v>
      </c>
    </row>
    <row r="590" spans="8:8" x14ac:dyDescent="0.25">
      <c r="H590" t="s">
        <v>1697</v>
      </c>
    </row>
    <row r="591" spans="8:8" x14ac:dyDescent="0.25">
      <c r="H591" t="s">
        <v>135</v>
      </c>
    </row>
    <row r="592" spans="8:8" x14ac:dyDescent="0.25">
      <c r="H592" t="s">
        <v>3363</v>
      </c>
    </row>
    <row r="593" spans="8:8" x14ac:dyDescent="0.25">
      <c r="H593" t="s">
        <v>30</v>
      </c>
    </row>
    <row r="595" spans="8:8" x14ac:dyDescent="0.25">
      <c r="H595" t="s">
        <v>1599</v>
      </c>
    </row>
    <row r="596" spans="8:8" x14ac:dyDescent="0.25">
      <c r="H596" t="s">
        <v>1700</v>
      </c>
    </row>
    <row r="597" spans="8:8" x14ac:dyDescent="0.25">
      <c r="H597" t="s">
        <v>135</v>
      </c>
    </row>
    <row r="598" spans="8:8" x14ac:dyDescent="0.25">
      <c r="H598" t="s">
        <v>3364</v>
      </c>
    </row>
    <row r="599" spans="8:8" x14ac:dyDescent="0.25">
      <c r="H599" t="s">
        <v>30</v>
      </c>
    </row>
    <row r="601" spans="8:8" x14ac:dyDescent="0.25">
      <c r="H601" t="s">
        <v>1600</v>
      </c>
    </row>
    <row r="602" spans="8:8" x14ac:dyDescent="0.25">
      <c r="H602" t="s">
        <v>1703</v>
      </c>
    </row>
    <row r="603" spans="8:8" x14ac:dyDescent="0.25">
      <c r="H603" t="s">
        <v>135</v>
      </c>
    </row>
    <row r="604" spans="8:8" x14ac:dyDescent="0.25">
      <c r="H604" t="s">
        <v>3365</v>
      </c>
    </row>
    <row r="605" spans="8:8" x14ac:dyDescent="0.25">
      <c r="H605" t="s">
        <v>30</v>
      </c>
    </row>
    <row r="607" spans="8:8" x14ac:dyDescent="0.25">
      <c r="H607" t="s">
        <v>1601</v>
      </c>
    </row>
    <row r="608" spans="8:8" x14ac:dyDescent="0.25">
      <c r="H608" t="s">
        <v>1706</v>
      </c>
    </row>
    <row r="609" spans="8:8" x14ac:dyDescent="0.25">
      <c r="H609" t="s">
        <v>135</v>
      </c>
    </row>
    <row r="610" spans="8:8" x14ac:dyDescent="0.25">
      <c r="H610" t="s">
        <v>3366</v>
      </c>
    </row>
    <row r="611" spans="8:8" x14ac:dyDescent="0.25">
      <c r="H611" t="s">
        <v>30</v>
      </c>
    </row>
    <row r="613" spans="8:8" x14ac:dyDescent="0.25">
      <c r="H613" t="s">
        <v>1602</v>
      </c>
    </row>
    <row r="614" spans="8:8" x14ac:dyDescent="0.25">
      <c r="H614" t="s">
        <v>1709</v>
      </c>
    </row>
    <row r="615" spans="8:8" x14ac:dyDescent="0.25">
      <c r="H615" t="s">
        <v>135</v>
      </c>
    </row>
    <row r="616" spans="8:8" x14ac:dyDescent="0.25">
      <c r="H616" t="s">
        <v>3367</v>
      </c>
    </row>
    <row r="617" spans="8:8" x14ac:dyDescent="0.25">
      <c r="H617" t="s">
        <v>30</v>
      </c>
    </row>
    <row r="619" spans="8:8" x14ac:dyDescent="0.25">
      <c r="H619" t="s">
        <v>1603</v>
      </c>
    </row>
    <row r="620" spans="8:8" x14ac:dyDescent="0.25">
      <c r="H620" t="s">
        <v>1712</v>
      </c>
    </row>
    <row r="621" spans="8:8" x14ac:dyDescent="0.25">
      <c r="H621" t="s">
        <v>135</v>
      </c>
    </row>
    <row r="622" spans="8:8" x14ac:dyDescent="0.25">
      <c r="H622" t="s">
        <v>3368</v>
      </c>
    </row>
    <row r="623" spans="8:8" x14ac:dyDescent="0.25">
      <c r="H623" t="s">
        <v>30</v>
      </c>
    </row>
    <row r="625" spans="8:8" x14ac:dyDescent="0.25">
      <c r="H625" t="s">
        <v>1604</v>
      </c>
    </row>
    <row r="626" spans="8:8" x14ac:dyDescent="0.25">
      <c r="H626" t="s">
        <v>1715</v>
      </c>
    </row>
    <row r="627" spans="8:8" x14ac:dyDescent="0.25">
      <c r="H627" t="s">
        <v>135</v>
      </c>
    </row>
    <row r="628" spans="8:8" x14ac:dyDescent="0.25">
      <c r="H628" t="s">
        <v>3369</v>
      </c>
    </row>
    <row r="629" spans="8:8" x14ac:dyDescent="0.25">
      <c r="H629" t="s">
        <v>30</v>
      </c>
    </row>
    <row r="631" spans="8:8" x14ac:dyDescent="0.25">
      <c r="H631" t="s">
        <v>1605</v>
      </c>
    </row>
    <row r="632" spans="8:8" x14ac:dyDescent="0.25">
      <c r="H632" t="s">
        <v>1718</v>
      </c>
    </row>
    <row r="633" spans="8:8" x14ac:dyDescent="0.25">
      <c r="H633" t="s">
        <v>135</v>
      </c>
    </row>
    <row r="634" spans="8:8" x14ac:dyDescent="0.25">
      <c r="H634" t="s">
        <v>3370</v>
      </c>
    </row>
    <row r="635" spans="8:8" x14ac:dyDescent="0.25">
      <c r="H635" t="s">
        <v>30</v>
      </c>
    </row>
    <row r="637" spans="8:8" x14ac:dyDescent="0.25">
      <c r="H637" t="s">
        <v>1606</v>
      </c>
    </row>
    <row r="638" spans="8:8" x14ac:dyDescent="0.25">
      <c r="H638" t="s">
        <v>1721</v>
      </c>
    </row>
    <row r="639" spans="8:8" x14ac:dyDescent="0.25">
      <c r="H639" t="s">
        <v>135</v>
      </c>
    </row>
    <row r="640" spans="8:8" x14ac:dyDescent="0.25">
      <c r="H640" t="s">
        <v>3371</v>
      </c>
    </row>
    <row r="641" spans="8:8" x14ac:dyDescent="0.25">
      <c r="H641" t="s">
        <v>30</v>
      </c>
    </row>
    <row r="643" spans="8:8" x14ac:dyDescent="0.25">
      <c r="H643" t="s">
        <v>1607</v>
      </c>
    </row>
    <row r="644" spans="8:8" x14ac:dyDescent="0.25">
      <c r="H644" t="s">
        <v>1724</v>
      </c>
    </row>
    <row r="645" spans="8:8" x14ac:dyDescent="0.25">
      <c r="H645" t="s">
        <v>135</v>
      </c>
    </row>
    <row r="646" spans="8:8" x14ac:dyDescent="0.25">
      <c r="H646" t="s">
        <v>3372</v>
      </c>
    </row>
    <row r="647" spans="8:8" x14ac:dyDescent="0.25">
      <c r="H647" t="s">
        <v>30</v>
      </c>
    </row>
    <row r="649" spans="8:8" x14ac:dyDescent="0.25">
      <c r="H649" t="s">
        <v>1608</v>
      </c>
    </row>
    <row r="650" spans="8:8" x14ac:dyDescent="0.25">
      <c r="H650" t="s">
        <v>1727</v>
      </c>
    </row>
    <row r="651" spans="8:8" x14ac:dyDescent="0.25">
      <c r="H651" t="s">
        <v>135</v>
      </c>
    </row>
    <row r="652" spans="8:8" x14ac:dyDescent="0.25">
      <c r="H652" t="s">
        <v>3373</v>
      </c>
    </row>
    <row r="653" spans="8:8" x14ac:dyDescent="0.25">
      <c r="H653" t="s">
        <v>30</v>
      </c>
    </row>
    <row r="655" spans="8:8" x14ac:dyDescent="0.25">
      <c r="H655" t="s">
        <v>1609</v>
      </c>
    </row>
    <row r="656" spans="8:8" x14ac:dyDescent="0.25">
      <c r="H656" t="s">
        <v>1730</v>
      </c>
    </row>
    <row r="657" spans="8:8" x14ac:dyDescent="0.25">
      <c r="H657" t="s">
        <v>135</v>
      </c>
    </row>
    <row r="658" spans="8:8" x14ac:dyDescent="0.25">
      <c r="H658" t="s">
        <v>3374</v>
      </c>
    </row>
    <row r="659" spans="8:8" x14ac:dyDescent="0.25">
      <c r="H659" t="s">
        <v>30</v>
      </c>
    </row>
    <row r="661" spans="8:8" x14ac:dyDescent="0.25">
      <c r="H661" t="s">
        <v>1610</v>
      </c>
    </row>
    <row r="662" spans="8:8" x14ac:dyDescent="0.25">
      <c r="H662" t="s">
        <v>1733</v>
      </c>
    </row>
    <row r="663" spans="8:8" x14ac:dyDescent="0.25">
      <c r="H663" t="s">
        <v>135</v>
      </c>
    </row>
    <row r="664" spans="8:8" x14ac:dyDescent="0.25">
      <c r="H664" t="s">
        <v>3375</v>
      </c>
    </row>
    <row r="665" spans="8:8" x14ac:dyDescent="0.25">
      <c r="H665" t="s">
        <v>30</v>
      </c>
    </row>
    <row r="667" spans="8:8" x14ac:dyDescent="0.25">
      <c r="H667" t="s">
        <v>1611</v>
      </c>
    </row>
    <row r="668" spans="8:8" x14ac:dyDescent="0.25">
      <c r="H668" t="s">
        <v>1736</v>
      </c>
    </row>
    <row r="669" spans="8:8" x14ac:dyDescent="0.25">
      <c r="H669" t="s">
        <v>135</v>
      </c>
    </row>
    <row r="670" spans="8:8" x14ac:dyDescent="0.25">
      <c r="H670" t="s">
        <v>3376</v>
      </c>
    </row>
    <row r="671" spans="8:8" x14ac:dyDescent="0.25">
      <c r="H671" t="s">
        <v>30</v>
      </c>
    </row>
    <row r="673" spans="8:8" x14ac:dyDescent="0.25">
      <c r="H673" t="s">
        <v>1612</v>
      </c>
    </row>
    <row r="674" spans="8:8" x14ac:dyDescent="0.25">
      <c r="H674" t="s">
        <v>1739</v>
      </c>
    </row>
    <row r="675" spans="8:8" x14ac:dyDescent="0.25">
      <c r="H675" t="s">
        <v>135</v>
      </c>
    </row>
    <row r="676" spans="8:8" x14ac:dyDescent="0.25">
      <c r="H676" t="s">
        <v>3377</v>
      </c>
    </row>
    <row r="677" spans="8:8" x14ac:dyDescent="0.25">
      <c r="H677" t="s">
        <v>30</v>
      </c>
    </row>
    <row r="679" spans="8:8" x14ac:dyDescent="0.25">
      <c r="H679" t="s">
        <v>1613</v>
      </c>
    </row>
    <row r="680" spans="8:8" x14ac:dyDescent="0.25">
      <c r="H680" t="s">
        <v>1742</v>
      </c>
    </row>
    <row r="681" spans="8:8" x14ac:dyDescent="0.25">
      <c r="H681" t="s">
        <v>135</v>
      </c>
    </row>
    <row r="682" spans="8:8" x14ac:dyDescent="0.25">
      <c r="H682" t="s">
        <v>3378</v>
      </c>
    </row>
    <row r="683" spans="8:8" x14ac:dyDescent="0.25">
      <c r="H683" t="s">
        <v>30</v>
      </c>
    </row>
    <row r="685" spans="8:8" x14ac:dyDescent="0.25">
      <c r="H685" t="s">
        <v>1614</v>
      </c>
    </row>
    <row r="686" spans="8:8" x14ac:dyDescent="0.25">
      <c r="H686" t="s">
        <v>1745</v>
      </c>
    </row>
    <row r="687" spans="8:8" x14ac:dyDescent="0.25">
      <c r="H687" t="s">
        <v>135</v>
      </c>
    </row>
    <row r="688" spans="8:8" x14ac:dyDescent="0.25">
      <c r="H688" t="s">
        <v>3379</v>
      </c>
    </row>
    <row r="689" spans="8:8" x14ac:dyDescent="0.25">
      <c r="H689" t="s">
        <v>30</v>
      </c>
    </row>
    <row r="691" spans="8:8" x14ac:dyDescent="0.25">
      <c r="H691" t="s">
        <v>1615</v>
      </c>
    </row>
    <row r="692" spans="8:8" x14ac:dyDescent="0.25">
      <c r="H692" t="s">
        <v>1748</v>
      </c>
    </row>
    <row r="693" spans="8:8" x14ac:dyDescent="0.25">
      <c r="H693" t="s">
        <v>135</v>
      </c>
    </row>
    <row r="694" spans="8:8" x14ac:dyDescent="0.25">
      <c r="H694" t="s">
        <v>3380</v>
      </c>
    </row>
    <row r="695" spans="8:8" x14ac:dyDescent="0.25">
      <c r="H695" t="s">
        <v>30</v>
      </c>
    </row>
    <row r="697" spans="8:8" x14ac:dyDescent="0.25">
      <c r="H697" t="s">
        <v>1616</v>
      </c>
    </row>
    <row r="698" spans="8:8" x14ac:dyDescent="0.25">
      <c r="H698" t="s">
        <v>1751</v>
      </c>
    </row>
    <row r="699" spans="8:8" x14ac:dyDescent="0.25">
      <c r="H699" t="s">
        <v>135</v>
      </c>
    </row>
    <row r="700" spans="8:8" x14ac:dyDescent="0.25">
      <c r="H700" t="s">
        <v>3381</v>
      </c>
    </row>
    <row r="701" spans="8:8" x14ac:dyDescent="0.25">
      <c r="H701" t="s">
        <v>30</v>
      </c>
    </row>
    <row r="703" spans="8:8" x14ac:dyDescent="0.25">
      <c r="H703" t="s">
        <v>1617</v>
      </c>
    </row>
    <row r="704" spans="8:8" x14ac:dyDescent="0.25">
      <c r="H704" t="s">
        <v>1754</v>
      </c>
    </row>
    <row r="705" spans="8:8" x14ac:dyDescent="0.25">
      <c r="H705" t="s">
        <v>135</v>
      </c>
    </row>
    <row r="706" spans="8:8" x14ac:dyDescent="0.25">
      <c r="H706" t="s">
        <v>3382</v>
      </c>
    </row>
    <row r="707" spans="8:8" x14ac:dyDescent="0.25">
      <c r="H707" t="s">
        <v>30</v>
      </c>
    </row>
    <row r="709" spans="8:8" x14ac:dyDescent="0.25">
      <c r="H709" t="s">
        <v>1618</v>
      </c>
    </row>
    <row r="710" spans="8:8" x14ac:dyDescent="0.25">
      <c r="H710" t="s">
        <v>1757</v>
      </c>
    </row>
    <row r="711" spans="8:8" x14ac:dyDescent="0.25">
      <c r="H711" t="s">
        <v>135</v>
      </c>
    </row>
    <row r="712" spans="8:8" x14ac:dyDescent="0.25">
      <c r="H712" t="s">
        <v>3383</v>
      </c>
    </row>
    <row r="713" spans="8:8" x14ac:dyDescent="0.25">
      <c r="H713" t="s">
        <v>30</v>
      </c>
    </row>
    <row r="715" spans="8:8" x14ac:dyDescent="0.25">
      <c r="H715" t="s">
        <v>1619</v>
      </c>
    </row>
    <row r="716" spans="8:8" x14ac:dyDescent="0.25">
      <c r="H716" t="s">
        <v>1760</v>
      </c>
    </row>
    <row r="717" spans="8:8" x14ac:dyDescent="0.25">
      <c r="H717" t="s">
        <v>135</v>
      </c>
    </row>
    <row r="718" spans="8:8" x14ac:dyDescent="0.25">
      <c r="H718" t="s">
        <v>3384</v>
      </c>
    </row>
    <row r="719" spans="8:8" x14ac:dyDescent="0.25">
      <c r="H719" t="s">
        <v>30</v>
      </c>
    </row>
    <row r="721" spans="8:8" x14ac:dyDescent="0.25">
      <c r="H721" t="s">
        <v>1620</v>
      </c>
    </row>
    <row r="722" spans="8:8" x14ac:dyDescent="0.25">
      <c r="H722" t="s">
        <v>1763</v>
      </c>
    </row>
    <row r="723" spans="8:8" x14ac:dyDescent="0.25">
      <c r="H723" t="s">
        <v>135</v>
      </c>
    </row>
    <row r="724" spans="8:8" x14ac:dyDescent="0.25">
      <c r="H724" t="s">
        <v>3385</v>
      </c>
    </row>
    <row r="725" spans="8:8" x14ac:dyDescent="0.25">
      <c r="H725" t="s">
        <v>30</v>
      </c>
    </row>
    <row r="727" spans="8:8" x14ac:dyDescent="0.25">
      <c r="H727" t="s">
        <v>1621</v>
      </c>
    </row>
    <row r="728" spans="8:8" x14ac:dyDescent="0.25">
      <c r="H728" t="s">
        <v>1766</v>
      </c>
    </row>
    <row r="729" spans="8:8" x14ac:dyDescent="0.25">
      <c r="H729" t="s">
        <v>135</v>
      </c>
    </row>
    <row r="730" spans="8:8" x14ac:dyDescent="0.25">
      <c r="H730" t="s">
        <v>3386</v>
      </c>
    </row>
    <row r="731" spans="8:8" x14ac:dyDescent="0.25">
      <c r="H731" t="s">
        <v>30</v>
      </c>
    </row>
    <row r="733" spans="8:8" x14ac:dyDescent="0.25">
      <c r="H733" t="s">
        <v>1622</v>
      </c>
    </row>
    <row r="734" spans="8:8" x14ac:dyDescent="0.25">
      <c r="H734" t="s">
        <v>1769</v>
      </c>
    </row>
    <row r="735" spans="8:8" x14ac:dyDescent="0.25">
      <c r="H735" t="s">
        <v>135</v>
      </c>
    </row>
    <row r="736" spans="8:8" x14ac:dyDescent="0.25">
      <c r="H736" t="s">
        <v>3387</v>
      </c>
    </row>
    <row r="737" spans="8:8" x14ac:dyDescent="0.25">
      <c r="H737" t="s">
        <v>30</v>
      </c>
    </row>
    <row r="739" spans="8:8" x14ac:dyDescent="0.25">
      <c r="H739" t="s">
        <v>1623</v>
      </c>
    </row>
    <row r="740" spans="8:8" x14ac:dyDescent="0.25">
      <c r="H740" t="s">
        <v>1772</v>
      </c>
    </row>
    <row r="741" spans="8:8" x14ac:dyDescent="0.25">
      <c r="H741" t="s">
        <v>135</v>
      </c>
    </row>
    <row r="742" spans="8:8" x14ac:dyDescent="0.25">
      <c r="H742" t="s">
        <v>3388</v>
      </c>
    </row>
    <row r="743" spans="8:8" x14ac:dyDescent="0.25">
      <c r="H743" t="s">
        <v>30</v>
      </c>
    </row>
    <row r="745" spans="8:8" x14ac:dyDescent="0.25">
      <c r="H745" t="s">
        <v>1624</v>
      </c>
    </row>
    <row r="746" spans="8:8" x14ac:dyDescent="0.25">
      <c r="H746" t="s">
        <v>1775</v>
      </c>
    </row>
    <row r="747" spans="8:8" x14ac:dyDescent="0.25">
      <c r="H747" t="s">
        <v>135</v>
      </c>
    </row>
    <row r="748" spans="8:8" x14ac:dyDescent="0.25">
      <c r="H748" t="s">
        <v>3389</v>
      </c>
    </row>
    <row r="749" spans="8:8" x14ac:dyDescent="0.25">
      <c r="H749" t="s">
        <v>30</v>
      </c>
    </row>
    <row r="751" spans="8:8" x14ac:dyDescent="0.25">
      <c r="H751" t="s">
        <v>1625</v>
      </c>
    </row>
    <row r="752" spans="8:8" x14ac:dyDescent="0.25">
      <c r="H752" t="s">
        <v>1778</v>
      </c>
    </row>
    <row r="753" spans="8:8" x14ac:dyDescent="0.25">
      <c r="H753" t="s">
        <v>135</v>
      </c>
    </row>
    <row r="754" spans="8:8" x14ac:dyDescent="0.25">
      <c r="H754" t="s">
        <v>3390</v>
      </c>
    </row>
    <row r="755" spans="8:8" x14ac:dyDescent="0.25">
      <c r="H755" t="s">
        <v>30</v>
      </c>
    </row>
    <row r="757" spans="8:8" x14ac:dyDescent="0.25">
      <c r="H757" t="s">
        <v>1626</v>
      </c>
    </row>
    <row r="758" spans="8:8" x14ac:dyDescent="0.25">
      <c r="H758" t="s">
        <v>1781</v>
      </c>
    </row>
    <row r="759" spans="8:8" x14ac:dyDescent="0.25">
      <c r="H759" t="s">
        <v>135</v>
      </c>
    </row>
    <row r="760" spans="8:8" x14ac:dyDescent="0.25">
      <c r="H760" t="s">
        <v>3391</v>
      </c>
    </row>
    <row r="761" spans="8:8" x14ac:dyDescent="0.25">
      <c r="H761" t="s">
        <v>30</v>
      </c>
    </row>
    <row r="763" spans="8:8" x14ac:dyDescent="0.25">
      <c r="H763" t="s">
        <v>1627</v>
      </c>
    </row>
    <row r="764" spans="8:8" x14ac:dyDescent="0.25">
      <c r="H764" t="s">
        <v>1784</v>
      </c>
    </row>
    <row r="765" spans="8:8" x14ac:dyDescent="0.25">
      <c r="H765" t="s">
        <v>135</v>
      </c>
    </row>
    <row r="766" spans="8:8" x14ac:dyDescent="0.25">
      <c r="H766" t="s">
        <v>3392</v>
      </c>
    </row>
    <row r="767" spans="8:8" x14ac:dyDescent="0.25">
      <c r="H767" t="s">
        <v>30</v>
      </c>
    </row>
    <row r="769" spans="8:8" x14ac:dyDescent="0.25">
      <c r="H769" t="s">
        <v>1628</v>
      </c>
    </row>
    <row r="770" spans="8:8" x14ac:dyDescent="0.25">
      <c r="H770" t="s">
        <v>1787</v>
      </c>
    </row>
    <row r="771" spans="8:8" x14ac:dyDescent="0.25">
      <c r="H771" t="s">
        <v>135</v>
      </c>
    </row>
    <row r="772" spans="8:8" x14ac:dyDescent="0.25">
      <c r="H772" t="s">
        <v>3393</v>
      </c>
    </row>
    <row r="773" spans="8:8" x14ac:dyDescent="0.25">
      <c r="H773" t="s">
        <v>30</v>
      </c>
    </row>
    <row r="775" spans="8:8" x14ac:dyDescent="0.25">
      <c r="H775" t="s">
        <v>1629</v>
      </c>
    </row>
    <row r="776" spans="8:8" x14ac:dyDescent="0.25">
      <c r="H776" t="s">
        <v>1790</v>
      </c>
    </row>
    <row r="777" spans="8:8" x14ac:dyDescent="0.25">
      <c r="H777" t="s">
        <v>135</v>
      </c>
    </row>
    <row r="778" spans="8:8" x14ac:dyDescent="0.25">
      <c r="H778" t="s">
        <v>3394</v>
      </c>
    </row>
    <row r="779" spans="8:8" x14ac:dyDescent="0.25">
      <c r="H779" t="s">
        <v>30</v>
      </c>
    </row>
    <row r="780" spans="8:8" x14ac:dyDescent="0.25">
      <c r="H780" t="s">
        <v>136</v>
      </c>
    </row>
    <row r="781" spans="8:8" x14ac:dyDescent="0.25">
      <c r="H781" t="s">
        <v>3395</v>
      </c>
    </row>
    <row r="782" spans="8:8" x14ac:dyDescent="0.25">
      <c r="H782" t="s">
        <v>30</v>
      </c>
    </row>
    <row r="783" spans="8:8" x14ac:dyDescent="0.25">
      <c r="H783" t="s">
        <v>137</v>
      </c>
    </row>
    <row r="784" spans="8:8" x14ac:dyDescent="0.25">
      <c r="H784" t="s">
        <v>3396</v>
      </c>
    </row>
    <row r="785" spans="8:8" x14ac:dyDescent="0.25">
      <c r="H785" t="s">
        <v>30</v>
      </c>
    </row>
    <row r="787" spans="8:8" x14ac:dyDescent="0.25">
      <c r="H787" t="s">
        <v>1630</v>
      </c>
    </row>
    <row r="788" spans="8:8" x14ac:dyDescent="0.25">
      <c r="H788" t="s">
        <v>1795</v>
      </c>
    </row>
    <row r="789" spans="8:8" x14ac:dyDescent="0.25">
      <c r="H789" t="s">
        <v>135</v>
      </c>
    </row>
    <row r="790" spans="8:8" x14ac:dyDescent="0.25">
      <c r="H790" t="s">
        <v>3397</v>
      </c>
    </row>
    <row r="791" spans="8:8" x14ac:dyDescent="0.25">
      <c r="H791" t="s">
        <v>30</v>
      </c>
    </row>
    <row r="793" spans="8:8" x14ac:dyDescent="0.25">
      <c r="H793" t="s">
        <v>1631</v>
      </c>
    </row>
    <row r="794" spans="8:8" x14ac:dyDescent="0.25">
      <c r="H794" t="s">
        <v>1798</v>
      </c>
    </row>
    <row r="795" spans="8:8" x14ac:dyDescent="0.25">
      <c r="H795" t="s">
        <v>135</v>
      </c>
    </row>
    <row r="796" spans="8:8" x14ac:dyDescent="0.25">
      <c r="H796" t="s">
        <v>3398</v>
      </c>
    </row>
    <row r="797" spans="8:8" x14ac:dyDescent="0.25">
      <c r="H797" t="s">
        <v>30</v>
      </c>
    </row>
    <row r="799" spans="8:8" x14ac:dyDescent="0.25">
      <c r="H799" t="s">
        <v>1634</v>
      </c>
    </row>
    <row r="800" spans="8:8" x14ac:dyDescent="0.25">
      <c r="H800" t="s">
        <v>1801</v>
      </c>
    </row>
    <row r="801" spans="8:8" x14ac:dyDescent="0.25">
      <c r="H801" t="s">
        <v>135</v>
      </c>
    </row>
    <row r="802" spans="8:8" x14ac:dyDescent="0.25">
      <c r="H802" t="s">
        <v>3399</v>
      </c>
    </row>
    <row r="803" spans="8:8" x14ac:dyDescent="0.25">
      <c r="H803" t="s">
        <v>30</v>
      </c>
    </row>
    <row r="805" spans="8:8" x14ac:dyDescent="0.25">
      <c r="H805" t="s">
        <v>1637</v>
      </c>
    </row>
    <row r="806" spans="8:8" x14ac:dyDescent="0.25">
      <c r="H806" t="s">
        <v>1804</v>
      </c>
    </row>
    <row r="807" spans="8:8" x14ac:dyDescent="0.25">
      <c r="H807" t="s">
        <v>135</v>
      </c>
    </row>
    <row r="808" spans="8:8" x14ac:dyDescent="0.25">
      <c r="H808" t="s">
        <v>3400</v>
      </c>
    </row>
    <row r="809" spans="8:8" x14ac:dyDescent="0.25">
      <c r="H809" t="s">
        <v>30</v>
      </c>
    </row>
    <row r="811" spans="8:8" x14ac:dyDescent="0.25">
      <c r="H811" t="s">
        <v>1640</v>
      </c>
    </row>
    <row r="812" spans="8:8" x14ac:dyDescent="0.25">
      <c r="H812" t="s">
        <v>1807</v>
      </c>
    </row>
    <row r="813" spans="8:8" x14ac:dyDescent="0.25">
      <c r="H813" t="s">
        <v>135</v>
      </c>
    </row>
    <row r="814" spans="8:8" x14ac:dyDescent="0.25">
      <c r="H814" t="s">
        <v>3401</v>
      </c>
    </row>
    <row r="815" spans="8:8" x14ac:dyDescent="0.25">
      <c r="H815" t="s">
        <v>30</v>
      </c>
    </row>
    <row r="817" spans="8:8" x14ac:dyDescent="0.25">
      <c r="H817" t="s">
        <v>1643</v>
      </c>
    </row>
    <row r="818" spans="8:8" x14ac:dyDescent="0.25">
      <c r="H818" t="s">
        <v>1810</v>
      </c>
    </row>
    <row r="819" spans="8:8" x14ac:dyDescent="0.25">
      <c r="H819" t="s">
        <v>135</v>
      </c>
    </row>
    <row r="820" spans="8:8" x14ac:dyDescent="0.25">
      <c r="H820" t="s">
        <v>3402</v>
      </c>
    </row>
    <row r="821" spans="8:8" x14ac:dyDescent="0.25">
      <c r="H821" t="s">
        <v>30</v>
      </c>
    </row>
    <row r="823" spans="8:8" x14ac:dyDescent="0.25">
      <c r="H823" t="s">
        <v>1646</v>
      </c>
    </row>
    <row r="824" spans="8:8" x14ac:dyDescent="0.25">
      <c r="H824" t="s">
        <v>1813</v>
      </c>
    </row>
    <row r="825" spans="8:8" x14ac:dyDescent="0.25">
      <c r="H825" t="s">
        <v>135</v>
      </c>
    </row>
    <row r="826" spans="8:8" x14ac:dyDescent="0.25">
      <c r="H826" t="s">
        <v>3403</v>
      </c>
    </row>
    <row r="827" spans="8:8" x14ac:dyDescent="0.25">
      <c r="H827" t="s">
        <v>30</v>
      </c>
    </row>
    <row r="829" spans="8:8" x14ac:dyDescent="0.25">
      <c r="H829" t="s">
        <v>1649</v>
      </c>
    </row>
    <row r="830" spans="8:8" x14ac:dyDescent="0.25">
      <c r="H830" t="s">
        <v>1816</v>
      </c>
    </row>
    <row r="831" spans="8:8" x14ac:dyDescent="0.25">
      <c r="H831" t="s">
        <v>135</v>
      </c>
    </row>
    <row r="832" spans="8:8" x14ac:dyDescent="0.25">
      <c r="H832" t="s">
        <v>3404</v>
      </c>
    </row>
    <row r="833" spans="8:8" x14ac:dyDescent="0.25">
      <c r="H833" t="s">
        <v>30</v>
      </c>
    </row>
    <row r="835" spans="8:8" x14ac:dyDescent="0.25">
      <c r="H835" t="s">
        <v>1652</v>
      </c>
    </row>
    <row r="836" spans="8:8" x14ac:dyDescent="0.25">
      <c r="H836" t="s">
        <v>1819</v>
      </c>
    </row>
    <row r="837" spans="8:8" x14ac:dyDescent="0.25">
      <c r="H837" t="s">
        <v>135</v>
      </c>
    </row>
    <row r="838" spans="8:8" x14ac:dyDescent="0.25">
      <c r="H838" t="s">
        <v>3405</v>
      </c>
    </row>
    <row r="839" spans="8:8" x14ac:dyDescent="0.25">
      <c r="H839" t="s">
        <v>30</v>
      </c>
    </row>
    <row r="841" spans="8:8" x14ac:dyDescent="0.25">
      <c r="H841" t="s">
        <v>1655</v>
      </c>
    </row>
    <row r="842" spans="8:8" x14ac:dyDescent="0.25">
      <c r="H842" t="s">
        <v>1822</v>
      </c>
    </row>
    <row r="843" spans="8:8" x14ac:dyDescent="0.25">
      <c r="H843" t="s">
        <v>135</v>
      </c>
    </row>
    <row r="844" spans="8:8" x14ac:dyDescent="0.25">
      <c r="H844" t="s">
        <v>3406</v>
      </c>
    </row>
    <row r="845" spans="8:8" x14ac:dyDescent="0.25">
      <c r="H845" t="s">
        <v>30</v>
      </c>
    </row>
    <row r="846" spans="8:8" x14ac:dyDescent="0.25">
      <c r="H846" t="s">
        <v>1824</v>
      </c>
    </row>
    <row r="847" spans="8:8" x14ac:dyDescent="0.25">
      <c r="H847" t="s">
        <v>136</v>
      </c>
    </row>
    <row r="848" spans="8:8" x14ac:dyDescent="0.25">
      <c r="H848" t="s">
        <v>3407</v>
      </c>
    </row>
    <row r="849" spans="8:8" x14ac:dyDescent="0.25">
      <c r="H849" t="s">
        <v>30</v>
      </c>
    </row>
    <row r="850" spans="8:8" x14ac:dyDescent="0.25">
      <c r="H850" t="s">
        <v>1826</v>
      </c>
    </row>
    <row r="851" spans="8:8" x14ac:dyDescent="0.25">
      <c r="H851" t="s">
        <v>137</v>
      </c>
    </row>
    <row r="852" spans="8:8" x14ac:dyDescent="0.25">
      <c r="H852" t="s">
        <v>3408</v>
      </c>
    </row>
    <row r="853" spans="8:8" x14ac:dyDescent="0.25">
      <c r="H853" t="s">
        <v>30</v>
      </c>
    </row>
    <row r="854" spans="8:8" x14ac:dyDescent="0.25">
      <c r="H854" t="s">
        <v>1828</v>
      </c>
    </row>
    <row r="855" spans="8:8" x14ac:dyDescent="0.25">
      <c r="H855" t="s">
        <v>138</v>
      </c>
    </row>
    <row r="856" spans="8:8" x14ac:dyDescent="0.25">
      <c r="H856" t="s">
        <v>3409</v>
      </c>
    </row>
    <row r="857" spans="8:8" x14ac:dyDescent="0.25">
      <c r="H857" t="s">
        <v>30</v>
      </c>
    </row>
    <row r="859" spans="8:8" x14ac:dyDescent="0.25">
      <c r="H859" t="s">
        <v>1658</v>
      </c>
    </row>
    <row r="860" spans="8:8" x14ac:dyDescent="0.25">
      <c r="H860" t="s">
        <v>1831</v>
      </c>
    </row>
    <row r="861" spans="8:8" x14ac:dyDescent="0.25">
      <c r="H861" t="s">
        <v>135</v>
      </c>
    </row>
    <row r="862" spans="8:8" x14ac:dyDescent="0.25">
      <c r="H862" t="s">
        <v>3410</v>
      </c>
    </row>
    <row r="863" spans="8:8" x14ac:dyDescent="0.25">
      <c r="H863" t="s">
        <v>30</v>
      </c>
    </row>
    <row r="864" spans="8:8" x14ac:dyDescent="0.25">
      <c r="H864" t="s">
        <v>1833</v>
      </c>
    </row>
    <row r="865" spans="8:8" x14ac:dyDescent="0.25">
      <c r="H865" t="s">
        <v>136</v>
      </c>
    </row>
    <row r="866" spans="8:8" x14ac:dyDescent="0.25">
      <c r="H866" t="s">
        <v>3411</v>
      </c>
    </row>
    <row r="867" spans="8:8" x14ac:dyDescent="0.25">
      <c r="H867" t="s">
        <v>30</v>
      </c>
    </row>
    <row r="869" spans="8:8" x14ac:dyDescent="0.25">
      <c r="H869" t="s">
        <v>1667</v>
      </c>
    </row>
    <row r="870" spans="8:8" x14ac:dyDescent="0.25">
      <c r="H870" t="s">
        <v>1836</v>
      </c>
    </row>
    <row r="871" spans="8:8" x14ac:dyDescent="0.25">
      <c r="H871" t="s">
        <v>135</v>
      </c>
    </row>
    <row r="872" spans="8:8" x14ac:dyDescent="0.25">
      <c r="H872" t="s">
        <v>3412</v>
      </c>
    </row>
    <row r="873" spans="8:8" x14ac:dyDescent="0.25">
      <c r="H873" t="s">
        <v>30</v>
      </c>
    </row>
    <row r="875" spans="8:8" x14ac:dyDescent="0.25">
      <c r="H875" t="s">
        <v>1672</v>
      </c>
    </row>
    <row r="876" spans="8:8" x14ac:dyDescent="0.25">
      <c r="H876" t="s">
        <v>1839</v>
      </c>
    </row>
    <row r="877" spans="8:8" x14ac:dyDescent="0.25">
      <c r="H877" t="s">
        <v>135</v>
      </c>
    </row>
    <row r="878" spans="8:8" x14ac:dyDescent="0.25">
      <c r="H878" t="s">
        <v>3413</v>
      </c>
    </row>
    <row r="879" spans="8:8" x14ac:dyDescent="0.25">
      <c r="H879" t="s">
        <v>30</v>
      </c>
    </row>
    <row r="881" spans="8:8" x14ac:dyDescent="0.25">
      <c r="H881" t="s">
        <v>1675</v>
      </c>
    </row>
    <row r="882" spans="8:8" x14ac:dyDescent="0.25">
      <c r="H882" t="s">
        <v>1842</v>
      </c>
    </row>
    <row r="883" spans="8:8" x14ac:dyDescent="0.25">
      <c r="H883" t="s">
        <v>135</v>
      </c>
    </row>
    <row r="884" spans="8:8" x14ac:dyDescent="0.25">
      <c r="H884" t="s">
        <v>3414</v>
      </c>
    </row>
    <row r="885" spans="8:8" x14ac:dyDescent="0.25">
      <c r="H885" t="s">
        <v>30</v>
      </c>
    </row>
    <row r="887" spans="8:8" x14ac:dyDescent="0.25">
      <c r="H887" t="s">
        <v>1678</v>
      </c>
    </row>
    <row r="888" spans="8:8" x14ac:dyDescent="0.25">
      <c r="H888" t="s">
        <v>1845</v>
      </c>
    </row>
    <row r="889" spans="8:8" x14ac:dyDescent="0.25">
      <c r="H889" t="s">
        <v>135</v>
      </c>
    </row>
    <row r="890" spans="8:8" x14ac:dyDescent="0.25">
      <c r="H890" t="s">
        <v>3415</v>
      </c>
    </row>
    <row r="891" spans="8:8" x14ac:dyDescent="0.25">
      <c r="H891" t="s">
        <v>30</v>
      </c>
    </row>
    <row r="893" spans="8:8" x14ac:dyDescent="0.25">
      <c r="H893" t="s">
        <v>1681</v>
      </c>
    </row>
    <row r="894" spans="8:8" x14ac:dyDescent="0.25">
      <c r="H894" t="s">
        <v>1848</v>
      </c>
    </row>
    <row r="895" spans="8:8" x14ac:dyDescent="0.25">
      <c r="H895" t="s">
        <v>135</v>
      </c>
    </row>
    <row r="896" spans="8:8" x14ac:dyDescent="0.25">
      <c r="H896" t="s">
        <v>3416</v>
      </c>
    </row>
    <row r="897" spans="8:8" x14ac:dyDescent="0.25">
      <c r="H897" t="s">
        <v>30</v>
      </c>
    </row>
    <row r="899" spans="8:8" x14ac:dyDescent="0.25">
      <c r="H899" t="s">
        <v>1684</v>
      </c>
    </row>
    <row r="900" spans="8:8" x14ac:dyDescent="0.25">
      <c r="H900" t="s">
        <v>1851</v>
      </c>
    </row>
    <row r="901" spans="8:8" x14ac:dyDescent="0.25">
      <c r="H901" t="s">
        <v>135</v>
      </c>
    </row>
    <row r="902" spans="8:8" x14ac:dyDescent="0.25">
      <c r="H902" t="s">
        <v>3417</v>
      </c>
    </row>
    <row r="903" spans="8:8" x14ac:dyDescent="0.25">
      <c r="H903" t="s">
        <v>30</v>
      </c>
    </row>
    <row r="905" spans="8:8" x14ac:dyDescent="0.25">
      <c r="H905" t="s">
        <v>1687</v>
      </c>
    </row>
    <row r="906" spans="8:8" x14ac:dyDescent="0.25">
      <c r="H906" t="s">
        <v>1854</v>
      </c>
    </row>
    <row r="907" spans="8:8" x14ac:dyDescent="0.25">
      <c r="H907" t="s">
        <v>135</v>
      </c>
    </row>
    <row r="908" spans="8:8" x14ac:dyDescent="0.25">
      <c r="H908" t="s">
        <v>3418</v>
      </c>
    </row>
    <row r="909" spans="8:8" x14ac:dyDescent="0.25">
      <c r="H909" t="s">
        <v>30</v>
      </c>
    </row>
    <row r="911" spans="8:8" x14ac:dyDescent="0.25">
      <c r="H911" t="s">
        <v>1690</v>
      </c>
    </row>
    <row r="912" spans="8:8" x14ac:dyDescent="0.25">
      <c r="H912" t="s">
        <v>1857</v>
      </c>
    </row>
    <row r="913" spans="8:8" x14ac:dyDescent="0.25">
      <c r="H913" t="s">
        <v>135</v>
      </c>
    </row>
    <row r="914" spans="8:8" x14ac:dyDescent="0.25">
      <c r="H914" t="s">
        <v>3419</v>
      </c>
    </row>
    <row r="915" spans="8:8" x14ac:dyDescent="0.25">
      <c r="H915" t="s">
        <v>30</v>
      </c>
    </row>
    <row r="917" spans="8:8" x14ac:dyDescent="0.25">
      <c r="H917" t="s">
        <v>1693</v>
      </c>
    </row>
    <row r="918" spans="8:8" x14ac:dyDescent="0.25">
      <c r="H918" t="s">
        <v>1860</v>
      </c>
    </row>
    <row r="919" spans="8:8" x14ac:dyDescent="0.25">
      <c r="H919" t="s">
        <v>135</v>
      </c>
    </row>
    <row r="920" spans="8:8" x14ac:dyDescent="0.25">
      <c r="H920" t="s">
        <v>3420</v>
      </c>
    </row>
    <row r="921" spans="8:8" x14ac:dyDescent="0.25">
      <c r="H921" t="s">
        <v>30</v>
      </c>
    </row>
    <row r="923" spans="8:8" x14ac:dyDescent="0.25">
      <c r="H923" t="s">
        <v>1696</v>
      </c>
    </row>
    <row r="924" spans="8:8" x14ac:dyDescent="0.25">
      <c r="H924" t="s">
        <v>1863</v>
      </c>
    </row>
    <row r="925" spans="8:8" x14ac:dyDescent="0.25">
      <c r="H925" t="s">
        <v>135</v>
      </c>
    </row>
    <row r="926" spans="8:8" x14ac:dyDescent="0.25">
      <c r="H926" t="s">
        <v>3421</v>
      </c>
    </row>
    <row r="927" spans="8:8" x14ac:dyDescent="0.25">
      <c r="H927" t="s">
        <v>30</v>
      </c>
    </row>
    <row r="929" spans="8:8" x14ac:dyDescent="0.25">
      <c r="H929" t="s">
        <v>1699</v>
      </c>
    </row>
    <row r="930" spans="8:8" x14ac:dyDescent="0.25">
      <c r="H930" t="s">
        <v>1866</v>
      </c>
    </row>
    <row r="931" spans="8:8" x14ac:dyDescent="0.25">
      <c r="H931" t="s">
        <v>135</v>
      </c>
    </row>
    <row r="932" spans="8:8" x14ac:dyDescent="0.25">
      <c r="H932" t="s">
        <v>3422</v>
      </c>
    </row>
    <row r="933" spans="8:8" x14ac:dyDescent="0.25">
      <c r="H933" t="s">
        <v>30</v>
      </c>
    </row>
    <row r="935" spans="8:8" x14ac:dyDescent="0.25">
      <c r="H935" t="s">
        <v>1702</v>
      </c>
    </row>
    <row r="936" spans="8:8" x14ac:dyDescent="0.25">
      <c r="H936" t="s">
        <v>1869</v>
      </c>
    </row>
    <row r="937" spans="8:8" x14ac:dyDescent="0.25">
      <c r="H937" t="s">
        <v>135</v>
      </c>
    </row>
    <row r="938" spans="8:8" x14ac:dyDescent="0.25">
      <c r="H938" t="s">
        <v>3423</v>
      </c>
    </row>
    <row r="939" spans="8:8" x14ac:dyDescent="0.25">
      <c r="H939" t="s">
        <v>30</v>
      </c>
    </row>
    <row r="941" spans="8:8" x14ac:dyDescent="0.25">
      <c r="H941" t="s">
        <v>1705</v>
      </c>
    </row>
    <row r="942" spans="8:8" x14ac:dyDescent="0.25">
      <c r="H942" t="s">
        <v>1872</v>
      </c>
    </row>
    <row r="943" spans="8:8" x14ac:dyDescent="0.25">
      <c r="H943" t="s">
        <v>135</v>
      </c>
    </row>
    <row r="944" spans="8:8" x14ac:dyDescent="0.25">
      <c r="H944" t="s">
        <v>3424</v>
      </c>
    </row>
    <row r="945" spans="8:8" x14ac:dyDescent="0.25">
      <c r="H945" t="s">
        <v>30</v>
      </c>
    </row>
    <row r="947" spans="8:8" x14ac:dyDescent="0.25">
      <c r="H947" t="s">
        <v>1708</v>
      </c>
    </row>
    <row r="948" spans="8:8" x14ac:dyDescent="0.25">
      <c r="H948" t="s">
        <v>1875</v>
      </c>
    </row>
    <row r="949" spans="8:8" x14ac:dyDescent="0.25">
      <c r="H949" t="s">
        <v>135</v>
      </c>
    </row>
    <row r="950" spans="8:8" x14ac:dyDescent="0.25">
      <c r="H950" t="s">
        <v>3425</v>
      </c>
    </row>
    <row r="951" spans="8:8" x14ac:dyDescent="0.25">
      <c r="H951" t="s">
        <v>30</v>
      </c>
    </row>
    <row r="953" spans="8:8" x14ac:dyDescent="0.25">
      <c r="H953" t="s">
        <v>1711</v>
      </c>
    </row>
    <row r="954" spans="8:8" x14ac:dyDescent="0.25">
      <c r="H954" t="s">
        <v>1878</v>
      </c>
    </row>
    <row r="955" spans="8:8" x14ac:dyDescent="0.25">
      <c r="H955" t="s">
        <v>135</v>
      </c>
    </row>
    <row r="956" spans="8:8" x14ac:dyDescent="0.25">
      <c r="H956" t="s">
        <v>3426</v>
      </c>
    </row>
    <row r="957" spans="8:8" x14ac:dyDescent="0.25">
      <c r="H957" t="s">
        <v>30</v>
      </c>
    </row>
    <row r="959" spans="8:8" x14ac:dyDescent="0.25">
      <c r="H959" t="s">
        <v>1714</v>
      </c>
    </row>
    <row r="960" spans="8:8" x14ac:dyDescent="0.25">
      <c r="H960" t="s">
        <v>1881</v>
      </c>
    </row>
    <row r="961" spans="8:8" x14ac:dyDescent="0.25">
      <c r="H961" t="s">
        <v>135</v>
      </c>
    </row>
    <row r="962" spans="8:8" x14ac:dyDescent="0.25">
      <c r="H962" t="s">
        <v>3427</v>
      </c>
    </row>
    <row r="963" spans="8:8" x14ac:dyDescent="0.25">
      <c r="H963" t="s">
        <v>30</v>
      </c>
    </row>
    <row r="965" spans="8:8" x14ac:dyDescent="0.25">
      <c r="H965" t="s">
        <v>1717</v>
      </c>
    </row>
    <row r="966" spans="8:8" x14ac:dyDescent="0.25">
      <c r="H966" t="s">
        <v>1884</v>
      </c>
    </row>
    <row r="967" spans="8:8" x14ac:dyDescent="0.25">
      <c r="H967" t="s">
        <v>135</v>
      </c>
    </row>
    <row r="968" spans="8:8" x14ac:dyDescent="0.25">
      <c r="H968" t="s">
        <v>3428</v>
      </c>
    </row>
    <row r="969" spans="8:8" x14ac:dyDescent="0.25">
      <c r="H969" t="s">
        <v>30</v>
      </c>
    </row>
    <row r="971" spans="8:8" x14ac:dyDescent="0.25">
      <c r="H971" t="s">
        <v>1720</v>
      </c>
    </row>
    <row r="972" spans="8:8" x14ac:dyDescent="0.25">
      <c r="H972" t="s">
        <v>1887</v>
      </c>
    </row>
    <row r="973" spans="8:8" x14ac:dyDescent="0.25">
      <c r="H973" t="s">
        <v>135</v>
      </c>
    </row>
    <row r="974" spans="8:8" x14ac:dyDescent="0.25">
      <c r="H974" t="s">
        <v>3429</v>
      </c>
    </row>
    <row r="975" spans="8:8" x14ac:dyDescent="0.25">
      <c r="H975" t="s">
        <v>30</v>
      </c>
    </row>
    <row r="977" spans="8:8" x14ac:dyDescent="0.25">
      <c r="H977" t="s">
        <v>1723</v>
      </c>
    </row>
    <row r="978" spans="8:8" x14ac:dyDescent="0.25">
      <c r="H978" t="s">
        <v>1890</v>
      </c>
    </row>
    <row r="979" spans="8:8" x14ac:dyDescent="0.25">
      <c r="H979" t="s">
        <v>135</v>
      </c>
    </row>
    <row r="980" spans="8:8" x14ac:dyDescent="0.25">
      <c r="H980" t="s">
        <v>3430</v>
      </c>
    </row>
    <row r="981" spans="8:8" x14ac:dyDescent="0.25">
      <c r="H981" t="s">
        <v>30</v>
      </c>
    </row>
    <row r="983" spans="8:8" x14ac:dyDescent="0.25">
      <c r="H983" t="s">
        <v>1726</v>
      </c>
    </row>
    <row r="984" spans="8:8" x14ac:dyDescent="0.25">
      <c r="H984" t="s">
        <v>1893</v>
      </c>
    </row>
    <row r="985" spans="8:8" x14ac:dyDescent="0.25">
      <c r="H985" t="s">
        <v>135</v>
      </c>
    </row>
    <row r="986" spans="8:8" x14ac:dyDescent="0.25">
      <c r="H986" t="s">
        <v>3431</v>
      </c>
    </row>
    <row r="987" spans="8:8" x14ac:dyDescent="0.25">
      <c r="H987" t="s">
        <v>30</v>
      </c>
    </row>
    <row r="989" spans="8:8" x14ac:dyDescent="0.25">
      <c r="H989" t="s">
        <v>1729</v>
      </c>
    </row>
    <row r="990" spans="8:8" x14ac:dyDescent="0.25">
      <c r="H990" t="s">
        <v>1896</v>
      </c>
    </row>
    <row r="991" spans="8:8" x14ac:dyDescent="0.25">
      <c r="H991" t="s">
        <v>135</v>
      </c>
    </row>
    <row r="992" spans="8:8" x14ac:dyDescent="0.25">
      <c r="H992" t="s">
        <v>3432</v>
      </c>
    </row>
    <row r="993" spans="8:8" x14ac:dyDescent="0.25">
      <c r="H993" t="s">
        <v>30</v>
      </c>
    </row>
    <row r="995" spans="8:8" x14ac:dyDescent="0.25">
      <c r="H995" t="s">
        <v>1732</v>
      </c>
    </row>
    <row r="996" spans="8:8" x14ac:dyDescent="0.25">
      <c r="H996" t="s">
        <v>1899</v>
      </c>
    </row>
    <row r="997" spans="8:8" x14ac:dyDescent="0.25">
      <c r="H997" t="s">
        <v>135</v>
      </c>
    </row>
    <row r="998" spans="8:8" x14ac:dyDescent="0.25">
      <c r="H998" t="s">
        <v>3433</v>
      </c>
    </row>
    <row r="999" spans="8:8" x14ac:dyDescent="0.25">
      <c r="H999" t="s">
        <v>30</v>
      </c>
    </row>
    <row r="1001" spans="8:8" x14ac:dyDescent="0.25">
      <c r="H1001" t="s">
        <v>1735</v>
      </c>
    </row>
    <row r="1002" spans="8:8" x14ac:dyDescent="0.25">
      <c r="H1002" t="s">
        <v>1902</v>
      </c>
    </row>
    <row r="1003" spans="8:8" x14ac:dyDescent="0.25">
      <c r="H1003" t="s">
        <v>135</v>
      </c>
    </row>
    <row r="1004" spans="8:8" x14ac:dyDescent="0.25">
      <c r="H1004" t="s">
        <v>3434</v>
      </c>
    </row>
    <row r="1005" spans="8:8" x14ac:dyDescent="0.25">
      <c r="H1005" t="s">
        <v>30</v>
      </c>
    </row>
    <row r="1007" spans="8:8" x14ac:dyDescent="0.25">
      <c r="H1007" t="s">
        <v>1738</v>
      </c>
    </row>
    <row r="1008" spans="8:8" x14ac:dyDescent="0.25">
      <c r="H1008" t="s">
        <v>1905</v>
      </c>
    </row>
    <row r="1009" spans="8:8" x14ac:dyDescent="0.25">
      <c r="H1009" t="s">
        <v>135</v>
      </c>
    </row>
    <row r="1010" spans="8:8" x14ac:dyDescent="0.25">
      <c r="H1010" t="s">
        <v>3435</v>
      </c>
    </row>
    <row r="1011" spans="8:8" x14ac:dyDescent="0.25">
      <c r="H1011" t="s">
        <v>30</v>
      </c>
    </row>
    <row r="1013" spans="8:8" x14ac:dyDescent="0.25">
      <c r="H1013" t="s">
        <v>1741</v>
      </c>
    </row>
    <row r="1014" spans="8:8" x14ac:dyDescent="0.25">
      <c r="H1014" t="s">
        <v>1908</v>
      </c>
    </row>
    <row r="1015" spans="8:8" x14ac:dyDescent="0.25">
      <c r="H1015" t="s">
        <v>135</v>
      </c>
    </row>
    <row r="1016" spans="8:8" x14ac:dyDescent="0.25">
      <c r="H1016" t="s">
        <v>3436</v>
      </c>
    </row>
    <row r="1017" spans="8:8" x14ac:dyDescent="0.25">
      <c r="H1017" t="s">
        <v>30</v>
      </c>
    </row>
    <row r="1019" spans="8:8" x14ac:dyDescent="0.25">
      <c r="H1019" t="s">
        <v>1744</v>
      </c>
    </row>
    <row r="1020" spans="8:8" x14ac:dyDescent="0.25">
      <c r="H1020" t="s">
        <v>1911</v>
      </c>
    </row>
    <row r="1021" spans="8:8" x14ac:dyDescent="0.25">
      <c r="H1021" t="s">
        <v>135</v>
      </c>
    </row>
    <row r="1022" spans="8:8" x14ac:dyDescent="0.25">
      <c r="H1022" t="s">
        <v>3437</v>
      </c>
    </row>
    <row r="1023" spans="8:8" x14ac:dyDescent="0.25">
      <c r="H1023" t="s">
        <v>30</v>
      </c>
    </row>
    <row r="1025" spans="8:8" x14ac:dyDescent="0.25">
      <c r="H1025" t="s">
        <v>1747</v>
      </c>
    </row>
    <row r="1026" spans="8:8" x14ac:dyDescent="0.25">
      <c r="H1026" t="s">
        <v>1914</v>
      </c>
    </row>
    <row r="1027" spans="8:8" x14ac:dyDescent="0.25">
      <c r="H1027" t="s">
        <v>135</v>
      </c>
    </row>
    <row r="1028" spans="8:8" x14ac:dyDescent="0.25">
      <c r="H1028" t="s">
        <v>3438</v>
      </c>
    </row>
    <row r="1029" spans="8:8" x14ac:dyDescent="0.25">
      <c r="H1029" t="s">
        <v>30</v>
      </c>
    </row>
    <row r="1031" spans="8:8" x14ac:dyDescent="0.25">
      <c r="H1031" t="s">
        <v>1750</v>
      </c>
    </row>
    <row r="1032" spans="8:8" x14ac:dyDescent="0.25">
      <c r="H1032" t="s">
        <v>1917</v>
      </c>
    </row>
    <row r="1033" spans="8:8" x14ac:dyDescent="0.25">
      <c r="H1033" t="s">
        <v>135</v>
      </c>
    </row>
    <row r="1034" spans="8:8" x14ac:dyDescent="0.25">
      <c r="H1034" t="s">
        <v>3439</v>
      </c>
    </row>
    <row r="1035" spans="8:8" x14ac:dyDescent="0.25">
      <c r="H1035" t="s">
        <v>30</v>
      </c>
    </row>
    <row r="1037" spans="8:8" x14ac:dyDescent="0.25">
      <c r="H1037" t="s">
        <v>1753</v>
      </c>
    </row>
    <row r="1038" spans="8:8" x14ac:dyDescent="0.25">
      <c r="H1038" t="s">
        <v>1920</v>
      </c>
    </row>
    <row r="1039" spans="8:8" x14ac:dyDescent="0.25">
      <c r="H1039" t="s">
        <v>135</v>
      </c>
    </row>
    <row r="1040" spans="8:8" x14ac:dyDescent="0.25">
      <c r="H1040" t="s">
        <v>3440</v>
      </c>
    </row>
    <row r="1041" spans="8:8" x14ac:dyDescent="0.25">
      <c r="H1041" t="s">
        <v>30</v>
      </c>
    </row>
    <row r="1043" spans="8:8" x14ac:dyDescent="0.25">
      <c r="H1043" t="s">
        <v>1756</v>
      </c>
    </row>
    <row r="1044" spans="8:8" x14ac:dyDescent="0.25">
      <c r="H1044" t="s">
        <v>1923</v>
      </c>
    </row>
    <row r="1045" spans="8:8" x14ac:dyDescent="0.25">
      <c r="H1045" t="s">
        <v>135</v>
      </c>
    </row>
    <row r="1046" spans="8:8" x14ac:dyDescent="0.25">
      <c r="H1046" t="s">
        <v>3441</v>
      </c>
    </row>
    <row r="1047" spans="8:8" x14ac:dyDescent="0.25">
      <c r="H1047" t="s">
        <v>30</v>
      </c>
    </row>
    <row r="1049" spans="8:8" x14ac:dyDescent="0.25">
      <c r="H1049" t="s">
        <v>1759</v>
      </c>
    </row>
    <row r="1050" spans="8:8" x14ac:dyDescent="0.25">
      <c r="H1050" t="s">
        <v>1926</v>
      </c>
    </row>
    <row r="1051" spans="8:8" x14ac:dyDescent="0.25">
      <c r="H1051" t="s">
        <v>135</v>
      </c>
    </row>
    <row r="1052" spans="8:8" x14ac:dyDescent="0.25">
      <c r="H1052" t="s">
        <v>3442</v>
      </c>
    </row>
    <row r="1053" spans="8:8" x14ac:dyDescent="0.25">
      <c r="H1053" t="s">
        <v>30</v>
      </c>
    </row>
    <row r="1055" spans="8:8" x14ac:dyDescent="0.25">
      <c r="H1055" t="s">
        <v>1762</v>
      </c>
    </row>
    <row r="1056" spans="8:8" x14ac:dyDescent="0.25">
      <c r="H1056" t="s">
        <v>1929</v>
      </c>
    </row>
    <row r="1057" spans="8:8" x14ac:dyDescent="0.25">
      <c r="H1057" t="s">
        <v>135</v>
      </c>
    </row>
    <row r="1058" spans="8:8" x14ac:dyDescent="0.25">
      <c r="H1058" t="s">
        <v>3443</v>
      </c>
    </row>
    <row r="1059" spans="8:8" x14ac:dyDescent="0.25">
      <c r="H1059" t="s">
        <v>30</v>
      </c>
    </row>
    <row r="1061" spans="8:8" x14ac:dyDescent="0.25">
      <c r="H1061" t="s">
        <v>1765</v>
      </c>
    </row>
    <row r="1062" spans="8:8" x14ac:dyDescent="0.25">
      <c r="H1062" t="s">
        <v>1932</v>
      </c>
    </row>
    <row r="1063" spans="8:8" x14ac:dyDescent="0.25">
      <c r="H1063" t="s">
        <v>135</v>
      </c>
    </row>
    <row r="1064" spans="8:8" x14ac:dyDescent="0.25">
      <c r="H1064" t="s">
        <v>3444</v>
      </c>
    </row>
    <row r="1065" spans="8:8" x14ac:dyDescent="0.25">
      <c r="H1065" t="s">
        <v>30</v>
      </c>
    </row>
    <row r="1067" spans="8:8" x14ac:dyDescent="0.25">
      <c r="H1067" t="s">
        <v>1768</v>
      </c>
    </row>
    <row r="1068" spans="8:8" x14ac:dyDescent="0.25">
      <c r="H1068" t="s">
        <v>1935</v>
      </c>
    </row>
    <row r="1069" spans="8:8" x14ac:dyDescent="0.25">
      <c r="H1069" t="s">
        <v>135</v>
      </c>
    </row>
    <row r="1070" spans="8:8" x14ac:dyDescent="0.25">
      <c r="H1070" t="s">
        <v>3445</v>
      </c>
    </row>
    <row r="1071" spans="8:8" x14ac:dyDescent="0.25">
      <c r="H1071" t="s">
        <v>30</v>
      </c>
    </row>
    <row r="1073" spans="8:8" x14ac:dyDescent="0.25">
      <c r="H1073" t="s">
        <v>1771</v>
      </c>
    </row>
    <row r="1074" spans="8:8" x14ac:dyDescent="0.25">
      <c r="H1074" t="s">
        <v>1938</v>
      </c>
    </row>
    <row r="1075" spans="8:8" x14ac:dyDescent="0.25">
      <c r="H1075" t="s">
        <v>135</v>
      </c>
    </row>
    <row r="1076" spans="8:8" x14ac:dyDescent="0.25">
      <c r="H1076" t="s">
        <v>3446</v>
      </c>
    </row>
    <row r="1077" spans="8:8" x14ac:dyDescent="0.25">
      <c r="H1077" t="s">
        <v>30</v>
      </c>
    </row>
    <row r="1079" spans="8:8" x14ac:dyDescent="0.25">
      <c r="H1079" t="s">
        <v>1774</v>
      </c>
    </row>
    <row r="1080" spans="8:8" x14ac:dyDescent="0.25">
      <c r="H1080" t="s">
        <v>1941</v>
      </c>
    </row>
    <row r="1081" spans="8:8" x14ac:dyDescent="0.25">
      <c r="H1081" t="s">
        <v>135</v>
      </c>
    </row>
    <row r="1082" spans="8:8" x14ac:dyDescent="0.25">
      <c r="H1082" t="s">
        <v>3447</v>
      </c>
    </row>
    <row r="1083" spans="8:8" x14ac:dyDescent="0.25">
      <c r="H1083" t="s">
        <v>30</v>
      </c>
    </row>
    <row r="1085" spans="8:8" x14ac:dyDescent="0.25">
      <c r="H1085" t="s">
        <v>1777</v>
      </c>
    </row>
    <row r="1086" spans="8:8" x14ac:dyDescent="0.25">
      <c r="H1086" t="s">
        <v>1944</v>
      </c>
    </row>
    <row r="1087" spans="8:8" x14ac:dyDescent="0.25">
      <c r="H1087" t="s">
        <v>135</v>
      </c>
    </row>
    <row r="1088" spans="8:8" x14ac:dyDescent="0.25">
      <c r="H1088" t="s">
        <v>3448</v>
      </c>
    </row>
    <row r="1089" spans="8:8" x14ac:dyDescent="0.25">
      <c r="H1089" t="s">
        <v>30</v>
      </c>
    </row>
    <row r="1091" spans="8:8" x14ac:dyDescent="0.25">
      <c r="H1091" t="s">
        <v>1780</v>
      </c>
    </row>
    <row r="1092" spans="8:8" x14ac:dyDescent="0.25">
      <c r="H1092" t="s">
        <v>1947</v>
      </c>
    </row>
    <row r="1093" spans="8:8" x14ac:dyDescent="0.25">
      <c r="H1093" t="s">
        <v>135</v>
      </c>
    </row>
    <row r="1094" spans="8:8" x14ac:dyDescent="0.25">
      <c r="H1094" t="s">
        <v>3449</v>
      </c>
    </row>
    <row r="1095" spans="8:8" x14ac:dyDescent="0.25">
      <c r="H1095" t="s">
        <v>30</v>
      </c>
    </row>
    <row r="1097" spans="8:8" x14ac:dyDescent="0.25">
      <c r="H1097" t="s">
        <v>1783</v>
      </c>
    </row>
    <row r="1098" spans="8:8" x14ac:dyDescent="0.25">
      <c r="H1098" t="s">
        <v>1950</v>
      </c>
    </row>
    <row r="1099" spans="8:8" x14ac:dyDescent="0.25">
      <c r="H1099" t="s">
        <v>135</v>
      </c>
    </row>
    <row r="1100" spans="8:8" x14ac:dyDescent="0.25">
      <c r="H1100" t="s">
        <v>3450</v>
      </c>
    </row>
    <row r="1101" spans="8:8" x14ac:dyDescent="0.25">
      <c r="H1101" t="s">
        <v>30</v>
      </c>
    </row>
    <row r="1103" spans="8:8" x14ac:dyDescent="0.25">
      <c r="H1103" t="s">
        <v>1786</v>
      </c>
    </row>
    <row r="1104" spans="8:8" x14ac:dyDescent="0.25">
      <c r="H1104" t="s">
        <v>1953</v>
      </c>
    </row>
    <row r="1105" spans="8:8" x14ac:dyDescent="0.25">
      <c r="H1105" t="s">
        <v>135</v>
      </c>
    </row>
    <row r="1106" spans="8:8" x14ac:dyDescent="0.25">
      <c r="H1106" t="s">
        <v>3451</v>
      </c>
    </row>
    <row r="1107" spans="8:8" x14ac:dyDescent="0.25">
      <c r="H1107" t="s">
        <v>30</v>
      </c>
    </row>
    <row r="1108" spans="8:8" x14ac:dyDescent="0.25">
      <c r="H1108" t="s">
        <v>136</v>
      </c>
    </row>
    <row r="1109" spans="8:8" x14ac:dyDescent="0.25">
      <c r="H1109" t="s">
        <v>3452</v>
      </c>
    </row>
    <row r="1110" spans="8:8" x14ac:dyDescent="0.25">
      <c r="H1110" t="s">
        <v>30</v>
      </c>
    </row>
    <row r="1111" spans="8:8" x14ac:dyDescent="0.25">
      <c r="H1111" t="s">
        <v>137</v>
      </c>
    </row>
    <row r="1112" spans="8:8" x14ac:dyDescent="0.25">
      <c r="H1112" t="s">
        <v>3453</v>
      </c>
    </row>
    <row r="1113" spans="8:8" x14ac:dyDescent="0.25">
      <c r="H1113" t="s">
        <v>30</v>
      </c>
    </row>
    <row r="1115" spans="8:8" x14ac:dyDescent="0.25">
      <c r="H1115" t="s">
        <v>1789</v>
      </c>
    </row>
    <row r="1116" spans="8:8" x14ac:dyDescent="0.25">
      <c r="H1116" t="s">
        <v>1958</v>
      </c>
    </row>
    <row r="1117" spans="8:8" x14ac:dyDescent="0.25">
      <c r="H1117" t="s">
        <v>135</v>
      </c>
    </row>
    <row r="1118" spans="8:8" x14ac:dyDescent="0.25">
      <c r="H1118" t="s">
        <v>3454</v>
      </c>
    </row>
    <row r="1119" spans="8:8" x14ac:dyDescent="0.25">
      <c r="H1119" t="s">
        <v>30</v>
      </c>
    </row>
    <row r="1120" spans="8:8" x14ac:dyDescent="0.25">
      <c r="H1120" t="s">
        <v>136</v>
      </c>
    </row>
    <row r="1121" spans="8:8" x14ac:dyDescent="0.25">
      <c r="H1121" t="s">
        <v>3455</v>
      </c>
    </row>
    <row r="1122" spans="8:8" x14ac:dyDescent="0.25">
      <c r="H1122" t="s">
        <v>30</v>
      </c>
    </row>
    <row r="1123" spans="8:8" x14ac:dyDescent="0.25">
      <c r="H1123" t="s">
        <v>137</v>
      </c>
    </row>
    <row r="1124" spans="8:8" x14ac:dyDescent="0.25">
      <c r="H1124" t="s">
        <v>3456</v>
      </c>
    </row>
    <row r="1125" spans="8:8" x14ac:dyDescent="0.25">
      <c r="H1125" t="s">
        <v>30</v>
      </c>
    </row>
    <row r="1126" spans="8:8" x14ac:dyDescent="0.25">
      <c r="H1126" t="s">
        <v>138</v>
      </c>
    </row>
    <row r="1127" spans="8:8" x14ac:dyDescent="0.25">
      <c r="H1127" t="s">
        <v>3457</v>
      </c>
    </row>
    <row r="1128" spans="8:8" x14ac:dyDescent="0.25">
      <c r="H1128" t="s">
        <v>30</v>
      </c>
    </row>
    <row r="1130" spans="8:8" x14ac:dyDescent="0.25">
      <c r="H1130" t="s">
        <v>1794</v>
      </c>
    </row>
    <row r="1131" spans="8:8" x14ac:dyDescent="0.25">
      <c r="H1131" t="s">
        <v>1964</v>
      </c>
    </row>
    <row r="1132" spans="8:8" x14ac:dyDescent="0.25">
      <c r="H1132" t="s">
        <v>135</v>
      </c>
    </row>
    <row r="1133" spans="8:8" x14ac:dyDescent="0.25">
      <c r="H1133" t="s">
        <v>3458</v>
      </c>
    </row>
    <row r="1134" spans="8:8" x14ac:dyDescent="0.25">
      <c r="H1134" t="s">
        <v>30</v>
      </c>
    </row>
    <row r="1135" spans="8:8" x14ac:dyDescent="0.25">
      <c r="H1135" t="s">
        <v>136</v>
      </c>
    </row>
    <row r="1136" spans="8:8" x14ac:dyDescent="0.25">
      <c r="H1136" t="s">
        <v>3459</v>
      </c>
    </row>
    <row r="1137" spans="8:8" x14ac:dyDescent="0.25">
      <c r="H1137" t="s">
        <v>30</v>
      </c>
    </row>
    <row r="1138" spans="8:8" x14ac:dyDescent="0.25">
      <c r="H1138" t="s">
        <v>137</v>
      </c>
    </row>
    <row r="1139" spans="8:8" x14ac:dyDescent="0.25">
      <c r="H1139" t="s">
        <v>3460</v>
      </c>
    </row>
    <row r="1140" spans="8:8" x14ac:dyDescent="0.25">
      <c r="H1140" t="s">
        <v>30</v>
      </c>
    </row>
    <row r="1141" spans="8:8" x14ac:dyDescent="0.25">
      <c r="H1141" t="s">
        <v>138</v>
      </c>
    </row>
    <row r="1142" spans="8:8" x14ac:dyDescent="0.25">
      <c r="H1142" t="s">
        <v>3461</v>
      </c>
    </row>
    <row r="1143" spans="8:8" x14ac:dyDescent="0.25">
      <c r="H1143" t="s">
        <v>30</v>
      </c>
    </row>
    <row r="1145" spans="8:8" x14ac:dyDescent="0.25">
      <c r="H1145" t="s">
        <v>1797</v>
      </c>
    </row>
    <row r="1146" spans="8:8" x14ac:dyDescent="0.25">
      <c r="H1146" t="s">
        <v>1970</v>
      </c>
    </row>
    <row r="1147" spans="8:8" x14ac:dyDescent="0.25">
      <c r="H1147" t="s">
        <v>135</v>
      </c>
    </row>
    <row r="1148" spans="8:8" x14ac:dyDescent="0.25">
      <c r="H1148" t="s">
        <v>3462</v>
      </c>
    </row>
    <row r="1149" spans="8:8" x14ac:dyDescent="0.25">
      <c r="H1149" t="s">
        <v>30</v>
      </c>
    </row>
    <row r="1151" spans="8:8" x14ac:dyDescent="0.25">
      <c r="H1151" t="s">
        <v>1800</v>
      </c>
    </row>
    <row r="1152" spans="8:8" x14ac:dyDescent="0.25">
      <c r="H1152" t="s">
        <v>1973</v>
      </c>
    </row>
    <row r="1153" spans="8:8" x14ac:dyDescent="0.25">
      <c r="H1153" t="s">
        <v>135</v>
      </c>
    </row>
    <row r="1154" spans="8:8" x14ac:dyDescent="0.25">
      <c r="H1154" t="s">
        <v>3463</v>
      </c>
    </row>
    <row r="1155" spans="8:8" x14ac:dyDescent="0.25">
      <c r="H1155" t="s">
        <v>30</v>
      </c>
    </row>
    <row r="1157" spans="8:8" x14ac:dyDescent="0.25">
      <c r="H1157" t="s">
        <v>1803</v>
      </c>
    </row>
    <row r="1158" spans="8:8" x14ac:dyDescent="0.25">
      <c r="H1158" t="s">
        <v>1976</v>
      </c>
    </row>
    <row r="1159" spans="8:8" x14ac:dyDescent="0.25">
      <c r="H1159" t="s">
        <v>135</v>
      </c>
    </row>
    <row r="1160" spans="8:8" x14ac:dyDescent="0.25">
      <c r="H1160" t="s">
        <v>3464</v>
      </c>
    </row>
    <row r="1161" spans="8:8" x14ac:dyDescent="0.25">
      <c r="H1161" t="s">
        <v>30</v>
      </c>
    </row>
    <row r="1163" spans="8:8" x14ac:dyDescent="0.25">
      <c r="H1163" t="s">
        <v>1806</v>
      </c>
    </row>
    <row r="1164" spans="8:8" x14ac:dyDescent="0.25">
      <c r="H1164" t="s">
        <v>1979</v>
      </c>
    </row>
    <row r="1165" spans="8:8" x14ac:dyDescent="0.25">
      <c r="H1165" t="s">
        <v>135</v>
      </c>
    </row>
    <row r="1166" spans="8:8" x14ac:dyDescent="0.25">
      <c r="H1166" t="s">
        <v>3465</v>
      </c>
    </row>
    <row r="1167" spans="8:8" x14ac:dyDescent="0.25">
      <c r="H1167" t="s">
        <v>30</v>
      </c>
    </row>
    <row r="1169" spans="8:8" x14ac:dyDescent="0.25">
      <c r="H1169" t="s">
        <v>1809</v>
      </c>
    </row>
    <row r="1170" spans="8:8" x14ac:dyDescent="0.25">
      <c r="H1170" t="s">
        <v>1982</v>
      </c>
    </row>
    <row r="1171" spans="8:8" x14ac:dyDescent="0.25">
      <c r="H1171" t="s">
        <v>135</v>
      </c>
    </row>
    <row r="1172" spans="8:8" x14ac:dyDescent="0.25">
      <c r="H1172" t="s">
        <v>3466</v>
      </c>
    </row>
    <row r="1173" spans="8:8" x14ac:dyDescent="0.25">
      <c r="H1173" t="s">
        <v>30</v>
      </c>
    </row>
    <row r="1175" spans="8:8" x14ac:dyDescent="0.25">
      <c r="H1175" t="s">
        <v>1812</v>
      </c>
    </row>
    <row r="1176" spans="8:8" x14ac:dyDescent="0.25">
      <c r="H1176" t="s">
        <v>1985</v>
      </c>
    </row>
    <row r="1177" spans="8:8" x14ac:dyDescent="0.25">
      <c r="H1177" t="s">
        <v>135</v>
      </c>
    </row>
    <row r="1178" spans="8:8" x14ac:dyDescent="0.25">
      <c r="H1178" t="s">
        <v>3467</v>
      </c>
    </row>
    <row r="1179" spans="8:8" x14ac:dyDescent="0.25">
      <c r="H1179" t="s">
        <v>30</v>
      </c>
    </row>
    <row r="1181" spans="8:8" x14ac:dyDescent="0.25">
      <c r="H1181" t="s">
        <v>1815</v>
      </c>
    </row>
    <row r="1182" spans="8:8" x14ac:dyDescent="0.25">
      <c r="H1182" t="s">
        <v>1988</v>
      </c>
    </row>
    <row r="1183" spans="8:8" x14ac:dyDescent="0.25">
      <c r="H1183" t="s">
        <v>135</v>
      </c>
    </row>
    <row r="1184" spans="8:8" x14ac:dyDescent="0.25">
      <c r="H1184" t="s">
        <v>3468</v>
      </c>
    </row>
    <row r="1185" spans="8:8" x14ac:dyDescent="0.25">
      <c r="H1185" t="s">
        <v>30</v>
      </c>
    </row>
    <row r="1187" spans="8:8" x14ac:dyDescent="0.25">
      <c r="H1187" t="s">
        <v>1818</v>
      </c>
    </row>
    <row r="1188" spans="8:8" x14ac:dyDescent="0.25">
      <c r="H1188" t="s">
        <v>1991</v>
      </c>
    </row>
    <row r="1189" spans="8:8" x14ac:dyDescent="0.25">
      <c r="H1189" t="s">
        <v>135</v>
      </c>
    </row>
    <row r="1190" spans="8:8" x14ac:dyDescent="0.25">
      <c r="H1190" t="s">
        <v>3469</v>
      </c>
    </row>
    <row r="1191" spans="8:8" x14ac:dyDescent="0.25">
      <c r="H1191" t="s">
        <v>30</v>
      </c>
    </row>
    <row r="1193" spans="8:8" x14ac:dyDescent="0.25">
      <c r="H1193" t="s">
        <v>1821</v>
      </c>
    </row>
    <row r="1194" spans="8:8" x14ac:dyDescent="0.25">
      <c r="H1194" t="s">
        <v>1994</v>
      </c>
    </row>
    <row r="1195" spans="8:8" x14ac:dyDescent="0.25">
      <c r="H1195" t="s">
        <v>135</v>
      </c>
    </row>
    <row r="1196" spans="8:8" x14ac:dyDescent="0.25">
      <c r="H1196" t="s">
        <v>3470</v>
      </c>
    </row>
    <row r="1197" spans="8:8" x14ac:dyDescent="0.25">
      <c r="H1197" t="s">
        <v>30</v>
      </c>
    </row>
    <row r="1199" spans="8:8" x14ac:dyDescent="0.25">
      <c r="H1199" t="s">
        <v>1830</v>
      </c>
    </row>
    <row r="1200" spans="8:8" x14ac:dyDescent="0.25">
      <c r="H1200" t="s">
        <v>1997</v>
      </c>
    </row>
    <row r="1201" spans="8:8" x14ac:dyDescent="0.25">
      <c r="H1201" t="s">
        <v>135</v>
      </c>
    </row>
    <row r="1202" spans="8:8" x14ac:dyDescent="0.25">
      <c r="H1202" t="s">
        <v>3471</v>
      </c>
    </row>
    <row r="1203" spans="8:8" x14ac:dyDescent="0.25">
      <c r="H1203" t="s">
        <v>30</v>
      </c>
    </row>
    <row r="1205" spans="8:8" x14ac:dyDescent="0.25">
      <c r="H1205" t="s">
        <v>1835</v>
      </c>
    </row>
    <row r="1206" spans="8:8" x14ac:dyDescent="0.25">
      <c r="H1206" t="s">
        <v>2000</v>
      </c>
    </row>
    <row r="1207" spans="8:8" x14ac:dyDescent="0.25">
      <c r="H1207" t="s">
        <v>135</v>
      </c>
    </row>
    <row r="1208" spans="8:8" x14ac:dyDescent="0.25">
      <c r="H1208" t="s">
        <v>3472</v>
      </c>
    </row>
    <row r="1209" spans="8:8" x14ac:dyDescent="0.25">
      <c r="H1209" t="s">
        <v>30</v>
      </c>
    </row>
    <row r="1211" spans="8:8" x14ac:dyDescent="0.25">
      <c r="H1211" t="s">
        <v>1838</v>
      </c>
    </row>
    <row r="1212" spans="8:8" x14ac:dyDescent="0.25">
      <c r="H1212" t="s">
        <v>2003</v>
      </c>
    </row>
    <row r="1213" spans="8:8" x14ac:dyDescent="0.25">
      <c r="H1213" t="s">
        <v>135</v>
      </c>
    </row>
    <row r="1214" spans="8:8" x14ac:dyDescent="0.25">
      <c r="H1214" t="s">
        <v>3473</v>
      </c>
    </row>
    <row r="1215" spans="8:8" x14ac:dyDescent="0.25">
      <c r="H1215" t="s">
        <v>30</v>
      </c>
    </row>
    <row r="1217" spans="8:8" x14ac:dyDescent="0.25">
      <c r="H1217" t="s">
        <v>1841</v>
      </c>
    </row>
    <row r="1218" spans="8:8" x14ac:dyDescent="0.25">
      <c r="H1218" t="s">
        <v>2006</v>
      </c>
    </row>
    <row r="1219" spans="8:8" x14ac:dyDescent="0.25">
      <c r="H1219" t="s">
        <v>135</v>
      </c>
    </row>
    <row r="1220" spans="8:8" x14ac:dyDescent="0.25">
      <c r="H1220" t="s">
        <v>3474</v>
      </c>
    </row>
    <row r="1221" spans="8:8" x14ac:dyDescent="0.25">
      <c r="H1221" t="s">
        <v>30</v>
      </c>
    </row>
    <row r="1223" spans="8:8" x14ac:dyDescent="0.25">
      <c r="H1223" t="s">
        <v>1844</v>
      </c>
    </row>
    <row r="1224" spans="8:8" x14ac:dyDescent="0.25">
      <c r="H1224" t="s">
        <v>2009</v>
      </c>
    </row>
    <row r="1225" spans="8:8" x14ac:dyDescent="0.25">
      <c r="H1225" t="s">
        <v>135</v>
      </c>
    </row>
    <row r="1226" spans="8:8" x14ac:dyDescent="0.25">
      <c r="H1226" t="s">
        <v>3475</v>
      </c>
    </row>
    <row r="1227" spans="8:8" x14ac:dyDescent="0.25">
      <c r="H1227" t="s">
        <v>30</v>
      </c>
    </row>
    <row r="1229" spans="8:8" x14ac:dyDescent="0.25">
      <c r="H1229" t="s">
        <v>1847</v>
      </c>
    </row>
    <row r="1230" spans="8:8" x14ac:dyDescent="0.25">
      <c r="H1230" t="s">
        <v>2012</v>
      </c>
    </row>
    <row r="1231" spans="8:8" x14ac:dyDescent="0.25">
      <c r="H1231" t="s">
        <v>135</v>
      </c>
    </row>
    <row r="1232" spans="8:8" x14ac:dyDescent="0.25">
      <c r="H1232" t="s">
        <v>3476</v>
      </c>
    </row>
    <row r="1233" spans="8:8" x14ac:dyDescent="0.25">
      <c r="H1233" t="s">
        <v>30</v>
      </c>
    </row>
    <row r="1235" spans="8:8" x14ac:dyDescent="0.25">
      <c r="H1235" t="s">
        <v>1850</v>
      </c>
    </row>
    <row r="1236" spans="8:8" x14ac:dyDescent="0.25">
      <c r="H1236" t="s">
        <v>2015</v>
      </c>
    </row>
    <row r="1237" spans="8:8" x14ac:dyDescent="0.25">
      <c r="H1237" t="s">
        <v>135</v>
      </c>
    </row>
    <row r="1238" spans="8:8" x14ac:dyDescent="0.25">
      <c r="H1238" t="s">
        <v>3477</v>
      </c>
    </row>
    <row r="1239" spans="8:8" x14ac:dyDescent="0.25">
      <c r="H1239" t="s">
        <v>30</v>
      </c>
    </row>
    <row r="1241" spans="8:8" x14ac:dyDescent="0.25">
      <c r="H1241" t="s">
        <v>1853</v>
      </c>
    </row>
    <row r="1242" spans="8:8" x14ac:dyDescent="0.25">
      <c r="H1242" t="s">
        <v>2018</v>
      </c>
    </row>
    <row r="1243" spans="8:8" x14ac:dyDescent="0.25">
      <c r="H1243" t="s">
        <v>135</v>
      </c>
    </row>
    <row r="1244" spans="8:8" x14ac:dyDescent="0.25">
      <c r="H1244" t="s">
        <v>3478</v>
      </c>
    </row>
    <row r="1245" spans="8:8" x14ac:dyDescent="0.25">
      <c r="H1245" t="s">
        <v>30</v>
      </c>
    </row>
    <row r="1247" spans="8:8" x14ac:dyDescent="0.25">
      <c r="H1247" t="s">
        <v>1856</v>
      </c>
    </row>
    <row r="1248" spans="8:8" x14ac:dyDescent="0.25">
      <c r="H1248" t="s">
        <v>2021</v>
      </c>
    </row>
    <row r="1249" spans="8:8" x14ac:dyDescent="0.25">
      <c r="H1249" t="s">
        <v>135</v>
      </c>
    </row>
    <row r="1250" spans="8:8" x14ac:dyDescent="0.25">
      <c r="H1250" t="s">
        <v>3479</v>
      </c>
    </row>
    <row r="1251" spans="8:8" x14ac:dyDescent="0.25">
      <c r="H1251" t="s">
        <v>30</v>
      </c>
    </row>
    <row r="1253" spans="8:8" x14ac:dyDescent="0.25">
      <c r="H1253" t="s">
        <v>1859</v>
      </c>
    </row>
    <row r="1254" spans="8:8" x14ac:dyDescent="0.25">
      <c r="H1254" t="s">
        <v>2024</v>
      </c>
    </row>
    <row r="1255" spans="8:8" x14ac:dyDescent="0.25">
      <c r="H1255" t="s">
        <v>135</v>
      </c>
    </row>
    <row r="1256" spans="8:8" x14ac:dyDescent="0.25">
      <c r="H1256" t="s">
        <v>3480</v>
      </c>
    </row>
    <row r="1257" spans="8:8" x14ac:dyDescent="0.25">
      <c r="H1257" t="s">
        <v>30</v>
      </c>
    </row>
    <row r="1259" spans="8:8" x14ac:dyDescent="0.25">
      <c r="H1259" t="s">
        <v>1862</v>
      </c>
    </row>
    <row r="1260" spans="8:8" x14ac:dyDescent="0.25">
      <c r="H1260" t="s">
        <v>2027</v>
      </c>
    </row>
    <row r="1261" spans="8:8" x14ac:dyDescent="0.25">
      <c r="H1261" t="s">
        <v>135</v>
      </c>
    </row>
    <row r="1262" spans="8:8" x14ac:dyDescent="0.25">
      <c r="H1262" t="s">
        <v>3481</v>
      </c>
    </row>
    <row r="1263" spans="8:8" x14ac:dyDescent="0.25">
      <c r="H1263" t="s">
        <v>30</v>
      </c>
    </row>
    <row r="1265" spans="8:8" x14ac:dyDescent="0.25">
      <c r="H1265" t="s">
        <v>1865</v>
      </c>
    </row>
    <row r="1266" spans="8:8" x14ac:dyDescent="0.25">
      <c r="H1266" t="s">
        <v>2030</v>
      </c>
    </row>
    <row r="1267" spans="8:8" x14ac:dyDescent="0.25">
      <c r="H1267" t="s">
        <v>135</v>
      </c>
    </row>
    <row r="1268" spans="8:8" x14ac:dyDescent="0.25">
      <c r="H1268" t="s">
        <v>3482</v>
      </c>
    </row>
    <row r="1269" spans="8:8" x14ac:dyDescent="0.25">
      <c r="H1269" t="s">
        <v>30</v>
      </c>
    </row>
    <row r="1271" spans="8:8" x14ac:dyDescent="0.25">
      <c r="H1271" t="s">
        <v>1868</v>
      </c>
    </row>
    <row r="1272" spans="8:8" x14ac:dyDescent="0.25">
      <c r="H1272" t="s">
        <v>2033</v>
      </c>
    </row>
    <row r="1273" spans="8:8" x14ac:dyDescent="0.25">
      <c r="H1273" t="s">
        <v>135</v>
      </c>
    </row>
    <row r="1274" spans="8:8" x14ac:dyDescent="0.25">
      <c r="H1274" t="s">
        <v>3483</v>
      </c>
    </row>
    <row r="1275" spans="8:8" x14ac:dyDescent="0.25">
      <c r="H1275" t="s">
        <v>30</v>
      </c>
    </row>
    <row r="1277" spans="8:8" x14ac:dyDescent="0.25">
      <c r="H1277" t="s">
        <v>1871</v>
      </c>
    </row>
    <row r="1278" spans="8:8" x14ac:dyDescent="0.25">
      <c r="H1278" t="s">
        <v>2036</v>
      </c>
    </row>
    <row r="1279" spans="8:8" x14ac:dyDescent="0.25">
      <c r="H1279" t="s">
        <v>135</v>
      </c>
    </row>
    <row r="1280" spans="8:8" x14ac:dyDescent="0.25">
      <c r="H1280" t="s">
        <v>3484</v>
      </c>
    </row>
    <row r="1281" spans="8:8" x14ac:dyDescent="0.25">
      <c r="H1281" t="s">
        <v>30</v>
      </c>
    </row>
    <row r="1283" spans="8:8" x14ac:dyDescent="0.25">
      <c r="H1283" t="s">
        <v>1874</v>
      </c>
    </row>
    <row r="1284" spans="8:8" x14ac:dyDescent="0.25">
      <c r="H1284" t="s">
        <v>2039</v>
      </c>
    </row>
    <row r="1285" spans="8:8" x14ac:dyDescent="0.25">
      <c r="H1285" t="s">
        <v>135</v>
      </c>
    </row>
    <row r="1286" spans="8:8" x14ac:dyDescent="0.25">
      <c r="H1286" t="s">
        <v>3485</v>
      </c>
    </row>
    <row r="1287" spans="8:8" x14ac:dyDescent="0.25">
      <c r="H1287" t="s">
        <v>30</v>
      </c>
    </row>
    <row r="1289" spans="8:8" x14ac:dyDescent="0.25">
      <c r="H1289" t="s">
        <v>1877</v>
      </c>
    </row>
    <row r="1290" spans="8:8" x14ac:dyDescent="0.25">
      <c r="H1290" t="s">
        <v>2042</v>
      </c>
    </row>
    <row r="1291" spans="8:8" x14ac:dyDescent="0.25">
      <c r="H1291" t="s">
        <v>135</v>
      </c>
    </row>
    <row r="1292" spans="8:8" x14ac:dyDescent="0.25">
      <c r="H1292" t="s">
        <v>3486</v>
      </c>
    </row>
    <row r="1293" spans="8:8" x14ac:dyDescent="0.25">
      <c r="H1293" t="s">
        <v>30</v>
      </c>
    </row>
    <row r="1294" spans="8:8" x14ac:dyDescent="0.25">
      <c r="H1294" t="s">
        <v>2044</v>
      </c>
    </row>
    <row r="1295" spans="8:8" x14ac:dyDescent="0.25">
      <c r="H1295" t="s">
        <v>136</v>
      </c>
    </row>
    <row r="1296" spans="8:8" x14ac:dyDescent="0.25">
      <c r="H1296" t="s">
        <v>3487</v>
      </c>
    </row>
    <row r="1297" spans="8:8" x14ac:dyDescent="0.25">
      <c r="H1297" t="s">
        <v>30</v>
      </c>
    </row>
    <row r="1298" spans="8:8" x14ac:dyDescent="0.25">
      <c r="H1298" t="s">
        <v>2046</v>
      </c>
    </row>
    <row r="1299" spans="8:8" x14ac:dyDescent="0.25">
      <c r="H1299" t="s">
        <v>137</v>
      </c>
    </row>
    <row r="1300" spans="8:8" x14ac:dyDescent="0.25">
      <c r="H1300" t="s">
        <v>3488</v>
      </c>
    </row>
    <row r="1301" spans="8:8" x14ac:dyDescent="0.25">
      <c r="H1301" t="s">
        <v>30</v>
      </c>
    </row>
    <row r="1302" spans="8:8" x14ac:dyDescent="0.25">
      <c r="H1302" t="s">
        <v>2048</v>
      </c>
    </row>
    <row r="1303" spans="8:8" x14ac:dyDescent="0.25">
      <c r="H1303" t="s">
        <v>138</v>
      </c>
    </row>
    <row r="1304" spans="8:8" x14ac:dyDescent="0.25">
      <c r="H1304" t="s">
        <v>3489</v>
      </c>
    </row>
    <row r="1305" spans="8:8" x14ac:dyDescent="0.25">
      <c r="H1305" t="s">
        <v>30</v>
      </c>
    </row>
    <row r="1307" spans="8:8" x14ac:dyDescent="0.25">
      <c r="H1307" t="s">
        <v>1880</v>
      </c>
    </row>
    <row r="1308" spans="8:8" x14ac:dyDescent="0.25">
      <c r="H1308" t="s">
        <v>2051</v>
      </c>
    </row>
    <row r="1309" spans="8:8" x14ac:dyDescent="0.25">
      <c r="H1309" t="s">
        <v>135</v>
      </c>
    </row>
    <row r="1310" spans="8:8" x14ac:dyDescent="0.25">
      <c r="H1310" t="s">
        <v>3490</v>
      </c>
    </row>
    <row r="1311" spans="8:8" x14ac:dyDescent="0.25">
      <c r="H1311" t="s">
        <v>30</v>
      </c>
    </row>
    <row r="1312" spans="8:8" x14ac:dyDescent="0.25">
      <c r="H1312" t="s">
        <v>2053</v>
      </c>
    </row>
    <row r="1313" spans="8:8" x14ac:dyDescent="0.25">
      <c r="H1313" t="s">
        <v>136</v>
      </c>
    </row>
    <row r="1314" spans="8:8" x14ac:dyDescent="0.25">
      <c r="H1314" t="s">
        <v>3491</v>
      </c>
    </row>
    <row r="1315" spans="8:8" x14ac:dyDescent="0.25">
      <c r="H1315" t="s">
        <v>30</v>
      </c>
    </row>
    <row r="1316" spans="8:8" x14ac:dyDescent="0.25">
      <c r="H1316" t="s">
        <v>2055</v>
      </c>
    </row>
    <row r="1317" spans="8:8" x14ac:dyDescent="0.25">
      <c r="H1317" t="s">
        <v>137</v>
      </c>
    </row>
    <row r="1318" spans="8:8" x14ac:dyDescent="0.25">
      <c r="H1318" t="s">
        <v>3492</v>
      </c>
    </row>
    <row r="1319" spans="8:8" x14ac:dyDescent="0.25">
      <c r="H1319" t="s">
        <v>30</v>
      </c>
    </row>
    <row r="1320" spans="8:8" x14ac:dyDescent="0.25">
      <c r="H1320" t="s">
        <v>2057</v>
      </c>
    </row>
    <row r="1321" spans="8:8" x14ac:dyDescent="0.25">
      <c r="H1321" t="s">
        <v>138</v>
      </c>
    </row>
    <row r="1322" spans="8:8" x14ac:dyDescent="0.25">
      <c r="H1322" t="s">
        <v>3493</v>
      </c>
    </row>
    <row r="1323" spans="8:8" x14ac:dyDescent="0.25">
      <c r="H1323" t="s">
        <v>30</v>
      </c>
    </row>
    <row r="1325" spans="8:8" x14ac:dyDescent="0.25">
      <c r="H1325" t="s">
        <v>1883</v>
      </c>
    </row>
    <row r="1326" spans="8:8" x14ac:dyDescent="0.25">
      <c r="H1326" t="s">
        <v>2060</v>
      </c>
    </row>
    <row r="1327" spans="8:8" x14ac:dyDescent="0.25">
      <c r="H1327" t="s">
        <v>135</v>
      </c>
    </row>
    <row r="1328" spans="8:8" x14ac:dyDescent="0.25">
      <c r="H1328" t="s">
        <v>3494</v>
      </c>
    </row>
    <row r="1329" spans="8:8" x14ac:dyDescent="0.25">
      <c r="H1329" t="s">
        <v>30</v>
      </c>
    </row>
    <row r="1330" spans="8:8" x14ac:dyDescent="0.25">
      <c r="H1330" t="s">
        <v>2062</v>
      </c>
    </row>
    <row r="1331" spans="8:8" x14ac:dyDescent="0.25">
      <c r="H1331" t="s">
        <v>136</v>
      </c>
    </row>
    <row r="1332" spans="8:8" x14ac:dyDescent="0.25">
      <c r="H1332" t="s">
        <v>3495</v>
      </c>
    </row>
    <row r="1333" spans="8:8" x14ac:dyDescent="0.25">
      <c r="H1333" t="s">
        <v>30</v>
      </c>
    </row>
    <row r="1334" spans="8:8" x14ac:dyDescent="0.25">
      <c r="H1334" t="s">
        <v>2064</v>
      </c>
    </row>
    <row r="1335" spans="8:8" x14ac:dyDescent="0.25">
      <c r="H1335" t="s">
        <v>137</v>
      </c>
    </row>
    <row r="1336" spans="8:8" x14ac:dyDescent="0.25">
      <c r="H1336" t="s">
        <v>3496</v>
      </c>
    </row>
    <row r="1337" spans="8:8" x14ac:dyDescent="0.25">
      <c r="H1337" t="s">
        <v>30</v>
      </c>
    </row>
    <row r="1338" spans="8:8" x14ac:dyDescent="0.25">
      <c r="H1338" t="s">
        <v>2066</v>
      </c>
    </row>
    <row r="1339" spans="8:8" x14ac:dyDescent="0.25">
      <c r="H1339" t="s">
        <v>138</v>
      </c>
    </row>
    <row r="1340" spans="8:8" x14ac:dyDescent="0.25">
      <c r="H1340" t="s">
        <v>3497</v>
      </c>
    </row>
    <row r="1341" spans="8:8" x14ac:dyDescent="0.25">
      <c r="H1341" t="s">
        <v>30</v>
      </c>
    </row>
    <row r="1343" spans="8:8" x14ac:dyDescent="0.25">
      <c r="H1343" t="s">
        <v>1886</v>
      </c>
    </row>
    <row r="1344" spans="8:8" x14ac:dyDescent="0.25">
      <c r="H1344" t="s">
        <v>2069</v>
      </c>
    </row>
    <row r="1345" spans="8:8" x14ac:dyDescent="0.25">
      <c r="H1345" t="s">
        <v>135</v>
      </c>
    </row>
    <row r="1346" spans="8:8" x14ac:dyDescent="0.25">
      <c r="H1346" t="s">
        <v>3498</v>
      </c>
    </row>
    <row r="1347" spans="8:8" x14ac:dyDescent="0.25">
      <c r="H1347" t="s">
        <v>30</v>
      </c>
    </row>
    <row r="1348" spans="8:8" x14ac:dyDescent="0.25">
      <c r="H1348" t="s">
        <v>2071</v>
      </c>
    </row>
    <row r="1349" spans="8:8" x14ac:dyDescent="0.25">
      <c r="H1349" t="s">
        <v>136</v>
      </c>
    </row>
    <row r="1350" spans="8:8" x14ac:dyDescent="0.25">
      <c r="H1350" t="s">
        <v>3499</v>
      </c>
    </row>
    <row r="1351" spans="8:8" x14ac:dyDescent="0.25">
      <c r="H1351" t="s">
        <v>30</v>
      </c>
    </row>
    <row r="1352" spans="8:8" x14ac:dyDescent="0.25">
      <c r="H1352" t="s">
        <v>2073</v>
      </c>
    </row>
    <row r="1353" spans="8:8" x14ac:dyDescent="0.25">
      <c r="H1353" t="s">
        <v>137</v>
      </c>
    </row>
    <row r="1354" spans="8:8" x14ac:dyDescent="0.25">
      <c r="H1354" t="s">
        <v>3500</v>
      </c>
    </row>
    <row r="1355" spans="8:8" x14ac:dyDescent="0.25">
      <c r="H1355" t="s">
        <v>30</v>
      </c>
    </row>
    <row r="1357" spans="8:8" x14ac:dyDescent="0.25">
      <c r="H1357" t="s">
        <v>1889</v>
      </c>
    </row>
    <row r="1358" spans="8:8" x14ac:dyDescent="0.25">
      <c r="H1358" t="s">
        <v>2076</v>
      </c>
    </row>
    <row r="1359" spans="8:8" x14ac:dyDescent="0.25">
      <c r="H1359" t="s">
        <v>135</v>
      </c>
    </row>
    <row r="1360" spans="8:8" x14ac:dyDescent="0.25">
      <c r="H1360" t="s">
        <v>3501</v>
      </c>
    </row>
    <row r="1361" spans="8:8" x14ac:dyDescent="0.25">
      <c r="H1361" t="s">
        <v>30</v>
      </c>
    </row>
    <row r="1363" spans="8:8" x14ac:dyDescent="0.25">
      <c r="H1363" t="s">
        <v>1892</v>
      </c>
    </row>
    <row r="1364" spans="8:8" x14ac:dyDescent="0.25">
      <c r="H1364" t="s">
        <v>2079</v>
      </c>
    </row>
    <row r="1365" spans="8:8" x14ac:dyDescent="0.25">
      <c r="H1365" t="s">
        <v>135</v>
      </c>
    </row>
    <row r="1366" spans="8:8" x14ac:dyDescent="0.25">
      <c r="H1366" t="s">
        <v>3502</v>
      </c>
    </row>
    <row r="1367" spans="8:8" x14ac:dyDescent="0.25">
      <c r="H1367" t="s">
        <v>30</v>
      </c>
    </row>
    <row r="1369" spans="8:8" x14ac:dyDescent="0.25">
      <c r="H1369" t="s">
        <v>1895</v>
      </c>
    </row>
    <row r="1370" spans="8:8" x14ac:dyDescent="0.25">
      <c r="H1370" t="s">
        <v>2082</v>
      </c>
    </row>
    <row r="1371" spans="8:8" x14ac:dyDescent="0.25">
      <c r="H1371" t="s">
        <v>135</v>
      </c>
    </row>
    <row r="1372" spans="8:8" x14ac:dyDescent="0.25">
      <c r="H1372" t="s">
        <v>3503</v>
      </c>
    </row>
    <row r="1373" spans="8:8" x14ac:dyDescent="0.25">
      <c r="H1373" t="s">
        <v>30</v>
      </c>
    </row>
    <row r="1374" spans="8:8" x14ac:dyDescent="0.25">
      <c r="H1374" t="s">
        <v>136</v>
      </c>
    </row>
    <row r="1375" spans="8:8" x14ac:dyDescent="0.25">
      <c r="H1375" t="s">
        <v>3504</v>
      </c>
    </row>
    <row r="1376" spans="8:8" x14ac:dyDescent="0.25">
      <c r="H1376" t="s">
        <v>30</v>
      </c>
    </row>
    <row r="1378" spans="8:8" x14ac:dyDescent="0.25">
      <c r="H1378" t="s">
        <v>1898</v>
      </c>
    </row>
    <row r="1379" spans="8:8" x14ac:dyDescent="0.25">
      <c r="H1379" t="s">
        <v>2086</v>
      </c>
    </row>
    <row r="1380" spans="8:8" x14ac:dyDescent="0.25">
      <c r="H1380" t="s">
        <v>135</v>
      </c>
    </row>
    <row r="1381" spans="8:8" x14ac:dyDescent="0.25">
      <c r="H1381" t="s">
        <v>3505</v>
      </c>
    </row>
    <row r="1382" spans="8:8" x14ac:dyDescent="0.25">
      <c r="H1382" t="s">
        <v>30</v>
      </c>
    </row>
    <row r="1384" spans="8:8" x14ac:dyDescent="0.25">
      <c r="H1384" t="s">
        <v>1901</v>
      </c>
    </row>
    <row r="1385" spans="8:8" x14ac:dyDescent="0.25">
      <c r="H1385" t="s">
        <v>2089</v>
      </c>
    </row>
    <row r="1386" spans="8:8" x14ac:dyDescent="0.25">
      <c r="H1386" t="s">
        <v>135</v>
      </c>
    </row>
    <row r="1387" spans="8:8" x14ac:dyDescent="0.25">
      <c r="H1387" t="s">
        <v>3506</v>
      </c>
    </row>
    <row r="1388" spans="8:8" x14ac:dyDescent="0.25">
      <c r="H1388" t="s">
        <v>30</v>
      </c>
    </row>
    <row r="1390" spans="8:8" x14ac:dyDescent="0.25">
      <c r="H1390" t="s">
        <v>1904</v>
      </c>
    </row>
    <row r="1391" spans="8:8" x14ac:dyDescent="0.25">
      <c r="H1391" t="s">
        <v>2092</v>
      </c>
    </row>
    <row r="1392" spans="8:8" x14ac:dyDescent="0.25">
      <c r="H1392" t="s">
        <v>135</v>
      </c>
    </row>
    <row r="1393" spans="8:8" x14ac:dyDescent="0.25">
      <c r="H1393" t="s">
        <v>3507</v>
      </c>
    </row>
    <row r="1394" spans="8:8" x14ac:dyDescent="0.25">
      <c r="H1394" t="s">
        <v>30</v>
      </c>
    </row>
    <row r="1395" spans="8:8" x14ac:dyDescent="0.25">
      <c r="H1395" t="s">
        <v>136</v>
      </c>
    </row>
    <row r="1396" spans="8:8" x14ac:dyDescent="0.25">
      <c r="H1396" t="s">
        <v>3508</v>
      </c>
    </row>
    <row r="1397" spans="8:8" x14ac:dyDescent="0.25">
      <c r="H1397" t="s">
        <v>30</v>
      </c>
    </row>
    <row r="1398" spans="8:8" x14ac:dyDescent="0.25">
      <c r="H1398" t="s">
        <v>2095</v>
      </c>
    </row>
    <row r="1399" spans="8:8" x14ac:dyDescent="0.25">
      <c r="H1399" t="s">
        <v>137</v>
      </c>
    </row>
    <row r="1400" spans="8:8" x14ac:dyDescent="0.25">
      <c r="H1400" t="s">
        <v>3509</v>
      </c>
    </row>
    <row r="1401" spans="8:8" x14ac:dyDescent="0.25">
      <c r="H1401" t="s">
        <v>30</v>
      </c>
    </row>
    <row r="1402" spans="8:8" x14ac:dyDescent="0.25">
      <c r="H1402" t="s">
        <v>138</v>
      </c>
    </row>
    <row r="1403" spans="8:8" x14ac:dyDescent="0.25">
      <c r="H1403" t="s">
        <v>3510</v>
      </c>
    </row>
    <row r="1404" spans="8:8" x14ac:dyDescent="0.25">
      <c r="H1404" t="s">
        <v>30</v>
      </c>
    </row>
    <row r="1406" spans="8:8" x14ac:dyDescent="0.25">
      <c r="H1406" t="s">
        <v>1907</v>
      </c>
    </row>
    <row r="1407" spans="8:8" x14ac:dyDescent="0.25">
      <c r="H1407" t="s">
        <v>2099</v>
      </c>
    </row>
    <row r="1408" spans="8:8" x14ac:dyDescent="0.25">
      <c r="H1408" t="s">
        <v>135</v>
      </c>
    </row>
    <row r="1409" spans="8:8" x14ac:dyDescent="0.25">
      <c r="H1409" t="s">
        <v>3511</v>
      </c>
    </row>
    <row r="1410" spans="8:8" x14ac:dyDescent="0.25">
      <c r="H1410" t="s">
        <v>30</v>
      </c>
    </row>
    <row r="1411" spans="8:8" x14ac:dyDescent="0.25">
      <c r="H1411" t="s">
        <v>136</v>
      </c>
    </row>
    <row r="1412" spans="8:8" x14ac:dyDescent="0.25">
      <c r="H1412" t="s">
        <v>3512</v>
      </c>
    </row>
    <row r="1413" spans="8:8" x14ac:dyDescent="0.25">
      <c r="H1413" t="s">
        <v>30</v>
      </c>
    </row>
    <row r="1414" spans="8:8" x14ac:dyDescent="0.25">
      <c r="H1414" t="s">
        <v>137</v>
      </c>
    </row>
    <row r="1415" spans="8:8" x14ac:dyDescent="0.25">
      <c r="H1415" t="s">
        <v>3513</v>
      </c>
    </row>
    <row r="1416" spans="8:8" x14ac:dyDescent="0.25">
      <c r="H1416" t="s">
        <v>30</v>
      </c>
    </row>
    <row r="1417" spans="8:8" x14ac:dyDescent="0.25">
      <c r="H1417" t="s">
        <v>138</v>
      </c>
    </row>
    <row r="1418" spans="8:8" x14ac:dyDescent="0.25">
      <c r="H1418" t="s">
        <v>3514</v>
      </c>
    </row>
    <row r="1419" spans="8:8" x14ac:dyDescent="0.25">
      <c r="H1419" t="s">
        <v>30</v>
      </c>
    </row>
    <row r="1421" spans="8:8" x14ac:dyDescent="0.25">
      <c r="H1421" t="s">
        <v>1910</v>
      </c>
    </row>
    <row r="1422" spans="8:8" x14ac:dyDescent="0.25">
      <c r="H1422" t="s">
        <v>2105</v>
      </c>
    </row>
    <row r="1423" spans="8:8" x14ac:dyDescent="0.25">
      <c r="H1423" t="s">
        <v>135</v>
      </c>
    </row>
    <row r="1424" spans="8:8" x14ac:dyDescent="0.25">
      <c r="H1424" t="s">
        <v>3515</v>
      </c>
    </row>
    <row r="1425" spans="8:8" x14ac:dyDescent="0.25">
      <c r="H1425" t="s">
        <v>30</v>
      </c>
    </row>
    <row r="1426" spans="8:8" x14ac:dyDescent="0.25">
      <c r="H1426" t="s">
        <v>136</v>
      </c>
    </row>
    <row r="1427" spans="8:8" x14ac:dyDescent="0.25">
      <c r="H1427" t="s">
        <v>3516</v>
      </c>
    </row>
    <row r="1428" spans="8:8" x14ac:dyDescent="0.25">
      <c r="H1428" t="s">
        <v>30</v>
      </c>
    </row>
    <row r="1429" spans="8:8" x14ac:dyDescent="0.25">
      <c r="H1429" t="s">
        <v>137</v>
      </c>
    </row>
    <row r="1430" spans="8:8" x14ac:dyDescent="0.25">
      <c r="H1430" t="s">
        <v>3517</v>
      </c>
    </row>
    <row r="1431" spans="8:8" x14ac:dyDescent="0.25">
      <c r="H1431" t="s">
        <v>30</v>
      </c>
    </row>
    <row r="1432" spans="8:8" x14ac:dyDescent="0.25">
      <c r="H1432" t="s">
        <v>138</v>
      </c>
    </row>
    <row r="1433" spans="8:8" x14ac:dyDescent="0.25">
      <c r="H1433" t="s">
        <v>3518</v>
      </c>
    </row>
    <row r="1434" spans="8:8" x14ac:dyDescent="0.25">
      <c r="H1434" t="s">
        <v>30</v>
      </c>
    </row>
    <row r="1436" spans="8:8" x14ac:dyDescent="0.25">
      <c r="H1436" t="s">
        <v>1913</v>
      </c>
    </row>
    <row r="1437" spans="8:8" x14ac:dyDescent="0.25">
      <c r="H1437" t="s">
        <v>2111</v>
      </c>
    </row>
    <row r="1438" spans="8:8" x14ac:dyDescent="0.25">
      <c r="H1438" t="s">
        <v>135</v>
      </c>
    </row>
    <row r="1439" spans="8:8" x14ac:dyDescent="0.25">
      <c r="H1439" t="s">
        <v>3519</v>
      </c>
    </row>
    <row r="1440" spans="8:8" x14ac:dyDescent="0.25">
      <c r="H1440" t="s">
        <v>30</v>
      </c>
    </row>
    <row r="1441" spans="8:8" x14ac:dyDescent="0.25">
      <c r="H1441" t="s">
        <v>2113</v>
      </c>
    </row>
    <row r="1442" spans="8:8" x14ac:dyDescent="0.25">
      <c r="H1442" t="s">
        <v>137</v>
      </c>
    </row>
    <row r="1443" spans="8:8" x14ac:dyDescent="0.25">
      <c r="H1443" t="s">
        <v>3520</v>
      </c>
    </row>
    <row r="1444" spans="8:8" x14ac:dyDescent="0.25">
      <c r="H1444" t="s">
        <v>30</v>
      </c>
    </row>
    <row r="1445" spans="8:8" x14ac:dyDescent="0.25">
      <c r="H1445" t="s">
        <v>138</v>
      </c>
    </row>
    <row r="1446" spans="8:8" x14ac:dyDescent="0.25">
      <c r="H1446" t="s">
        <v>3521</v>
      </c>
    </row>
    <row r="1447" spans="8:8" x14ac:dyDescent="0.25">
      <c r="H1447" t="s">
        <v>30</v>
      </c>
    </row>
    <row r="1449" spans="8:8" x14ac:dyDescent="0.25">
      <c r="H1449" t="s">
        <v>1916</v>
      </c>
    </row>
    <row r="1450" spans="8:8" x14ac:dyDescent="0.25">
      <c r="H1450" t="s">
        <v>2117</v>
      </c>
    </row>
    <row r="1451" spans="8:8" x14ac:dyDescent="0.25">
      <c r="H1451" t="s">
        <v>135</v>
      </c>
    </row>
    <row r="1452" spans="8:8" x14ac:dyDescent="0.25">
      <c r="H1452" t="s">
        <v>3522</v>
      </c>
    </row>
    <row r="1453" spans="8:8" x14ac:dyDescent="0.25">
      <c r="H1453" t="s">
        <v>30</v>
      </c>
    </row>
    <row r="1455" spans="8:8" x14ac:dyDescent="0.25">
      <c r="H1455" t="s">
        <v>1919</v>
      </c>
    </row>
    <row r="1456" spans="8:8" x14ac:dyDescent="0.25">
      <c r="H1456" t="s">
        <v>2120</v>
      </c>
    </row>
    <row r="1457" spans="8:8" x14ac:dyDescent="0.25">
      <c r="H1457" t="s">
        <v>135</v>
      </c>
    </row>
    <row r="1458" spans="8:8" x14ac:dyDescent="0.25">
      <c r="H1458" t="s">
        <v>3523</v>
      </c>
    </row>
    <row r="1459" spans="8:8" x14ac:dyDescent="0.25">
      <c r="H1459" t="s">
        <v>30</v>
      </c>
    </row>
    <row r="1461" spans="8:8" x14ac:dyDescent="0.25">
      <c r="H1461" t="s">
        <v>1922</v>
      </c>
    </row>
    <row r="1462" spans="8:8" x14ac:dyDescent="0.25">
      <c r="H1462" t="s">
        <v>2123</v>
      </c>
    </row>
    <row r="1463" spans="8:8" x14ac:dyDescent="0.25">
      <c r="H1463" t="s">
        <v>135</v>
      </c>
    </row>
    <row r="1464" spans="8:8" x14ac:dyDescent="0.25">
      <c r="H1464" t="s">
        <v>3524</v>
      </c>
    </row>
    <row r="1465" spans="8:8" x14ac:dyDescent="0.25">
      <c r="H1465" t="s">
        <v>30</v>
      </c>
    </row>
    <row r="1466" spans="8:8" x14ac:dyDescent="0.25">
      <c r="H1466" t="s">
        <v>136</v>
      </c>
    </row>
    <row r="1467" spans="8:8" x14ac:dyDescent="0.25">
      <c r="H1467" t="s">
        <v>3525</v>
      </c>
    </row>
    <row r="1468" spans="8:8" x14ac:dyDescent="0.25">
      <c r="H1468" t="s">
        <v>30</v>
      </c>
    </row>
    <row r="1470" spans="8:8" x14ac:dyDescent="0.25">
      <c r="H1470" t="s">
        <v>1925</v>
      </c>
    </row>
    <row r="1471" spans="8:8" x14ac:dyDescent="0.25">
      <c r="H1471" t="s">
        <v>2127</v>
      </c>
    </row>
    <row r="1472" spans="8:8" x14ac:dyDescent="0.25">
      <c r="H1472" t="s">
        <v>135</v>
      </c>
    </row>
    <row r="1473" spans="8:8" x14ac:dyDescent="0.25">
      <c r="H1473" t="s">
        <v>3526</v>
      </c>
    </row>
    <row r="1474" spans="8:8" x14ac:dyDescent="0.25">
      <c r="H1474" t="s">
        <v>30</v>
      </c>
    </row>
    <row r="1476" spans="8:8" x14ac:dyDescent="0.25">
      <c r="H1476" t="s">
        <v>1928</v>
      </c>
    </row>
    <row r="1477" spans="8:8" x14ac:dyDescent="0.25">
      <c r="H1477" t="s">
        <v>2130</v>
      </c>
    </row>
    <row r="1478" spans="8:8" x14ac:dyDescent="0.25">
      <c r="H1478" t="s">
        <v>135</v>
      </c>
    </row>
    <row r="1479" spans="8:8" x14ac:dyDescent="0.25">
      <c r="H1479" t="s">
        <v>3527</v>
      </c>
    </row>
    <row r="1480" spans="8:8" x14ac:dyDescent="0.25">
      <c r="H1480" t="s">
        <v>30</v>
      </c>
    </row>
    <row r="1482" spans="8:8" x14ac:dyDescent="0.25">
      <c r="H1482" t="s">
        <v>1931</v>
      </c>
    </row>
    <row r="1483" spans="8:8" x14ac:dyDescent="0.25">
      <c r="H1483" t="s">
        <v>2133</v>
      </c>
    </row>
    <row r="1484" spans="8:8" x14ac:dyDescent="0.25">
      <c r="H1484" t="s">
        <v>135</v>
      </c>
    </row>
    <row r="1485" spans="8:8" x14ac:dyDescent="0.25">
      <c r="H1485" t="s">
        <v>3528</v>
      </c>
    </row>
    <row r="1486" spans="8:8" x14ac:dyDescent="0.25">
      <c r="H1486" t="s">
        <v>30</v>
      </c>
    </row>
    <row r="1487" spans="8:8" x14ac:dyDescent="0.25">
      <c r="H1487" t="s">
        <v>136</v>
      </c>
    </row>
    <row r="1488" spans="8:8" x14ac:dyDescent="0.25">
      <c r="H1488" t="s">
        <v>3529</v>
      </c>
    </row>
    <row r="1489" spans="8:8" x14ac:dyDescent="0.25">
      <c r="H1489" t="s">
        <v>30</v>
      </c>
    </row>
    <row r="1491" spans="8:8" x14ac:dyDescent="0.25">
      <c r="H1491" t="s">
        <v>1934</v>
      </c>
    </row>
    <row r="1492" spans="8:8" x14ac:dyDescent="0.25">
      <c r="H1492" t="s">
        <v>2137</v>
      </c>
    </row>
    <row r="1493" spans="8:8" x14ac:dyDescent="0.25">
      <c r="H1493" t="s">
        <v>135</v>
      </c>
    </row>
    <row r="1494" spans="8:8" x14ac:dyDescent="0.25">
      <c r="H1494" t="s">
        <v>3530</v>
      </c>
    </row>
    <row r="1495" spans="8:8" x14ac:dyDescent="0.25">
      <c r="H1495" t="s">
        <v>30</v>
      </c>
    </row>
    <row r="1497" spans="8:8" x14ac:dyDescent="0.25">
      <c r="H1497" t="s">
        <v>1937</v>
      </c>
    </row>
    <row r="1498" spans="8:8" x14ac:dyDescent="0.25">
      <c r="H1498" t="s">
        <v>2140</v>
      </c>
    </row>
    <row r="1499" spans="8:8" x14ac:dyDescent="0.25">
      <c r="H1499" t="s">
        <v>135</v>
      </c>
    </row>
    <row r="1500" spans="8:8" x14ac:dyDescent="0.25">
      <c r="H1500" t="s">
        <v>3531</v>
      </c>
    </row>
    <row r="1501" spans="8:8" x14ac:dyDescent="0.25">
      <c r="H1501" t="s">
        <v>30</v>
      </c>
    </row>
    <row r="1503" spans="8:8" x14ac:dyDescent="0.25">
      <c r="H1503" t="s">
        <v>1940</v>
      </c>
    </row>
    <row r="1504" spans="8:8" x14ac:dyDescent="0.25">
      <c r="H1504" t="s">
        <v>2143</v>
      </c>
    </row>
    <row r="1505" spans="8:8" x14ac:dyDescent="0.25">
      <c r="H1505" t="s">
        <v>135</v>
      </c>
    </row>
    <row r="1506" spans="8:8" x14ac:dyDescent="0.25">
      <c r="H1506" t="s">
        <v>3532</v>
      </c>
    </row>
    <row r="1507" spans="8:8" x14ac:dyDescent="0.25">
      <c r="H1507" t="s">
        <v>30</v>
      </c>
    </row>
    <row r="1508" spans="8:8" x14ac:dyDescent="0.25">
      <c r="H1508" t="s">
        <v>136</v>
      </c>
    </row>
    <row r="1509" spans="8:8" x14ac:dyDescent="0.25">
      <c r="H1509" t="s">
        <v>3533</v>
      </c>
    </row>
    <row r="1510" spans="8:8" x14ac:dyDescent="0.25">
      <c r="H1510" t="s">
        <v>30</v>
      </c>
    </row>
    <row r="1512" spans="8:8" x14ac:dyDescent="0.25">
      <c r="H1512" t="s">
        <v>1943</v>
      </c>
    </row>
    <row r="1513" spans="8:8" x14ac:dyDescent="0.25">
      <c r="H1513" t="s">
        <v>2147</v>
      </c>
    </row>
    <row r="1514" spans="8:8" x14ac:dyDescent="0.25">
      <c r="H1514" t="s">
        <v>135</v>
      </c>
    </row>
    <row r="1515" spans="8:8" x14ac:dyDescent="0.25">
      <c r="H1515" t="s">
        <v>3534</v>
      </c>
    </row>
    <row r="1516" spans="8:8" x14ac:dyDescent="0.25">
      <c r="H1516" t="s">
        <v>30</v>
      </c>
    </row>
    <row r="1518" spans="8:8" x14ac:dyDescent="0.25">
      <c r="H1518" t="s">
        <v>1946</v>
      </c>
    </row>
    <row r="1519" spans="8:8" x14ac:dyDescent="0.25">
      <c r="H1519" t="s">
        <v>2150</v>
      </c>
    </row>
    <row r="1520" spans="8:8" x14ac:dyDescent="0.25">
      <c r="H1520" t="s">
        <v>135</v>
      </c>
    </row>
    <row r="1521" spans="8:8" x14ac:dyDescent="0.25">
      <c r="H1521" t="s">
        <v>3535</v>
      </c>
    </row>
    <row r="1522" spans="8:8" x14ac:dyDescent="0.25">
      <c r="H1522" t="s">
        <v>30</v>
      </c>
    </row>
    <row r="1524" spans="8:8" x14ac:dyDescent="0.25">
      <c r="H1524" t="s">
        <v>1949</v>
      </c>
    </row>
    <row r="1525" spans="8:8" x14ac:dyDescent="0.25">
      <c r="H1525" t="s">
        <v>2153</v>
      </c>
    </row>
    <row r="1526" spans="8:8" x14ac:dyDescent="0.25">
      <c r="H1526" t="s">
        <v>135</v>
      </c>
    </row>
    <row r="1527" spans="8:8" x14ac:dyDescent="0.25">
      <c r="H1527" t="s">
        <v>3536</v>
      </c>
    </row>
    <row r="1528" spans="8:8" x14ac:dyDescent="0.25">
      <c r="H1528" t="s">
        <v>30</v>
      </c>
    </row>
    <row r="1529" spans="8:8" x14ac:dyDescent="0.25">
      <c r="H1529" t="s">
        <v>136</v>
      </c>
    </row>
    <row r="1530" spans="8:8" x14ac:dyDescent="0.25">
      <c r="H1530" t="s">
        <v>3537</v>
      </c>
    </row>
    <row r="1531" spans="8:8" x14ac:dyDescent="0.25">
      <c r="H1531" t="s">
        <v>30</v>
      </c>
    </row>
    <row r="1532" spans="8:8" x14ac:dyDescent="0.25">
      <c r="H1532" t="s">
        <v>2156</v>
      </c>
    </row>
    <row r="1533" spans="8:8" x14ac:dyDescent="0.25">
      <c r="H1533" t="s">
        <v>137</v>
      </c>
    </row>
    <row r="1534" spans="8:8" x14ac:dyDescent="0.25">
      <c r="H1534" t="s">
        <v>3538</v>
      </c>
    </row>
    <row r="1535" spans="8:8" x14ac:dyDescent="0.25">
      <c r="H1535" t="s">
        <v>30</v>
      </c>
    </row>
    <row r="1536" spans="8:8" x14ac:dyDescent="0.25">
      <c r="H1536" t="s">
        <v>138</v>
      </c>
    </row>
    <row r="1537" spans="8:8" x14ac:dyDescent="0.25">
      <c r="H1537" t="s">
        <v>3539</v>
      </c>
    </row>
    <row r="1538" spans="8:8" x14ac:dyDescent="0.25">
      <c r="H1538" t="s">
        <v>30</v>
      </c>
    </row>
    <row r="1540" spans="8:8" x14ac:dyDescent="0.25">
      <c r="H1540" t="s">
        <v>1952</v>
      </c>
    </row>
    <row r="1541" spans="8:8" x14ac:dyDescent="0.25">
      <c r="H1541" t="s">
        <v>2160</v>
      </c>
    </row>
    <row r="1542" spans="8:8" x14ac:dyDescent="0.25">
      <c r="H1542" t="s">
        <v>135</v>
      </c>
    </row>
    <row r="1543" spans="8:8" x14ac:dyDescent="0.25">
      <c r="H1543" t="s">
        <v>3540</v>
      </c>
    </row>
    <row r="1544" spans="8:8" x14ac:dyDescent="0.25">
      <c r="H1544" t="s">
        <v>30</v>
      </c>
    </row>
    <row r="1545" spans="8:8" x14ac:dyDescent="0.25">
      <c r="H1545" t="s">
        <v>136</v>
      </c>
    </row>
    <row r="1546" spans="8:8" x14ac:dyDescent="0.25">
      <c r="H1546" t="s">
        <v>3541</v>
      </c>
    </row>
    <row r="1547" spans="8:8" x14ac:dyDescent="0.25">
      <c r="H1547" t="s">
        <v>30</v>
      </c>
    </row>
    <row r="1549" spans="8:8" x14ac:dyDescent="0.25">
      <c r="H1549" t="s">
        <v>1957</v>
      </c>
    </row>
    <row r="1550" spans="8:8" x14ac:dyDescent="0.25">
      <c r="H1550" t="s">
        <v>2164</v>
      </c>
    </row>
    <row r="1551" spans="8:8" x14ac:dyDescent="0.25">
      <c r="H1551" t="s">
        <v>135</v>
      </c>
    </row>
    <row r="1552" spans="8:8" x14ac:dyDescent="0.25">
      <c r="H1552" t="s">
        <v>3542</v>
      </c>
    </row>
    <row r="1553" spans="8:8" x14ac:dyDescent="0.25">
      <c r="H1553" t="s">
        <v>30</v>
      </c>
    </row>
    <row r="1555" spans="8:8" x14ac:dyDescent="0.25">
      <c r="H1555" t="s">
        <v>1963</v>
      </c>
    </row>
    <row r="1556" spans="8:8" x14ac:dyDescent="0.25">
      <c r="H1556" t="s">
        <v>2167</v>
      </c>
    </row>
    <row r="1557" spans="8:8" x14ac:dyDescent="0.25">
      <c r="H1557" t="s">
        <v>135</v>
      </c>
    </row>
    <row r="1558" spans="8:8" x14ac:dyDescent="0.25">
      <c r="H1558" t="s">
        <v>3543</v>
      </c>
    </row>
    <row r="1559" spans="8:8" x14ac:dyDescent="0.25">
      <c r="H1559" t="s">
        <v>30</v>
      </c>
    </row>
    <row r="1561" spans="8:8" x14ac:dyDescent="0.25">
      <c r="H1561" t="s">
        <v>1969</v>
      </c>
    </row>
    <row r="1562" spans="8:8" x14ac:dyDescent="0.25">
      <c r="H1562" t="s">
        <v>2170</v>
      </c>
    </row>
    <row r="1563" spans="8:8" x14ac:dyDescent="0.25">
      <c r="H1563" t="s">
        <v>135</v>
      </c>
    </row>
    <row r="1564" spans="8:8" x14ac:dyDescent="0.25">
      <c r="H1564" t="s">
        <v>3544</v>
      </c>
    </row>
    <row r="1565" spans="8:8" x14ac:dyDescent="0.25">
      <c r="H1565" t="s">
        <v>30</v>
      </c>
    </row>
    <row r="1566" spans="8:8" x14ac:dyDescent="0.25">
      <c r="H1566" t="s">
        <v>136</v>
      </c>
    </row>
    <row r="1567" spans="8:8" x14ac:dyDescent="0.25">
      <c r="H1567" t="s">
        <v>3545</v>
      </c>
    </row>
    <row r="1568" spans="8:8" x14ac:dyDescent="0.25">
      <c r="H1568" t="s">
        <v>30</v>
      </c>
    </row>
    <row r="1569" spans="8:8" x14ac:dyDescent="0.25">
      <c r="H1569" t="s">
        <v>2173</v>
      </c>
    </row>
    <row r="1570" spans="8:8" x14ac:dyDescent="0.25">
      <c r="H1570" t="s">
        <v>137</v>
      </c>
    </row>
    <row r="1571" spans="8:8" x14ac:dyDescent="0.25">
      <c r="H1571" t="s">
        <v>3546</v>
      </c>
    </row>
    <row r="1572" spans="8:8" x14ac:dyDescent="0.25">
      <c r="H1572" t="s">
        <v>30</v>
      </c>
    </row>
    <row r="1574" spans="8:8" x14ac:dyDescent="0.25">
      <c r="H1574" t="s">
        <v>1972</v>
      </c>
    </row>
    <row r="1575" spans="8:8" x14ac:dyDescent="0.25">
      <c r="H1575" t="s">
        <v>2176</v>
      </c>
    </row>
    <row r="1576" spans="8:8" x14ac:dyDescent="0.25">
      <c r="H1576" t="s">
        <v>135</v>
      </c>
    </row>
    <row r="1577" spans="8:8" x14ac:dyDescent="0.25">
      <c r="H1577" t="s">
        <v>3547</v>
      </c>
    </row>
    <row r="1578" spans="8:8" x14ac:dyDescent="0.25">
      <c r="H1578" t="s">
        <v>30</v>
      </c>
    </row>
    <row r="1579" spans="8:8" x14ac:dyDescent="0.25">
      <c r="H1579" t="s">
        <v>136</v>
      </c>
    </row>
    <row r="1580" spans="8:8" x14ac:dyDescent="0.25">
      <c r="H1580" t="s">
        <v>3548</v>
      </c>
    </row>
    <row r="1581" spans="8:8" x14ac:dyDescent="0.25">
      <c r="H1581" t="s">
        <v>30</v>
      </c>
    </row>
    <row r="1582" spans="8:8" x14ac:dyDescent="0.25">
      <c r="H1582" t="s">
        <v>2179</v>
      </c>
    </row>
    <row r="1583" spans="8:8" x14ac:dyDescent="0.25">
      <c r="H1583" t="s">
        <v>137</v>
      </c>
    </row>
    <row r="1584" spans="8:8" x14ac:dyDescent="0.25">
      <c r="H1584" t="s">
        <v>3549</v>
      </c>
    </row>
    <row r="1585" spans="8:8" x14ac:dyDescent="0.25">
      <c r="H1585" t="s">
        <v>30</v>
      </c>
    </row>
    <row r="1587" spans="8:8" x14ac:dyDescent="0.25">
      <c r="H1587" t="s">
        <v>1975</v>
      </c>
    </row>
    <row r="1588" spans="8:8" x14ac:dyDescent="0.25">
      <c r="H1588" t="s">
        <v>2182</v>
      </c>
    </row>
    <row r="1589" spans="8:8" x14ac:dyDescent="0.25">
      <c r="H1589" t="s">
        <v>135</v>
      </c>
    </row>
    <row r="1590" spans="8:8" x14ac:dyDescent="0.25">
      <c r="H1590" t="s">
        <v>3550</v>
      </c>
    </row>
    <row r="1591" spans="8:8" x14ac:dyDescent="0.25">
      <c r="H1591" t="s">
        <v>30</v>
      </c>
    </row>
    <row r="1592" spans="8:8" x14ac:dyDescent="0.25">
      <c r="H1592" t="s">
        <v>136</v>
      </c>
    </row>
    <row r="1593" spans="8:8" x14ac:dyDescent="0.25">
      <c r="H1593" t="s">
        <v>3551</v>
      </c>
    </row>
    <row r="1594" spans="8:8" x14ac:dyDescent="0.25">
      <c r="H1594" t="s">
        <v>30</v>
      </c>
    </row>
    <row r="1595" spans="8:8" x14ac:dyDescent="0.25">
      <c r="H1595" t="s">
        <v>2185</v>
      </c>
    </row>
    <row r="1596" spans="8:8" x14ac:dyDescent="0.25">
      <c r="H1596" t="s">
        <v>137</v>
      </c>
    </row>
    <row r="1597" spans="8:8" x14ac:dyDescent="0.25">
      <c r="H1597" t="s">
        <v>3552</v>
      </c>
    </row>
    <row r="1598" spans="8:8" x14ac:dyDescent="0.25">
      <c r="H1598" t="s">
        <v>30</v>
      </c>
    </row>
    <row r="1600" spans="8:8" x14ac:dyDescent="0.25">
      <c r="H1600" t="s">
        <v>1978</v>
      </c>
    </row>
    <row r="1601" spans="8:8" x14ac:dyDescent="0.25">
      <c r="H1601" t="s">
        <v>2188</v>
      </c>
    </row>
    <row r="1602" spans="8:8" x14ac:dyDescent="0.25">
      <c r="H1602" t="s">
        <v>135</v>
      </c>
    </row>
    <row r="1603" spans="8:8" x14ac:dyDescent="0.25">
      <c r="H1603" t="s">
        <v>3553</v>
      </c>
    </row>
    <row r="1604" spans="8:8" x14ac:dyDescent="0.25">
      <c r="H1604" t="s">
        <v>30</v>
      </c>
    </row>
    <row r="1606" spans="8:8" x14ac:dyDescent="0.25">
      <c r="H1606" t="s">
        <v>1981</v>
      </c>
    </row>
    <row r="1607" spans="8:8" x14ac:dyDescent="0.25">
      <c r="H1607" t="s">
        <v>2191</v>
      </c>
    </row>
    <row r="1608" spans="8:8" x14ac:dyDescent="0.25">
      <c r="H1608" t="s">
        <v>135</v>
      </c>
    </row>
    <row r="1609" spans="8:8" x14ac:dyDescent="0.25">
      <c r="H1609" t="s">
        <v>3554</v>
      </c>
    </row>
    <row r="1610" spans="8:8" x14ac:dyDescent="0.25">
      <c r="H1610" t="s">
        <v>30</v>
      </c>
    </row>
    <row r="1612" spans="8:8" x14ac:dyDescent="0.25">
      <c r="H1612" t="s">
        <v>1984</v>
      </c>
    </row>
    <row r="1613" spans="8:8" x14ac:dyDescent="0.25">
      <c r="H1613" t="s">
        <v>2194</v>
      </c>
    </row>
    <row r="1614" spans="8:8" x14ac:dyDescent="0.25">
      <c r="H1614" t="s">
        <v>135</v>
      </c>
    </row>
    <row r="1615" spans="8:8" x14ac:dyDescent="0.25">
      <c r="H1615" t="s">
        <v>3555</v>
      </c>
    </row>
    <row r="1616" spans="8:8" x14ac:dyDescent="0.25">
      <c r="H1616" t="s">
        <v>30</v>
      </c>
    </row>
    <row r="1618" spans="8:8" x14ac:dyDescent="0.25">
      <c r="H1618" t="s">
        <v>1987</v>
      </c>
    </row>
    <row r="1619" spans="8:8" x14ac:dyDescent="0.25">
      <c r="H1619" t="s">
        <v>2197</v>
      </c>
    </row>
    <row r="1620" spans="8:8" x14ac:dyDescent="0.25">
      <c r="H1620" t="s">
        <v>135</v>
      </c>
    </row>
    <row r="1621" spans="8:8" x14ac:dyDescent="0.25">
      <c r="H1621" t="s">
        <v>3556</v>
      </c>
    </row>
    <row r="1622" spans="8:8" x14ac:dyDescent="0.25">
      <c r="H1622" t="s">
        <v>30</v>
      </c>
    </row>
    <row r="1623" spans="8:8" x14ac:dyDescent="0.25">
      <c r="H1623" t="s">
        <v>136</v>
      </c>
    </row>
    <row r="1624" spans="8:8" x14ac:dyDescent="0.25">
      <c r="H1624" t="s">
        <v>3557</v>
      </c>
    </row>
    <row r="1625" spans="8:8" x14ac:dyDescent="0.25">
      <c r="H1625" t="s">
        <v>30</v>
      </c>
    </row>
    <row r="1626" spans="8:8" x14ac:dyDescent="0.25">
      <c r="H1626" t="s">
        <v>2441</v>
      </c>
    </row>
    <row r="1627" spans="8:8" x14ac:dyDescent="0.25">
      <c r="H1627" t="s">
        <v>137</v>
      </c>
    </row>
    <row r="1628" spans="8:8" x14ac:dyDescent="0.25">
      <c r="H1628" t="s">
        <v>4976</v>
      </c>
    </row>
    <row r="1629" spans="8:8" x14ac:dyDescent="0.25">
      <c r="H1629" t="s">
        <v>30</v>
      </c>
    </row>
    <row r="1631" spans="8:8" x14ac:dyDescent="0.25">
      <c r="H1631" t="s">
        <v>1990</v>
      </c>
    </row>
    <row r="1632" spans="8:8" x14ac:dyDescent="0.25">
      <c r="H1632" t="s">
        <v>2444</v>
      </c>
    </row>
    <row r="1633" spans="8:8" x14ac:dyDescent="0.25">
      <c r="H1633" t="s">
        <v>135</v>
      </c>
    </row>
    <row r="1634" spans="8:8" x14ac:dyDescent="0.25">
      <c r="H1634" t="s">
        <v>3583</v>
      </c>
    </row>
    <row r="1635" spans="8:8" x14ac:dyDescent="0.25">
      <c r="H1635" t="s">
        <v>30</v>
      </c>
    </row>
    <row r="1637" spans="8:8" x14ac:dyDescent="0.25">
      <c r="H1637" t="s">
        <v>1993</v>
      </c>
    </row>
    <row r="1638" spans="8:8" x14ac:dyDescent="0.25">
      <c r="H1638" t="s">
        <v>2447</v>
      </c>
    </row>
    <row r="1639" spans="8:8" x14ac:dyDescent="0.25">
      <c r="H1639" t="s">
        <v>135</v>
      </c>
    </row>
    <row r="1640" spans="8:8" x14ac:dyDescent="0.25">
      <c r="H1640" t="s">
        <v>3584</v>
      </c>
    </row>
    <row r="1641" spans="8:8" x14ac:dyDescent="0.25">
      <c r="H1641" t="s">
        <v>30</v>
      </c>
    </row>
    <row r="1643" spans="8:8" x14ac:dyDescent="0.25">
      <c r="H1643" t="s">
        <v>1996</v>
      </c>
    </row>
    <row r="1644" spans="8:8" x14ac:dyDescent="0.25">
      <c r="H1644" t="s">
        <v>2450</v>
      </c>
    </row>
    <row r="1645" spans="8:8" x14ac:dyDescent="0.25">
      <c r="H1645" t="s">
        <v>135</v>
      </c>
    </row>
    <row r="1646" spans="8:8" x14ac:dyDescent="0.25">
      <c r="H1646" t="s">
        <v>3585</v>
      </c>
    </row>
    <row r="1647" spans="8:8" x14ac:dyDescent="0.25">
      <c r="H1647" t="s">
        <v>30</v>
      </c>
    </row>
    <row r="1649" spans="8:8" x14ac:dyDescent="0.25">
      <c r="H1649" t="s">
        <v>1999</v>
      </c>
    </row>
    <row r="1650" spans="8:8" x14ac:dyDescent="0.25">
      <c r="H1650" t="s">
        <v>2453</v>
      </c>
    </row>
    <row r="1651" spans="8:8" x14ac:dyDescent="0.25">
      <c r="H1651" t="s">
        <v>135</v>
      </c>
    </row>
    <row r="1652" spans="8:8" x14ac:dyDescent="0.25">
      <c r="H1652" t="s">
        <v>3586</v>
      </c>
    </row>
    <row r="1653" spans="8:8" x14ac:dyDescent="0.25">
      <c r="H1653" t="s">
        <v>30</v>
      </c>
    </row>
    <row r="1655" spans="8:8" x14ac:dyDescent="0.25">
      <c r="H1655" t="s">
        <v>2002</v>
      </c>
    </row>
    <row r="1656" spans="8:8" x14ac:dyDescent="0.25">
      <c r="H1656" t="s">
        <v>2456</v>
      </c>
    </row>
    <row r="1657" spans="8:8" x14ac:dyDescent="0.25">
      <c r="H1657" t="s">
        <v>135</v>
      </c>
    </row>
    <row r="1658" spans="8:8" x14ac:dyDescent="0.25">
      <c r="H1658" t="s">
        <v>3587</v>
      </c>
    </row>
    <row r="1659" spans="8:8" x14ac:dyDescent="0.25">
      <c r="H1659" t="s">
        <v>30</v>
      </c>
    </row>
    <row r="1661" spans="8:8" x14ac:dyDescent="0.25">
      <c r="H1661" t="s">
        <v>2005</v>
      </c>
    </row>
    <row r="1662" spans="8:8" x14ac:dyDescent="0.25">
      <c r="H1662" t="s">
        <v>2459</v>
      </c>
    </row>
    <row r="1663" spans="8:8" x14ac:dyDescent="0.25">
      <c r="H1663" t="s">
        <v>135</v>
      </c>
    </row>
    <row r="1664" spans="8:8" x14ac:dyDescent="0.25">
      <c r="H1664" t="s">
        <v>3588</v>
      </c>
    </row>
    <row r="1665" spans="8:8" x14ac:dyDescent="0.25">
      <c r="H1665" t="s">
        <v>30</v>
      </c>
    </row>
    <row r="1667" spans="8:8" x14ac:dyDescent="0.25">
      <c r="H1667" t="s">
        <v>2008</v>
      </c>
    </row>
    <row r="1668" spans="8:8" x14ac:dyDescent="0.25">
      <c r="H1668" t="s">
        <v>2462</v>
      </c>
    </row>
    <row r="1669" spans="8:8" x14ac:dyDescent="0.25">
      <c r="H1669" t="s">
        <v>135</v>
      </c>
    </row>
    <row r="1670" spans="8:8" x14ac:dyDescent="0.25">
      <c r="H1670" t="s">
        <v>3589</v>
      </c>
    </row>
    <row r="1671" spans="8:8" x14ac:dyDescent="0.25">
      <c r="H1671" t="s">
        <v>30</v>
      </c>
    </row>
    <row r="1673" spans="8:8" x14ac:dyDescent="0.25">
      <c r="H1673" t="s">
        <v>2011</v>
      </c>
    </row>
    <row r="1674" spans="8:8" x14ac:dyDescent="0.25">
      <c r="H1674" t="s">
        <v>2465</v>
      </c>
    </row>
    <row r="1675" spans="8:8" x14ac:dyDescent="0.25">
      <c r="H1675" t="s">
        <v>135</v>
      </c>
    </row>
    <row r="1676" spans="8:8" x14ac:dyDescent="0.25">
      <c r="H1676" t="s">
        <v>3590</v>
      </c>
    </row>
    <row r="1677" spans="8:8" x14ac:dyDescent="0.25">
      <c r="H1677" t="s">
        <v>30</v>
      </c>
    </row>
    <row r="1679" spans="8:8" x14ac:dyDescent="0.25">
      <c r="H1679" t="s">
        <v>2014</v>
      </c>
    </row>
    <row r="1680" spans="8:8" x14ac:dyDescent="0.25">
      <c r="H1680" t="s">
        <v>2468</v>
      </c>
    </row>
    <row r="1681" spans="8:8" x14ac:dyDescent="0.25">
      <c r="H1681" t="s">
        <v>135</v>
      </c>
    </row>
    <row r="1682" spans="8:8" x14ac:dyDescent="0.25">
      <c r="H1682" t="s">
        <v>3591</v>
      </c>
    </row>
    <row r="1683" spans="8:8" x14ac:dyDescent="0.25">
      <c r="H1683" t="s">
        <v>30</v>
      </c>
    </row>
    <row r="1685" spans="8:8" x14ac:dyDescent="0.25">
      <c r="H1685" t="s">
        <v>2017</v>
      </c>
    </row>
    <row r="1686" spans="8:8" x14ac:dyDescent="0.25">
      <c r="H1686" t="s">
        <v>2471</v>
      </c>
    </row>
    <row r="1687" spans="8:8" x14ac:dyDescent="0.25">
      <c r="H1687" t="s">
        <v>135</v>
      </c>
    </row>
    <row r="1688" spans="8:8" x14ac:dyDescent="0.25">
      <c r="H1688" t="s">
        <v>3592</v>
      </c>
    </row>
    <row r="1689" spans="8:8" x14ac:dyDescent="0.25">
      <c r="H1689" t="s">
        <v>30</v>
      </c>
    </row>
    <row r="1691" spans="8:8" x14ac:dyDescent="0.25">
      <c r="H1691" t="s">
        <v>2020</v>
      </c>
    </row>
    <row r="1692" spans="8:8" x14ac:dyDescent="0.25">
      <c r="H1692" t="s">
        <v>2474</v>
      </c>
    </row>
    <row r="1693" spans="8:8" x14ac:dyDescent="0.25">
      <c r="H1693" t="s">
        <v>135</v>
      </c>
    </row>
    <row r="1694" spans="8:8" x14ac:dyDescent="0.25">
      <c r="H1694" t="s">
        <v>3593</v>
      </c>
    </row>
    <row r="1695" spans="8:8" x14ac:dyDescent="0.25">
      <c r="H1695" t="s">
        <v>30</v>
      </c>
    </row>
    <row r="1697" spans="8:8" x14ac:dyDescent="0.25">
      <c r="H1697" t="s">
        <v>2023</v>
      </c>
    </row>
    <row r="1698" spans="8:8" x14ac:dyDescent="0.25">
      <c r="H1698" t="s">
        <v>2477</v>
      </c>
    </row>
    <row r="1699" spans="8:8" x14ac:dyDescent="0.25">
      <c r="H1699" t="s">
        <v>135</v>
      </c>
    </row>
    <row r="1700" spans="8:8" x14ac:dyDescent="0.25">
      <c r="H1700" t="s">
        <v>3594</v>
      </c>
    </row>
    <row r="1701" spans="8:8" x14ac:dyDescent="0.25">
      <c r="H1701" t="s">
        <v>30</v>
      </c>
    </row>
    <row r="1703" spans="8:8" x14ac:dyDescent="0.25">
      <c r="H1703" t="s">
        <v>2026</v>
      </c>
    </row>
    <row r="1704" spans="8:8" x14ac:dyDescent="0.25">
      <c r="H1704" t="s">
        <v>2480</v>
      </c>
    </row>
    <row r="1705" spans="8:8" x14ac:dyDescent="0.25">
      <c r="H1705" t="s">
        <v>135</v>
      </c>
    </row>
    <row r="1706" spans="8:8" x14ac:dyDescent="0.25">
      <c r="H1706" t="s">
        <v>3595</v>
      </c>
    </row>
    <row r="1707" spans="8:8" x14ac:dyDescent="0.25">
      <c r="H1707" t="s">
        <v>30</v>
      </c>
    </row>
    <row r="1709" spans="8:8" x14ac:dyDescent="0.25">
      <c r="H1709" t="s">
        <v>2029</v>
      </c>
    </row>
    <row r="1710" spans="8:8" x14ac:dyDescent="0.25">
      <c r="H1710" t="s">
        <v>2483</v>
      </c>
    </row>
    <row r="1711" spans="8:8" x14ac:dyDescent="0.25">
      <c r="H1711" t="s">
        <v>135</v>
      </c>
    </row>
    <row r="1712" spans="8:8" x14ac:dyDescent="0.25">
      <c r="H1712" t="s">
        <v>3596</v>
      </c>
    </row>
    <row r="1713" spans="8:8" x14ac:dyDescent="0.25">
      <c r="H1713" t="s">
        <v>30</v>
      </c>
    </row>
    <row r="1715" spans="8:8" x14ac:dyDescent="0.25">
      <c r="H1715" t="s">
        <v>2032</v>
      </c>
    </row>
    <row r="1716" spans="8:8" x14ac:dyDescent="0.25">
      <c r="H1716" t="s">
        <v>2486</v>
      </c>
    </row>
    <row r="1717" spans="8:8" x14ac:dyDescent="0.25">
      <c r="H1717" t="s">
        <v>135</v>
      </c>
    </row>
    <row r="1718" spans="8:8" x14ac:dyDescent="0.25">
      <c r="H1718" t="s">
        <v>3597</v>
      </c>
    </row>
    <row r="1719" spans="8:8" x14ac:dyDescent="0.25">
      <c r="H1719" t="s">
        <v>30</v>
      </c>
    </row>
    <row r="1720" spans="8:8" x14ac:dyDescent="0.25">
      <c r="H1720" t="s">
        <v>136</v>
      </c>
    </row>
    <row r="1721" spans="8:8" x14ac:dyDescent="0.25">
      <c r="H1721" t="s">
        <v>3598</v>
      </c>
    </row>
    <row r="1722" spans="8:8" x14ac:dyDescent="0.25">
      <c r="H1722" t="s">
        <v>30</v>
      </c>
    </row>
    <row r="1723" spans="8:8" x14ac:dyDescent="0.25">
      <c r="H1723" t="s">
        <v>137</v>
      </c>
    </row>
    <row r="1724" spans="8:8" x14ac:dyDescent="0.25">
      <c r="H1724" t="s">
        <v>3599</v>
      </c>
    </row>
    <row r="1725" spans="8:8" x14ac:dyDescent="0.25">
      <c r="H1725" t="s">
        <v>30</v>
      </c>
    </row>
    <row r="1726" spans="8:8" x14ac:dyDescent="0.25">
      <c r="H1726" t="s">
        <v>138</v>
      </c>
    </row>
    <row r="1727" spans="8:8" x14ac:dyDescent="0.25">
      <c r="H1727" t="s">
        <v>3600</v>
      </c>
    </row>
    <row r="1728" spans="8:8" x14ac:dyDescent="0.25">
      <c r="H1728" t="s">
        <v>30</v>
      </c>
    </row>
    <row r="1730" spans="8:8" x14ac:dyDescent="0.25">
      <c r="H1730" t="s">
        <v>2035</v>
      </c>
    </row>
    <row r="1731" spans="8:8" x14ac:dyDescent="0.25">
      <c r="H1731" t="s">
        <v>2492</v>
      </c>
    </row>
    <row r="1732" spans="8:8" x14ac:dyDescent="0.25">
      <c r="H1732" t="s">
        <v>135</v>
      </c>
    </row>
    <row r="1733" spans="8:8" x14ac:dyDescent="0.25">
      <c r="H1733" t="s">
        <v>3601</v>
      </c>
    </row>
    <row r="1734" spans="8:8" x14ac:dyDescent="0.25">
      <c r="H1734" t="s">
        <v>30</v>
      </c>
    </row>
    <row r="1735" spans="8:8" x14ac:dyDescent="0.25">
      <c r="H1735" t="s">
        <v>136</v>
      </c>
    </row>
    <row r="1736" spans="8:8" x14ac:dyDescent="0.25">
      <c r="H1736" t="s">
        <v>3602</v>
      </c>
    </row>
    <row r="1737" spans="8:8" x14ac:dyDescent="0.25">
      <c r="H1737" t="s">
        <v>30</v>
      </c>
    </row>
    <row r="1738" spans="8:8" x14ac:dyDescent="0.25">
      <c r="H1738" t="s">
        <v>137</v>
      </c>
    </row>
    <row r="1739" spans="8:8" x14ac:dyDescent="0.25">
      <c r="H1739" t="s">
        <v>3603</v>
      </c>
    </row>
    <row r="1740" spans="8:8" x14ac:dyDescent="0.25">
      <c r="H1740" t="s">
        <v>30</v>
      </c>
    </row>
    <row r="1741" spans="8:8" x14ac:dyDescent="0.25">
      <c r="H1741" t="s">
        <v>138</v>
      </c>
    </row>
    <row r="1742" spans="8:8" x14ac:dyDescent="0.25">
      <c r="H1742" t="s">
        <v>3604</v>
      </c>
    </row>
    <row r="1743" spans="8:8" x14ac:dyDescent="0.25">
      <c r="H1743" t="s">
        <v>30</v>
      </c>
    </row>
    <row r="1745" spans="8:8" x14ac:dyDescent="0.25">
      <c r="H1745" t="s">
        <v>2038</v>
      </c>
    </row>
    <row r="1746" spans="8:8" x14ac:dyDescent="0.25">
      <c r="H1746" t="s">
        <v>2498</v>
      </c>
    </row>
    <row r="1747" spans="8:8" x14ac:dyDescent="0.25">
      <c r="H1747" t="s">
        <v>135</v>
      </c>
    </row>
    <row r="1748" spans="8:8" x14ac:dyDescent="0.25">
      <c r="H1748" t="s">
        <v>4946</v>
      </c>
    </row>
    <row r="1749" spans="8:8" x14ac:dyDescent="0.25">
      <c r="H1749" t="s">
        <v>30</v>
      </c>
    </row>
    <row r="1751" spans="8:8" x14ac:dyDescent="0.25">
      <c r="H1751" t="s">
        <v>2041</v>
      </c>
    </row>
    <row r="1752" spans="8:8" x14ac:dyDescent="0.25">
      <c r="H1752" t="s">
        <v>2500</v>
      </c>
    </row>
    <row r="1753" spans="8:8" x14ac:dyDescent="0.25">
      <c r="H1753" t="s">
        <v>135</v>
      </c>
    </row>
    <row r="1754" spans="8:8" x14ac:dyDescent="0.25">
      <c r="H1754" t="s">
        <v>3605</v>
      </c>
    </row>
    <row r="1755" spans="8:8" x14ac:dyDescent="0.25">
      <c r="H1755" t="s">
        <v>30</v>
      </c>
    </row>
    <row r="1757" spans="8:8" x14ac:dyDescent="0.25">
      <c r="H1757" t="s">
        <v>2050</v>
      </c>
    </row>
    <row r="1758" spans="8:8" x14ac:dyDescent="0.25">
      <c r="H1758" t="s">
        <v>2503</v>
      </c>
    </row>
    <row r="1759" spans="8:8" x14ac:dyDescent="0.25">
      <c r="H1759" t="s">
        <v>135</v>
      </c>
    </row>
    <row r="1760" spans="8:8" x14ac:dyDescent="0.25">
      <c r="H1760" t="s">
        <v>3606</v>
      </c>
    </row>
    <row r="1761" spans="8:8" x14ac:dyDescent="0.25">
      <c r="H1761" t="s">
        <v>30</v>
      </c>
    </row>
    <row r="1763" spans="8:8" x14ac:dyDescent="0.25">
      <c r="H1763" t="s">
        <v>2059</v>
      </c>
    </row>
    <row r="1764" spans="8:8" x14ac:dyDescent="0.25">
      <c r="H1764" t="s">
        <v>2506</v>
      </c>
    </row>
    <row r="1765" spans="8:8" x14ac:dyDescent="0.25">
      <c r="H1765" t="s">
        <v>135</v>
      </c>
    </row>
    <row r="1766" spans="8:8" x14ac:dyDescent="0.25">
      <c r="H1766" t="s">
        <v>3607</v>
      </c>
    </row>
    <row r="1767" spans="8:8" x14ac:dyDescent="0.25">
      <c r="H1767" t="s">
        <v>30</v>
      </c>
    </row>
    <row r="1769" spans="8:8" x14ac:dyDescent="0.25">
      <c r="H1769" t="s">
        <v>2068</v>
      </c>
    </row>
    <row r="1770" spans="8:8" x14ac:dyDescent="0.25">
      <c r="H1770" t="s">
        <v>2509</v>
      </c>
    </row>
    <row r="1771" spans="8:8" x14ac:dyDescent="0.25">
      <c r="H1771" t="s">
        <v>135</v>
      </c>
    </row>
    <row r="1772" spans="8:8" x14ac:dyDescent="0.25">
      <c r="H1772" t="s">
        <v>3608</v>
      </c>
    </row>
    <row r="1773" spans="8:8" x14ac:dyDescent="0.25">
      <c r="H1773" t="s">
        <v>30</v>
      </c>
    </row>
    <row r="1774" spans="8:8" x14ac:dyDescent="0.25">
      <c r="H1774" t="s">
        <v>136</v>
      </c>
    </row>
    <row r="1775" spans="8:8" x14ac:dyDescent="0.25">
      <c r="H1775" t="s">
        <v>3609</v>
      </c>
    </row>
    <row r="1776" spans="8:8" x14ac:dyDescent="0.25">
      <c r="H1776" t="s">
        <v>30</v>
      </c>
    </row>
    <row r="1777" spans="8:8" x14ac:dyDescent="0.25">
      <c r="H1777" t="s">
        <v>137</v>
      </c>
    </row>
    <row r="1778" spans="8:8" x14ac:dyDescent="0.25">
      <c r="H1778" t="s">
        <v>3610</v>
      </c>
    </row>
    <row r="1779" spans="8:8" x14ac:dyDescent="0.25">
      <c r="H1779" t="s">
        <v>30</v>
      </c>
    </row>
    <row r="1781" spans="8:8" x14ac:dyDescent="0.25">
      <c r="H1781" t="s">
        <v>2075</v>
      </c>
    </row>
    <row r="1782" spans="8:8" x14ac:dyDescent="0.25">
      <c r="H1782" t="s">
        <v>2514</v>
      </c>
    </row>
    <row r="1783" spans="8:8" x14ac:dyDescent="0.25">
      <c r="H1783" t="s">
        <v>135</v>
      </c>
    </row>
    <row r="1784" spans="8:8" x14ac:dyDescent="0.25">
      <c r="H1784" t="s">
        <v>4947</v>
      </c>
    </row>
    <row r="1785" spans="8:8" x14ac:dyDescent="0.25">
      <c r="H1785" t="s">
        <v>30</v>
      </c>
    </row>
    <row r="1787" spans="8:8" x14ac:dyDescent="0.25">
      <c r="H1787" t="s">
        <v>2078</v>
      </c>
    </row>
    <row r="1788" spans="8:8" x14ac:dyDescent="0.25">
      <c r="H1788" t="s">
        <v>2516</v>
      </c>
    </row>
    <row r="1789" spans="8:8" x14ac:dyDescent="0.25">
      <c r="H1789" t="s">
        <v>135</v>
      </c>
    </row>
    <row r="1790" spans="8:8" x14ac:dyDescent="0.25">
      <c r="H1790" t="s">
        <v>3611</v>
      </c>
    </row>
    <row r="1791" spans="8:8" x14ac:dyDescent="0.25">
      <c r="H1791" t="s">
        <v>30</v>
      </c>
    </row>
    <row r="1793" spans="8:8" x14ac:dyDescent="0.25">
      <c r="H1793" t="s">
        <v>2081</v>
      </c>
    </row>
    <row r="1794" spans="8:8" x14ac:dyDescent="0.25">
      <c r="H1794" t="s">
        <v>2519</v>
      </c>
    </row>
    <row r="1795" spans="8:8" x14ac:dyDescent="0.25">
      <c r="H1795" t="s">
        <v>135</v>
      </c>
    </row>
    <row r="1796" spans="8:8" x14ac:dyDescent="0.25">
      <c r="H1796" t="s">
        <v>3612</v>
      </c>
    </row>
    <row r="1797" spans="8:8" x14ac:dyDescent="0.25">
      <c r="H1797" t="s">
        <v>30</v>
      </c>
    </row>
    <row r="1799" spans="8:8" x14ac:dyDescent="0.25">
      <c r="H1799" t="s">
        <v>2085</v>
      </c>
    </row>
    <row r="1800" spans="8:8" x14ac:dyDescent="0.25">
      <c r="H1800" t="s">
        <v>2522</v>
      </c>
    </row>
    <row r="1801" spans="8:8" x14ac:dyDescent="0.25">
      <c r="H1801" t="s">
        <v>135</v>
      </c>
    </row>
    <row r="1802" spans="8:8" x14ac:dyDescent="0.25">
      <c r="H1802" t="s">
        <v>3613</v>
      </c>
    </row>
    <row r="1803" spans="8:8" x14ac:dyDescent="0.25">
      <c r="H1803" t="s">
        <v>30</v>
      </c>
    </row>
    <row r="1805" spans="8:8" x14ac:dyDescent="0.25">
      <c r="H1805" t="s">
        <v>2088</v>
      </c>
    </row>
    <row r="1806" spans="8:8" x14ac:dyDescent="0.25">
      <c r="H1806" t="s">
        <v>2525</v>
      </c>
    </row>
    <row r="1807" spans="8:8" x14ac:dyDescent="0.25">
      <c r="H1807" t="s">
        <v>135</v>
      </c>
    </row>
    <row r="1808" spans="8:8" x14ac:dyDescent="0.25">
      <c r="H1808" t="s">
        <v>3614</v>
      </c>
    </row>
    <row r="1809" spans="8:8" x14ac:dyDescent="0.25">
      <c r="H1809" t="s">
        <v>30</v>
      </c>
    </row>
    <row r="1810" spans="8:8" x14ac:dyDescent="0.25">
      <c r="H1810" t="s">
        <v>136</v>
      </c>
    </row>
    <row r="1811" spans="8:8" x14ac:dyDescent="0.25">
      <c r="H1811" t="s">
        <v>3615</v>
      </c>
    </row>
    <row r="1812" spans="8:8" x14ac:dyDescent="0.25">
      <c r="H1812" t="s">
        <v>30</v>
      </c>
    </row>
    <row r="1813" spans="8:8" x14ac:dyDescent="0.25">
      <c r="H1813" t="s">
        <v>137</v>
      </c>
    </row>
    <row r="1814" spans="8:8" x14ac:dyDescent="0.25">
      <c r="H1814" t="s">
        <v>3616</v>
      </c>
    </row>
    <row r="1815" spans="8:8" x14ac:dyDescent="0.25">
      <c r="H1815" t="s">
        <v>30</v>
      </c>
    </row>
    <row r="1817" spans="8:8" x14ac:dyDescent="0.25">
      <c r="H1817" t="s">
        <v>2091</v>
      </c>
    </row>
    <row r="1818" spans="8:8" x14ac:dyDescent="0.25">
      <c r="H1818" t="s">
        <v>2530</v>
      </c>
    </row>
    <row r="1819" spans="8:8" x14ac:dyDescent="0.25">
      <c r="H1819" t="s">
        <v>135</v>
      </c>
    </row>
    <row r="1820" spans="8:8" x14ac:dyDescent="0.25">
      <c r="H1820" t="s">
        <v>4948</v>
      </c>
    </row>
    <row r="1821" spans="8:8" x14ac:dyDescent="0.25">
      <c r="H1821" t="s">
        <v>30</v>
      </c>
    </row>
    <row r="1823" spans="8:8" x14ac:dyDescent="0.25">
      <c r="H1823" t="s">
        <v>2098</v>
      </c>
    </row>
    <row r="1824" spans="8:8" x14ac:dyDescent="0.25">
      <c r="H1824" t="s">
        <v>2532</v>
      </c>
    </row>
    <row r="1825" spans="8:8" x14ac:dyDescent="0.25">
      <c r="H1825" t="s">
        <v>135</v>
      </c>
    </row>
    <row r="1826" spans="8:8" x14ac:dyDescent="0.25">
      <c r="H1826" t="s">
        <v>3617</v>
      </c>
    </row>
    <row r="1827" spans="8:8" x14ac:dyDescent="0.25">
      <c r="H1827" t="s">
        <v>30</v>
      </c>
    </row>
    <row r="1829" spans="8:8" x14ac:dyDescent="0.25">
      <c r="H1829" t="s">
        <v>2104</v>
      </c>
    </row>
    <row r="1830" spans="8:8" x14ac:dyDescent="0.25">
      <c r="H1830" t="s">
        <v>2535</v>
      </c>
    </row>
    <row r="1831" spans="8:8" x14ac:dyDescent="0.25">
      <c r="H1831" t="s">
        <v>135</v>
      </c>
    </row>
    <row r="1832" spans="8:8" x14ac:dyDescent="0.25">
      <c r="H1832" t="s">
        <v>3618</v>
      </c>
    </row>
    <row r="1833" spans="8:8" x14ac:dyDescent="0.25">
      <c r="H1833" t="s">
        <v>30</v>
      </c>
    </row>
    <row r="1835" spans="8:8" x14ac:dyDescent="0.25">
      <c r="H1835" t="s">
        <v>2110</v>
      </c>
    </row>
    <row r="1836" spans="8:8" x14ac:dyDescent="0.25">
      <c r="H1836" t="s">
        <v>2538</v>
      </c>
    </row>
    <row r="1837" spans="8:8" x14ac:dyDescent="0.25">
      <c r="H1837" t="s">
        <v>135</v>
      </c>
    </row>
    <row r="1838" spans="8:8" x14ac:dyDescent="0.25">
      <c r="H1838" t="s">
        <v>3619</v>
      </c>
    </row>
    <row r="1839" spans="8:8" x14ac:dyDescent="0.25">
      <c r="H1839" t="s">
        <v>30</v>
      </c>
    </row>
    <row r="1841" spans="8:8" x14ac:dyDescent="0.25">
      <c r="H1841" t="s">
        <v>2116</v>
      </c>
    </row>
    <row r="1842" spans="8:8" x14ac:dyDescent="0.25">
      <c r="H1842" t="s">
        <v>2541</v>
      </c>
    </row>
    <row r="1843" spans="8:8" x14ac:dyDescent="0.25">
      <c r="H1843" t="s">
        <v>135</v>
      </c>
    </row>
    <row r="1844" spans="8:8" x14ac:dyDescent="0.25">
      <c r="H1844" t="s">
        <v>3620</v>
      </c>
    </row>
    <row r="1845" spans="8:8" x14ac:dyDescent="0.25">
      <c r="H1845" t="s">
        <v>30</v>
      </c>
    </row>
    <row r="1846" spans="8:8" x14ac:dyDescent="0.25">
      <c r="H1846" t="s">
        <v>136</v>
      </c>
    </row>
    <row r="1847" spans="8:8" x14ac:dyDescent="0.25">
      <c r="H1847" t="s">
        <v>3621</v>
      </c>
    </row>
    <row r="1848" spans="8:8" x14ac:dyDescent="0.25">
      <c r="H1848" t="s">
        <v>30</v>
      </c>
    </row>
    <row r="1849" spans="8:8" x14ac:dyDescent="0.25">
      <c r="H1849" t="s">
        <v>137</v>
      </c>
    </row>
    <row r="1850" spans="8:8" x14ac:dyDescent="0.25">
      <c r="H1850" t="s">
        <v>3622</v>
      </c>
    </row>
    <row r="1851" spans="8:8" x14ac:dyDescent="0.25">
      <c r="H1851" t="s">
        <v>30</v>
      </c>
    </row>
    <row r="1853" spans="8:8" x14ac:dyDescent="0.25">
      <c r="H1853" t="s">
        <v>2119</v>
      </c>
    </row>
    <row r="1854" spans="8:8" x14ac:dyDescent="0.25">
      <c r="H1854" t="s">
        <v>2546</v>
      </c>
    </row>
    <row r="1855" spans="8:8" x14ac:dyDescent="0.25">
      <c r="H1855" t="s">
        <v>135</v>
      </c>
    </row>
    <row r="1856" spans="8:8" x14ac:dyDescent="0.25">
      <c r="H1856" t="s">
        <v>4949</v>
      </c>
    </row>
    <row r="1857" spans="8:8" x14ac:dyDescent="0.25">
      <c r="H1857" t="s">
        <v>30</v>
      </c>
    </row>
    <row r="1859" spans="8:8" x14ac:dyDescent="0.25">
      <c r="H1859" t="s">
        <v>2122</v>
      </c>
    </row>
    <row r="1860" spans="8:8" x14ac:dyDescent="0.25">
      <c r="H1860" t="s">
        <v>2548</v>
      </c>
    </row>
    <row r="1861" spans="8:8" x14ac:dyDescent="0.25">
      <c r="H1861" t="s">
        <v>135</v>
      </c>
    </row>
    <row r="1862" spans="8:8" x14ac:dyDescent="0.25">
      <c r="H1862" t="s">
        <v>3623</v>
      </c>
    </row>
    <row r="1863" spans="8:8" x14ac:dyDescent="0.25">
      <c r="H1863" t="s">
        <v>30</v>
      </c>
    </row>
    <row r="1865" spans="8:8" x14ac:dyDescent="0.25">
      <c r="H1865" t="s">
        <v>2126</v>
      </c>
    </row>
    <row r="1866" spans="8:8" x14ac:dyDescent="0.25">
      <c r="H1866" t="s">
        <v>2551</v>
      </c>
    </row>
    <row r="1867" spans="8:8" x14ac:dyDescent="0.25">
      <c r="H1867" t="s">
        <v>135</v>
      </c>
    </row>
    <row r="1868" spans="8:8" x14ac:dyDescent="0.25">
      <c r="H1868" t="s">
        <v>3624</v>
      </c>
    </row>
    <row r="1869" spans="8:8" x14ac:dyDescent="0.25">
      <c r="H1869" t="s">
        <v>30</v>
      </c>
    </row>
    <row r="1871" spans="8:8" x14ac:dyDescent="0.25">
      <c r="H1871" t="s">
        <v>2129</v>
      </c>
    </row>
    <row r="1872" spans="8:8" x14ac:dyDescent="0.25">
      <c r="H1872" t="s">
        <v>2554</v>
      </c>
    </row>
    <row r="1873" spans="8:8" x14ac:dyDescent="0.25">
      <c r="H1873" t="s">
        <v>135</v>
      </c>
    </row>
    <row r="1874" spans="8:8" x14ac:dyDescent="0.25">
      <c r="H1874" t="s">
        <v>3625</v>
      </c>
    </row>
    <row r="1875" spans="8:8" x14ac:dyDescent="0.25">
      <c r="H1875" t="s">
        <v>30</v>
      </c>
    </row>
    <row r="1877" spans="8:8" x14ac:dyDescent="0.25">
      <c r="H1877" t="s">
        <v>2132</v>
      </c>
    </row>
    <row r="1878" spans="8:8" x14ac:dyDescent="0.25">
      <c r="H1878" t="s">
        <v>2557</v>
      </c>
    </row>
    <row r="1879" spans="8:8" x14ac:dyDescent="0.25">
      <c r="H1879" t="s">
        <v>135</v>
      </c>
    </row>
    <row r="1880" spans="8:8" x14ac:dyDescent="0.25">
      <c r="H1880" t="s">
        <v>3626</v>
      </c>
    </row>
    <row r="1881" spans="8:8" x14ac:dyDescent="0.25">
      <c r="H1881" t="s">
        <v>30</v>
      </c>
    </row>
    <row r="1882" spans="8:8" x14ac:dyDescent="0.25">
      <c r="H1882" t="s">
        <v>136</v>
      </c>
    </row>
    <row r="1883" spans="8:8" x14ac:dyDescent="0.25">
      <c r="H1883" t="s">
        <v>3627</v>
      </c>
    </row>
    <row r="1884" spans="8:8" x14ac:dyDescent="0.25">
      <c r="H1884" t="s">
        <v>30</v>
      </c>
    </row>
    <row r="1885" spans="8:8" x14ac:dyDescent="0.25">
      <c r="H1885" t="s">
        <v>137</v>
      </c>
    </row>
    <row r="1886" spans="8:8" x14ac:dyDescent="0.25">
      <c r="H1886" t="s">
        <v>3628</v>
      </c>
    </row>
    <row r="1887" spans="8:8" x14ac:dyDescent="0.25">
      <c r="H1887" t="s">
        <v>30</v>
      </c>
    </row>
    <row r="1889" spans="8:8" x14ac:dyDescent="0.25">
      <c r="H1889" t="s">
        <v>2136</v>
      </c>
    </row>
    <row r="1890" spans="8:8" x14ac:dyDescent="0.25">
      <c r="H1890" t="s">
        <v>2562</v>
      </c>
    </row>
    <row r="1891" spans="8:8" x14ac:dyDescent="0.25">
      <c r="H1891" t="s">
        <v>135</v>
      </c>
    </row>
    <row r="1892" spans="8:8" x14ac:dyDescent="0.25">
      <c r="H1892" t="s">
        <v>4950</v>
      </c>
    </row>
    <row r="1893" spans="8:8" x14ac:dyDescent="0.25">
      <c r="H1893" t="s">
        <v>30</v>
      </c>
    </row>
    <row r="1895" spans="8:8" x14ac:dyDescent="0.25">
      <c r="H1895" t="s">
        <v>2139</v>
      </c>
    </row>
    <row r="1896" spans="8:8" x14ac:dyDescent="0.25">
      <c r="H1896" t="s">
        <v>2564</v>
      </c>
    </row>
    <row r="1897" spans="8:8" x14ac:dyDescent="0.25">
      <c r="H1897" t="s">
        <v>135</v>
      </c>
    </row>
    <row r="1898" spans="8:8" x14ac:dyDescent="0.25">
      <c r="H1898" t="s">
        <v>3629</v>
      </c>
    </row>
    <row r="1899" spans="8:8" x14ac:dyDescent="0.25">
      <c r="H1899" t="s">
        <v>30</v>
      </c>
    </row>
    <row r="1901" spans="8:8" x14ac:dyDescent="0.25">
      <c r="H1901" t="s">
        <v>2142</v>
      </c>
    </row>
    <row r="1902" spans="8:8" x14ac:dyDescent="0.25">
      <c r="H1902" t="s">
        <v>2567</v>
      </c>
    </row>
    <row r="1903" spans="8:8" x14ac:dyDescent="0.25">
      <c r="H1903" t="s">
        <v>135</v>
      </c>
    </row>
    <row r="1904" spans="8:8" x14ac:dyDescent="0.25">
      <c r="H1904" t="s">
        <v>3630</v>
      </c>
    </row>
    <row r="1905" spans="8:8" x14ac:dyDescent="0.25">
      <c r="H1905" t="s">
        <v>30</v>
      </c>
    </row>
    <row r="1907" spans="8:8" x14ac:dyDescent="0.25">
      <c r="H1907" t="s">
        <v>2146</v>
      </c>
    </row>
    <row r="1908" spans="8:8" x14ac:dyDescent="0.25">
      <c r="H1908" t="s">
        <v>2570</v>
      </c>
    </row>
    <row r="1909" spans="8:8" x14ac:dyDescent="0.25">
      <c r="H1909" t="s">
        <v>135</v>
      </c>
    </row>
    <row r="1910" spans="8:8" x14ac:dyDescent="0.25">
      <c r="H1910" t="s">
        <v>3631</v>
      </c>
    </row>
    <row r="1911" spans="8:8" x14ac:dyDescent="0.25">
      <c r="H1911" t="s">
        <v>30</v>
      </c>
    </row>
    <row r="1913" spans="8:8" x14ac:dyDescent="0.25">
      <c r="H1913" t="s">
        <v>2149</v>
      </c>
    </row>
    <row r="1914" spans="8:8" x14ac:dyDescent="0.25">
      <c r="H1914" t="s">
        <v>2573</v>
      </c>
    </row>
    <row r="1915" spans="8:8" x14ac:dyDescent="0.25">
      <c r="H1915" t="s">
        <v>135</v>
      </c>
    </row>
    <row r="1916" spans="8:8" x14ac:dyDescent="0.25">
      <c r="H1916" t="s">
        <v>3632</v>
      </c>
    </row>
    <row r="1917" spans="8:8" x14ac:dyDescent="0.25">
      <c r="H1917" t="s">
        <v>30</v>
      </c>
    </row>
    <row r="1918" spans="8:8" x14ac:dyDescent="0.25">
      <c r="H1918" t="s">
        <v>136</v>
      </c>
    </row>
    <row r="1919" spans="8:8" x14ac:dyDescent="0.25">
      <c r="H1919" t="s">
        <v>3633</v>
      </c>
    </row>
    <row r="1920" spans="8:8" x14ac:dyDescent="0.25">
      <c r="H1920" t="s">
        <v>30</v>
      </c>
    </row>
    <row r="1921" spans="8:8" x14ac:dyDescent="0.25">
      <c r="H1921" t="s">
        <v>137</v>
      </c>
    </row>
    <row r="1922" spans="8:8" x14ac:dyDescent="0.25">
      <c r="H1922" t="s">
        <v>3634</v>
      </c>
    </row>
    <row r="1923" spans="8:8" x14ac:dyDescent="0.25">
      <c r="H1923" t="s">
        <v>30</v>
      </c>
    </row>
    <row r="1925" spans="8:8" x14ac:dyDescent="0.25">
      <c r="H1925" t="s">
        <v>2152</v>
      </c>
    </row>
    <row r="1926" spans="8:8" x14ac:dyDescent="0.25">
      <c r="H1926" t="s">
        <v>2578</v>
      </c>
    </row>
    <row r="1927" spans="8:8" x14ac:dyDescent="0.25">
      <c r="H1927" t="s">
        <v>135</v>
      </c>
    </row>
    <row r="1928" spans="8:8" x14ac:dyDescent="0.25">
      <c r="H1928" t="s">
        <v>4951</v>
      </c>
    </row>
    <row r="1929" spans="8:8" x14ac:dyDescent="0.25">
      <c r="H1929" t="s">
        <v>30</v>
      </c>
    </row>
    <row r="1931" spans="8:8" x14ac:dyDescent="0.25">
      <c r="H1931" t="s">
        <v>2159</v>
      </c>
    </row>
    <row r="1932" spans="8:8" x14ac:dyDescent="0.25">
      <c r="H1932" t="s">
        <v>2580</v>
      </c>
    </row>
    <row r="1933" spans="8:8" x14ac:dyDescent="0.25">
      <c r="H1933" t="s">
        <v>135</v>
      </c>
    </row>
    <row r="1934" spans="8:8" x14ac:dyDescent="0.25">
      <c r="H1934" t="s">
        <v>3635</v>
      </c>
    </row>
    <row r="1935" spans="8:8" x14ac:dyDescent="0.25">
      <c r="H1935" t="s">
        <v>30</v>
      </c>
    </row>
    <row r="1937" spans="8:8" x14ac:dyDescent="0.25">
      <c r="H1937" t="s">
        <v>2163</v>
      </c>
    </row>
    <row r="1938" spans="8:8" x14ac:dyDescent="0.25">
      <c r="H1938" t="s">
        <v>2583</v>
      </c>
    </row>
    <row r="1939" spans="8:8" x14ac:dyDescent="0.25">
      <c r="H1939" t="s">
        <v>135</v>
      </c>
    </row>
    <row r="1940" spans="8:8" x14ac:dyDescent="0.25">
      <c r="H1940" t="s">
        <v>3636</v>
      </c>
    </row>
    <row r="1941" spans="8:8" x14ac:dyDescent="0.25">
      <c r="H1941" t="s">
        <v>30</v>
      </c>
    </row>
    <row r="1943" spans="8:8" x14ac:dyDescent="0.25">
      <c r="H1943" t="s">
        <v>2166</v>
      </c>
    </row>
    <row r="1944" spans="8:8" x14ac:dyDescent="0.25">
      <c r="H1944" t="s">
        <v>2586</v>
      </c>
    </row>
    <row r="1945" spans="8:8" x14ac:dyDescent="0.25">
      <c r="H1945" t="s">
        <v>135</v>
      </c>
    </row>
    <row r="1946" spans="8:8" x14ac:dyDescent="0.25">
      <c r="H1946" t="s">
        <v>3637</v>
      </c>
    </row>
    <row r="1947" spans="8:8" x14ac:dyDescent="0.25">
      <c r="H1947" t="s">
        <v>30</v>
      </c>
    </row>
    <row r="1949" spans="8:8" x14ac:dyDescent="0.25">
      <c r="H1949" t="s">
        <v>2169</v>
      </c>
    </row>
    <row r="1950" spans="8:8" x14ac:dyDescent="0.25">
      <c r="H1950" t="s">
        <v>2589</v>
      </c>
    </row>
    <row r="1951" spans="8:8" x14ac:dyDescent="0.25">
      <c r="H1951" t="s">
        <v>135</v>
      </c>
    </row>
    <row r="1952" spans="8:8" x14ac:dyDescent="0.25">
      <c r="H1952" t="s">
        <v>3638</v>
      </c>
    </row>
    <row r="1953" spans="8:8" x14ac:dyDescent="0.25">
      <c r="H1953" t="s">
        <v>30</v>
      </c>
    </row>
    <row r="1954" spans="8:8" x14ac:dyDescent="0.25">
      <c r="H1954" t="s">
        <v>136</v>
      </c>
    </row>
    <row r="1955" spans="8:8" x14ac:dyDescent="0.25">
      <c r="H1955" t="s">
        <v>3639</v>
      </c>
    </row>
    <row r="1956" spans="8:8" x14ac:dyDescent="0.25">
      <c r="H1956" t="s">
        <v>30</v>
      </c>
    </row>
    <row r="1957" spans="8:8" x14ac:dyDescent="0.25">
      <c r="H1957" t="s">
        <v>137</v>
      </c>
    </row>
    <row r="1958" spans="8:8" x14ac:dyDescent="0.25">
      <c r="H1958" t="s">
        <v>3640</v>
      </c>
    </row>
    <row r="1959" spans="8:8" x14ac:dyDescent="0.25">
      <c r="H1959" t="s">
        <v>30</v>
      </c>
    </row>
    <row r="1961" spans="8:8" x14ac:dyDescent="0.25">
      <c r="H1961" t="s">
        <v>2175</v>
      </c>
    </row>
    <row r="1962" spans="8:8" x14ac:dyDescent="0.25">
      <c r="H1962" t="s">
        <v>2594</v>
      </c>
    </row>
    <row r="1963" spans="8:8" x14ac:dyDescent="0.25">
      <c r="H1963" t="s">
        <v>135</v>
      </c>
    </row>
    <row r="1964" spans="8:8" x14ac:dyDescent="0.25">
      <c r="H1964" t="s">
        <v>4952</v>
      </c>
    </row>
    <row r="1965" spans="8:8" x14ac:dyDescent="0.25">
      <c r="H1965" t="s">
        <v>30</v>
      </c>
    </row>
    <row r="1967" spans="8:8" x14ac:dyDescent="0.25">
      <c r="H1967" t="s">
        <v>2181</v>
      </c>
    </row>
    <row r="1968" spans="8:8" x14ac:dyDescent="0.25">
      <c r="H1968" t="s">
        <v>2596</v>
      </c>
    </row>
    <row r="1969" spans="8:8" x14ac:dyDescent="0.25">
      <c r="H1969" t="s">
        <v>135</v>
      </c>
    </row>
    <row r="1970" spans="8:8" x14ac:dyDescent="0.25">
      <c r="H1970" t="s">
        <v>3641</v>
      </c>
    </row>
    <row r="1971" spans="8:8" x14ac:dyDescent="0.25">
      <c r="H1971" t="s">
        <v>30</v>
      </c>
    </row>
    <row r="1973" spans="8:8" x14ac:dyDescent="0.25">
      <c r="H1973" t="s">
        <v>2187</v>
      </c>
    </row>
    <row r="1974" spans="8:8" x14ac:dyDescent="0.25">
      <c r="H1974" t="s">
        <v>2599</v>
      </c>
    </row>
    <row r="1975" spans="8:8" x14ac:dyDescent="0.25">
      <c r="H1975" t="s">
        <v>135</v>
      </c>
    </row>
    <row r="1976" spans="8:8" x14ac:dyDescent="0.25">
      <c r="H1976" t="s">
        <v>3642</v>
      </c>
    </row>
    <row r="1977" spans="8:8" x14ac:dyDescent="0.25">
      <c r="H1977" t="s">
        <v>30</v>
      </c>
    </row>
    <row r="1979" spans="8:8" x14ac:dyDescent="0.25">
      <c r="H1979" t="s">
        <v>2190</v>
      </c>
    </row>
    <row r="1980" spans="8:8" x14ac:dyDescent="0.25">
      <c r="H1980" t="s">
        <v>2602</v>
      </c>
    </row>
    <row r="1981" spans="8:8" x14ac:dyDescent="0.25">
      <c r="H1981" t="s">
        <v>135</v>
      </c>
    </row>
    <row r="1982" spans="8:8" x14ac:dyDescent="0.25">
      <c r="H1982" t="s">
        <v>3643</v>
      </c>
    </row>
    <row r="1983" spans="8:8" x14ac:dyDescent="0.25">
      <c r="H1983" t="s">
        <v>30</v>
      </c>
    </row>
    <row r="1985" spans="8:8" x14ac:dyDescent="0.25">
      <c r="H1985" t="s">
        <v>2193</v>
      </c>
    </row>
    <row r="1986" spans="8:8" x14ac:dyDescent="0.25">
      <c r="H1986" t="s">
        <v>2605</v>
      </c>
    </row>
    <row r="1987" spans="8:8" x14ac:dyDescent="0.25">
      <c r="H1987" t="s">
        <v>135</v>
      </c>
    </row>
    <row r="1988" spans="8:8" x14ac:dyDescent="0.25">
      <c r="H1988" t="s">
        <v>3644</v>
      </c>
    </row>
    <row r="1989" spans="8:8" x14ac:dyDescent="0.25">
      <c r="H1989" t="s">
        <v>30</v>
      </c>
    </row>
    <row r="1990" spans="8:8" x14ac:dyDescent="0.25">
      <c r="H1990" t="s">
        <v>136</v>
      </c>
    </row>
    <row r="1991" spans="8:8" x14ac:dyDescent="0.25">
      <c r="H1991" t="s">
        <v>3645</v>
      </c>
    </row>
    <row r="1992" spans="8:8" x14ac:dyDescent="0.25">
      <c r="H1992" t="s">
        <v>30</v>
      </c>
    </row>
    <row r="1993" spans="8:8" x14ac:dyDescent="0.25">
      <c r="H1993" t="s">
        <v>137</v>
      </c>
    </row>
    <row r="1994" spans="8:8" x14ac:dyDescent="0.25">
      <c r="H1994" t="s">
        <v>3646</v>
      </c>
    </row>
    <row r="1995" spans="8:8" x14ac:dyDescent="0.25">
      <c r="H1995" t="s">
        <v>30</v>
      </c>
    </row>
    <row r="1997" spans="8:8" x14ac:dyDescent="0.25">
      <c r="H1997" t="s">
        <v>2196</v>
      </c>
    </row>
    <row r="1998" spans="8:8" x14ac:dyDescent="0.25">
      <c r="H1998" t="s">
        <v>2610</v>
      </c>
    </row>
    <row r="1999" spans="8:8" x14ac:dyDescent="0.25">
      <c r="H1999" t="s">
        <v>135</v>
      </c>
    </row>
    <row r="2000" spans="8:8" x14ac:dyDescent="0.25">
      <c r="H2000" t="s">
        <v>4953</v>
      </c>
    </row>
    <row r="2001" spans="8:8" x14ac:dyDescent="0.25">
      <c r="H2001" t="s">
        <v>30</v>
      </c>
    </row>
    <row r="2003" spans="8:8" x14ac:dyDescent="0.25">
      <c r="H2003" t="s">
        <v>2200</v>
      </c>
    </row>
    <row r="2004" spans="8:8" x14ac:dyDescent="0.25">
      <c r="H2004" t="s">
        <v>2612</v>
      </c>
    </row>
    <row r="2005" spans="8:8" x14ac:dyDescent="0.25">
      <c r="H2005" t="s">
        <v>135</v>
      </c>
    </row>
    <row r="2006" spans="8:8" x14ac:dyDescent="0.25">
      <c r="H2006" t="s">
        <v>3647</v>
      </c>
    </row>
    <row r="2007" spans="8:8" x14ac:dyDescent="0.25">
      <c r="H2007" t="s">
        <v>30</v>
      </c>
    </row>
    <row r="2009" spans="8:8" x14ac:dyDescent="0.25">
      <c r="H2009" t="s">
        <v>2201</v>
      </c>
    </row>
    <row r="2010" spans="8:8" x14ac:dyDescent="0.25">
      <c r="H2010" t="s">
        <v>2615</v>
      </c>
    </row>
    <row r="2011" spans="8:8" x14ac:dyDescent="0.25">
      <c r="H2011" t="s">
        <v>135</v>
      </c>
    </row>
    <row r="2012" spans="8:8" x14ac:dyDescent="0.25">
      <c r="H2012" t="s">
        <v>3648</v>
      </c>
    </row>
    <row r="2013" spans="8:8" x14ac:dyDescent="0.25">
      <c r="H2013" t="s">
        <v>30</v>
      </c>
    </row>
    <row r="2015" spans="8:8" x14ac:dyDescent="0.25">
      <c r="H2015" t="s">
        <v>2202</v>
      </c>
    </row>
    <row r="2016" spans="8:8" x14ac:dyDescent="0.25">
      <c r="H2016" t="s">
        <v>2618</v>
      </c>
    </row>
    <row r="2017" spans="8:8" x14ac:dyDescent="0.25">
      <c r="H2017" t="s">
        <v>135</v>
      </c>
    </row>
    <row r="2018" spans="8:8" x14ac:dyDescent="0.25">
      <c r="H2018" t="s">
        <v>3649</v>
      </c>
    </row>
    <row r="2019" spans="8:8" x14ac:dyDescent="0.25">
      <c r="H2019" t="s">
        <v>30</v>
      </c>
    </row>
    <row r="2021" spans="8:8" x14ac:dyDescent="0.25">
      <c r="H2021" t="s">
        <v>2203</v>
      </c>
    </row>
    <row r="2022" spans="8:8" x14ac:dyDescent="0.25">
      <c r="H2022" t="s">
        <v>2621</v>
      </c>
    </row>
    <row r="2023" spans="8:8" x14ac:dyDescent="0.25">
      <c r="H2023" t="s">
        <v>135</v>
      </c>
    </row>
    <row r="2024" spans="8:8" x14ac:dyDescent="0.25">
      <c r="H2024" t="s">
        <v>3650</v>
      </c>
    </row>
    <row r="2025" spans="8:8" x14ac:dyDescent="0.25">
      <c r="H2025" t="s">
        <v>30</v>
      </c>
    </row>
    <row r="2026" spans="8:8" x14ac:dyDescent="0.25">
      <c r="H2026" t="s">
        <v>136</v>
      </c>
    </row>
    <row r="2027" spans="8:8" x14ac:dyDescent="0.25">
      <c r="H2027" t="s">
        <v>3651</v>
      </c>
    </row>
    <row r="2028" spans="8:8" x14ac:dyDescent="0.25">
      <c r="H2028" t="s">
        <v>30</v>
      </c>
    </row>
    <row r="2029" spans="8:8" x14ac:dyDescent="0.25">
      <c r="H2029" t="s">
        <v>137</v>
      </c>
    </row>
    <row r="2030" spans="8:8" x14ac:dyDescent="0.25">
      <c r="H2030" t="s">
        <v>3652</v>
      </c>
    </row>
    <row r="2031" spans="8:8" x14ac:dyDescent="0.25">
      <c r="H2031" t="s">
        <v>30</v>
      </c>
    </row>
    <row r="2033" spans="8:8" x14ac:dyDescent="0.25">
      <c r="H2033" t="s">
        <v>2204</v>
      </c>
    </row>
    <row r="2034" spans="8:8" x14ac:dyDescent="0.25">
      <c r="H2034" t="s">
        <v>2626</v>
      </c>
    </row>
    <row r="2035" spans="8:8" x14ac:dyDescent="0.25">
      <c r="H2035" t="s">
        <v>135</v>
      </c>
    </row>
    <row r="2036" spans="8:8" x14ac:dyDescent="0.25">
      <c r="H2036" t="s">
        <v>4954</v>
      </c>
    </row>
    <row r="2037" spans="8:8" x14ac:dyDescent="0.25">
      <c r="H2037" t="s">
        <v>30</v>
      </c>
    </row>
    <row r="2039" spans="8:8" x14ac:dyDescent="0.25">
      <c r="H2039" t="s">
        <v>2205</v>
      </c>
    </row>
    <row r="2040" spans="8:8" x14ac:dyDescent="0.25">
      <c r="H2040" t="s">
        <v>2628</v>
      </c>
    </row>
    <row r="2041" spans="8:8" x14ac:dyDescent="0.25">
      <c r="H2041" t="s">
        <v>135</v>
      </c>
    </row>
    <row r="2042" spans="8:8" x14ac:dyDescent="0.25">
      <c r="H2042" t="s">
        <v>3653</v>
      </c>
    </row>
    <row r="2043" spans="8:8" x14ac:dyDescent="0.25">
      <c r="H2043" t="s">
        <v>30</v>
      </c>
    </row>
    <row r="2045" spans="8:8" x14ac:dyDescent="0.25">
      <c r="H2045" t="s">
        <v>2206</v>
      </c>
    </row>
    <row r="2046" spans="8:8" x14ac:dyDescent="0.25">
      <c r="H2046" t="s">
        <v>2631</v>
      </c>
    </row>
    <row r="2047" spans="8:8" x14ac:dyDescent="0.25">
      <c r="H2047" t="s">
        <v>135</v>
      </c>
    </row>
    <row r="2048" spans="8:8" x14ac:dyDescent="0.25">
      <c r="H2048" t="s">
        <v>3654</v>
      </c>
    </row>
    <row r="2049" spans="8:8" x14ac:dyDescent="0.25">
      <c r="H2049" t="s">
        <v>30</v>
      </c>
    </row>
    <row r="2051" spans="8:8" x14ac:dyDescent="0.25">
      <c r="H2051" t="s">
        <v>2207</v>
      </c>
    </row>
    <row r="2052" spans="8:8" x14ac:dyDescent="0.25">
      <c r="H2052" t="s">
        <v>2634</v>
      </c>
    </row>
    <row r="2053" spans="8:8" x14ac:dyDescent="0.25">
      <c r="H2053" t="s">
        <v>135</v>
      </c>
    </row>
    <row r="2054" spans="8:8" x14ac:dyDescent="0.25">
      <c r="H2054" t="s">
        <v>3655</v>
      </c>
    </row>
    <row r="2055" spans="8:8" x14ac:dyDescent="0.25">
      <c r="H2055" t="s">
        <v>30</v>
      </c>
    </row>
    <row r="2057" spans="8:8" x14ac:dyDescent="0.25">
      <c r="H2057" t="s">
        <v>2208</v>
      </c>
    </row>
    <row r="2058" spans="8:8" x14ac:dyDescent="0.25">
      <c r="H2058" t="s">
        <v>2637</v>
      </c>
    </row>
    <row r="2059" spans="8:8" x14ac:dyDescent="0.25">
      <c r="H2059" t="s">
        <v>135</v>
      </c>
    </row>
    <row r="2060" spans="8:8" x14ac:dyDescent="0.25">
      <c r="H2060" t="s">
        <v>3656</v>
      </c>
    </row>
    <row r="2061" spans="8:8" x14ac:dyDescent="0.25">
      <c r="H2061" t="s">
        <v>30</v>
      </c>
    </row>
    <row r="2062" spans="8:8" x14ac:dyDescent="0.25">
      <c r="H2062" t="s">
        <v>136</v>
      </c>
    </row>
    <row r="2063" spans="8:8" x14ac:dyDescent="0.25">
      <c r="H2063" t="s">
        <v>3657</v>
      </c>
    </row>
    <row r="2064" spans="8:8" x14ac:dyDescent="0.25">
      <c r="H2064" t="s">
        <v>30</v>
      </c>
    </row>
    <row r="2065" spans="8:8" x14ac:dyDescent="0.25">
      <c r="H2065" t="s">
        <v>137</v>
      </c>
    </row>
    <row r="2066" spans="8:8" x14ac:dyDescent="0.25">
      <c r="H2066" t="s">
        <v>3658</v>
      </c>
    </row>
    <row r="2067" spans="8:8" x14ac:dyDescent="0.25">
      <c r="H2067" t="s">
        <v>30</v>
      </c>
    </row>
    <row r="2069" spans="8:8" x14ac:dyDescent="0.25">
      <c r="H2069" t="s">
        <v>2209</v>
      </c>
    </row>
    <row r="2070" spans="8:8" x14ac:dyDescent="0.25">
      <c r="H2070" t="s">
        <v>2642</v>
      </c>
    </row>
    <row r="2071" spans="8:8" x14ac:dyDescent="0.25">
      <c r="H2071" t="s">
        <v>135</v>
      </c>
    </row>
    <row r="2072" spans="8:8" x14ac:dyDescent="0.25">
      <c r="H2072" t="s">
        <v>4955</v>
      </c>
    </row>
    <row r="2073" spans="8:8" x14ac:dyDescent="0.25">
      <c r="H2073" t="s">
        <v>30</v>
      </c>
    </row>
    <row r="2075" spans="8:8" x14ac:dyDescent="0.25">
      <c r="H2075" t="s">
        <v>2210</v>
      </c>
    </row>
    <row r="2076" spans="8:8" x14ac:dyDescent="0.25">
      <c r="H2076" t="s">
        <v>2644</v>
      </c>
    </row>
    <row r="2077" spans="8:8" x14ac:dyDescent="0.25">
      <c r="H2077" t="s">
        <v>135</v>
      </c>
    </row>
    <row r="2078" spans="8:8" x14ac:dyDescent="0.25">
      <c r="H2078" t="s">
        <v>3659</v>
      </c>
    </row>
    <row r="2079" spans="8:8" x14ac:dyDescent="0.25">
      <c r="H2079" t="s">
        <v>30</v>
      </c>
    </row>
    <row r="2081" spans="8:8" x14ac:dyDescent="0.25">
      <c r="H2081" t="s">
        <v>2211</v>
      </c>
    </row>
    <row r="2082" spans="8:8" x14ac:dyDescent="0.25">
      <c r="H2082" t="s">
        <v>2647</v>
      </c>
    </row>
    <row r="2083" spans="8:8" x14ac:dyDescent="0.25">
      <c r="H2083" t="s">
        <v>135</v>
      </c>
    </row>
    <row r="2084" spans="8:8" x14ac:dyDescent="0.25">
      <c r="H2084" t="s">
        <v>3660</v>
      </c>
    </row>
    <row r="2085" spans="8:8" x14ac:dyDescent="0.25">
      <c r="H2085" t="s">
        <v>30</v>
      </c>
    </row>
    <row r="2087" spans="8:8" x14ac:dyDescent="0.25">
      <c r="H2087" t="s">
        <v>2212</v>
      </c>
    </row>
    <row r="2088" spans="8:8" x14ac:dyDescent="0.25">
      <c r="H2088" t="s">
        <v>2650</v>
      </c>
    </row>
    <row r="2089" spans="8:8" x14ac:dyDescent="0.25">
      <c r="H2089" t="s">
        <v>135</v>
      </c>
    </row>
    <row r="2090" spans="8:8" x14ac:dyDescent="0.25">
      <c r="H2090" t="s">
        <v>3661</v>
      </c>
    </row>
    <row r="2091" spans="8:8" x14ac:dyDescent="0.25">
      <c r="H2091" t="s">
        <v>30</v>
      </c>
    </row>
    <row r="2093" spans="8:8" x14ac:dyDescent="0.25">
      <c r="H2093" t="s">
        <v>2213</v>
      </c>
    </row>
    <row r="2094" spans="8:8" x14ac:dyDescent="0.25">
      <c r="H2094" t="s">
        <v>2653</v>
      </c>
    </row>
    <row r="2095" spans="8:8" x14ac:dyDescent="0.25">
      <c r="H2095" t="s">
        <v>135</v>
      </c>
    </row>
    <row r="2096" spans="8:8" x14ac:dyDescent="0.25">
      <c r="H2096" t="s">
        <v>3662</v>
      </c>
    </row>
    <row r="2097" spans="8:8" x14ac:dyDescent="0.25">
      <c r="H2097" t="s">
        <v>30</v>
      </c>
    </row>
    <row r="2098" spans="8:8" x14ac:dyDescent="0.25">
      <c r="H2098" t="s">
        <v>136</v>
      </c>
    </row>
    <row r="2099" spans="8:8" x14ac:dyDescent="0.25">
      <c r="H2099" t="s">
        <v>3663</v>
      </c>
    </row>
    <row r="2100" spans="8:8" x14ac:dyDescent="0.25">
      <c r="H2100" t="s">
        <v>30</v>
      </c>
    </row>
    <row r="2101" spans="8:8" x14ac:dyDescent="0.25">
      <c r="H2101" t="s">
        <v>137</v>
      </c>
    </row>
    <row r="2102" spans="8:8" x14ac:dyDescent="0.25">
      <c r="H2102" t="s">
        <v>3664</v>
      </c>
    </row>
    <row r="2103" spans="8:8" x14ac:dyDescent="0.25">
      <c r="H2103" t="s">
        <v>30</v>
      </c>
    </row>
    <row r="2105" spans="8:8" x14ac:dyDescent="0.25">
      <c r="H2105" t="s">
        <v>2214</v>
      </c>
    </row>
    <row r="2106" spans="8:8" x14ac:dyDescent="0.25">
      <c r="H2106" t="s">
        <v>2658</v>
      </c>
    </row>
    <row r="2107" spans="8:8" x14ac:dyDescent="0.25">
      <c r="H2107" t="s">
        <v>135</v>
      </c>
    </row>
    <row r="2108" spans="8:8" x14ac:dyDescent="0.25">
      <c r="H2108" t="s">
        <v>4956</v>
      </c>
    </row>
    <row r="2109" spans="8:8" x14ac:dyDescent="0.25">
      <c r="H2109" t="s">
        <v>30</v>
      </c>
    </row>
    <row r="2111" spans="8:8" x14ac:dyDescent="0.25">
      <c r="H2111" t="s">
        <v>2215</v>
      </c>
    </row>
    <row r="2112" spans="8:8" x14ac:dyDescent="0.25">
      <c r="H2112" t="s">
        <v>2660</v>
      </c>
    </row>
    <row r="2113" spans="8:8" x14ac:dyDescent="0.25">
      <c r="H2113" t="s">
        <v>135</v>
      </c>
    </row>
    <row r="2114" spans="8:8" x14ac:dyDescent="0.25">
      <c r="H2114" t="s">
        <v>3665</v>
      </c>
    </row>
    <row r="2115" spans="8:8" x14ac:dyDescent="0.25">
      <c r="H2115" t="s">
        <v>30</v>
      </c>
    </row>
    <row r="2117" spans="8:8" x14ac:dyDescent="0.25">
      <c r="H2117" t="s">
        <v>2216</v>
      </c>
    </row>
    <row r="2118" spans="8:8" x14ac:dyDescent="0.25">
      <c r="H2118" t="s">
        <v>2663</v>
      </c>
    </row>
    <row r="2119" spans="8:8" x14ac:dyDescent="0.25">
      <c r="H2119" t="s">
        <v>135</v>
      </c>
    </row>
    <row r="2120" spans="8:8" x14ac:dyDescent="0.25">
      <c r="H2120" t="s">
        <v>3666</v>
      </c>
    </row>
    <row r="2121" spans="8:8" x14ac:dyDescent="0.25">
      <c r="H2121" t="s">
        <v>30</v>
      </c>
    </row>
    <row r="2123" spans="8:8" x14ac:dyDescent="0.25">
      <c r="H2123" t="s">
        <v>2217</v>
      </c>
    </row>
    <row r="2124" spans="8:8" x14ac:dyDescent="0.25">
      <c r="H2124" t="s">
        <v>2666</v>
      </c>
    </row>
    <row r="2125" spans="8:8" x14ac:dyDescent="0.25">
      <c r="H2125" t="s">
        <v>135</v>
      </c>
    </row>
    <row r="2126" spans="8:8" x14ac:dyDescent="0.25">
      <c r="H2126" t="s">
        <v>3667</v>
      </c>
    </row>
    <row r="2127" spans="8:8" x14ac:dyDescent="0.25">
      <c r="H2127" t="s">
        <v>30</v>
      </c>
    </row>
    <row r="2129" spans="8:8" x14ac:dyDescent="0.25">
      <c r="H2129" t="s">
        <v>2218</v>
      </c>
    </row>
    <row r="2130" spans="8:8" x14ac:dyDescent="0.25">
      <c r="H2130" t="s">
        <v>2669</v>
      </c>
    </row>
    <row r="2131" spans="8:8" x14ac:dyDescent="0.25">
      <c r="H2131" t="s">
        <v>135</v>
      </c>
    </row>
    <row r="2132" spans="8:8" x14ac:dyDescent="0.25">
      <c r="H2132" t="s">
        <v>3668</v>
      </c>
    </row>
    <row r="2133" spans="8:8" x14ac:dyDescent="0.25">
      <c r="H2133" t="s">
        <v>30</v>
      </c>
    </row>
    <row r="2134" spans="8:8" x14ac:dyDescent="0.25">
      <c r="H2134" t="s">
        <v>136</v>
      </c>
    </row>
    <row r="2135" spans="8:8" x14ac:dyDescent="0.25">
      <c r="H2135" t="s">
        <v>3669</v>
      </c>
    </row>
    <row r="2136" spans="8:8" x14ac:dyDescent="0.25">
      <c r="H2136" t="s">
        <v>30</v>
      </c>
    </row>
    <row r="2137" spans="8:8" x14ac:dyDescent="0.25">
      <c r="H2137" t="s">
        <v>137</v>
      </c>
    </row>
    <row r="2138" spans="8:8" x14ac:dyDescent="0.25">
      <c r="H2138" t="s">
        <v>3670</v>
      </c>
    </row>
    <row r="2139" spans="8:8" x14ac:dyDescent="0.25">
      <c r="H2139" t="s">
        <v>30</v>
      </c>
    </row>
    <row r="2141" spans="8:8" x14ac:dyDescent="0.25">
      <c r="H2141" t="s">
        <v>2219</v>
      </c>
    </row>
    <row r="2142" spans="8:8" x14ac:dyDescent="0.25">
      <c r="H2142" t="s">
        <v>2674</v>
      </c>
    </row>
    <row r="2143" spans="8:8" x14ac:dyDescent="0.25">
      <c r="H2143" t="s">
        <v>135</v>
      </c>
    </row>
    <row r="2144" spans="8:8" x14ac:dyDescent="0.25">
      <c r="H2144" t="s">
        <v>4957</v>
      </c>
    </row>
    <row r="2145" spans="8:8" x14ac:dyDescent="0.25">
      <c r="H2145" t="s">
        <v>30</v>
      </c>
    </row>
    <row r="2147" spans="8:8" x14ac:dyDescent="0.25">
      <c r="H2147" t="s">
        <v>2220</v>
      </c>
    </row>
    <row r="2148" spans="8:8" x14ac:dyDescent="0.25">
      <c r="H2148" t="s">
        <v>2676</v>
      </c>
    </row>
    <row r="2149" spans="8:8" x14ac:dyDescent="0.25">
      <c r="H2149" t="s">
        <v>135</v>
      </c>
    </row>
    <row r="2150" spans="8:8" x14ac:dyDescent="0.25">
      <c r="H2150" t="s">
        <v>3671</v>
      </c>
    </row>
    <row r="2151" spans="8:8" x14ac:dyDescent="0.25">
      <c r="H2151" t="s">
        <v>30</v>
      </c>
    </row>
    <row r="2153" spans="8:8" x14ac:dyDescent="0.25">
      <c r="H2153" t="s">
        <v>2221</v>
      </c>
    </row>
    <row r="2154" spans="8:8" x14ac:dyDescent="0.25">
      <c r="H2154" t="s">
        <v>2679</v>
      </c>
    </row>
    <row r="2155" spans="8:8" x14ac:dyDescent="0.25">
      <c r="H2155" t="s">
        <v>135</v>
      </c>
    </row>
    <row r="2156" spans="8:8" x14ac:dyDescent="0.25">
      <c r="H2156" t="s">
        <v>3672</v>
      </c>
    </row>
    <row r="2157" spans="8:8" x14ac:dyDescent="0.25">
      <c r="H2157" t="s">
        <v>30</v>
      </c>
    </row>
    <row r="2159" spans="8:8" x14ac:dyDescent="0.25">
      <c r="H2159" t="s">
        <v>2222</v>
      </c>
    </row>
    <row r="2160" spans="8:8" x14ac:dyDescent="0.25">
      <c r="H2160" t="s">
        <v>2682</v>
      </c>
    </row>
    <row r="2161" spans="8:8" x14ac:dyDescent="0.25">
      <c r="H2161" t="s">
        <v>135</v>
      </c>
    </row>
    <row r="2162" spans="8:8" x14ac:dyDescent="0.25">
      <c r="H2162" t="s">
        <v>3673</v>
      </c>
    </row>
    <row r="2163" spans="8:8" x14ac:dyDescent="0.25">
      <c r="H2163" t="s">
        <v>30</v>
      </c>
    </row>
    <row r="2165" spans="8:8" x14ac:dyDescent="0.25">
      <c r="H2165" t="s">
        <v>2223</v>
      </c>
    </row>
    <row r="2166" spans="8:8" x14ac:dyDescent="0.25">
      <c r="H2166" t="s">
        <v>2685</v>
      </c>
    </row>
    <row r="2167" spans="8:8" x14ac:dyDescent="0.25">
      <c r="H2167" t="s">
        <v>135</v>
      </c>
    </row>
    <row r="2168" spans="8:8" x14ac:dyDescent="0.25">
      <c r="H2168" t="s">
        <v>3674</v>
      </c>
    </row>
    <row r="2169" spans="8:8" x14ac:dyDescent="0.25">
      <c r="H2169" t="s">
        <v>30</v>
      </c>
    </row>
    <row r="2170" spans="8:8" x14ac:dyDescent="0.25">
      <c r="H2170" t="s">
        <v>136</v>
      </c>
    </row>
    <row r="2171" spans="8:8" x14ac:dyDescent="0.25">
      <c r="H2171" t="s">
        <v>3675</v>
      </c>
    </row>
    <row r="2172" spans="8:8" x14ac:dyDescent="0.25">
      <c r="H2172" t="s">
        <v>30</v>
      </c>
    </row>
    <row r="2173" spans="8:8" x14ac:dyDescent="0.25">
      <c r="H2173" t="s">
        <v>137</v>
      </c>
    </row>
    <row r="2174" spans="8:8" x14ac:dyDescent="0.25">
      <c r="H2174" t="s">
        <v>3676</v>
      </c>
    </row>
    <row r="2175" spans="8:8" x14ac:dyDescent="0.25">
      <c r="H2175" t="s">
        <v>30</v>
      </c>
    </row>
    <row r="2177" spans="8:8" x14ac:dyDescent="0.25">
      <c r="H2177" t="s">
        <v>2224</v>
      </c>
    </row>
    <row r="2178" spans="8:8" x14ac:dyDescent="0.25">
      <c r="H2178" t="s">
        <v>2690</v>
      </c>
    </row>
    <row r="2179" spans="8:8" x14ac:dyDescent="0.25">
      <c r="H2179" t="s">
        <v>135</v>
      </c>
    </row>
    <row r="2180" spans="8:8" x14ac:dyDescent="0.25">
      <c r="H2180" t="s">
        <v>4958</v>
      </c>
    </row>
    <row r="2181" spans="8:8" x14ac:dyDescent="0.25">
      <c r="H2181" t="s">
        <v>30</v>
      </c>
    </row>
    <row r="2183" spans="8:8" x14ac:dyDescent="0.25">
      <c r="H2183" t="s">
        <v>2225</v>
      </c>
    </row>
    <row r="2184" spans="8:8" x14ac:dyDescent="0.25">
      <c r="H2184" t="s">
        <v>2692</v>
      </c>
    </row>
    <row r="2185" spans="8:8" x14ac:dyDescent="0.25">
      <c r="H2185" t="s">
        <v>135</v>
      </c>
    </row>
    <row r="2186" spans="8:8" x14ac:dyDescent="0.25">
      <c r="H2186" t="s">
        <v>3677</v>
      </c>
    </row>
    <row r="2187" spans="8:8" x14ac:dyDescent="0.25">
      <c r="H2187" t="s">
        <v>30</v>
      </c>
    </row>
    <row r="2189" spans="8:8" x14ac:dyDescent="0.25">
      <c r="H2189" t="s">
        <v>2226</v>
      </c>
    </row>
    <row r="2190" spans="8:8" x14ac:dyDescent="0.25">
      <c r="H2190" t="s">
        <v>2695</v>
      </c>
    </row>
    <row r="2191" spans="8:8" x14ac:dyDescent="0.25">
      <c r="H2191" t="s">
        <v>135</v>
      </c>
    </row>
    <row r="2192" spans="8:8" x14ac:dyDescent="0.25">
      <c r="H2192" t="s">
        <v>3678</v>
      </c>
    </row>
    <row r="2193" spans="8:8" x14ac:dyDescent="0.25">
      <c r="H2193" t="s">
        <v>30</v>
      </c>
    </row>
    <row r="2195" spans="8:8" x14ac:dyDescent="0.25">
      <c r="H2195" t="s">
        <v>2227</v>
      </c>
    </row>
    <row r="2196" spans="8:8" x14ac:dyDescent="0.25">
      <c r="H2196" t="s">
        <v>2698</v>
      </c>
    </row>
    <row r="2197" spans="8:8" x14ac:dyDescent="0.25">
      <c r="H2197" t="s">
        <v>135</v>
      </c>
    </row>
    <row r="2198" spans="8:8" x14ac:dyDescent="0.25">
      <c r="H2198" t="s">
        <v>3679</v>
      </c>
    </row>
    <row r="2199" spans="8:8" x14ac:dyDescent="0.25">
      <c r="H2199" t="s">
        <v>30</v>
      </c>
    </row>
    <row r="2201" spans="8:8" x14ac:dyDescent="0.25">
      <c r="H2201" t="s">
        <v>2228</v>
      </c>
    </row>
    <row r="2202" spans="8:8" x14ac:dyDescent="0.25">
      <c r="H2202" t="s">
        <v>2701</v>
      </c>
    </row>
    <row r="2203" spans="8:8" x14ac:dyDescent="0.25">
      <c r="H2203" t="s">
        <v>135</v>
      </c>
    </row>
    <row r="2204" spans="8:8" x14ac:dyDescent="0.25">
      <c r="H2204" t="s">
        <v>3680</v>
      </c>
    </row>
    <row r="2205" spans="8:8" x14ac:dyDescent="0.25">
      <c r="H2205" t="s">
        <v>30</v>
      </c>
    </row>
    <row r="2206" spans="8:8" x14ac:dyDescent="0.25">
      <c r="H2206" t="s">
        <v>136</v>
      </c>
    </row>
    <row r="2207" spans="8:8" x14ac:dyDescent="0.25">
      <c r="H2207" t="s">
        <v>3681</v>
      </c>
    </row>
    <row r="2208" spans="8:8" x14ac:dyDescent="0.25">
      <c r="H2208" t="s">
        <v>30</v>
      </c>
    </row>
    <row r="2209" spans="8:8" x14ac:dyDescent="0.25">
      <c r="H2209" t="s">
        <v>137</v>
      </c>
    </row>
    <row r="2210" spans="8:8" x14ac:dyDescent="0.25">
      <c r="H2210" t="s">
        <v>3682</v>
      </c>
    </row>
    <row r="2211" spans="8:8" x14ac:dyDescent="0.25">
      <c r="H2211" t="s">
        <v>30</v>
      </c>
    </row>
    <row r="2213" spans="8:8" x14ac:dyDescent="0.25">
      <c r="H2213" t="s">
        <v>2229</v>
      </c>
    </row>
    <row r="2214" spans="8:8" x14ac:dyDescent="0.25">
      <c r="H2214" t="s">
        <v>2706</v>
      </c>
    </row>
    <row r="2215" spans="8:8" x14ac:dyDescent="0.25">
      <c r="H2215" t="s">
        <v>135</v>
      </c>
    </row>
    <row r="2216" spans="8:8" x14ac:dyDescent="0.25">
      <c r="H2216" t="s">
        <v>4959</v>
      </c>
    </row>
    <row r="2217" spans="8:8" x14ac:dyDescent="0.25">
      <c r="H2217" t="s">
        <v>30</v>
      </c>
    </row>
    <row r="2219" spans="8:8" x14ac:dyDescent="0.25">
      <c r="H2219" t="s">
        <v>2230</v>
      </c>
    </row>
    <row r="2220" spans="8:8" x14ac:dyDescent="0.25">
      <c r="H2220" t="s">
        <v>2708</v>
      </c>
    </row>
    <row r="2221" spans="8:8" x14ac:dyDescent="0.25">
      <c r="H2221" t="s">
        <v>135</v>
      </c>
    </row>
    <row r="2222" spans="8:8" x14ac:dyDescent="0.25">
      <c r="H2222" t="s">
        <v>3683</v>
      </c>
    </row>
    <row r="2223" spans="8:8" x14ac:dyDescent="0.25">
      <c r="H2223" t="s">
        <v>30</v>
      </c>
    </row>
    <row r="2225" spans="8:8" x14ac:dyDescent="0.25">
      <c r="H2225" t="s">
        <v>2231</v>
      </c>
    </row>
    <row r="2226" spans="8:8" x14ac:dyDescent="0.25">
      <c r="H2226" t="s">
        <v>2711</v>
      </c>
    </row>
    <row r="2227" spans="8:8" x14ac:dyDescent="0.25">
      <c r="H2227" t="s">
        <v>135</v>
      </c>
    </row>
    <row r="2228" spans="8:8" x14ac:dyDescent="0.25">
      <c r="H2228" t="s">
        <v>3684</v>
      </c>
    </row>
    <row r="2229" spans="8:8" x14ac:dyDescent="0.25">
      <c r="H2229" t="s">
        <v>30</v>
      </c>
    </row>
    <row r="2231" spans="8:8" x14ac:dyDescent="0.25">
      <c r="H2231" t="s">
        <v>2232</v>
      </c>
    </row>
    <row r="2232" spans="8:8" x14ac:dyDescent="0.25">
      <c r="H2232" t="s">
        <v>2714</v>
      </c>
    </row>
    <row r="2233" spans="8:8" x14ac:dyDescent="0.25">
      <c r="H2233" t="s">
        <v>135</v>
      </c>
    </row>
    <row r="2234" spans="8:8" x14ac:dyDescent="0.25">
      <c r="H2234" t="s">
        <v>3685</v>
      </c>
    </row>
    <row r="2235" spans="8:8" x14ac:dyDescent="0.25">
      <c r="H2235" t="s">
        <v>30</v>
      </c>
    </row>
    <row r="2237" spans="8:8" x14ac:dyDescent="0.25">
      <c r="H2237" t="s">
        <v>2233</v>
      </c>
    </row>
    <row r="2238" spans="8:8" x14ac:dyDescent="0.25">
      <c r="H2238" t="s">
        <v>2717</v>
      </c>
    </row>
    <row r="2239" spans="8:8" x14ac:dyDescent="0.25">
      <c r="H2239" t="s">
        <v>135</v>
      </c>
    </row>
    <row r="2240" spans="8:8" x14ac:dyDescent="0.25">
      <c r="H2240" t="s">
        <v>3686</v>
      </c>
    </row>
    <row r="2241" spans="8:8" x14ac:dyDescent="0.25">
      <c r="H2241" t="s">
        <v>30</v>
      </c>
    </row>
    <row r="2242" spans="8:8" x14ac:dyDescent="0.25">
      <c r="H2242" t="s">
        <v>136</v>
      </c>
    </row>
    <row r="2243" spans="8:8" x14ac:dyDescent="0.25">
      <c r="H2243" t="s">
        <v>3687</v>
      </c>
    </row>
    <row r="2244" spans="8:8" x14ac:dyDescent="0.25">
      <c r="H2244" t="s">
        <v>30</v>
      </c>
    </row>
    <row r="2245" spans="8:8" x14ac:dyDescent="0.25">
      <c r="H2245" t="s">
        <v>137</v>
      </c>
    </row>
    <row r="2246" spans="8:8" x14ac:dyDescent="0.25">
      <c r="H2246" t="s">
        <v>3688</v>
      </c>
    </row>
    <row r="2247" spans="8:8" x14ac:dyDescent="0.25">
      <c r="H2247" t="s">
        <v>30</v>
      </c>
    </row>
    <row r="2249" spans="8:8" x14ac:dyDescent="0.25">
      <c r="H2249" t="s">
        <v>2234</v>
      </c>
    </row>
    <row r="2250" spans="8:8" x14ac:dyDescent="0.25">
      <c r="H2250" t="s">
        <v>2722</v>
      </c>
    </row>
    <row r="2251" spans="8:8" x14ac:dyDescent="0.25">
      <c r="H2251" t="s">
        <v>135</v>
      </c>
    </row>
    <row r="2252" spans="8:8" x14ac:dyDescent="0.25">
      <c r="H2252" t="s">
        <v>4960</v>
      </c>
    </row>
    <row r="2253" spans="8:8" x14ac:dyDescent="0.25">
      <c r="H2253" t="s">
        <v>30</v>
      </c>
    </row>
    <row r="2255" spans="8:8" x14ac:dyDescent="0.25">
      <c r="H2255" t="s">
        <v>2235</v>
      </c>
    </row>
    <row r="2256" spans="8:8" x14ac:dyDescent="0.25">
      <c r="H2256" t="s">
        <v>2724</v>
      </c>
    </row>
    <row r="2257" spans="8:8" x14ac:dyDescent="0.25">
      <c r="H2257" t="s">
        <v>135</v>
      </c>
    </row>
    <row r="2258" spans="8:8" x14ac:dyDescent="0.25">
      <c r="H2258" t="s">
        <v>3689</v>
      </c>
    </row>
    <row r="2259" spans="8:8" x14ac:dyDescent="0.25">
      <c r="H2259" t="s">
        <v>30</v>
      </c>
    </row>
    <row r="2261" spans="8:8" x14ac:dyDescent="0.25">
      <c r="H2261" t="s">
        <v>2236</v>
      </c>
    </row>
    <row r="2262" spans="8:8" x14ac:dyDescent="0.25">
      <c r="H2262" t="s">
        <v>2727</v>
      </c>
    </row>
    <row r="2263" spans="8:8" x14ac:dyDescent="0.25">
      <c r="H2263" t="s">
        <v>135</v>
      </c>
    </row>
    <row r="2264" spans="8:8" x14ac:dyDescent="0.25">
      <c r="H2264" t="s">
        <v>3690</v>
      </c>
    </row>
    <row r="2265" spans="8:8" x14ac:dyDescent="0.25">
      <c r="H2265" t="s">
        <v>30</v>
      </c>
    </row>
    <row r="2267" spans="8:8" x14ac:dyDescent="0.25">
      <c r="H2267" t="s">
        <v>2237</v>
      </c>
    </row>
    <row r="2268" spans="8:8" x14ac:dyDescent="0.25">
      <c r="H2268" t="s">
        <v>2730</v>
      </c>
    </row>
    <row r="2269" spans="8:8" x14ac:dyDescent="0.25">
      <c r="H2269" t="s">
        <v>135</v>
      </c>
    </row>
    <row r="2270" spans="8:8" x14ac:dyDescent="0.25">
      <c r="H2270" t="s">
        <v>3691</v>
      </c>
    </row>
    <row r="2271" spans="8:8" x14ac:dyDescent="0.25">
      <c r="H2271" t="s">
        <v>30</v>
      </c>
    </row>
    <row r="2273" spans="8:8" x14ac:dyDescent="0.25">
      <c r="H2273" t="s">
        <v>2238</v>
      </c>
    </row>
    <row r="2274" spans="8:8" x14ac:dyDescent="0.25">
      <c r="H2274" t="s">
        <v>2733</v>
      </c>
    </row>
    <row r="2275" spans="8:8" x14ac:dyDescent="0.25">
      <c r="H2275" t="s">
        <v>135</v>
      </c>
    </row>
    <row r="2276" spans="8:8" x14ac:dyDescent="0.25">
      <c r="H2276" t="s">
        <v>3692</v>
      </c>
    </row>
    <row r="2277" spans="8:8" x14ac:dyDescent="0.25">
      <c r="H2277" t="s">
        <v>30</v>
      </c>
    </row>
    <row r="2278" spans="8:8" x14ac:dyDescent="0.25">
      <c r="H2278" t="s">
        <v>136</v>
      </c>
    </row>
    <row r="2279" spans="8:8" x14ac:dyDescent="0.25">
      <c r="H2279" t="s">
        <v>3693</v>
      </c>
    </row>
    <row r="2280" spans="8:8" x14ac:dyDescent="0.25">
      <c r="H2280" t="s">
        <v>30</v>
      </c>
    </row>
    <row r="2281" spans="8:8" x14ac:dyDescent="0.25">
      <c r="H2281" t="s">
        <v>137</v>
      </c>
    </row>
    <row r="2282" spans="8:8" x14ac:dyDescent="0.25">
      <c r="H2282" t="s">
        <v>3694</v>
      </c>
    </row>
    <row r="2283" spans="8:8" x14ac:dyDescent="0.25">
      <c r="H2283" t="s">
        <v>30</v>
      </c>
    </row>
    <row r="2285" spans="8:8" x14ac:dyDescent="0.25">
      <c r="H2285" t="s">
        <v>2239</v>
      </c>
    </row>
    <row r="2286" spans="8:8" x14ac:dyDescent="0.25">
      <c r="H2286" t="s">
        <v>2738</v>
      </c>
    </row>
    <row r="2287" spans="8:8" x14ac:dyDescent="0.25">
      <c r="H2287" t="s">
        <v>135</v>
      </c>
    </row>
    <row r="2288" spans="8:8" x14ac:dyDescent="0.25">
      <c r="H2288" t="s">
        <v>4961</v>
      </c>
    </row>
    <row r="2289" spans="8:8" x14ac:dyDescent="0.25">
      <c r="H2289" t="s">
        <v>30</v>
      </c>
    </row>
    <row r="2291" spans="8:8" x14ac:dyDescent="0.25">
      <c r="H2291" t="s">
        <v>2240</v>
      </c>
    </row>
    <row r="2292" spans="8:8" x14ac:dyDescent="0.25">
      <c r="H2292" t="s">
        <v>2740</v>
      </c>
    </row>
    <row r="2293" spans="8:8" x14ac:dyDescent="0.25">
      <c r="H2293" t="s">
        <v>135</v>
      </c>
    </row>
    <row r="2294" spans="8:8" x14ac:dyDescent="0.25">
      <c r="H2294" t="s">
        <v>3695</v>
      </c>
    </row>
    <row r="2295" spans="8:8" x14ac:dyDescent="0.25">
      <c r="H2295" t="s">
        <v>30</v>
      </c>
    </row>
    <row r="2297" spans="8:8" x14ac:dyDescent="0.25">
      <c r="H2297" t="s">
        <v>2241</v>
      </c>
    </row>
    <row r="2298" spans="8:8" x14ac:dyDescent="0.25">
      <c r="H2298" t="s">
        <v>2743</v>
      </c>
    </row>
    <row r="2299" spans="8:8" x14ac:dyDescent="0.25">
      <c r="H2299" t="s">
        <v>135</v>
      </c>
    </row>
    <row r="2300" spans="8:8" x14ac:dyDescent="0.25">
      <c r="H2300" t="s">
        <v>3696</v>
      </c>
    </row>
    <row r="2301" spans="8:8" x14ac:dyDescent="0.25">
      <c r="H2301" t="s">
        <v>30</v>
      </c>
    </row>
    <row r="2303" spans="8:8" x14ac:dyDescent="0.25">
      <c r="H2303" t="s">
        <v>2242</v>
      </c>
    </row>
    <row r="2304" spans="8:8" x14ac:dyDescent="0.25">
      <c r="H2304" t="s">
        <v>2746</v>
      </c>
    </row>
    <row r="2305" spans="8:8" x14ac:dyDescent="0.25">
      <c r="H2305" t="s">
        <v>135</v>
      </c>
    </row>
    <row r="2306" spans="8:8" x14ac:dyDescent="0.25">
      <c r="H2306" t="s">
        <v>3697</v>
      </c>
    </row>
    <row r="2307" spans="8:8" x14ac:dyDescent="0.25">
      <c r="H2307" t="s">
        <v>30</v>
      </c>
    </row>
    <row r="2309" spans="8:8" x14ac:dyDescent="0.25">
      <c r="H2309" t="s">
        <v>2243</v>
      </c>
    </row>
    <row r="2310" spans="8:8" x14ac:dyDescent="0.25">
      <c r="H2310" t="s">
        <v>2749</v>
      </c>
    </row>
    <row r="2311" spans="8:8" x14ac:dyDescent="0.25">
      <c r="H2311" t="s">
        <v>135</v>
      </c>
    </row>
    <row r="2312" spans="8:8" x14ac:dyDescent="0.25">
      <c r="H2312" t="s">
        <v>3698</v>
      </c>
    </row>
    <row r="2313" spans="8:8" x14ac:dyDescent="0.25">
      <c r="H2313" t="s">
        <v>30</v>
      </c>
    </row>
    <row r="2314" spans="8:8" x14ac:dyDescent="0.25">
      <c r="H2314" t="s">
        <v>136</v>
      </c>
    </row>
    <row r="2315" spans="8:8" x14ac:dyDescent="0.25">
      <c r="H2315" t="s">
        <v>3699</v>
      </c>
    </row>
    <row r="2316" spans="8:8" x14ac:dyDescent="0.25">
      <c r="H2316" t="s">
        <v>30</v>
      </c>
    </row>
    <row r="2317" spans="8:8" x14ac:dyDescent="0.25">
      <c r="H2317" t="s">
        <v>137</v>
      </c>
    </row>
    <row r="2318" spans="8:8" x14ac:dyDescent="0.25">
      <c r="H2318" t="s">
        <v>3700</v>
      </c>
    </row>
    <row r="2319" spans="8:8" x14ac:dyDescent="0.25">
      <c r="H2319" t="s">
        <v>30</v>
      </c>
    </row>
    <row r="2321" spans="8:8" x14ac:dyDescent="0.25">
      <c r="H2321" t="s">
        <v>2244</v>
      </c>
    </row>
    <row r="2322" spans="8:8" x14ac:dyDescent="0.25">
      <c r="H2322" t="s">
        <v>2754</v>
      </c>
    </row>
    <row r="2323" spans="8:8" x14ac:dyDescent="0.25">
      <c r="H2323" t="s">
        <v>135</v>
      </c>
    </row>
    <row r="2324" spans="8:8" x14ac:dyDescent="0.25">
      <c r="H2324" t="s">
        <v>4962</v>
      </c>
    </row>
    <row r="2325" spans="8:8" x14ac:dyDescent="0.25">
      <c r="H2325" t="s">
        <v>30</v>
      </c>
    </row>
    <row r="2327" spans="8:8" x14ac:dyDescent="0.25">
      <c r="H2327" t="s">
        <v>2245</v>
      </c>
    </row>
    <row r="2328" spans="8:8" x14ac:dyDescent="0.25">
      <c r="H2328" t="s">
        <v>2756</v>
      </c>
    </row>
    <row r="2329" spans="8:8" x14ac:dyDescent="0.25">
      <c r="H2329" t="s">
        <v>135</v>
      </c>
    </row>
    <row r="2330" spans="8:8" x14ac:dyDescent="0.25">
      <c r="H2330" t="s">
        <v>3701</v>
      </c>
    </row>
    <row r="2331" spans="8:8" x14ac:dyDescent="0.25">
      <c r="H2331" t="s">
        <v>30</v>
      </c>
    </row>
    <row r="2333" spans="8:8" x14ac:dyDescent="0.25">
      <c r="H2333" t="s">
        <v>2246</v>
      </c>
    </row>
    <row r="2334" spans="8:8" x14ac:dyDescent="0.25">
      <c r="H2334" t="s">
        <v>2759</v>
      </c>
    </row>
    <row r="2335" spans="8:8" x14ac:dyDescent="0.25">
      <c r="H2335" t="s">
        <v>135</v>
      </c>
    </row>
    <row r="2336" spans="8:8" x14ac:dyDescent="0.25">
      <c r="H2336" t="s">
        <v>3702</v>
      </c>
    </row>
    <row r="2337" spans="8:8" x14ac:dyDescent="0.25">
      <c r="H2337" t="s">
        <v>30</v>
      </c>
    </row>
    <row r="2339" spans="8:8" x14ac:dyDescent="0.25">
      <c r="H2339" t="s">
        <v>2247</v>
      </c>
    </row>
    <row r="2340" spans="8:8" x14ac:dyDescent="0.25">
      <c r="H2340" t="s">
        <v>2762</v>
      </c>
    </row>
    <row r="2341" spans="8:8" x14ac:dyDescent="0.25">
      <c r="H2341" t="s">
        <v>135</v>
      </c>
    </row>
    <row r="2342" spans="8:8" x14ac:dyDescent="0.25">
      <c r="H2342" t="s">
        <v>3703</v>
      </c>
    </row>
    <row r="2343" spans="8:8" x14ac:dyDescent="0.25">
      <c r="H2343" t="s">
        <v>30</v>
      </c>
    </row>
    <row r="2345" spans="8:8" x14ac:dyDescent="0.25">
      <c r="H2345" t="s">
        <v>2248</v>
      </c>
    </row>
    <row r="2346" spans="8:8" x14ac:dyDescent="0.25">
      <c r="H2346" t="s">
        <v>2765</v>
      </c>
    </row>
    <row r="2347" spans="8:8" x14ac:dyDescent="0.25">
      <c r="H2347" t="s">
        <v>135</v>
      </c>
    </row>
    <row r="2348" spans="8:8" x14ac:dyDescent="0.25">
      <c r="H2348" t="s">
        <v>3704</v>
      </c>
    </row>
    <row r="2349" spans="8:8" x14ac:dyDescent="0.25">
      <c r="H2349" t="s">
        <v>30</v>
      </c>
    </row>
    <row r="2350" spans="8:8" x14ac:dyDescent="0.25">
      <c r="H2350" t="s">
        <v>136</v>
      </c>
    </row>
    <row r="2351" spans="8:8" x14ac:dyDescent="0.25">
      <c r="H2351" t="s">
        <v>3705</v>
      </c>
    </row>
    <row r="2352" spans="8:8" x14ac:dyDescent="0.25">
      <c r="H2352" t="s">
        <v>30</v>
      </c>
    </row>
    <row r="2353" spans="8:8" x14ac:dyDescent="0.25">
      <c r="H2353" t="s">
        <v>137</v>
      </c>
    </row>
    <row r="2354" spans="8:8" x14ac:dyDescent="0.25">
      <c r="H2354" t="s">
        <v>3706</v>
      </c>
    </row>
    <row r="2355" spans="8:8" x14ac:dyDescent="0.25">
      <c r="H2355" t="s">
        <v>30</v>
      </c>
    </row>
    <row r="2357" spans="8:8" x14ac:dyDescent="0.25">
      <c r="H2357" t="s">
        <v>2249</v>
      </c>
    </row>
    <row r="2358" spans="8:8" x14ac:dyDescent="0.25">
      <c r="H2358" t="s">
        <v>2770</v>
      </c>
    </row>
    <row r="2359" spans="8:8" x14ac:dyDescent="0.25">
      <c r="H2359" t="s">
        <v>135</v>
      </c>
    </row>
    <row r="2360" spans="8:8" x14ac:dyDescent="0.25">
      <c r="H2360" t="s">
        <v>4963</v>
      </c>
    </row>
    <row r="2361" spans="8:8" x14ac:dyDescent="0.25">
      <c r="H2361" t="s">
        <v>30</v>
      </c>
    </row>
    <row r="2363" spans="8:8" x14ac:dyDescent="0.25">
      <c r="H2363" t="s">
        <v>2250</v>
      </c>
    </row>
    <row r="2364" spans="8:8" x14ac:dyDescent="0.25">
      <c r="H2364" t="s">
        <v>2772</v>
      </c>
    </row>
    <row r="2365" spans="8:8" x14ac:dyDescent="0.25">
      <c r="H2365" t="s">
        <v>135</v>
      </c>
    </row>
    <row r="2366" spans="8:8" x14ac:dyDescent="0.25">
      <c r="H2366" t="s">
        <v>3707</v>
      </c>
    </row>
    <row r="2367" spans="8:8" x14ac:dyDescent="0.25">
      <c r="H2367" t="s">
        <v>30</v>
      </c>
    </row>
    <row r="2369" spans="8:8" x14ac:dyDescent="0.25">
      <c r="H2369" t="s">
        <v>2251</v>
      </c>
    </row>
    <row r="2370" spans="8:8" x14ac:dyDescent="0.25">
      <c r="H2370" t="s">
        <v>2775</v>
      </c>
    </row>
    <row r="2371" spans="8:8" x14ac:dyDescent="0.25">
      <c r="H2371" t="s">
        <v>135</v>
      </c>
    </row>
    <row r="2372" spans="8:8" x14ac:dyDescent="0.25">
      <c r="H2372" t="s">
        <v>3708</v>
      </c>
    </row>
    <row r="2373" spans="8:8" x14ac:dyDescent="0.25">
      <c r="H2373" t="s">
        <v>30</v>
      </c>
    </row>
    <row r="2375" spans="8:8" x14ac:dyDescent="0.25">
      <c r="H2375" t="s">
        <v>2252</v>
      </c>
    </row>
    <row r="2376" spans="8:8" x14ac:dyDescent="0.25">
      <c r="H2376" t="s">
        <v>2778</v>
      </c>
    </row>
    <row r="2377" spans="8:8" x14ac:dyDescent="0.25">
      <c r="H2377" t="s">
        <v>135</v>
      </c>
    </row>
    <row r="2378" spans="8:8" x14ac:dyDescent="0.25">
      <c r="H2378" t="s">
        <v>3709</v>
      </c>
    </row>
    <row r="2379" spans="8:8" x14ac:dyDescent="0.25">
      <c r="H2379" t="s">
        <v>30</v>
      </c>
    </row>
    <row r="2381" spans="8:8" x14ac:dyDescent="0.25">
      <c r="H2381" t="s">
        <v>2253</v>
      </c>
    </row>
    <row r="2382" spans="8:8" x14ac:dyDescent="0.25">
      <c r="H2382" t="s">
        <v>2781</v>
      </c>
    </row>
    <row r="2383" spans="8:8" x14ac:dyDescent="0.25">
      <c r="H2383" t="s">
        <v>135</v>
      </c>
    </row>
    <row r="2384" spans="8:8" x14ac:dyDescent="0.25">
      <c r="H2384" t="s">
        <v>3710</v>
      </c>
    </row>
    <row r="2385" spans="8:8" x14ac:dyDescent="0.25">
      <c r="H2385" t="s">
        <v>30</v>
      </c>
    </row>
    <row r="2386" spans="8:8" x14ac:dyDescent="0.25">
      <c r="H2386" t="s">
        <v>136</v>
      </c>
    </row>
    <row r="2387" spans="8:8" x14ac:dyDescent="0.25">
      <c r="H2387" t="s">
        <v>3711</v>
      </c>
    </row>
    <row r="2388" spans="8:8" x14ac:dyDescent="0.25">
      <c r="H2388" t="s">
        <v>30</v>
      </c>
    </row>
    <row r="2389" spans="8:8" x14ac:dyDescent="0.25">
      <c r="H2389" t="s">
        <v>137</v>
      </c>
    </row>
    <row r="2390" spans="8:8" x14ac:dyDescent="0.25">
      <c r="H2390" t="s">
        <v>3712</v>
      </c>
    </row>
    <row r="2391" spans="8:8" x14ac:dyDescent="0.25">
      <c r="H2391" t="s">
        <v>30</v>
      </c>
    </row>
    <row r="2393" spans="8:8" x14ac:dyDescent="0.25">
      <c r="H2393" t="s">
        <v>2254</v>
      </c>
    </row>
    <row r="2394" spans="8:8" x14ac:dyDescent="0.25">
      <c r="H2394" t="s">
        <v>2786</v>
      </c>
    </row>
    <row r="2395" spans="8:8" x14ac:dyDescent="0.25">
      <c r="H2395" t="s">
        <v>135</v>
      </c>
    </row>
    <row r="2396" spans="8:8" x14ac:dyDescent="0.25">
      <c r="H2396" t="s">
        <v>4964</v>
      </c>
    </row>
    <row r="2397" spans="8:8" x14ac:dyDescent="0.25">
      <c r="H2397" t="s">
        <v>30</v>
      </c>
    </row>
    <row r="2399" spans="8:8" x14ac:dyDescent="0.25">
      <c r="H2399" t="s">
        <v>2255</v>
      </c>
    </row>
    <row r="2400" spans="8:8" x14ac:dyDescent="0.25">
      <c r="H2400" t="s">
        <v>2788</v>
      </c>
    </row>
    <row r="2401" spans="8:8" x14ac:dyDescent="0.25">
      <c r="H2401" t="s">
        <v>135</v>
      </c>
    </row>
    <row r="2402" spans="8:8" x14ac:dyDescent="0.25">
      <c r="H2402" t="s">
        <v>3713</v>
      </c>
    </row>
    <row r="2403" spans="8:8" x14ac:dyDescent="0.25">
      <c r="H2403" t="s">
        <v>30</v>
      </c>
    </row>
    <row r="2405" spans="8:8" x14ac:dyDescent="0.25">
      <c r="H2405" t="s">
        <v>2256</v>
      </c>
    </row>
    <row r="2406" spans="8:8" x14ac:dyDescent="0.25">
      <c r="H2406" t="s">
        <v>2791</v>
      </c>
    </row>
    <row r="2407" spans="8:8" x14ac:dyDescent="0.25">
      <c r="H2407" t="s">
        <v>135</v>
      </c>
    </row>
    <row r="2408" spans="8:8" x14ac:dyDescent="0.25">
      <c r="H2408" t="s">
        <v>3714</v>
      </c>
    </row>
    <row r="2409" spans="8:8" x14ac:dyDescent="0.25">
      <c r="H2409" t="s">
        <v>30</v>
      </c>
    </row>
    <row r="2411" spans="8:8" x14ac:dyDescent="0.25">
      <c r="H2411" t="s">
        <v>2257</v>
      </c>
    </row>
    <row r="2412" spans="8:8" x14ac:dyDescent="0.25">
      <c r="H2412" t="s">
        <v>2794</v>
      </c>
    </row>
    <row r="2413" spans="8:8" x14ac:dyDescent="0.25">
      <c r="H2413" t="s">
        <v>135</v>
      </c>
    </row>
    <row r="2414" spans="8:8" x14ac:dyDescent="0.25">
      <c r="H2414" t="s">
        <v>3715</v>
      </c>
    </row>
    <row r="2415" spans="8:8" x14ac:dyDescent="0.25">
      <c r="H2415" t="s">
        <v>30</v>
      </c>
    </row>
    <row r="2417" spans="8:8" x14ac:dyDescent="0.25">
      <c r="H2417" t="s">
        <v>2258</v>
      </c>
    </row>
    <row r="2418" spans="8:8" x14ac:dyDescent="0.25">
      <c r="H2418" t="s">
        <v>2797</v>
      </c>
    </row>
    <row r="2419" spans="8:8" x14ac:dyDescent="0.25">
      <c r="H2419" t="s">
        <v>135</v>
      </c>
    </row>
    <row r="2420" spans="8:8" x14ac:dyDescent="0.25">
      <c r="H2420" t="s">
        <v>3716</v>
      </c>
    </row>
    <row r="2421" spans="8:8" x14ac:dyDescent="0.25">
      <c r="H2421" t="s">
        <v>30</v>
      </c>
    </row>
    <row r="2422" spans="8:8" x14ac:dyDescent="0.25">
      <c r="H2422" t="s">
        <v>136</v>
      </c>
    </row>
    <row r="2423" spans="8:8" x14ac:dyDescent="0.25">
      <c r="H2423" t="s">
        <v>3717</v>
      </c>
    </row>
    <row r="2424" spans="8:8" x14ac:dyDescent="0.25">
      <c r="H2424" t="s">
        <v>30</v>
      </c>
    </row>
    <row r="2425" spans="8:8" x14ac:dyDescent="0.25">
      <c r="H2425" t="s">
        <v>137</v>
      </c>
    </row>
    <row r="2426" spans="8:8" x14ac:dyDescent="0.25">
      <c r="H2426" t="s">
        <v>3718</v>
      </c>
    </row>
    <row r="2427" spans="8:8" x14ac:dyDescent="0.25">
      <c r="H2427" t="s">
        <v>30</v>
      </c>
    </row>
    <row r="2429" spans="8:8" x14ac:dyDescent="0.25">
      <c r="H2429" t="s">
        <v>2259</v>
      </c>
    </row>
    <row r="2430" spans="8:8" x14ac:dyDescent="0.25">
      <c r="H2430" t="s">
        <v>2802</v>
      </c>
    </row>
    <row r="2431" spans="8:8" x14ac:dyDescent="0.25">
      <c r="H2431" t="s">
        <v>135</v>
      </c>
    </row>
    <row r="2432" spans="8:8" x14ac:dyDescent="0.25">
      <c r="H2432" t="s">
        <v>4965</v>
      </c>
    </row>
    <row r="2433" spans="8:8" x14ac:dyDescent="0.25">
      <c r="H2433" t="s">
        <v>30</v>
      </c>
    </row>
    <row r="2435" spans="8:8" x14ac:dyDescent="0.25">
      <c r="H2435" t="s">
        <v>2260</v>
      </c>
    </row>
    <row r="2436" spans="8:8" x14ac:dyDescent="0.25">
      <c r="H2436" t="s">
        <v>2804</v>
      </c>
    </row>
    <row r="2437" spans="8:8" x14ac:dyDescent="0.25">
      <c r="H2437" t="s">
        <v>135</v>
      </c>
    </row>
    <row r="2438" spans="8:8" x14ac:dyDescent="0.25">
      <c r="H2438" t="s">
        <v>3719</v>
      </c>
    </row>
    <row r="2439" spans="8:8" x14ac:dyDescent="0.25">
      <c r="H2439" t="s">
        <v>30</v>
      </c>
    </row>
    <row r="2441" spans="8:8" x14ac:dyDescent="0.25">
      <c r="H2441" t="s">
        <v>2261</v>
      </c>
    </row>
    <row r="2442" spans="8:8" x14ac:dyDescent="0.25">
      <c r="H2442" t="s">
        <v>2807</v>
      </c>
    </row>
    <row r="2443" spans="8:8" x14ac:dyDescent="0.25">
      <c r="H2443" t="s">
        <v>135</v>
      </c>
    </row>
    <row r="2444" spans="8:8" x14ac:dyDescent="0.25">
      <c r="H2444" t="s">
        <v>3720</v>
      </c>
    </row>
    <row r="2445" spans="8:8" x14ac:dyDescent="0.25">
      <c r="H2445" t="s">
        <v>30</v>
      </c>
    </row>
    <row r="2447" spans="8:8" x14ac:dyDescent="0.25">
      <c r="H2447" t="s">
        <v>2262</v>
      </c>
    </row>
    <row r="2448" spans="8:8" x14ac:dyDescent="0.25">
      <c r="H2448" t="s">
        <v>2810</v>
      </c>
    </row>
    <row r="2449" spans="8:8" x14ac:dyDescent="0.25">
      <c r="H2449" t="s">
        <v>135</v>
      </c>
    </row>
    <row r="2450" spans="8:8" x14ac:dyDescent="0.25">
      <c r="H2450" t="s">
        <v>3721</v>
      </c>
    </row>
    <row r="2451" spans="8:8" x14ac:dyDescent="0.25">
      <c r="H2451" t="s">
        <v>30</v>
      </c>
    </row>
    <row r="2453" spans="8:8" x14ac:dyDescent="0.25">
      <c r="H2453" t="s">
        <v>2263</v>
      </c>
    </row>
    <row r="2454" spans="8:8" x14ac:dyDescent="0.25">
      <c r="H2454" t="s">
        <v>2813</v>
      </c>
    </row>
    <row r="2455" spans="8:8" x14ac:dyDescent="0.25">
      <c r="H2455" t="s">
        <v>135</v>
      </c>
    </row>
    <row r="2456" spans="8:8" x14ac:dyDescent="0.25">
      <c r="H2456" t="s">
        <v>3722</v>
      </c>
    </row>
    <row r="2457" spans="8:8" x14ac:dyDescent="0.25">
      <c r="H2457" t="s">
        <v>30</v>
      </c>
    </row>
    <row r="2458" spans="8:8" x14ac:dyDescent="0.25">
      <c r="H2458" t="s">
        <v>136</v>
      </c>
    </row>
    <row r="2459" spans="8:8" x14ac:dyDescent="0.25">
      <c r="H2459" t="s">
        <v>3723</v>
      </c>
    </row>
    <row r="2460" spans="8:8" x14ac:dyDescent="0.25">
      <c r="H2460" t="s">
        <v>30</v>
      </c>
    </row>
    <row r="2461" spans="8:8" x14ac:dyDescent="0.25">
      <c r="H2461" t="s">
        <v>137</v>
      </c>
    </row>
    <row r="2462" spans="8:8" x14ac:dyDescent="0.25">
      <c r="H2462" t="s">
        <v>3724</v>
      </c>
    </row>
    <row r="2463" spans="8:8" x14ac:dyDescent="0.25">
      <c r="H2463" t="s">
        <v>30</v>
      </c>
    </row>
    <row r="2465" spans="8:8" x14ac:dyDescent="0.25">
      <c r="H2465" t="s">
        <v>2264</v>
      </c>
    </row>
    <row r="2466" spans="8:8" x14ac:dyDescent="0.25">
      <c r="H2466" t="s">
        <v>2818</v>
      </c>
    </row>
    <row r="2467" spans="8:8" x14ac:dyDescent="0.25">
      <c r="H2467" t="s">
        <v>135</v>
      </c>
    </row>
    <row r="2468" spans="8:8" x14ac:dyDescent="0.25">
      <c r="H2468" t="s">
        <v>4966</v>
      </c>
    </row>
    <row r="2469" spans="8:8" x14ac:dyDescent="0.25">
      <c r="H2469" t="s">
        <v>30</v>
      </c>
    </row>
    <row r="2471" spans="8:8" x14ac:dyDescent="0.25">
      <c r="H2471" t="s">
        <v>2265</v>
      </c>
    </row>
    <row r="2472" spans="8:8" x14ac:dyDescent="0.25">
      <c r="H2472" t="s">
        <v>2820</v>
      </c>
    </row>
    <row r="2473" spans="8:8" x14ac:dyDescent="0.25">
      <c r="H2473" t="s">
        <v>135</v>
      </c>
    </row>
    <row r="2474" spans="8:8" x14ac:dyDescent="0.25">
      <c r="H2474" t="s">
        <v>3725</v>
      </c>
    </row>
    <row r="2475" spans="8:8" x14ac:dyDescent="0.25">
      <c r="H2475" t="s">
        <v>30</v>
      </c>
    </row>
    <row r="2477" spans="8:8" x14ac:dyDescent="0.25">
      <c r="H2477" t="s">
        <v>2266</v>
      </c>
    </row>
    <row r="2478" spans="8:8" x14ac:dyDescent="0.25">
      <c r="H2478" t="s">
        <v>2823</v>
      </c>
    </row>
    <row r="2479" spans="8:8" x14ac:dyDescent="0.25">
      <c r="H2479" t="s">
        <v>135</v>
      </c>
    </row>
    <row r="2480" spans="8:8" x14ac:dyDescent="0.25">
      <c r="H2480" t="s">
        <v>3726</v>
      </c>
    </row>
    <row r="2481" spans="8:8" x14ac:dyDescent="0.25">
      <c r="H2481" t="s">
        <v>30</v>
      </c>
    </row>
    <row r="2483" spans="8:8" x14ac:dyDescent="0.25">
      <c r="H2483" t="s">
        <v>2267</v>
      </c>
    </row>
    <row r="2484" spans="8:8" x14ac:dyDescent="0.25">
      <c r="H2484" t="s">
        <v>2826</v>
      </c>
    </row>
    <row r="2485" spans="8:8" x14ac:dyDescent="0.25">
      <c r="H2485" t="s">
        <v>135</v>
      </c>
    </row>
    <row r="2486" spans="8:8" x14ac:dyDescent="0.25">
      <c r="H2486" t="s">
        <v>3727</v>
      </c>
    </row>
    <row r="2487" spans="8:8" x14ac:dyDescent="0.25">
      <c r="H2487" t="s">
        <v>30</v>
      </c>
    </row>
    <row r="2488" spans="8:8" x14ac:dyDescent="0.25">
      <c r="H2488" t="s">
        <v>2828</v>
      </c>
    </row>
    <row r="2489" spans="8:8" x14ac:dyDescent="0.25">
      <c r="H2489" t="s">
        <v>136</v>
      </c>
    </row>
    <row r="2490" spans="8:8" x14ac:dyDescent="0.25">
      <c r="H2490" t="s">
        <v>3728</v>
      </c>
    </row>
    <row r="2491" spans="8:8" x14ac:dyDescent="0.25">
      <c r="H2491" t="s">
        <v>30</v>
      </c>
    </row>
    <row r="2493" spans="8:8" x14ac:dyDescent="0.25">
      <c r="H2493" t="s">
        <v>2268</v>
      </c>
    </row>
    <row r="2494" spans="8:8" x14ac:dyDescent="0.25">
      <c r="H2494" t="s">
        <v>2831</v>
      </c>
    </row>
    <row r="2495" spans="8:8" x14ac:dyDescent="0.25">
      <c r="H2495" t="s">
        <v>135</v>
      </c>
    </row>
    <row r="2496" spans="8:8" x14ac:dyDescent="0.25">
      <c r="H2496" t="s">
        <v>3729</v>
      </c>
    </row>
    <row r="2497" spans="8:8" x14ac:dyDescent="0.25">
      <c r="H2497" t="s">
        <v>30</v>
      </c>
    </row>
    <row r="2499" spans="8:8" x14ac:dyDescent="0.25">
      <c r="H2499" t="s">
        <v>2269</v>
      </c>
    </row>
    <row r="2500" spans="8:8" x14ac:dyDescent="0.25">
      <c r="H2500" t="s">
        <v>2834</v>
      </c>
    </row>
    <row r="2501" spans="8:8" x14ac:dyDescent="0.25">
      <c r="H2501" t="s">
        <v>135</v>
      </c>
    </row>
    <row r="2502" spans="8:8" x14ac:dyDescent="0.25">
      <c r="H2502" t="s">
        <v>3730</v>
      </c>
    </row>
    <row r="2503" spans="8:8" x14ac:dyDescent="0.25">
      <c r="H2503" t="s">
        <v>30</v>
      </c>
    </row>
    <row r="2505" spans="8:8" x14ac:dyDescent="0.25">
      <c r="H2505" t="s">
        <v>2270</v>
      </c>
    </row>
    <row r="2506" spans="8:8" x14ac:dyDescent="0.25">
      <c r="H2506" t="s">
        <v>2837</v>
      </c>
    </row>
    <row r="2507" spans="8:8" x14ac:dyDescent="0.25">
      <c r="H2507" t="s">
        <v>135</v>
      </c>
    </row>
    <row r="2508" spans="8:8" x14ac:dyDescent="0.25">
      <c r="H2508" t="s">
        <v>3731</v>
      </c>
    </row>
    <row r="2509" spans="8:8" x14ac:dyDescent="0.25">
      <c r="H2509" t="s">
        <v>30</v>
      </c>
    </row>
    <row r="2511" spans="8:8" x14ac:dyDescent="0.25">
      <c r="H2511" t="s">
        <v>2271</v>
      </c>
    </row>
    <row r="2512" spans="8:8" x14ac:dyDescent="0.25">
      <c r="H2512" t="s">
        <v>2840</v>
      </c>
    </row>
    <row r="2513" spans="8:8" x14ac:dyDescent="0.25">
      <c r="H2513" t="s">
        <v>135</v>
      </c>
    </row>
    <row r="2514" spans="8:8" x14ac:dyDescent="0.25">
      <c r="H2514" t="s">
        <v>3732</v>
      </c>
    </row>
    <row r="2515" spans="8:8" x14ac:dyDescent="0.25">
      <c r="H2515" t="s">
        <v>30</v>
      </c>
    </row>
    <row r="2517" spans="8:8" x14ac:dyDescent="0.25">
      <c r="H2517" t="s">
        <v>2272</v>
      </c>
    </row>
    <row r="2518" spans="8:8" x14ac:dyDescent="0.25">
      <c r="H2518" t="s">
        <v>2843</v>
      </c>
    </row>
    <row r="2519" spans="8:8" x14ac:dyDescent="0.25">
      <c r="H2519" t="s">
        <v>135</v>
      </c>
    </row>
    <row r="2520" spans="8:8" x14ac:dyDescent="0.25">
      <c r="H2520" t="s">
        <v>3733</v>
      </c>
    </row>
    <row r="2521" spans="8:8" x14ac:dyDescent="0.25">
      <c r="H2521" t="s">
        <v>30</v>
      </c>
    </row>
    <row r="2523" spans="8:8" x14ac:dyDescent="0.25">
      <c r="H2523" t="s">
        <v>2273</v>
      </c>
    </row>
    <row r="2524" spans="8:8" x14ac:dyDescent="0.25">
      <c r="H2524" t="s">
        <v>2846</v>
      </c>
    </row>
    <row r="2525" spans="8:8" x14ac:dyDescent="0.25">
      <c r="H2525" t="s">
        <v>135</v>
      </c>
    </row>
    <row r="2526" spans="8:8" x14ac:dyDescent="0.25">
      <c r="H2526" t="s">
        <v>3734</v>
      </c>
    </row>
    <row r="2527" spans="8:8" x14ac:dyDescent="0.25">
      <c r="H2527" t="s">
        <v>30</v>
      </c>
    </row>
    <row r="2529" spans="8:8" x14ac:dyDescent="0.25">
      <c r="H2529" t="s">
        <v>2274</v>
      </c>
    </row>
    <row r="2530" spans="8:8" x14ac:dyDescent="0.25">
      <c r="H2530" t="s">
        <v>2849</v>
      </c>
    </row>
    <row r="2531" spans="8:8" x14ac:dyDescent="0.25">
      <c r="H2531" t="s">
        <v>135</v>
      </c>
    </row>
    <row r="2532" spans="8:8" x14ac:dyDescent="0.25">
      <c r="H2532" t="s">
        <v>3735</v>
      </c>
    </row>
    <row r="2533" spans="8:8" x14ac:dyDescent="0.25">
      <c r="H2533" t="s">
        <v>30</v>
      </c>
    </row>
    <row r="2535" spans="8:8" x14ac:dyDescent="0.25">
      <c r="H2535" t="s">
        <v>2275</v>
      </c>
    </row>
    <row r="2536" spans="8:8" x14ac:dyDescent="0.25">
      <c r="H2536" t="s">
        <v>2852</v>
      </c>
    </row>
    <row r="2537" spans="8:8" x14ac:dyDescent="0.25">
      <c r="H2537" t="s">
        <v>135</v>
      </c>
    </row>
    <row r="2538" spans="8:8" x14ac:dyDescent="0.25">
      <c r="H2538" t="s">
        <v>3736</v>
      </c>
    </row>
    <row r="2539" spans="8:8" x14ac:dyDescent="0.25">
      <c r="H2539" t="s">
        <v>30</v>
      </c>
    </row>
    <row r="2541" spans="8:8" x14ac:dyDescent="0.25">
      <c r="H2541" t="s">
        <v>2276</v>
      </c>
    </row>
    <row r="2542" spans="8:8" x14ac:dyDescent="0.25">
      <c r="H2542" t="s">
        <v>2855</v>
      </c>
    </row>
    <row r="2543" spans="8:8" x14ac:dyDescent="0.25">
      <c r="H2543" t="s">
        <v>135</v>
      </c>
    </row>
    <row r="2544" spans="8:8" x14ac:dyDescent="0.25">
      <c r="H2544" t="s">
        <v>3737</v>
      </c>
    </row>
    <row r="2545" spans="8:8" x14ac:dyDescent="0.25">
      <c r="H2545" t="s">
        <v>30</v>
      </c>
    </row>
    <row r="2547" spans="8:8" x14ac:dyDescent="0.25">
      <c r="H2547" t="s">
        <v>2277</v>
      </c>
    </row>
    <row r="2548" spans="8:8" x14ac:dyDescent="0.25">
      <c r="H2548" t="s">
        <v>2858</v>
      </c>
    </row>
    <row r="2549" spans="8:8" x14ac:dyDescent="0.25">
      <c r="H2549" t="s">
        <v>135</v>
      </c>
    </row>
    <row r="2550" spans="8:8" x14ac:dyDescent="0.25">
      <c r="H2550" t="s">
        <v>3738</v>
      </c>
    </row>
    <row r="2551" spans="8:8" x14ac:dyDescent="0.25">
      <c r="H2551" t="s">
        <v>30</v>
      </c>
    </row>
    <row r="2553" spans="8:8" x14ac:dyDescent="0.25">
      <c r="H2553" t="s">
        <v>2278</v>
      </c>
    </row>
    <row r="2554" spans="8:8" x14ac:dyDescent="0.25">
      <c r="H2554" t="s">
        <v>2861</v>
      </c>
    </row>
    <row r="2555" spans="8:8" x14ac:dyDescent="0.25">
      <c r="H2555" t="s">
        <v>135</v>
      </c>
    </row>
    <row r="2556" spans="8:8" x14ac:dyDescent="0.25">
      <c r="H2556" t="s">
        <v>3739</v>
      </c>
    </row>
    <row r="2557" spans="8:8" x14ac:dyDescent="0.25">
      <c r="H2557" t="s">
        <v>30</v>
      </c>
    </row>
    <row r="2559" spans="8:8" x14ac:dyDescent="0.25">
      <c r="H2559" t="s">
        <v>2279</v>
      </c>
    </row>
    <row r="2560" spans="8:8" x14ac:dyDescent="0.25">
      <c r="H2560" t="s">
        <v>2864</v>
      </c>
    </row>
    <row r="2561" spans="8:8" x14ac:dyDescent="0.25">
      <c r="H2561" t="s">
        <v>135</v>
      </c>
    </row>
    <row r="2562" spans="8:8" x14ac:dyDescent="0.25">
      <c r="H2562" t="s">
        <v>3740</v>
      </c>
    </row>
    <row r="2563" spans="8:8" x14ac:dyDescent="0.25">
      <c r="H2563" t="s">
        <v>30</v>
      </c>
    </row>
    <row r="2565" spans="8:8" x14ac:dyDescent="0.25">
      <c r="H2565" t="s">
        <v>2280</v>
      </c>
    </row>
    <row r="2566" spans="8:8" x14ac:dyDescent="0.25">
      <c r="H2566" t="s">
        <v>2867</v>
      </c>
    </row>
    <row r="2567" spans="8:8" x14ac:dyDescent="0.25">
      <c r="H2567" t="s">
        <v>135</v>
      </c>
    </row>
    <row r="2568" spans="8:8" x14ac:dyDescent="0.25">
      <c r="H2568" t="s">
        <v>3741</v>
      </c>
    </row>
    <row r="2569" spans="8:8" x14ac:dyDescent="0.25">
      <c r="H2569" t="s">
        <v>30</v>
      </c>
    </row>
    <row r="2571" spans="8:8" x14ac:dyDescent="0.25">
      <c r="H2571" t="s">
        <v>2281</v>
      </c>
    </row>
    <row r="2572" spans="8:8" x14ac:dyDescent="0.25">
      <c r="H2572" t="s">
        <v>2870</v>
      </c>
    </row>
    <row r="2573" spans="8:8" x14ac:dyDescent="0.25">
      <c r="H2573" t="s">
        <v>135</v>
      </c>
    </row>
    <row r="2574" spans="8:8" x14ac:dyDescent="0.25">
      <c r="H2574" t="s">
        <v>3742</v>
      </c>
    </row>
    <row r="2575" spans="8:8" x14ac:dyDescent="0.25">
      <c r="H2575" t="s">
        <v>30</v>
      </c>
    </row>
    <row r="2577" spans="8:8" x14ac:dyDescent="0.25">
      <c r="H2577" t="s">
        <v>2282</v>
      </c>
    </row>
    <row r="2578" spans="8:8" x14ac:dyDescent="0.25">
      <c r="H2578" t="s">
        <v>2873</v>
      </c>
    </row>
    <row r="2579" spans="8:8" x14ac:dyDescent="0.25">
      <c r="H2579" t="s">
        <v>135</v>
      </c>
    </row>
    <row r="2580" spans="8:8" x14ac:dyDescent="0.25">
      <c r="H2580" t="s">
        <v>3743</v>
      </c>
    </row>
    <row r="2581" spans="8:8" x14ac:dyDescent="0.25">
      <c r="H2581" t="s">
        <v>30</v>
      </c>
    </row>
    <row r="2583" spans="8:8" x14ac:dyDescent="0.25">
      <c r="H2583" t="s">
        <v>2283</v>
      </c>
    </row>
    <row r="2584" spans="8:8" x14ac:dyDescent="0.25">
      <c r="H2584" t="s">
        <v>2876</v>
      </c>
    </row>
    <row r="2585" spans="8:8" x14ac:dyDescent="0.25">
      <c r="H2585" t="s">
        <v>135</v>
      </c>
    </row>
    <row r="2586" spans="8:8" x14ac:dyDescent="0.25">
      <c r="H2586" t="s">
        <v>3744</v>
      </c>
    </row>
    <row r="2587" spans="8:8" x14ac:dyDescent="0.25">
      <c r="H2587" t="s">
        <v>30</v>
      </c>
    </row>
    <row r="2589" spans="8:8" x14ac:dyDescent="0.25">
      <c r="H2589" t="s">
        <v>2284</v>
      </c>
    </row>
    <row r="2590" spans="8:8" x14ac:dyDescent="0.25">
      <c r="H2590" t="s">
        <v>2879</v>
      </c>
    </row>
    <row r="2591" spans="8:8" x14ac:dyDescent="0.25">
      <c r="H2591" t="s">
        <v>135</v>
      </c>
    </row>
    <row r="2592" spans="8:8" x14ac:dyDescent="0.25">
      <c r="H2592" t="s">
        <v>3745</v>
      </c>
    </row>
    <row r="2593" spans="8:8" x14ac:dyDescent="0.25">
      <c r="H2593" t="s">
        <v>30</v>
      </c>
    </row>
    <row r="2595" spans="8:8" x14ac:dyDescent="0.25">
      <c r="H2595" t="s">
        <v>2285</v>
      </c>
    </row>
    <row r="2596" spans="8:8" x14ac:dyDescent="0.25">
      <c r="H2596" t="s">
        <v>2882</v>
      </c>
    </row>
    <row r="2597" spans="8:8" x14ac:dyDescent="0.25">
      <c r="H2597" t="s">
        <v>135</v>
      </c>
    </row>
    <row r="2598" spans="8:8" x14ac:dyDescent="0.25">
      <c r="H2598" t="s">
        <v>3746</v>
      </c>
    </row>
    <row r="2599" spans="8:8" x14ac:dyDescent="0.25">
      <c r="H2599" t="s">
        <v>30</v>
      </c>
    </row>
    <row r="2601" spans="8:8" x14ac:dyDescent="0.25">
      <c r="H2601" t="s">
        <v>2286</v>
      </c>
    </row>
    <row r="2602" spans="8:8" x14ac:dyDescent="0.25">
      <c r="H2602" t="s">
        <v>2885</v>
      </c>
    </row>
    <row r="2603" spans="8:8" x14ac:dyDescent="0.25">
      <c r="H2603" t="s">
        <v>135</v>
      </c>
    </row>
    <row r="2604" spans="8:8" x14ac:dyDescent="0.25">
      <c r="H2604" t="s">
        <v>3747</v>
      </c>
    </row>
    <row r="2605" spans="8:8" x14ac:dyDescent="0.25">
      <c r="H2605" t="s">
        <v>30</v>
      </c>
    </row>
    <row r="2607" spans="8:8" x14ac:dyDescent="0.25">
      <c r="H2607" t="s">
        <v>2287</v>
      </c>
    </row>
    <row r="2608" spans="8:8" x14ac:dyDescent="0.25">
      <c r="H2608" t="s">
        <v>2888</v>
      </c>
    </row>
    <row r="2609" spans="8:8" x14ac:dyDescent="0.25">
      <c r="H2609" t="s">
        <v>135</v>
      </c>
    </row>
    <row r="2610" spans="8:8" x14ac:dyDescent="0.25">
      <c r="H2610" t="s">
        <v>3748</v>
      </c>
    </row>
    <row r="2611" spans="8:8" x14ac:dyDescent="0.25">
      <c r="H2611" t="s">
        <v>30</v>
      </c>
    </row>
    <row r="2613" spans="8:8" x14ac:dyDescent="0.25">
      <c r="H2613" t="s">
        <v>2288</v>
      </c>
    </row>
    <row r="2614" spans="8:8" x14ac:dyDescent="0.25">
      <c r="H2614" t="s">
        <v>2891</v>
      </c>
    </row>
    <row r="2615" spans="8:8" x14ac:dyDescent="0.25">
      <c r="H2615" t="s">
        <v>135</v>
      </c>
    </row>
    <row r="2616" spans="8:8" x14ac:dyDescent="0.25">
      <c r="H2616" t="s">
        <v>3749</v>
      </c>
    </row>
    <row r="2617" spans="8:8" x14ac:dyDescent="0.25">
      <c r="H2617" t="s">
        <v>30</v>
      </c>
    </row>
    <row r="2619" spans="8:8" x14ac:dyDescent="0.25">
      <c r="H2619" t="s">
        <v>2289</v>
      </c>
    </row>
    <row r="2620" spans="8:8" x14ac:dyDescent="0.25">
      <c r="H2620" t="s">
        <v>2894</v>
      </c>
    </row>
    <row r="2621" spans="8:8" x14ac:dyDescent="0.25">
      <c r="H2621" t="s">
        <v>135</v>
      </c>
    </row>
    <row r="2622" spans="8:8" x14ac:dyDescent="0.25">
      <c r="H2622" t="s">
        <v>3750</v>
      </c>
    </row>
    <row r="2623" spans="8:8" x14ac:dyDescent="0.25">
      <c r="H2623" t="s">
        <v>30</v>
      </c>
    </row>
    <row r="2625" spans="8:8" x14ac:dyDescent="0.25">
      <c r="H2625" t="s">
        <v>2290</v>
      </c>
    </row>
    <row r="2626" spans="8:8" x14ac:dyDescent="0.25">
      <c r="H2626" t="s">
        <v>2897</v>
      </c>
    </row>
    <row r="2627" spans="8:8" x14ac:dyDescent="0.25">
      <c r="H2627" t="s">
        <v>135</v>
      </c>
    </row>
    <row r="2628" spans="8:8" x14ac:dyDescent="0.25">
      <c r="H2628" t="s">
        <v>3751</v>
      </c>
    </row>
    <row r="2629" spans="8:8" x14ac:dyDescent="0.25">
      <c r="H2629" t="s">
        <v>30</v>
      </c>
    </row>
    <row r="2631" spans="8:8" x14ac:dyDescent="0.25">
      <c r="H2631" t="s">
        <v>2291</v>
      </c>
    </row>
    <row r="2632" spans="8:8" x14ac:dyDescent="0.25">
      <c r="H2632" t="s">
        <v>2900</v>
      </c>
    </row>
    <row r="2633" spans="8:8" x14ac:dyDescent="0.25">
      <c r="H2633" t="s">
        <v>135</v>
      </c>
    </row>
    <row r="2634" spans="8:8" x14ac:dyDescent="0.25">
      <c r="H2634" t="s">
        <v>3752</v>
      </c>
    </row>
    <row r="2635" spans="8:8" x14ac:dyDescent="0.25">
      <c r="H2635" t="s">
        <v>30</v>
      </c>
    </row>
    <row r="2637" spans="8:8" x14ac:dyDescent="0.25">
      <c r="H2637" t="s">
        <v>2292</v>
      </c>
    </row>
    <row r="2638" spans="8:8" x14ac:dyDescent="0.25">
      <c r="H2638" t="s">
        <v>2903</v>
      </c>
    </row>
    <row r="2639" spans="8:8" x14ac:dyDescent="0.25">
      <c r="H2639" t="s">
        <v>135</v>
      </c>
    </row>
    <row r="2640" spans="8:8" x14ac:dyDescent="0.25">
      <c r="H2640" t="s">
        <v>3753</v>
      </c>
    </row>
    <row r="2641" spans="8:8" x14ac:dyDescent="0.25">
      <c r="H2641" t="s">
        <v>30</v>
      </c>
    </row>
    <row r="2643" spans="8:8" x14ac:dyDescent="0.25">
      <c r="H2643" t="s">
        <v>2293</v>
      </c>
    </row>
    <row r="2644" spans="8:8" x14ac:dyDescent="0.25">
      <c r="H2644" t="s">
        <v>2906</v>
      </c>
    </row>
    <row r="2645" spans="8:8" x14ac:dyDescent="0.25">
      <c r="H2645" t="s">
        <v>135</v>
      </c>
    </row>
    <row r="2646" spans="8:8" x14ac:dyDescent="0.25">
      <c r="H2646" t="s">
        <v>3754</v>
      </c>
    </row>
    <row r="2647" spans="8:8" x14ac:dyDescent="0.25">
      <c r="H2647" t="s">
        <v>30</v>
      </c>
    </row>
    <row r="2649" spans="8:8" x14ac:dyDescent="0.25">
      <c r="H2649" t="s">
        <v>2294</v>
      </c>
    </row>
    <row r="2650" spans="8:8" x14ac:dyDescent="0.25">
      <c r="H2650" t="s">
        <v>2909</v>
      </c>
    </row>
    <row r="2651" spans="8:8" x14ac:dyDescent="0.25">
      <c r="H2651" t="s">
        <v>135</v>
      </c>
    </row>
    <row r="2652" spans="8:8" x14ac:dyDescent="0.25">
      <c r="H2652" t="s">
        <v>3755</v>
      </c>
    </row>
    <row r="2653" spans="8:8" x14ac:dyDescent="0.25">
      <c r="H2653" t="s">
        <v>30</v>
      </c>
    </row>
    <row r="2655" spans="8:8" x14ac:dyDescent="0.25">
      <c r="H2655" t="s">
        <v>2295</v>
      </c>
    </row>
    <row r="2656" spans="8:8" x14ac:dyDescent="0.25">
      <c r="H2656" t="s">
        <v>2912</v>
      </c>
    </row>
    <row r="2657" spans="8:8" x14ac:dyDescent="0.25">
      <c r="H2657" t="s">
        <v>135</v>
      </c>
    </row>
    <row r="2658" spans="8:8" x14ac:dyDescent="0.25">
      <c r="H2658" t="s">
        <v>3756</v>
      </c>
    </row>
    <row r="2659" spans="8:8" x14ac:dyDescent="0.25">
      <c r="H2659" t="s">
        <v>30</v>
      </c>
    </row>
    <row r="2661" spans="8:8" x14ac:dyDescent="0.25">
      <c r="H2661" t="s">
        <v>2296</v>
      </c>
    </row>
    <row r="2662" spans="8:8" x14ac:dyDescent="0.25">
      <c r="H2662" t="s">
        <v>2915</v>
      </c>
    </row>
    <row r="2663" spans="8:8" x14ac:dyDescent="0.25">
      <c r="H2663" t="s">
        <v>135</v>
      </c>
    </row>
    <row r="2664" spans="8:8" x14ac:dyDescent="0.25">
      <c r="H2664" t="s">
        <v>3757</v>
      </c>
    </row>
    <row r="2665" spans="8:8" x14ac:dyDescent="0.25">
      <c r="H2665" t="s">
        <v>30</v>
      </c>
    </row>
    <row r="2667" spans="8:8" x14ac:dyDescent="0.25">
      <c r="H2667" t="s">
        <v>2297</v>
      </c>
    </row>
    <row r="2668" spans="8:8" x14ac:dyDescent="0.25">
      <c r="H2668" t="s">
        <v>2918</v>
      </c>
    </row>
    <row r="2669" spans="8:8" x14ac:dyDescent="0.25">
      <c r="H2669" t="s">
        <v>135</v>
      </c>
    </row>
    <row r="2670" spans="8:8" x14ac:dyDescent="0.25">
      <c r="H2670" t="s">
        <v>3758</v>
      </c>
    </row>
    <row r="2671" spans="8:8" x14ac:dyDescent="0.25">
      <c r="H2671" t="s">
        <v>30</v>
      </c>
    </row>
    <row r="2673" spans="8:8" x14ac:dyDescent="0.25">
      <c r="H2673" t="s">
        <v>2298</v>
      </c>
    </row>
    <row r="2674" spans="8:8" x14ac:dyDescent="0.25">
      <c r="H2674" t="s">
        <v>2921</v>
      </c>
    </row>
    <row r="2675" spans="8:8" x14ac:dyDescent="0.25">
      <c r="H2675" t="s">
        <v>135</v>
      </c>
    </row>
    <row r="2676" spans="8:8" x14ac:dyDescent="0.25">
      <c r="H2676" t="s">
        <v>3759</v>
      </c>
    </row>
    <row r="2677" spans="8:8" x14ac:dyDescent="0.25">
      <c r="H2677" t="s">
        <v>30</v>
      </c>
    </row>
    <row r="2679" spans="8:8" x14ac:dyDescent="0.25">
      <c r="H2679" t="s">
        <v>2299</v>
      </c>
    </row>
    <row r="2680" spans="8:8" x14ac:dyDescent="0.25">
      <c r="H2680" t="s">
        <v>2924</v>
      </c>
    </row>
    <row r="2681" spans="8:8" x14ac:dyDescent="0.25">
      <c r="H2681" t="s">
        <v>135</v>
      </c>
    </row>
    <row r="2682" spans="8:8" x14ac:dyDescent="0.25">
      <c r="H2682" t="s">
        <v>3760</v>
      </c>
    </row>
    <row r="2683" spans="8:8" x14ac:dyDescent="0.25">
      <c r="H2683" t="s">
        <v>30</v>
      </c>
    </row>
    <row r="2685" spans="8:8" x14ac:dyDescent="0.25">
      <c r="H2685" t="s">
        <v>2300</v>
      </c>
    </row>
    <row r="2686" spans="8:8" x14ac:dyDescent="0.25">
      <c r="H2686" t="s">
        <v>2927</v>
      </c>
    </row>
    <row r="2687" spans="8:8" x14ac:dyDescent="0.25">
      <c r="H2687" t="s">
        <v>135</v>
      </c>
    </row>
    <row r="2688" spans="8:8" x14ac:dyDescent="0.25">
      <c r="H2688" t="s">
        <v>3761</v>
      </c>
    </row>
    <row r="2689" spans="8:8" x14ac:dyDescent="0.25">
      <c r="H2689" t="s">
        <v>30</v>
      </c>
    </row>
    <row r="2691" spans="8:8" x14ac:dyDescent="0.25">
      <c r="H2691" t="s">
        <v>2301</v>
      </c>
    </row>
    <row r="2692" spans="8:8" x14ac:dyDescent="0.25">
      <c r="H2692" t="s">
        <v>2930</v>
      </c>
    </row>
    <row r="2693" spans="8:8" x14ac:dyDescent="0.25">
      <c r="H2693" t="s">
        <v>135</v>
      </c>
    </row>
    <row r="2694" spans="8:8" x14ac:dyDescent="0.25">
      <c r="H2694" t="s">
        <v>3762</v>
      </c>
    </row>
    <row r="2695" spans="8:8" x14ac:dyDescent="0.25">
      <c r="H2695" t="s">
        <v>30</v>
      </c>
    </row>
    <row r="2697" spans="8:8" x14ac:dyDescent="0.25">
      <c r="H2697" t="s">
        <v>2302</v>
      </c>
    </row>
    <row r="2698" spans="8:8" x14ac:dyDescent="0.25">
      <c r="H2698" t="s">
        <v>2933</v>
      </c>
    </row>
    <row r="2699" spans="8:8" x14ac:dyDescent="0.25">
      <c r="H2699" t="s">
        <v>135</v>
      </c>
    </row>
    <row r="2700" spans="8:8" x14ac:dyDescent="0.25">
      <c r="H2700" t="s">
        <v>3763</v>
      </c>
    </row>
    <row r="2701" spans="8:8" x14ac:dyDescent="0.25">
      <c r="H2701" t="s">
        <v>30</v>
      </c>
    </row>
    <row r="2703" spans="8:8" x14ac:dyDescent="0.25">
      <c r="H2703" t="s">
        <v>2303</v>
      </c>
    </row>
    <row r="2704" spans="8:8" x14ac:dyDescent="0.25">
      <c r="H2704" t="s">
        <v>2936</v>
      </c>
    </row>
    <row r="2705" spans="8:8" x14ac:dyDescent="0.25">
      <c r="H2705" t="s">
        <v>135</v>
      </c>
    </row>
    <row r="2706" spans="8:8" x14ac:dyDescent="0.25">
      <c r="H2706" t="s">
        <v>3764</v>
      </c>
    </row>
    <row r="2707" spans="8:8" x14ac:dyDescent="0.25">
      <c r="H2707" t="s">
        <v>30</v>
      </c>
    </row>
    <row r="2709" spans="8:8" x14ac:dyDescent="0.25">
      <c r="H2709" t="s">
        <v>2304</v>
      </c>
    </row>
    <row r="2710" spans="8:8" x14ac:dyDescent="0.25">
      <c r="H2710" t="s">
        <v>2939</v>
      </c>
    </row>
    <row r="2711" spans="8:8" x14ac:dyDescent="0.25">
      <c r="H2711" t="s">
        <v>135</v>
      </c>
    </row>
    <row r="2712" spans="8:8" x14ac:dyDescent="0.25">
      <c r="H2712" t="s">
        <v>3765</v>
      </c>
    </row>
    <row r="2713" spans="8:8" x14ac:dyDescent="0.25">
      <c r="H2713" t="s">
        <v>30</v>
      </c>
    </row>
    <row r="2715" spans="8:8" x14ac:dyDescent="0.25">
      <c r="H2715" t="s">
        <v>2305</v>
      </c>
    </row>
    <row r="2716" spans="8:8" x14ac:dyDescent="0.25">
      <c r="H2716" t="s">
        <v>2942</v>
      </c>
    </row>
    <row r="2717" spans="8:8" x14ac:dyDescent="0.25">
      <c r="H2717" t="s">
        <v>135</v>
      </c>
    </row>
    <row r="2718" spans="8:8" x14ac:dyDescent="0.25">
      <c r="H2718" t="s">
        <v>3766</v>
      </c>
    </row>
    <row r="2719" spans="8:8" x14ac:dyDescent="0.25">
      <c r="H2719" t="s">
        <v>30</v>
      </c>
    </row>
    <row r="2721" spans="8:8" x14ac:dyDescent="0.25">
      <c r="H2721" t="s">
        <v>2306</v>
      </c>
    </row>
    <row r="2722" spans="8:8" x14ac:dyDescent="0.25">
      <c r="H2722" t="s">
        <v>2945</v>
      </c>
    </row>
    <row r="2723" spans="8:8" x14ac:dyDescent="0.25">
      <c r="H2723" t="s">
        <v>135</v>
      </c>
    </row>
    <row r="2724" spans="8:8" x14ac:dyDescent="0.25">
      <c r="H2724" t="s">
        <v>3767</v>
      </c>
    </row>
    <row r="2725" spans="8:8" x14ac:dyDescent="0.25">
      <c r="H2725" t="s">
        <v>30</v>
      </c>
    </row>
    <row r="2727" spans="8:8" x14ac:dyDescent="0.25">
      <c r="H2727" t="s">
        <v>2307</v>
      </c>
    </row>
    <row r="2728" spans="8:8" x14ac:dyDescent="0.25">
      <c r="H2728" t="s">
        <v>2948</v>
      </c>
    </row>
    <row r="2729" spans="8:8" x14ac:dyDescent="0.25">
      <c r="H2729" t="s">
        <v>135</v>
      </c>
    </row>
    <row r="2730" spans="8:8" x14ac:dyDescent="0.25">
      <c r="H2730" t="s">
        <v>3768</v>
      </c>
    </row>
    <row r="2731" spans="8:8" x14ac:dyDescent="0.25">
      <c r="H2731" t="s">
        <v>30</v>
      </c>
    </row>
    <row r="2733" spans="8:8" x14ac:dyDescent="0.25">
      <c r="H2733" t="s">
        <v>2308</v>
      </c>
    </row>
    <row r="2734" spans="8:8" x14ac:dyDescent="0.25">
      <c r="H2734" t="s">
        <v>2951</v>
      </c>
    </row>
    <row r="2735" spans="8:8" x14ac:dyDescent="0.25">
      <c r="H2735" t="s">
        <v>135</v>
      </c>
    </row>
    <row r="2736" spans="8:8" x14ac:dyDescent="0.25">
      <c r="H2736" t="s">
        <v>3769</v>
      </c>
    </row>
    <row r="2737" spans="8:8" x14ac:dyDescent="0.25">
      <c r="H2737" t="s">
        <v>30</v>
      </c>
    </row>
    <row r="2739" spans="8:8" x14ac:dyDescent="0.25">
      <c r="H2739" t="s">
        <v>2309</v>
      </c>
    </row>
    <row r="2740" spans="8:8" x14ac:dyDescent="0.25">
      <c r="H2740" t="s">
        <v>2954</v>
      </c>
    </row>
    <row r="2741" spans="8:8" x14ac:dyDescent="0.25">
      <c r="H2741" t="s">
        <v>135</v>
      </c>
    </row>
    <row r="2742" spans="8:8" x14ac:dyDescent="0.25">
      <c r="H2742" t="s">
        <v>3770</v>
      </c>
    </row>
    <row r="2743" spans="8:8" x14ac:dyDescent="0.25">
      <c r="H2743" t="s">
        <v>30</v>
      </c>
    </row>
    <row r="2745" spans="8:8" x14ac:dyDescent="0.25">
      <c r="H2745" t="s">
        <v>2310</v>
      </c>
    </row>
    <row r="2746" spans="8:8" x14ac:dyDescent="0.25">
      <c r="H2746" t="s">
        <v>2957</v>
      </c>
    </row>
    <row r="2747" spans="8:8" x14ac:dyDescent="0.25">
      <c r="H2747" t="s">
        <v>135</v>
      </c>
    </row>
    <row r="2748" spans="8:8" x14ac:dyDescent="0.25">
      <c r="H2748" t="s">
        <v>3771</v>
      </c>
    </row>
    <row r="2749" spans="8:8" x14ac:dyDescent="0.25">
      <c r="H2749" t="s">
        <v>30</v>
      </c>
    </row>
    <row r="2751" spans="8:8" x14ac:dyDescent="0.25">
      <c r="H2751" t="s">
        <v>2311</v>
      </c>
    </row>
    <row r="2752" spans="8:8" x14ac:dyDescent="0.25">
      <c r="H2752" t="s">
        <v>2960</v>
      </c>
    </row>
    <row r="2753" spans="8:8" x14ac:dyDescent="0.25">
      <c r="H2753" t="s">
        <v>135</v>
      </c>
    </row>
    <row r="2754" spans="8:8" x14ac:dyDescent="0.25">
      <c r="H2754" t="s">
        <v>3772</v>
      </c>
    </row>
    <row r="2755" spans="8:8" x14ac:dyDescent="0.25">
      <c r="H2755" t="s">
        <v>30</v>
      </c>
    </row>
    <row r="2757" spans="8:8" x14ac:dyDescent="0.25">
      <c r="H2757" t="s">
        <v>2312</v>
      </c>
    </row>
    <row r="2758" spans="8:8" x14ac:dyDescent="0.25">
      <c r="H2758" t="s">
        <v>2963</v>
      </c>
    </row>
    <row r="2759" spans="8:8" x14ac:dyDescent="0.25">
      <c r="H2759" t="s">
        <v>135</v>
      </c>
    </row>
    <row r="2760" spans="8:8" x14ac:dyDescent="0.25">
      <c r="H2760" t="s">
        <v>3773</v>
      </c>
    </row>
    <row r="2761" spans="8:8" x14ac:dyDescent="0.25">
      <c r="H2761" t="s">
        <v>30</v>
      </c>
    </row>
    <row r="2763" spans="8:8" x14ac:dyDescent="0.25">
      <c r="H2763" t="s">
        <v>2313</v>
      </c>
    </row>
    <row r="2764" spans="8:8" x14ac:dyDescent="0.25">
      <c r="H2764" t="s">
        <v>2966</v>
      </c>
    </row>
    <row r="2765" spans="8:8" x14ac:dyDescent="0.25">
      <c r="H2765" t="s">
        <v>135</v>
      </c>
    </row>
    <row r="2766" spans="8:8" x14ac:dyDescent="0.25">
      <c r="H2766" t="s">
        <v>3774</v>
      </c>
    </row>
    <row r="2767" spans="8:8" x14ac:dyDescent="0.25">
      <c r="H2767" t="s">
        <v>30</v>
      </c>
    </row>
    <row r="2769" spans="8:8" x14ac:dyDescent="0.25">
      <c r="H2769" t="s">
        <v>2314</v>
      </c>
    </row>
    <row r="2770" spans="8:8" x14ac:dyDescent="0.25">
      <c r="H2770" t="s">
        <v>2969</v>
      </c>
    </row>
    <row r="2771" spans="8:8" x14ac:dyDescent="0.25">
      <c r="H2771" t="s">
        <v>135</v>
      </c>
    </row>
    <row r="2772" spans="8:8" x14ac:dyDescent="0.25">
      <c r="H2772" t="s">
        <v>3775</v>
      </c>
    </row>
    <row r="2773" spans="8:8" x14ac:dyDescent="0.25">
      <c r="H2773" t="s">
        <v>30</v>
      </c>
    </row>
    <row r="2775" spans="8:8" x14ac:dyDescent="0.25">
      <c r="H2775" t="s">
        <v>2315</v>
      </c>
    </row>
    <row r="2776" spans="8:8" x14ac:dyDescent="0.25">
      <c r="H2776" t="s">
        <v>2972</v>
      </c>
    </row>
    <row r="2777" spans="8:8" x14ac:dyDescent="0.25">
      <c r="H2777" t="s">
        <v>135</v>
      </c>
    </row>
    <row r="2778" spans="8:8" x14ac:dyDescent="0.25">
      <c r="H2778" t="s">
        <v>3776</v>
      </c>
    </row>
    <row r="2779" spans="8:8" x14ac:dyDescent="0.25">
      <c r="H2779" t="s">
        <v>30</v>
      </c>
    </row>
    <row r="2781" spans="8:8" x14ac:dyDescent="0.25">
      <c r="H2781" t="s">
        <v>2316</v>
      </c>
    </row>
    <row r="2782" spans="8:8" x14ac:dyDescent="0.25">
      <c r="H2782" t="s">
        <v>2975</v>
      </c>
    </row>
    <row r="2783" spans="8:8" x14ac:dyDescent="0.25">
      <c r="H2783" t="s">
        <v>135</v>
      </c>
    </row>
    <row r="2784" spans="8:8" x14ac:dyDescent="0.25">
      <c r="H2784" t="s">
        <v>3777</v>
      </c>
    </row>
    <row r="2785" spans="8:8" x14ac:dyDescent="0.25">
      <c r="H2785" t="s">
        <v>30</v>
      </c>
    </row>
    <row r="2787" spans="8:8" x14ac:dyDescent="0.25">
      <c r="H2787" t="s">
        <v>2317</v>
      </c>
    </row>
    <row r="2788" spans="8:8" x14ac:dyDescent="0.25">
      <c r="H2788" t="s">
        <v>2978</v>
      </c>
    </row>
    <row r="2789" spans="8:8" x14ac:dyDescent="0.25">
      <c r="H2789" t="s">
        <v>135</v>
      </c>
    </row>
    <row r="2790" spans="8:8" x14ac:dyDescent="0.25">
      <c r="H2790" t="s">
        <v>3778</v>
      </c>
    </row>
    <row r="2791" spans="8:8" x14ac:dyDescent="0.25">
      <c r="H2791" t="s">
        <v>30</v>
      </c>
    </row>
    <row r="2793" spans="8:8" x14ac:dyDescent="0.25">
      <c r="H2793" t="s">
        <v>2318</v>
      </c>
    </row>
    <row r="2794" spans="8:8" x14ac:dyDescent="0.25">
      <c r="H2794" t="s">
        <v>2981</v>
      </c>
    </row>
    <row r="2795" spans="8:8" x14ac:dyDescent="0.25">
      <c r="H2795" t="s">
        <v>135</v>
      </c>
    </row>
    <row r="2796" spans="8:8" x14ac:dyDescent="0.25">
      <c r="H2796" t="s">
        <v>3779</v>
      </c>
    </row>
    <row r="2797" spans="8:8" x14ac:dyDescent="0.25">
      <c r="H2797" t="s">
        <v>30</v>
      </c>
    </row>
    <row r="2799" spans="8:8" x14ac:dyDescent="0.25">
      <c r="H2799" t="s">
        <v>2319</v>
      </c>
    </row>
    <row r="2800" spans="8:8" x14ac:dyDescent="0.25">
      <c r="H2800" t="s">
        <v>2984</v>
      </c>
    </row>
    <row r="2801" spans="8:8" x14ac:dyDescent="0.25">
      <c r="H2801" t="s">
        <v>135</v>
      </c>
    </row>
    <row r="2802" spans="8:8" x14ac:dyDescent="0.25">
      <c r="H2802" t="s">
        <v>3780</v>
      </c>
    </row>
    <row r="2803" spans="8:8" x14ac:dyDescent="0.25">
      <c r="H2803" t="s">
        <v>30</v>
      </c>
    </row>
    <row r="2805" spans="8:8" x14ac:dyDescent="0.25">
      <c r="H2805" t="s">
        <v>2320</v>
      </c>
    </row>
    <row r="2806" spans="8:8" x14ac:dyDescent="0.25">
      <c r="H2806" t="s">
        <v>2987</v>
      </c>
    </row>
    <row r="2807" spans="8:8" x14ac:dyDescent="0.25">
      <c r="H2807" t="s">
        <v>135</v>
      </c>
    </row>
    <row r="2808" spans="8:8" x14ac:dyDescent="0.25">
      <c r="H2808" t="s">
        <v>3781</v>
      </c>
    </row>
    <row r="2809" spans="8:8" x14ac:dyDescent="0.25">
      <c r="H2809" t="s">
        <v>30</v>
      </c>
    </row>
    <row r="2811" spans="8:8" x14ac:dyDescent="0.25">
      <c r="H2811" t="s">
        <v>2321</v>
      </c>
    </row>
    <row r="2812" spans="8:8" x14ac:dyDescent="0.25">
      <c r="H2812" t="s">
        <v>2990</v>
      </c>
    </row>
    <row r="2813" spans="8:8" x14ac:dyDescent="0.25">
      <c r="H2813" t="s">
        <v>135</v>
      </c>
    </row>
    <row r="2814" spans="8:8" x14ac:dyDescent="0.25">
      <c r="H2814" t="s">
        <v>3782</v>
      </c>
    </row>
    <row r="2815" spans="8:8" x14ac:dyDescent="0.25">
      <c r="H2815" t="s">
        <v>30</v>
      </c>
    </row>
    <row r="2817" spans="8:8" x14ac:dyDescent="0.25">
      <c r="H2817" t="s">
        <v>2322</v>
      </c>
    </row>
    <row r="2818" spans="8:8" x14ac:dyDescent="0.25">
      <c r="H2818" t="s">
        <v>2993</v>
      </c>
    </row>
    <row r="2819" spans="8:8" x14ac:dyDescent="0.25">
      <c r="H2819" t="s">
        <v>135</v>
      </c>
    </row>
    <row r="2820" spans="8:8" x14ac:dyDescent="0.25">
      <c r="H2820" t="s">
        <v>3783</v>
      </c>
    </row>
    <row r="2821" spans="8:8" x14ac:dyDescent="0.25">
      <c r="H2821" t="s">
        <v>30</v>
      </c>
    </row>
    <row r="2823" spans="8:8" x14ac:dyDescent="0.25">
      <c r="H2823" t="s">
        <v>2323</v>
      </c>
    </row>
    <row r="2824" spans="8:8" x14ac:dyDescent="0.25">
      <c r="H2824" t="s">
        <v>2996</v>
      </c>
    </row>
    <row r="2825" spans="8:8" x14ac:dyDescent="0.25">
      <c r="H2825" t="s">
        <v>135</v>
      </c>
    </row>
    <row r="2826" spans="8:8" x14ac:dyDescent="0.25">
      <c r="H2826" t="s">
        <v>3784</v>
      </c>
    </row>
    <row r="2827" spans="8:8" x14ac:dyDescent="0.25">
      <c r="H2827" t="s">
        <v>30</v>
      </c>
    </row>
    <row r="2829" spans="8:8" x14ac:dyDescent="0.25">
      <c r="H2829" t="s">
        <v>2324</v>
      </c>
    </row>
    <row r="2830" spans="8:8" x14ac:dyDescent="0.25">
      <c r="H2830" t="s">
        <v>2999</v>
      </c>
    </row>
    <row r="2831" spans="8:8" x14ac:dyDescent="0.25">
      <c r="H2831" t="s">
        <v>135</v>
      </c>
    </row>
    <row r="2832" spans="8:8" x14ac:dyDescent="0.25">
      <c r="H2832" t="s">
        <v>3785</v>
      </c>
    </row>
    <row r="2833" spans="8:8" x14ac:dyDescent="0.25">
      <c r="H2833" t="s">
        <v>30</v>
      </c>
    </row>
    <row r="2835" spans="8:8" x14ac:dyDescent="0.25">
      <c r="H2835" t="s">
        <v>2325</v>
      </c>
    </row>
    <row r="2836" spans="8:8" x14ac:dyDescent="0.25">
      <c r="H2836" t="s">
        <v>3002</v>
      </c>
    </row>
    <row r="2837" spans="8:8" x14ac:dyDescent="0.25">
      <c r="H2837" t="s">
        <v>135</v>
      </c>
    </row>
    <row r="2838" spans="8:8" x14ac:dyDescent="0.25">
      <c r="H2838" t="s">
        <v>3786</v>
      </c>
    </row>
    <row r="2839" spans="8:8" x14ac:dyDescent="0.25">
      <c r="H2839" t="s">
        <v>30</v>
      </c>
    </row>
    <row r="2841" spans="8:8" x14ac:dyDescent="0.25">
      <c r="H2841" t="s">
        <v>2326</v>
      </c>
    </row>
    <row r="2842" spans="8:8" x14ac:dyDescent="0.25">
      <c r="H2842" t="s">
        <v>3005</v>
      </c>
    </row>
    <row r="2843" spans="8:8" x14ac:dyDescent="0.25">
      <c r="H2843" t="s">
        <v>135</v>
      </c>
    </row>
    <row r="2844" spans="8:8" x14ac:dyDescent="0.25">
      <c r="H2844" t="s">
        <v>3787</v>
      </c>
    </row>
    <row r="2845" spans="8:8" x14ac:dyDescent="0.25">
      <c r="H2845" t="s">
        <v>30</v>
      </c>
    </row>
    <row r="2847" spans="8:8" x14ac:dyDescent="0.25">
      <c r="H2847" t="s">
        <v>2327</v>
      </c>
    </row>
    <row r="2848" spans="8:8" x14ac:dyDescent="0.25">
      <c r="H2848" t="s">
        <v>3008</v>
      </c>
    </row>
    <row r="2849" spans="8:8" x14ac:dyDescent="0.25">
      <c r="H2849" t="s">
        <v>135</v>
      </c>
    </row>
    <row r="2850" spans="8:8" x14ac:dyDescent="0.25">
      <c r="H2850" t="s">
        <v>3788</v>
      </c>
    </row>
    <row r="2851" spans="8:8" x14ac:dyDescent="0.25">
      <c r="H2851" t="s">
        <v>30</v>
      </c>
    </row>
    <row r="2853" spans="8:8" x14ac:dyDescent="0.25">
      <c r="H2853" t="s">
        <v>2328</v>
      </c>
    </row>
    <row r="2854" spans="8:8" x14ac:dyDescent="0.25">
      <c r="H2854" t="s">
        <v>3011</v>
      </c>
    </row>
    <row r="2855" spans="8:8" x14ac:dyDescent="0.25">
      <c r="H2855" t="s">
        <v>135</v>
      </c>
    </row>
    <row r="2856" spans="8:8" x14ac:dyDescent="0.25">
      <c r="H2856" t="s">
        <v>3789</v>
      </c>
    </row>
    <row r="2857" spans="8:8" x14ac:dyDescent="0.25">
      <c r="H2857" t="s">
        <v>30</v>
      </c>
    </row>
    <row r="2859" spans="8:8" x14ac:dyDescent="0.25">
      <c r="H2859" t="s">
        <v>2329</v>
      </c>
    </row>
    <row r="2860" spans="8:8" x14ac:dyDescent="0.25">
      <c r="H2860" t="s">
        <v>3014</v>
      </c>
    </row>
    <row r="2861" spans="8:8" x14ac:dyDescent="0.25">
      <c r="H2861" t="s">
        <v>135</v>
      </c>
    </row>
    <row r="2862" spans="8:8" x14ac:dyDescent="0.25">
      <c r="H2862" t="s">
        <v>3790</v>
      </c>
    </row>
    <row r="2863" spans="8:8" x14ac:dyDescent="0.25">
      <c r="H2863" t="s">
        <v>30</v>
      </c>
    </row>
    <row r="2865" spans="8:8" x14ac:dyDescent="0.25">
      <c r="H2865" t="s">
        <v>2330</v>
      </c>
    </row>
    <row r="2866" spans="8:8" x14ac:dyDescent="0.25">
      <c r="H2866" t="s">
        <v>3017</v>
      </c>
    </row>
    <row r="2867" spans="8:8" x14ac:dyDescent="0.25">
      <c r="H2867" t="s">
        <v>135</v>
      </c>
    </row>
    <row r="2868" spans="8:8" x14ac:dyDescent="0.25">
      <c r="H2868" t="s">
        <v>3791</v>
      </c>
    </row>
    <row r="2869" spans="8:8" x14ac:dyDescent="0.25">
      <c r="H2869" t="s">
        <v>30</v>
      </c>
    </row>
    <row r="2871" spans="8:8" x14ac:dyDescent="0.25">
      <c r="H2871" t="s">
        <v>2331</v>
      </c>
    </row>
    <row r="2872" spans="8:8" x14ac:dyDescent="0.25">
      <c r="H2872" t="s">
        <v>3020</v>
      </c>
    </row>
    <row r="2873" spans="8:8" x14ac:dyDescent="0.25">
      <c r="H2873" t="s">
        <v>135</v>
      </c>
    </row>
    <row r="2874" spans="8:8" x14ac:dyDescent="0.25">
      <c r="H2874" t="s">
        <v>3792</v>
      </c>
    </row>
    <row r="2875" spans="8:8" x14ac:dyDescent="0.25">
      <c r="H2875" t="s">
        <v>30</v>
      </c>
    </row>
    <row r="2877" spans="8:8" x14ac:dyDescent="0.25">
      <c r="H2877" t="s">
        <v>2332</v>
      </c>
    </row>
    <row r="2878" spans="8:8" x14ac:dyDescent="0.25">
      <c r="H2878" t="s">
        <v>3023</v>
      </c>
    </row>
    <row r="2879" spans="8:8" x14ac:dyDescent="0.25">
      <c r="H2879" t="s">
        <v>135</v>
      </c>
    </row>
    <row r="2880" spans="8:8" x14ac:dyDescent="0.25">
      <c r="H2880" t="s">
        <v>3793</v>
      </c>
    </row>
    <row r="2881" spans="8:8" x14ac:dyDescent="0.25">
      <c r="H2881" t="s">
        <v>30</v>
      </c>
    </row>
    <row r="2883" spans="8:8" x14ac:dyDescent="0.25">
      <c r="H2883" t="s">
        <v>2333</v>
      </c>
    </row>
    <row r="2884" spans="8:8" x14ac:dyDescent="0.25">
      <c r="H2884" t="s">
        <v>3026</v>
      </c>
    </row>
    <row r="2885" spans="8:8" x14ac:dyDescent="0.25">
      <c r="H2885" t="s">
        <v>135</v>
      </c>
    </row>
    <row r="2886" spans="8:8" x14ac:dyDescent="0.25">
      <c r="H2886" t="s">
        <v>3794</v>
      </c>
    </row>
    <row r="2887" spans="8:8" x14ac:dyDescent="0.25">
      <c r="H2887" t="s">
        <v>30</v>
      </c>
    </row>
    <row r="2889" spans="8:8" x14ac:dyDescent="0.25">
      <c r="H2889" t="s">
        <v>2334</v>
      </c>
    </row>
    <row r="2890" spans="8:8" x14ac:dyDescent="0.25">
      <c r="H2890" t="s">
        <v>3029</v>
      </c>
    </row>
    <row r="2891" spans="8:8" x14ac:dyDescent="0.25">
      <c r="H2891" t="s">
        <v>135</v>
      </c>
    </row>
    <row r="2892" spans="8:8" x14ac:dyDescent="0.25">
      <c r="H2892" t="s">
        <v>3795</v>
      </c>
    </row>
    <row r="2893" spans="8:8" x14ac:dyDescent="0.25">
      <c r="H2893" t="s">
        <v>30</v>
      </c>
    </row>
    <row r="2895" spans="8:8" x14ac:dyDescent="0.25">
      <c r="H2895" t="s">
        <v>2335</v>
      </c>
    </row>
    <row r="2896" spans="8:8" x14ac:dyDescent="0.25">
      <c r="H2896" t="s">
        <v>3032</v>
      </c>
    </row>
    <row r="2897" spans="8:8" x14ac:dyDescent="0.25">
      <c r="H2897" t="s">
        <v>135</v>
      </c>
    </row>
    <row r="2898" spans="8:8" x14ac:dyDescent="0.25">
      <c r="H2898" t="s">
        <v>3796</v>
      </c>
    </row>
    <row r="2899" spans="8:8" x14ac:dyDescent="0.25">
      <c r="H2899" t="s">
        <v>30</v>
      </c>
    </row>
    <row r="2901" spans="8:8" x14ac:dyDescent="0.25">
      <c r="H2901" t="s">
        <v>2336</v>
      </c>
    </row>
    <row r="2902" spans="8:8" x14ac:dyDescent="0.25">
      <c r="H2902" t="s">
        <v>3035</v>
      </c>
    </row>
    <row r="2903" spans="8:8" x14ac:dyDescent="0.25">
      <c r="H2903" t="s">
        <v>135</v>
      </c>
    </row>
    <row r="2904" spans="8:8" x14ac:dyDescent="0.25">
      <c r="H2904" t="s">
        <v>3797</v>
      </c>
    </row>
    <row r="2905" spans="8:8" x14ac:dyDescent="0.25">
      <c r="H2905" t="s">
        <v>30</v>
      </c>
    </row>
    <row r="2907" spans="8:8" x14ac:dyDescent="0.25">
      <c r="H2907" t="s">
        <v>2337</v>
      </c>
    </row>
    <row r="2908" spans="8:8" x14ac:dyDescent="0.25">
      <c r="H2908" t="s">
        <v>3038</v>
      </c>
    </row>
    <row r="2909" spans="8:8" x14ac:dyDescent="0.25">
      <c r="H2909" t="s">
        <v>135</v>
      </c>
    </row>
    <row r="2910" spans="8:8" x14ac:dyDescent="0.25">
      <c r="H2910" t="s">
        <v>3798</v>
      </c>
    </row>
    <row r="2911" spans="8:8" x14ac:dyDescent="0.25">
      <c r="H2911" t="s">
        <v>30</v>
      </c>
    </row>
    <row r="2913" spans="8:8" x14ac:dyDescent="0.25">
      <c r="H2913" t="s">
        <v>2338</v>
      </c>
    </row>
    <row r="2914" spans="8:8" x14ac:dyDescent="0.25">
      <c r="H2914" t="s">
        <v>3041</v>
      </c>
    </row>
    <row r="2915" spans="8:8" x14ac:dyDescent="0.25">
      <c r="H2915" t="s">
        <v>135</v>
      </c>
    </row>
    <row r="2916" spans="8:8" x14ac:dyDescent="0.25">
      <c r="H2916" t="s">
        <v>3799</v>
      </c>
    </row>
    <row r="2917" spans="8:8" x14ac:dyDescent="0.25">
      <c r="H2917" t="s">
        <v>30</v>
      </c>
    </row>
    <row r="2919" spans="8:8" x14ac:dyDescent="0.25">
      <c r="H2919" t="s">
        <v>2339</v>
      </c>
    </row>
    <row r="2920" spans="8:8" x14ac:dyDescent="0.25">
      <c r="H2920" t="s">
        <v>3044</v>
      </c>
    </row>
    <row r="2921" spans="8:8" x14ac:dyDescent="0.25">
      <c r="H2921" t="s">
        <v>135</v>
      </c>
    </row>
    <row r="2922" spans="8:8" x14ac:dyDescent="0.25">
      <c r="H2922" t="s">
        <v>3800</v>
      </c>
    </row>
    <row r="2923" spans="8:8" x14ac:dyDescent="0.25">
      <c r="H2923" t="s">
        <v>30</v>
      </c>
    </row>
    <row r="2925" spans="8:8" x14ac:dyDescent="0.25">
      <c r="H2925" t="s">
        <v>2340</v>
      </c>
    </row>
    <row r="2926" spans="8:8" x14ac:dyDescent="0.25">
      <c r="H2926" t="s">
        <v>3047</v>
      </c>
    </row>
    <row r="2927" spans="8:8" x14ac:dyDescent="0.25">
      <c r="H2927" t="s">
        <v>135</v>
      </c>
    </row>
    <row r="2928" spans="8:8" x14ac:dyDescent="0.25">
      <c r="H2928" t="s">
        <v>3801</v>
      </c>
    </row>
    <row r="2929" spans="8:8" x14ac:dyDescent="0.25">
      <c r="H2929" t="s">
        <v>30</v>
      </c>
    </row>
    <row r="2931" spans="8:8" x14ac:dyDescent="0.25">
      <c r="H2931" t="s">
        <v>2341</v>
      </c>
    </row>
    <row r="2932" spans="8:8" x14ac:dyDescent="0.25">
      <c r="H2932" t="s">
        <v>3050</v>
      </c>
    </row>
    <row r="2933" spans="8:8" x14ac:dyDescent="0.25">
      <c r="H2933" t="s">
        <v>135</v>
      </c>
    </row>
    <row r="2934" spans="8:8" x14ac:dyDescent="0.25">
      <c r="H2934" t="s">
        <v>3802</v>
      </c>
    </row>
    <row r="2935" spans="8:8" x14ac:dyDescent="0.25">
      <c r="H2935" t="s">
        <v>30</v>
      </c>
    </row>
    <row r="2937" spans="8:8" x14ac:dyDescent="0.25">
      <c r="H2937" t="s">
        <v>2342</v>
      </c>
    </row>
    <row r="2938" spans="8:8" x14ac:dyDescent="0.25">
      <c r="H2938" t="s">
        <v>3053</v>
      </c>
    </row>
    <row r="2939" spans="8:8" x14ac:dyDescent="0.25">
      <c r="H2939" t="s">
        <v>135</v>
      </c>
    </row>
    <row r="2940" spans="8:8" x14ac:dyDescent="0.25">
      <c r="H2940" t="s">
        <v>3803</v>
      </c>
    </row>
    <row r="2941" spans="8:8" x14ac:dyDescent="0.25">
      <c r="H2941" t="s">
        <v>30</v>
      </c>
    </row>
    <row r="2943" spans="8:8" x14ac:dyDescent="0.25">
      <c r="H2943" t="s">
        <v>2343</v>
      </c>
    </row>
    <row r="2944" spans="8:8" x14ac:dyDescent="0.25">
      <c r="H2944" t="s">
        <v>3056</v>
      </c>
    </row>
    <row r="2945" spans="8:8" x14ac:dyDescent="0.25">
      <c r="H2945" t="s">
        <v>135</v>
      </c>
    </row>
    <row r="2946" spans="8:8" x14ac:dyDescent="0.25">
      <c r="H2946" t="s">
        <v>3804</v>
      </c>
    </row>
    <row r="2947" spans="8:8" x14ac:dyDescent="0.25">
      <c r="H2947" t="s">
        <v>30</v>
      </c>
    </row>
    <row r="2949" spans="8:8" x14ac:dyDescent="0.25">
      <c r="H2949" t="s">
        <v>2344</v>
      </c>
    </row>
    <row r="2950" spans="8:8" x14ac:dyDescent="0.25">
      <c r="H2950" t="s">
        <v>3059</v>
      </c>
    </row>
    <row r="2951" spans="8:8" x14ac:dyDescent="0.25">
      <c r="H2951" t="s">
        <v>135</v>
      </c>
    </row>
    <row r="2952" spans="8:8" x14ac:dyDescent="0.25">
      <c r="H2952" t="s">
        <v>3805</v>
      </c>
    </row>
    <row r="2953" spans="8:8" x14ac:dyDescent="0.25">
      <c r="H2953" t="s">
        <v>30</v>
      </c>
    </row>
    <row r="2955" spans="8:8" x14ac:dyDescent="0.25">
      <c r="H2955" t="s">
        <v>2345</v>
      </c>
    </row>
    <row r="2956" spans="8:8" x14ac:dyDescent="0.25">
      <c r="H2956" t="s">
        <v>3062</v>
      </c>
    </row>
    <row r="2957" spans="8:8" x14ac:dyDescent="0.25">
      <c r="H2957" t="s">
        <v>135</v>
      </c>
    </row>
    <row r="2958" spans="8:8" x14ac:dyDescent="0.25">
      <c r="H2958" t="s">
        <v>3806</v>
      </c>
    </row>
    <row r="2959" spans="8:8" x14ac:dyDescent="0.25">
      <c r="H2959" t="s">
        <v>30</v>
      </c>
    </row>
    <row r="2961" spans="8:8" x14ac:dyDescent="0.25">
      <c r="H2961" t="s">
        <v>2346</v>
      </c>
    </row>
    <row r="2962" spans="8:8" x14ac:dyDescent="0.25">
      <c r="H2962" t="s">
        <v>3065</v>
      </c>
    </row>
    <row r="2963" spans="8:8" x14ac:dyDescent="0.25">
      <c r="H2963" t="s">
        <v>135</v>
      </c>
    </row>
    <row r="2964" spans="8:8" x14ac:dyDescent="0.25">
      <c r="H2964" t="s">
        <v>3807</v>
      </c>
    </row>
    <row r="2965" spans="8:8" x14ac:dyDescent="0.25">
      <c r="H2965" t="s">
        <v>30</v>
      </c>
    </row>
    <row r="2967" spans="8:8" x14ac:dyDescent="0.25">
      <c r="H2967" t="s">
        <v>2347</v>
      </c>
    </row>
    <row r="2968" spans="8:8" x14ac:dyDescent="0.25">
      <c r="H2968" t="s">
        <v>3068</v>
      </c>
    </row>
    <row r="2969" spans="8:8" x14ac:dyDescent="0.25">
      <c r="H2969" t="s">
        <v>135</v>
      </c>
    </row>
    <row r="2970" spans="8:8" x14ac:dyDescent="0.25">
      <c r="H2970" t="s">
        <v>3808</v>
      </c>
    </row>
    <row r="2971" spans="8:8" x14ac:dyDescent="0.25">
      <c r="H2971" t="s">
        <v>30</v>
      </c>
    </row>
    <row r="2973" spans="8:8" x14ac:dyDescent="0.25">
      <c r="H2973" t="s">
        <v>2348</v>
      </c>
    </row>
    <row r="2974" spans="8:8" x14ac:dyDescent="0.25">
      <c r="H2974" t="s">
        <v>3071</v>
      </c>
    </row>
    <row r="2975" spans="8:8" x14ac:dyDescent="0.25">
      <c r="H2975" t="s">
        <v>135</v>
      </c>
    </row>
    <row r="2976" spans="8:8" x14ac:dyDescent="0.25">
      <c r="H2976" t="s">
        <v>3809</v>
      </c>
    </row>
    <row r="2977" spans="8:8" x14ac:dyDescent="0.25">
      <c r="H2977" t="s">
        <v>30</v>
      </c>
    </row>
    <row r="2979" spans="8:8" x14ac:dyDescent="0.25">
      <c r="H2979" t="s">
        <v>2349</v>
      </c>
    </row>
    <row r="2980" spans="8:8" x14ac:dyDescent="0.25">
      <c r="H2980" t="s">
        <v>3074</v>
      </c>
    </row>
    <row r="2981" spans="8:8" x14ac:dyDescent="0.25">
      <c r="H2981" t="s">
        <v>135</v>
      </c>
    </row>
    <row r="2982" spans="8:8" x14ac:dyDescent="0.25">
      <c r="H2982" t="s">
        <v>3810</v>
      </c>
    </row>
    <row r="2983" spans="8:8" x14ac:dyDescent="0.25">
      <c r="H2983" t="s">
        <v>30</v>
      </c>
    </row>
    <row r="2985" spans="8:8" x14ac:dyDescent="0.25">
      <c r="H2985" t="s">
        <v>2350</v>
      </c>
    </row>
    <row r="2986" spans="8:8" x14ac:dyDescent="0.25">
      <c r="H2986" t="s">
        <v>3077</v>
      </c>
    </row>
    <row r="2987" spans="8:8" x14ac:dyDescent="0.25">
      <c r="H2987" t="s">
        <v>135</v>
      </c>
    </row>
    <row r="2988" spans="8:8" x14ac:dyDescent="0.25">
      <c r="H2988" t="s">
        <v>3811</v>
      </c>
    </row>
    <row r="2989" spans="8:8" x14ac:dyDescent="0.25">
      <c r="H2989" t="s">
        <v>30</v>
      </c>
    </row>
    <row r="2991" spans="8:8" x14ac:dyDescent="0.25">
      <c r="H2991" t="s">
        <v>2351</v>
      </c>
    </row>
    <row r="2992" spans="8:8" x14ac:dyDescent="0.25">
      <c r="H2992" t="s">
        <v>3080</v>
      </c>
    </row>
    <row r="2993" spans="8:8" x14ac:dyDescent="0.25">
      <c r="H2993" t="s">
        <v>135</v>
      </c>
    </row>
    <row r="2994" spans="8:8" x14ac:dyDescent="0.25">
      <c r="H2994" t="s">
        <v>3812</v>
      </c>
    </row>
    <row r="2995" spans="8:8" x14ac:dyDescent="0.25">
      <c r="H2995" t="s">
        <v>30</v>
      </c>
    </row>
    <row r="2997" spans="8:8" x14ac:dyDescent="0.25">
      <c r="H2997" t="s">
        <v>2352</v>
      </c>
    </row>
    <row r="2998" spans="8:8" x14ac:dyDescent="0.25">
      <c r="H2998" t="s">
        <v>3083</v>
      </c>
    </row>
    <row r="2999" spans="8:8" x14ac:dyDescent="0.25">
      <c r="H2999" t="s">
        <v>135</v>
      </c>
    </row>
    <row r="3000" spans="8:8" x14ac:dyDescent="0.25">
      <c r="H3000" t="s">
        <v>3813</v>
      </c>
    </row>
    <row r="3001" spans="8:8" x14ac:dyDescent="0.25">
      <c r="H3001" t="s">
        <v>30</v>
      </c>
    </row>
    <row r="3003" spans="8:8" x14ac:dyDescent="0.25">
      <c r="H3003" t="s">
        <v>2353</v>
      </c>
    </row>
    <row r="3004" spans="8:8" x14ac:dyDescent="0.25">
      <c r="H3004" t="s">
        <v>3086</v>
      </c>
    </row>
    <row r="3005" spans="8:8" x14ac:dyDescent="0.25">
      <c r="H3005" t="s">
        <v>135</v>
      </c>
    </row>
    <row r="3006" spans="8:8" x14ac:dyDescent="0.25">
      <c r="H3006" t="s">
        <v>3814</v>
      </c>
    </row>
    <row r="3007" spans="8:8" x14ac:dyDescent="0.25">
      <c r="H3007" t="s">
        <v>30</v>
      </c>
    </row>
    <row r="3009" spans="8:8" x14ac:dyDescent="0.25">
      <c r="H3009" t="s">
        <v>2354</v>
      </c>
    </row>
    <row r="3010" spans="8:8" x14ac:dyDescent="0.25">
      <c r="H3010" t="s">
        <v>3089</v>
      </c>
    </row>
    <row r="3011" spans="8:8" x14ac:dyDescent="0.25">
      <c r="H3011" t="s">
        <v>135</v>
      </c>
    </row>
    <row r="3012" spans="8:8" x14ac:dyDescent="0.25">
      <c r="H3012" t="s">
        <v>3815</v>
      </c>
    </row>
    <row r="3013" spans="8:8" x14ac:dyDescent="0.25">
      <c r="H3013" t="s">
        <v>30</v>
      </c>
    </row>
    <row r="3015" spans="8:8" x14ac:dyDescent="0.25">
      <c r="H3015" t="s">
        <v>2355</v>
      </c>
    </row>
    <row r="3016" spans="8:8" x14ac:dyDescent="0.25">
      <c r="H3016" t="s">
        <v>3092</v>
      </c>
    </row>
    <row r="3017" spans="8:8" x14ac:dyDescent="0.25">
      <c r="H3017" t="s">
        <v>135</v>
      </c>
    </row>
    <row r="3018" spans="8:8" x14ac:dyDescent="0.25">
      <c r="H3018" t="s">
        <v>3816</v>
      </c>
    </row>
    <row r="3019" spans="8:8" x14ac:dyDescent="0.25">
      <c r="H3019" t="s">
        <v>30</v>
      </c>
    </row>
    <row r="3021" spans="8:8" x14ac:dyDescent="0.25">
      <c r="H3021" t="s">
        <v>2356</v>
      </c>
    </row>
    <row r="3022" spans="8:8" x14ac:dyDescent="0.25">
      <c r="H3022" t="s">
        <v>3095</v>
      </c>
    </row>
    <row r="3023" spans="8:8" x14ac:dyDescent="0.25">
      <c r="H3023" t="s">
        <v>135</v>
      </c>
    </row>
    <row r="3024" spans="8:8" x14ac:dyDescent="0.25">
      <c r="H3024" t="s">
        <v>3817</v>
      </c>
    </row>
    <row r="3025" spans="8:8" x14ac:dyDescent="0.25">
      <c r="H3025" t="s">
        <v>30</v>
      </c>
    </row>
    <row r="3027" spans="8:8" x14ac:dyDescent="0.25">
      <c r="H3027" t="s">
        <v>2357</v>
      </c>
    </row>
    <row r="3028" spans="8:8" x14ac:dyDescent="0.25">
      <c r="H3028" t="s">
        <v>3098</v>
      </c>
    </row>
    <row r="3029" spans="8:8" x14ac:dyDescent="0.25">
      <c r="H3029" t="s">
        <v>135</v>
      </c>
    </row>
    <row r="3030" spans="8:8" x14ac:dyDescent="0.25">
      <c r="H3030" t="s">
        <v>3818</v>
      </c>
    </row>
    <row r="3031" spans="8:8" x14ac:dyDescent="0.25">
      <c r="H3031" t="s">
        <v>30</v>
      </c>
    </row>
    <row r="3033" spans="8:8" x14ac:dyDescent="0.25">
      <c r="H3033" t="s">
        <v>2358</v>
      </c>
    </row>
    <row r="3034" spans="8:8" x14ac:dyDescent="0.25">
      <c r="H3034" t="s">
        <v>3101</v>
      </c>
    </row>
    <row r="3035" spans="8:8" x14ac:dyDescent="0.25">
      <c r="H3035" t="s">
        <v>135</v>
      </c>
    </row>
    <row r="3036" spans="8:8" x14ac:dyDescent="0.25">
      <c r="H3036" t="s">
        <v>3819</v>
      </c>
    </row>
    <row r="3037" spans="8:8" x14ac:dyDescent="0.25">
      <c r="H3037" t="s">
        <v>30</v>
      </c>
    </row>
    <row r="3039" spans="8:8" x14ac:dyDescent="0.25">
      <c r="H3039" t="s">
        <v>2359</v>
      </c>
    </row>
    <row r="3040" spans="8:8" x14ac:dyDescent="0.25">
      <c r="H3040" t="s">
        <v>3104</v>
      </c>
    </row>
    <row r="3041" spans="8:8" x14ac:dyDescent="0.25">
      <c r="H3041" t="s">
        <v>135</v>
      </c>
    </row>
    <row r="3042" spans="8:8" x14ac:dyDescent="0.25">
      <c r="H3042" t="s">
        <v>3820</v>
      </c>
    </row>
    <row r="3043" spans="8:8" x14ac:dyDescent="0.25">
      <c r="H3043" t="s">
        <v>30</v>
      </c>
    </row>
    <row r="3045" spans="8:8" x14ac:dyDescent="0.25">
      <c r="H3045" t="s">
        <v>2360</v>
      </c>
    </row>
    <row r="3046" spans="8:8" x14ac:dyDescent="0.25">
      <c r="H3046" t="s">
        <v>3107</v>
      </c>
    </row>
    <row r="3047" spans="8:8" x14ac:dyDescent="0.25">
      <c r="H3047" t="s">
        <v>135</v>
      </c>
    </row>
    <row r="3048" spans="8:8" x14ac:dyDescent="0.25">
      <c r="H3048" t="s">
        <v>3821</v>
      </c>
    </row>
    <row r="3049" spans="8:8" x14ac:dyDescent="0.25">
      <c r="H3049" t="s">
        <v>30</v>
      </c>
    </row>
    <row r="3051" spans="8:8" x14ac:dyDescent="0.25">
      <c r="H3051" t="s">
        <v>2361</v>
      </c>
    </row>
    <row r="3052" spans="8:8" x14ac:dyDescent="0.25">
      <c r="H3052" t="s">
        <v>3110</v>
      </c>
    </row>
    <row r="3053" spans="8:8" x14ac:dyDescent="0.25">
      <c r="H3053" t="s">
        <v>135</v>
      </c>
    </row>
    <row r="3054" spans="8:8" x14ac:dyDescent="0.25">
      <c r="H3054" t="s">
        <v>3822</v>
      </c>
    </row>
    <row r="3055" spans="8:8" x14ac:dyDescent="0.25">
      <c r="H3055" t="s">
        <v>30</v>
      </c>
    </row>
    <row r="3057" spans="8:8" x14ac:dyDescent="0.25">
      <c r="H3057" t="s">
        <v>2362</v>
      </c>
    </row>
    <row r="3058" spans="8:8" x14ac:dyDescent="0.25">
      <c r="H3058" t="s">
        <v>3113</v>
      </c>
    </row>
    <row r="3059" spans="8:8" x14ac:dyDescent="0.25">
      <c r="H3059" t="s">
        <v>135</v>
      </c>
    </row>
    <row r="3060" spans="8:8" x14ac:dyDescent="0.25">
      <c r="H3060" t="s">
        <v>3823</v>
      </c>
    </row>
    <row r="3061" spans="8:8" x14ac:dyDescent="0.25">
      <c r="H3061" t="s">
        <v>30</v>
      </c>
    </row>
    <row r="3063" spans="8:8" x14ac:dyDescent="0.25">
      <c r="H3063" t="s">
        <v>2363</v>
      </c>
    </row>
    <row r="3064" spans="8:8" x14ac:dyDescent="0.25">
      <c r="H3064" t="s">
        <v>3116</v>
      </c>
    </row>
    <row r="3065" spans="8:8" x14ac:dyDescent="0.25">
      <c r="H3065" t="s">
        <v>135</v>
      </c>
    </row>
    <row r="3066" spans="8:8" x14ac:dyDescent="0.25">
      <c r="H3066" t="s">
        <v>3824</v>
      </c>
    </row>
    <row r="3067" spans="8:8" x14ac:dyDescent="0.25">
      <c r="H3067" t="s">
        <v>30</v>
      </c>
    </row>
    <row r="3069" spans="8:8" x14ac:dyDescent="0.25">
      <c r="H3069" t="s">
        <v>2364</v>
      </c>
    </row>
    <row r="3070" spans="8:8" x14ac:dyDescent="0.25">
      <c r="H3070" t="s">
        <v>3119</v>
      </c>
    </row>
    <row r="3071" spans="8:8" x14ac:dyDescent="0.25">
      <c r="H3071" t="s">
        <v>135</v>
      </c>
    </row>
    <row r="3072" spans="8:8" x14ac:dyDescent="0.25">
      <c r="H3072" t="s">
        <v>3825</v>
      </c>
    </row>
    <row r="3073" spans="8:8" x14ac:dyDescent="0.25">
      <c r="H3073" t="s">
        <v>30</v>
      </c>
    </row>
    <row r="3075" spans="8:8" x14ac:dyDescent="0.25">
      <c r="H3075" t="s">
        <v>2365</v>
      </c>
    </row>
    <row r="3076" spans="8:8" x14ac:dyDescent="0.25">
      <c r="H3076" t="s">
        <v>3122</v>
      </c>
    </row>
    <row r="3077" spans="8:8" x14ac:dyDescent="0.25">
      <c r="H3077" t="s">
        <v>135</v>
      </c>
    </row>
    <row r="3078" spans="8:8" x14ac:dyDescent="0.25">
      <c r="H3078" t="s">
        <v>3826</v>
      </c>
    </row>
    <row r="3079" spans="8:8" x14ac:dyDescent="0.25">
      <c r="H3079" t="s">
        <v>30</v>
      </c>
    </row>
    <row r="3081" spans="8:8" x14ac:dyDescent="0.25">
      <c r="H3081" t="s">
        <v>2366</v>
      </c>
    </row>
    <row r="3082" spans="8:8" x14ac:dyDescent="0.25">
      <c r="H3082" t="s">
        <v>3125</v>
      </c>
    </row>
    <row r="3083" spans="8:8" x14ac:dyDescent="0.25">
      <c r="H3083" t="s">
        <v>135</v>
      </c>
    </row>
    <row r="3084" spans="8:8" x14ac:dyDescent="0.25">
      <c r="H3084" t="s">
        <v>3827</v>
      </c>
    </row>
    <row r="3085" spans="8:8" x14ac:dyDescent="0.25">
      <c r="H3085" t="s">
        <v>30</v>
      </c>
    </row>
    <row r="3087" spans="8:8" x14ac:dyDescent="0.25">
      <c r="H3087" t="s">
        <v>2367</v>
      </c>
    </row>
    <row r="3088" spans="8:8" x14ac:dyDescent="0.25">
      <c r="H3088" t="s">
        <v>3128</v>
      </c>
    </row>
    <row r="3089" spans="8:8" x14ac:dyDescent="0.25">
      <c r="H3089" t="s">
        <v>135</v>
      </c>
    </row>
    <row r="3090" spans="8:8" x14ac:dyDescent="0.25">
      <c r="H3090" t="s">
        <v>3828</v>
      </c>
    </row>
    <row r="3091" spans="8:8" x14ac:dyDescent="0.25">
      <c r="H3091" t="s">
        <v>30</v>
      </c>
    </row>
    <row r="3093" spans="8:8" x14ac:dyDescent="0.25">
      <c r="H3093" t="s">
        <v>2368</v>
      </c>
    </row>
    <row r="3094" spans="8:8" x14ac:dyDescent="0.25">
      <c r="H3094" t="s">
        <v>3131</v>
      </c>
    </row>
    <row r="3095" spans="8:8" x14ac:dyDescent="0.25">
      <c r="H3095" t="s">
        <v>135</v>
      </c>
    </row>
    <row r="3096" spans="8:8" x14ac:dyDescent="0.25">
      <c r="H3096" t="s">
        <v>3829</v>
      </c>
    </row>
    <row r="3097" spans="8:8" x14ac:dyDescent="0.25">
      <c r="H3097" t="s">
        <v>30</v>
      </c>
    </row>
    <row r="3099" spans="8:8" x14ac:dyDescent="0.25">
      <c r="H3099" t="s">
        <v>2369</v>
      </c>
    </row>
    <row r="3100" spans="8:8" x14ac:dyDescent="0.25">
      <c r="H3100" t="s">
        <v>3134</v>
      </c>
    </row>
    <row r="3101" spans="8:8" x14ac:dyDescent="0.25">
      <c r="H3101" t="s">
        <v>135</v>
      </c>
    </row>
    <row r="3102" spans="8:8" x14ac:dyDescent="0.25">
      <c r="H3102" t="s">
        <v>3830</v>
      </c>
    </row>
    <row r="3103" spans="8:8" x14ac:dyDescent="0.25">
      <c r="H3103" t="s">
        <v>30</v>
      </c>
    </row>
    <row r="3105" spans="8:8" x14ac:dyDescent="0.25">
      <c r="H3105" t="s">
        <v>2370</v>
      </c>
    </row>
    <row r="3106" spans="8:8" x14ac:dyDescent="0.25">
      <c r="H3106" t="s">
        <v>3137</v>
      </c>
    </row>
    <row r="3107" spans="8:8" x14ac:dyDescent="0.25">
      <c r="H3107" t="s">
        <v>135</v>
      </c>
    </row>
    <row r="3108" spans="8:8" x14ac:dyDescent="0.25">
      <c r="H3108" t="s">
        <v>3831</v>
      </c>
    </row>
    <row r="3109" spans="8:8" x14ac:dyDescent="0.25">
      <c r="H3109" t="s">
        <v>30</v>
      </c>
    </row>
    <row r="3111" spans="8:8" x14ac:dyDescent="0.25">
      <c r="H3111" t="s">
        <v>2371</v>
      </c>
    </row>
    <row r="3112" spans="8:8" x14ac:dyDescent="0.25">
      <c r="H3112" t="s">
        <v>3140</v>
      </c>
    </row>
    <row r="3113" spans="8:8" x14ac:dyDescent="0.25">
      <c r="H3113" t="s">
        <v>135</v>
      </c>
    </row>
    <row r="3114" spans="8:8" x14ac:dyDescent="0.25">
      <c r="H3114" t="s">
        <v>3832</v>
      </c>
    </row>
    <row r="3115" spans="8:8" x14ac:dyDescent="0.25">
      <c r="H3115" t="s">
        <v>30</v>
      </c>
    </row>
    <row r="3117" spans="8:8" x14ac:dyDescent="0.25">
      <c r="H3117" t="s">
        <v>2372</v>
      </c>
    </row>
    <row r="3118" spans="8:8" x14ac:dyDescent="0.25">
      <c r="H3118" t="s">
        <v>3143</v>
      </c>
    </row>
    <row r="3119" spans="8:8" x14ac:dyDescent="0.25">
      <c r="H3119" t="s">
        <v>135</v>
      </c>
    </row>
    <row r="3120" spans="8:8" x14ac:dyDescent="0.25">
      <c r="H3120" t="s">
        <v>3833</v>
      </c>
    </row>
    <row r="3121" spans="8:8" x14ac:dyDescent="0.25">
      <c r="H3121" t="s">
        <v>30</v>
      </c>
    </row>
    <row r="3123" spans="8:8" x14ac:dyDescent="0.25">
      <c r="H3123" t="s">
        <v>2373</v>
      </c>
    </row>
    <row r="3124" spans="8:8" x14ac:dyDescent="0.25">
      <c r="H3124" t="s">
        <v>3146</v>
      </c>
    </row>
    <row r="3125" spans="8:8" x14ac:dyDescent="0.25">
      <c r="H3125" t="s">
        <v>135</v>
      </c>
    </row>
    <row r="3126" spans="8:8" x14ac:dyDescent="0.25">
      <c r="H3126" t="s">
        <v>3834</v>
      </c>
    </row>
    <row r="3127" spans="8:8" x14ac:dyDescent="0.25">
      <c r="H3127" t="s">
        <v>30</v>
      </c>
    </row>
    <row r="3129" spans="8:8" x14ac:dyDescent="0.25">
      <c r="H3129" t="s">
        <v>2374</v>
      </c>
    </row>
    <row r="3130" spans="8:8" x14ac:dyDescent="0.25">
      <c r="H3130" t="s">
        <v>3149</v>
      </c>
    </row>
    <row r="3131" spans="8:8" x14ac:dyDescent="0.25">
      <c r="H3131" t="s">
        <v>135</v>
      </c>
    </row>
    <row r="3132" spans="8:8" x14ac:dyDescent="0.25">
      <c r="H3132" t="s">
        <v>3835</v>
      </c>
    </row>
    <row r="3133" spans="8:8" x14ac:dyDescent="0.25">
      <c r="H3133" t="s">
        <v>30</v>
      </c>
    </row>
    <row r="3135" spans="8:8" x14ac:dyDescent="0.25">
      <c r="H3135" t="s">
        <v>2375</v>
      </c>
    </row>
    <row r="3136" spans="8:8" x14ac:dyDescent="0.25">
      <c r="H3136" t="s">
        <v>3152</v>
      </c>
    </row>
    <row r="3137" spans="8:8" x14ac:dyDescent="0.25">
      <c r="H3137" t="s">
        <v>135</v>
      </c>
    </row>
    <row r="3138" spans="8:8" x14ac:dyDescent="0.25">
      <c r="H3138" t="s">
        <v>3836</v>
      </c>
    </row>
    <row r="3139" spans="8:8" x14ac:dyDescent="0.25">
      <c r="H3139" t="s">
        <v>30</v>
      </c>
    </row>
    <row r="3141" spans="8:8" x14ac:dyDescent="0.25">
      <c r="H3141" t="s">
        <v>2376</v>
      </c>
    </row>
    <row r="3142" spans="8:8" x14ac:dyDescent="0.25">
      <c r="H3142" t="s">
        <v>3155</v>
      </c>
    </row>
    <row r="3143" spans="8:8" x14ac:dyDescent="0.25">
      <c r="H3143" t="s">
        <v>135</v>
      </c>
    </row>
    <row r="3144" spans="8:8" x14ac:dyDescent="0.25">
      <c r="H3144" t="s">
        <v>3837</v>
      </c>
    </row>
    <row r="3145" spans="8:8" x14ac:dyDescent="0.25">
      <c r="H3145" t="s">
        <v>30</v>
      </c>
    </row>
    <row r="3147" spans="8:8" x14ac:dyDescent="0.25">
      <c r="H3147" t="s">
        <v>2377</v>
      </c>
    </row>
    <row r="3148" spans="8:8" x14ac:dyDescent="0.25">
      <c r="H3148" t="s">
        <v>3158</v>
      </c>
    </row>
    <row r="3149" spans="8:8" x14ac:dyDescent="0.25">
      <c r="H3149" t="s">
        <v>135</v>
      </c>
    </row>
    <row r="3150" spans="8:8" x14ac:dyDescent="0.25">
      <c r="H3150" t="s">
        <v>3838</v>
      </c>
    </row>
    <row r="3151" spans="8:8" x14ac:dyDescent="0.25">
      <c r="H3151" t="s">
        <v>30</v>
      </c>
    </row>
    <row r="3153" spans="8:8" x14ac:dyDescent="0.25">
      <c r="H3153" t="s">
        <v>2378</v>
      </c>
    </row>
    <row r="3154" spans="8:8" x14ac:dyDescent="0.25">
      <c r="H3154" t="s">
        <v>3161</v>
      </c>
    </row>
    <row r="3155" spans="8:8" x14ac:dyDescent="0.25">
      <c r="H3155" t="s">
        <v>135</v>
      </c>
    </row>
    <row r="3156" spans="8:8" x14ac:dyDescent="0.25">
      <c r="H3156" t="s">
        <v>3839</v>
      </c>
    </row>
    <row r="3157" spans="8:8" x14ac:dyDescent="0.25">
      <c r="H3157" t="s">
        <v>30</v>
      </c>
    </row>
    <row r="3159" spans="8:8" x14ac:dyDescent="0.25">
      <c r="H3159" t="s">
        <v>2379</v>
      </c>
    </row>
    <row r="3160" spans="8:8" x14ac:dyDescent="0.25">
      <c r="H3160" t="s">
        <v>3164</v>
      </c>
    </row>
    <row r="3161" spans="8:8" x14ac:dyDescent="0.25">
      <c r="H3161" t="s">
        <v>135</v>
      </c>
    </row>
    <row r="3162" spans="8:8" x14ac:dyDescent="0.25">
      <c r="H3162" t="s">
        <v>3840</v>
      </c>
    </row>
    <row r="3163" spans="8:8" x14ac:dyDescent="0.25">
      <c r="H3163" t="s">
        <v>30</v>
      </c>
    </row>
    <row r="3165" spans="8:8" x14ac:dyDescent="0.25">
      <c r="H3165" t="s">
        <v>2380</v>
      </c>
    </row>
    <row r="3166" spans="8:8" x14ac:dyDescent="0.25">
      <c r="H3166" t="s">
        <v>3167</v>
      </c>
    </row>
    <row r="3167" spans="8:8" x14ac:dyDescent="0.25">
      <c r="H3167" t="s">
        <v>135</v>
      </c>
    </row>
    <row r="3168" spans="8:8" x14ac:dyDescent="0.25">
      <c r="H3168" t="s">
        <v>3841</v>
      </c>
    </row>
    <row r="3169" spans="8:8" x14ac:dyDescent="0.25">
      <c r="H3169" t="s">
        <v>30</v>
      </c>
    </row>
    <row r="3171" spans="8:8" x14ac:dyDescent="0.25">
      <c r="H3171" t="s">
        <v>2381</v>
      </c>
    </row>
    <row r="3172" spans="8:8" x14ac:dyDescent="0.25">
      <c r="H3172" t="s">
        <v>3170</v>
      </c>
    </row>
    <row r="3173" spans="8:8" x14ac:dyDescent="0.25">
      <c r="H3173" t="s">
        <v>135</v>
      </c>
    </row>
    <row r="3174" spans="8:8" x14ac:dyDescent="0.25">
      <c r="H3174" t="s">
        <v>3842</v>
      </c>
    </row>
    <row r="3175" spans="8:8" x14ac:dyDescent="0.25">
      <c r="H3175" t="s">
        <v>30</v>
      </c>
    </row>
    <row r="3177" spans="8:8" x14ac:dyDescent="0.25">
      <c r="H3177" t="s">
        <v>2382</v>
      </c>
    </row>
    <row r="3178" spans="8:8" x14ac:dyDescent="0.25">
      <c r="H3178" t="s">
        <v>3173</v>
      </c>
    </row>
    <row r="3179" spans="8:8" x14ac:dyDescent="0.25">
      <c r="H3179" t="s">
        <v>135</v>
      </c>
    </row>
    <row r="3180" spans="8:8" x14ac:dyDescent="0.25">
      <c r="H3180" t="s">
        <v>3843</v>
      </c>
    </row>
    <row r="3181" spans="8:8" x14ac:dyDescent="0.25">
      <c r="H3181" t="s">
        <v>30</v>
      </c>
    </row>
    <row r="3183" spans="8:8" x14ac:dyDescent="0.25">
      <c r="H3183" t="s">
        <v>2383</v>
      </c>
    </row>
    <row r="3184" spans="8:8" x14ac:dyDescent="0.25">
      <c r="H3184" t="s">
        <v>3176</v>
      </c>
    </row>
    <row r="3185" spans="8:8" x14ac:dyDescent="0.25">
      <c r="H3185" t="s">
        <v>135</v>
      </c>
    </row>
    <row r="3186" spans="8:8" x14ac:dyDescent="0.25">
      <c r="H3186" t="s">
        <v>3844</v>
      </c>
    </row>
    <row r="3187" spans="8:8" x14ac:dyDescent="0.25">
      <c r="H3187" t="s">
        <v>30</v>
      </c>
    </row>
    <row r="3189" spans="8:8" x14ac:dyDescent="0.25">
      <c r="H3189" t="s">
        <v>2384</v>
      </c>
    </row>
    <row r="3190" spans="8:8" x14ac:dyDescent="0.25">
      <c r="H3190" t="s">
        <v>3179</v>
      </c>
    </row>
    <row r="3191" spans="8:8" x14ac:dyDescent="0.25">
      <c r="H3191" t="s">
        <v>135</v>
      </c>
    </row>
    <row r="3192" spans="8:8" x14ac:dyDescent="0.25">
      <c r="H3192" t="s">
        <v>3845</v>
      </c>
    </row>
    <row r="3193" spans="8:8" x14ac:dyDescent="0.25">
      <c r="H3193" t="s">
        <v>30</v>
      </c>
    </row>
    <row r="3195" spans="8:8" x14ac:dyDescent="0.25">
      <c r="H3195" t="s">
        <v>2385</v>
      </c>
    </row>
    <row r="3196" spans="8:8" x14ac:dyDescent="0.25">
      <c r="H3196" t="s">
        <v>3182</v>
      </c>
    </row>
    <row r="3197" spans="8:8" x14ac:dyDescent="0.25">
      <c r="H3197" t="s">
        <v>135</v>
      </c>
    </row>
    <row r="3198" spans="8:8" x14ac:dyDescent="0.25">
      <c r="H3198" t="s">
        <v>3846</v>
      </c>
    </row>
    <row r="3199" spans="8:8" x14ac:dyDescent="0.25">
      <c r="H3199" t="s">
        <v>30</v>
      </c>
    </row>
    <row r="3201" spans="8:8" x14ac:dyDescent="0.25">
      <c r="H3201" t="s">
        <v>2386</v>
      </c>
    </row>
    <row r="3202" spans="8:8" x14ac:dyDescent="0.25">
      <c r="H3202" t="s">
        <v>3185</v>
      </c>
    </row>
    <row r="3203" spans="8:8" x14ac:dyDescent="0.25">
      <c r="H3203" t="s">
        <v>135</v>
      </c>
    </row>
    <row r="3204" spans="8:8" x14ac:dyDescent="0.25">
      <c r="H3204" t="s">
        <v>3847</v>
      </c>
    </row>
    <row r="3205" spans="8:8" x14ac:dyDescent="0.25">
      <c r="H3205" t="s">
        <v>30</v>
      </c>
    </row>
    <row r="3207" spans="8:8" x14ac:dyDescent="0.25">
      <c r="H3207" t="s">
        <v>2387</v>
      </c>
    </row>
    <row r="3208" spans="8:8" x14ac:dyDescent="0.25">
      <c r="H3208" t="s">
        <v>3188</v>
      </c>
    </row>
    <row r="3209" spans="8:8" x14ac:dyDescent="0.25">
      <c r="H3209" t="s">
        <v>135</v>
      </c>
    </row>
    <row r="3210" spans="8:8" x14ac:dyDescent="0.25">
      <c r="H3210" t="s">
        <v>3848</v>
      </c>
    </row>
    <row r="3211" spans="8:8" x14ac:dyDescent="0.25">
      <c r="H3211" t="s">
        <v>30</v>
      </c>
    </row>
    <row r="3213" spans="8:8" x14ac:dyDescent="0.25">
      <c r="H3213" t="s">
        <v>2388</v>
      </c>
    </row>
    <row r="3214" spans="8:8" x14ac:dyDescent="0.25">
      <c r="H3214" t="s">
        <v>3191</v>
      </c>
    </row>
    <row r="3215" spans="8:8" x14ac:dyDescent="0.25">
      <c r="H3215" t="s">
        <v>135</v>
      </c>
    </row>
    <row r="3216" spans="8:8" x14ac:dyDescent="0.25">
      <c r="H3216" t="s">
        <v>3849</v>
      </c>
    </row>
    <row r="3217" spans="8:8" x14ac:dyDescent="0.25">
      <c r="H3217" t="s">
        <v>30</v>
      </c>
    </row>
    <row r="3219" spans="8:8" x14ac:dyDescent="0.25">
      <c r="H3219" t="s">
        <v>2389</v>
      </c>
    </row>
    <row r="3220" spans="8:8" x14ac:dyDescent="0.25">
      <c r="H3220" t="s">
        <v>3194</v>
      </c>
    </row>
    <row r="3221" spans="8:8" x14ac:dyDescent="0.25">
      <c r="H3221" t="s">
        <v>135</v>
      </c>
    </row>
    <row r="3222" spans="8:8" x14ac:dyDescent="0.25">
      <c r="H3222" t="s">
        <v>3850</v>
      </c>
    </row>
    <row r="3223" spans="8:8" x14ac:dyDescent="0.25">
      <c r="H3223" t="s">
        <v>30</v>
      </c>
    </row>
    <row r="3225" spans="8:8" x14ac:dyDescent="0.25">
      <c r="H3225" t="s">
        <v>2390</v>
      </c>
    </row>
    <row r="3226" spans="8:8" x14ac:dyDescent="0.25">
      <c r="H3226" t="s">
        <v>3197</v>
      </c>
    </row>
    <row r="3227" spans="8:8" x14ac:dyDescent="0.25">
      <c r="H3227" t="s">
        <v>135</v>
      </c>
    </row>
    <row r="3228" spans="8:8" x14ac:dyDescent="0.25">
      <c r="H3228" t="s">
        <v>3851</v>
      </c>
    </row>
    <row r="3229" spans="8:8" x14ac:dyDescent="0.25">
      <c r="H3229" t="s">
        <v>30</v>
      </c>
    </row>
    <row r="3231" spans="8:8" x14ac:dyDescent="0.25">
      <c r="H3231" t="s">
        <v>2391</v>
      </c>
    </row>
    <row r="3232" spans="8:8" x14ac:dyDescent="0.25">
      <c r="H3232" t="s">
        <v>3200</v>
      </c>
    </row>
    <row r="3233" spans="8:8" x14ac:dyDescent="0.25">
      <c r="H3233" t="s">
        <v>135</v>
      </c>
    </row>
    <row r="3234" spans="8:8" x14ac:dyDescent="0.25">
      <c r="H3234" t="s">
        <v>3852</v>
      </c>
    </row>
    <row r="3235" spans="8:8" x14ac:dyDescent="0.25">
      <c r="H3235" t="s">
        <v>30</v>
      </c>
    </row>
    <row r="3237" spans="8:8" x14ac:dyDescent="0.25">
      <c r="H3237" t="s">
        <v>2392</v>
      </c>
    </row>
    <row r="3238" spans="8:8" x14ac:dyDescent="0.25">
      <c r="H3238" t="s">
        <v>3203</v>
      </c>
    </row>
    <row r="3239" spans="8:8" x14ac:dyDescent="0.25">
      <c r="H3239" t="s">
        <v>135</v>
      </c>
    </row>
    <row r="3240" spans="8:8" x14ac:dyDescent="0.25">
      <c r="H3240" t="s">
        <v>3853</v>
      </c>
    </row>
    <row r="3241" spans="8:8" x14ac:dyDescent="0.25">
      <c r="H3241" t="s">
        <v>30</v>
      </c>
    </row>
    <row r="3243" spans="8:8" x14ac:dyDescent="0.25">
      <c r="H3243" t="s">
        <v>2393</v>
      </c>
    </row>
    <row r="3244" spans="8:8" x14ac:dyDescent="0.25">
      <c r="H3244" t="s">
        <v>3206</v>
      </c>
    </row>
    <row r="3245" spans="8:8" x14ac:dyDescent="0.25">
      <c r="H3245" t="s">
        <v>135</v>
      </c>
    </row>
    <row r="3246" spans="8:8" x14ac:dyDescent="0.25">
      <c r="H3246" t="s">
        <v>3854</v>
      </c>
    </row>
    <row r="3247" spans="8:8" x14ac:dyDescent="0.25">
      <c r="H3247" t="s">
        <v>30</v>
      </c>
    </row>
    <row r="3249" spans="8:8" x14ac:dyDescent="0.25">
      <c r="H3249" t="s">
        <v>2394</v>
      </c>
    </row>
    <row r="3250" spans="8:8" x14ac:dyDescent="0.25">
      <c r="H3250" t="s">
        <v>3209</v>
      </c>
    </row>
    <row r="3251" spans="8:8" x14ac:dyDescent="0.25">
      <c r="H3251" t="s">
        <v>135</v>
      </c>
    </row>
    <row r="3252" spans="8:8" x14ac:dyDescent="0.25">
      <c r="H3252" t="s">
        <v>3855</v>
      </c>
    </row>
    <row r="3253" spans="8:8" x14ac:dyDescent="0.25">
      <c r="H3253" t="s">
        <v>30</v>
      </c>
    </row>
    <row r="3255" spans="8:8" x14ac:dyDescent="0.25">
      <c r="H3255" t="s">
        <v>2395</v>
      </c>
    </row>
    <row r="3256" spans="8:8" x14ac:dyDescent="0.25">
      <c r="H3256" t="s">
        <v>3212</v>
      </c>
    </row>
    <row r="3257" spans="8:8" x14ac:dyDescent="0.25">
      <c r="H3257" t="s">
        <v>135</v>
      </c>
    </row>
    <row r="3258" spans="8:8" x14ac:dyDescent="0.25">
      <c r="H3258" t="s">
        <v>3856</v>
      </c>
    </row>
    <row r="3259" spans="8:8" x14ac:dyDescent="0.25">
      <c r="H3259" t="s">
        <v>30</v>
      </c>
    </row>
    <row r="3261" spans="8:8" x14ac:dyDescent="0.25">
      <c r="H3261" t="s">
        <v>2396</v>
      </c>
    </row>
    <row r="3262" spans="8:8" x14ac:dyDescent="0.25">
      <c r="H3262" t="s">
        <v>3215</v>
      </c>
    </row>
    <row r="3263" spans="8:8" x14ac:dyDescent="0.25">
      <c r="H3263" t="s">
        <v>135</v>
      </c>
    </row>
    <row r="3264" spans="8:8" x14ac:dyDescent="0.25">
      <c r="H3264" t="s">
        <v>3857</v>
      </c>
    </row>
    <row r="3265" spans="8:8" x14ac:dyDescent="0.25">
      <c r="H3265" t="s">
        <v>30</v>
      </c>
    </row>
    <row r="3267" spans="8:8" x14ac:dyDescent="0.25">
      <c r="H3267" t="s">
        <v>2397</v>
      </c>
    </row>
    <row r="3268" spans="8:8" x14ac:dyDescent="0.25">
      <c r="H3268" t="s">
        <v>3218</v>
      </c>
    </row>
    <row r="3269" spans="8:8" x14ac:dyDescent="0.25">
      <c r="H3269" t="s">
        <v>135</v>
      </c>
    </row>
    <row r="3270" spans="8:8" x14ac:dyDescent="0.25">
      <c r="H3270" t="s">
        <v>3858</v>
      </c>
    </row>
    <row r="3271" spans="8:8" x14ac:dyDescent="0.25">
      <c r="H3271" t="s">
        <v>30</v>
      </c>
    </row>
    <row r="3273" spans="8:8" x14ac:dyDescent="0.25">
      <c r="H3273" t="s">
        <v>2398</v>
      </c>
    </row>
    <row r="3274" spans="8:8" x14ac:dyDescent="0.25">
      <c r="H3274" t="s">
        <v>3221</v>
      </c>
    </row>
    <row r="3275" spans="8:8" x14ac:dyDescent="0.25">
      <c r="H3275" t="s">
        <v>135</v>
      </c>
    </row>
    <row r="3276" spans="8:8" x14ac:dyDescent="0.25">
      <c r="H3276" t="s">
        <v>3859</v>
      </c>
    </row>
    <row r="3277" spans="8:8" x14ac:dyDescent="0.25">
      <c r="H3277" t="s">
        <v>30</v>
      </c>
    </row>
    <row r="3279" spans="8:8" x14ac:dyDescent="0.25">
      <c r="H3279" t="s">
        <v>2399</v>
      </c>
    </row>
    <row r="3280" spans="8:8" x14ac:dyDescent="0.25">
      <c r="H3280" t="s">
        <v>3224</v>
      </c>
    </row>
    <row r="3281" spans="8:8" x14ac:dyDescent="0.25">
      <c r="H3281" t="s">
        <v>135</v>
      </c>
    </row>
    <row r="3282" spans="8:8" x14ac:dyDescent="0.25">
      <c r="H3282" t="s">
        <v>3860</v>
      </c>
    </row>
    <row r="3283" spans="8:8" x14ac:dyDescent="0.25">
      <c r="H3283" t="s">
        <v>30</v>
      </c>
    </row>
    <row r="3285" spans="8:8" x14ac:dyDescent="0.25">
      <c r="H3285" t="s">
        <v>2400</v>
      </c>
    </row>
    <row r="3286" spans="8:8" x14ac:dyDescent="0.25">
      <c r="H3286" t="s">
        <v>3227</v>
      </c>
    </row>
    <row r="3287" spans="8:8" x14ac:dyDescent="0.25">
      <c r="H3287" t="s">
        <v>135</v>
      </c>
    </row>
    <row r="3288" spans="8:8" x14ac:dyDescent="0.25">
      <c r="H3288" t="s">
        <v>3861</v>
      </c>
    </row>
    <row r="3289" spans="8:8" x14ac:dyDescent="0.25">
      <c r="H3289" t="s">
        <v>30</v>
      </c>
    </row>
    <row r="3291" spans="8:8" x14ac:dyDescent="0.25">
      <c r="H3291" t="s">
        <v>2401</v>
      </c>
    </row>
    <row r="3292" spans="8:8" x14ac:dyDescent="0.25">
      <c r="H3292" t="s">
        <v>3230</v>
      </c>
    </row>
    <row r="3293" spans="8:8" x14ac:dyDescent="0.25">
      <c r="H3293" t="s">
        <v>135</v>
      </c>
    </row>
    <row r="3294" spans="8:8" x14ac:dyDescent="0.25">
      <c r="H3294" t="s">
        <v>3862</v>
      </c>
    </row>
    <row r="3295" spans="8:8" x14ac:dyDescent="0.25">
      <c r="H3295" t="s">
        <v>30</v>
      </c>
    </row>
    <row r="3297" spans="8:8" x14ac:dyDescent="0.25">
      <c r="H3297" t="s">
        <v>2402</v>
      </c>
    </row>
    <row r="3298" spans="8:8" x14ac:dyDescent="0.25">
      <c r="H3298" t="s">
        <v>3233</v>
      </c>
    </row>
    <row r="3299" spans="8:8" x14ac:dyDescent="0.25">
      <c r="H3299" t="s">
        <v>135</v>
      </c>
    </row>
    <row r="3300" spans="8:8" x14ac:dyDescent="0.25">
      <c r="H3300" t="s">
        <v>3863</v>
      </c>
    </row>
    <row r="3301" spans="8:8" x14ac:dyDescent="0.25">
      <c r="H3301" t="s">
        <v>30</v>
      </c>
    </row>
    <row r="3302" spans="8:8" x14ac:dyDescent="0.25">
      <c r="H3302" t="s">
        <v>3235</v>
      </c>
    </row>
    <row r="3303" spans="8:8" x14ac:dyDescent="0.25">
      <c r="H3303" t="s">
        <v>136</v>
      </c>
    </row>
    <row r="3304" spans="8:8" x14ac:dyDescent="0.25">
      <c r="H3304" t="s">
        <v>3864</v>
      </c>
    </row>
    <row r="3305" spans="8:8" x14ac:dyDescent="0.25">
      <c r="H3305" t="s">
        <v>30</v>
      </c>
    </row>
    <row r="3306" spans="8:8" x14ac:dyDescent="0.25">
      <c r="H3306" t="s">
        <v>3237</v>
      </c>
    </row>
    <row r="3307" spans="8:8" x14ac:dyDescent="0.25">
      <c r="H3307" t="s">
        <v>137</v>
      </c>
    </row>
    <row r="3308" spans="8:8" x14ac:dyDescent="0.25">
      <c r="H3308" t="s">
        <v>3865</v>
      </c>
    </row>
    <row r="3309" spans="8:8" x14ac:dyDescent="0.25">
      <c r="H3309" t="s">
        <v>30</v>
      </c>
    </row>
    <row r="3310" spans="8:8" x14ac:dyDescent="0.25">
      <c r="H3310" t="s">
        <v>138</v>
      </c>
    </row>
    <row r="3311" spans="8:8" x14ac:dyDescent="0.25">
      <c r="H3311" t="s">
        <v>3866</v>
      </c>
    </row>
    <row r="3312" spans="8:8" x14ac:dyDescent="0.25">
      <c r="H3312" t="s">
        <v>30</v>
      </c>
    </row>
    <row r="3314" spans="8:8" x14ac:dyDescent="0.25">
      <c r="H3314" t="s">
        <v>2403</v>
      </c>
    </row>
    <row r="3315" spans="8:8" x14ac:dyDescent="0.25">
      <c r="H3315" t="s">
        <v>3241</v>
      </c>
    </row>
    <row r="3316" spans="8:8" x14ac:dyDescent="0.25">
      <c r="H3316" t="s">
        <v>135</v>
      </c>
    </row>
    <row r="3317" spans="8:8" x14ac:dyDescent="0.25">
      <c r="H3317" t="s">
        <v>3867</v>
      </c>
    </row>
    <row r="3318" spans="8:8" x14ac:dyDescent="0.25">
      <c r="H3318" t="s">
        <v>30</v>
      </c>
    </row>
    <row r="3319" spans="8:8" x14ac:dyDescent="0.25">
      <c r="H3319" t="s">
        <v>136</v>
      </c>
    </row>
    <row r="3320" spans="8:8" x14ac:dyDescent="0.25">
      <c r="H3320" t="s">
        <v>3868</v>
      </c>
    </row>
    <row r="3321" spans="8:8" x14ac:dyDescent="0.25">
      <c r="H3321" t="s">
        <v>30</v>
      </c>
    </row>
    <row r="3322" spans="8:8" x14ac:dyDescent="0.25">
      <c r="H3322" t="s">
        <v>3244</v>
      </c>
    </row>
    <row r="3323" spans="8:8" x14ac:dyDescent="0.25">
      <c r="H3323" t="s">
        <v>137</v>
      </c>
    </row>
    <row r="3324" spans="8:8" x14ac:dyDescent="0.25">
      <c r="H3324" t="s">
        <v>3869</v>
      </c>
    </row>
    <row r="3325" spans="8:8" x14ac:dyDescent="0.25">
      <c r="H3325" t="s">
        <v>30</v>
      </c>
    </row>
    <row r="3326" spans="8:8" x14ac:dyDescent="0.25">
      <c r="H3326" t="s">
        <v>138</v>
      </c>
    </row>
    <row r="3327" spans="8:8" x14ac:dyDescent="0.25">
      <c r="H3327" t="s">
        <v>3870</v>
      </c>
    </row>
    <row r="3328" spans="8:8" x14ac:dyDescent="0.25">
      <c r="H3328" t="s">
        <v>30</v>
      </c>
    </row>
    <row r="3330" spans="8:8" x14ac:dyDescent="0.25">
      <c r="H3330" t="s">
        <v>2404</v>
      </c>
    </row>
    <row r="3331" spans="8:8" x14ac:dyDescent="0.25">
      <c r="H3331" t="s">
        <v>3248</v>
      </c>
    </row>
    <row r="3332" spans="8:8" x14ac:dyDescent="0.25">
      <c r="H3332" t="s">
        <v>135</v>
      </c>
    </row>
    <row r="3333" spans="8:8" x14ac:dyDescent="0.25">
      <c r="H3333" t="s">
        <v>3871</v>
      </c>
    </row>
    <row r="3334" spans="8:8" x14ac:dyDescent="0.25">
      <c r="H3334" t="s">
        <v>30</v>
      </c>
    </row>
    <row r="3335" spans="8:8" x14ac:dyDescent="0.25">
      <c r="H3335" t="s">
        <v>3250</v>
      </c>
    </row>
    <row r="3336" spans="8:8" x14ac:dyDescent="0.25">
      <c r="H3336" t="s">
        <v>137</v>
      </c>
    </row>
    <row r="3337" spans="8:8" x14ac:dyDescent="0.25">
      <c r="H3337" t="s">
        <v>3872</v>
      </c>
    </row>
    <row r="3338" spans="8:8" x14ac:dyDescent="0.25">
      <c r="H3338" t="s">
        <v>30</v>
      </c>
    </row>
    <row r="3339" spans="8:8" x14ac:dyDescent="0.25">
      <c r="H3339" t="s">
        <v>138</v>
      </c>
    </row>
    <row r="3340" spans="8:8" x14ac:dyDescent="0.25">
      <c r="H3340" t="s">
        <v>3873</v>
      </c>
    </row>
    <row r="3341" spans="8:8" x14ac:dyDescent="0.25">
      <c r="H3341" t="s">
        <v>30</v>
      </c>
    </row>
    <row r="3343" spans="8:8" x14ac:dyDescent="0.25">
      <c r="H3343" t="s">
        <v>28</v>
      </c>
    </row>
    <row r="3344" spans="8:8" x14ac:dyDescent="0.25">
      <c r="H3344" t="s">
        <v>120</v>
      </c>
    </row>
    <row r="3345" spans="8:8" x14ac:dyDescent="0.25">
      <c r="H3345" t="s">
        <v>38</v>
      </c>
    </row>
    <row r="3347" spans="8:8" x14ac:dyDescent="0.25">
      <c r="H3347" t="s">
        <v>29</v>
      </c>
    </row>
    <row r="3348" spans="8:8" x14ac:dyDescent="0.25">
      <c r="H3348" s="6" t="s">
        <v>84</v>
      </c>
    </row>
    <row r="16388" spans="8:8" x14ac:dyDescent="0.25">
      <c r="H16388" t="s">
        <v>2405</v>
      </c>
    </row>
    <row r="16389" spans="8:8" x14ac:dyDescent="0.25">
      <c r="H16389" t="s">
        <v>135</v>
      </c>
    </row>
    <row r="16390" spans="8:8" x14ac:dyDescent="0.25">
      <c r="H16390" t="s">
        <v>3558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3559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3560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3561</v>
      </c>
    </row>
    <row r="16400" spans="8:8" x14ac:dyDescent="0.25">
      <c r="H16400" t="s">
        <v>30</v>
      </c>
    </row>
    <row r="16402" spans="8:8" x14ac:dyDescent="0.25">
      <c r="H16402" t="s">
        <v>2410</v>
      </c>
    </row>
    <row r="16403" spans="8:8" x14ac:dyDescent="0.25">
      <c r="H16403" t="s">
        <v>2411</v>
      </c>
    </row>
    <row r="16404" spans="8:8" x14ac:dyDescent="0.25">
      <c r="H16404" t="s">
        <v>135</v>
      </c>
    </row>
    <row r="16405" spans="8:8" x14ac:dyDescent="0.25">
      <c r="H16405" t="s">
        <v>3562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3563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3564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3565</v>
      </c>
    </row>
    <row r="16415" spans="8:8" x14ac:dyDescent="0.25">
      <c r="H16415" t="s">
        <v>30</v>
      </c>
    </row>
    <row r="16417" spans="8:8" x14ac:dyDescent="0.25">
      <c r="H16417" t="s">
        <v>2416</v>
      </c>
    </row>
    <row r="16418" spans="8:8" x14ac:dyDescent="0.25">
      <c r="H16418" t="s">
        <v>2417</v>
      </c>
    </row>
    <row r="16419" spans="8:8" x14ac:dyDescent="0.25">
      <c r="H16419" t="s">
        <v>135</v>
      </c>
    </row>
    <row r="16420" spans="8:8" x14ac:dyDescent="0.25">
      <c r="H16420" t="s">
        <v>3566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3567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3568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3569</v>
      </c>
    </row>
    <row r="16430" spans="8:8" x14ac:dyDescent="0.25">
      <c r="H16430" t="s">
        <v>30</v>
      </c>
    </row>
    <row r="16432" spans="8:8" x14ac:dyDescent="0.25">
      <c r="H16432" t="s">
        <v>2422</v>
      </c>
    </row>
    <row r="16433" spans="8:8" x14ac:dyDescent="0.25">
      <c r="H16433" t="s">
        <v>2423</v>
      </c>
    </row>
    <row r="16434" spans="8:8" x14ac:dyDescent="0.25">
      <c r="H16434" t="s">
        <v>135</v>
      </c>
    </row>
    <row r="16435" spans="8:8" x14ac:dyDescent="0.25">
      <c r="H16435" t="s">
        <v>3570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3571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3572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3573</v>
      </c>
    </row>
    <row r="16445" spans="8:8" x14ac:dyDescent="0.25">
      <c r="H16445" t="s">
        <v>30</v>
      </c>
    </row>
    <row r="16447" spans="8:8" x14ac:dyDescent="0.25">
      <c r="H16447" t="s">
        <v>2428</v>
      </c>
    </row>
    <row r="16448" spans="8:8" x14ac:dyDescent="0.25">
      <c r="H16448" t="s">
        <v>2429</v>
      </c>
    </row>
    <row r="16449" spans="8:8" x14ac:dyDescent="0.25">
      <c r="H16449" t="s">
        <v>135</v>
      </c>
    </row>
    <row r="16450" spans="8:8" x14ac:dyDescent="0.25">
      <c r="H16450" t="s">
        <v>3574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3575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3576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3577</v>
      </c>
    </row>
    <row r="16460" spans="8:8" x14ac:dyDescent="0.25">
      <c r="H16460" t="s">
        <v>30</v>
      </c>
    </row>
    <row r="16462" spans="8:8" x14ac:dyDescent="0.25">
      <c r="H16462" t="s">
        <v>2434</v>
      </c>
    </row>
    <row r="16463" spans="8:8" x14ac:dyDescent="0.25">
      <c r="H16463" t="s">
        <v>2435</v>
      </c>
    </row>
    <row r="16464" spans="8:8" x14ac:dyDescent="0.25">
      <c r="H16464" t="s">
        <v>135</v>
      </c>
    </row>
    <row r="16465" spans="8:8" x14ac:dyDescent="0.25">
      <c r="H16465" t="s">
        <v>3578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3579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3580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3581</v>
      </c>
    </row>
    <row r="16475" spans="8:8" x14ac:dyDescent="0.25">
      <c r="H16475" t="s">
        <v>30</v>
      </c>
    </row>
    <row r="16477" spans="8:8" x14ac:dyDescent="0.25">
      <c r="H16477" t="s">
        <v>2440</v>
      </c>
    </row>
    <row r="16478" spans="8:8" x14ac:dyDescent="0.25">
      <c r="H16478" t="s">
        <v>2441</v>
      </c>
    </row>
    <row r="16479" spans="8:8" x14ac:dyDescent="0.25">
      <c r="H16479" t="s">
        <v>135</v>
      </c>
    </row>
    <row r="16480" spans="8:8" x14ac:dyDescent="0.25">
      <c r="H16480" t="s">
        <v>3582</v>
      </c>
    </row>
    <row r="16481" spans="8:8" x14ac:dyDescent="0.25">
      <c r="H16481" t="s">
        <v>30</v>
      </c>
    </row>
    <row r="16483" spans="8:8" x14ac:dyDescent="0.25">
      <c r="H16483" t="s">
        <v>2443</v>
      </c>
    </row>
    <row r="16484" spans="8:8" x14ac:dyDescent="0.25">
      <c r="H16484" t="s">
        <v>2444</v>
      </c>
    </row>
    <row r="16485" spans="8:8" x14ac:dyDescent="0.25">
      <c r="H16485" t="s">
        <v>135</v>
      </c>
    </row>
    <row r="16486" spans="8:8" x14ac:dyDescent="0.25">
      <c r="H16486" t="s">
        <v>3583</v>
      </c>
    </row>
    <row r="16487" spans="8:8" x14ac:dyDescent="0.25">
      <c r="H16487" t="s">
        <v>30</v>
      </c>
    </row>
    <row r="16489" spans="8:8" x14ac:dyDescent="0.25">
      <c r="H16489" t="s">
        <v>2446</v>
      </c>
    </row>
    <row r="16490" spans="8:8" x14ac:dyDescent="0.25">
      <c r="H16490" t="s">
        <v>2447</v>
      </c>
    </row>
    <row r="16491" spans="8:8" x14ac:dyDescent="0.25">
      <c r="H16491" t="s">
        <v>135</v>
      </c>
    </row>
    <row r="16492" spans="8:8" x14ac:dyDescent="0.25">
      <c r="H16492" t="s">
        <v>3584</v>
      </c>
    </row>
    <row r="16493" spans="8:8" x14ac:dyDescent="0.25">
      <c r="H16493" t="s">
        <v>30</v>
      </c>
    </row>
    <row r="16495" spans="8:8" x14ac:dyDescent="0.25">
      <c r="H16495" t="s">
        <v>2449</v>
      </c>
    </row>
    <row r="16496" spans="8:8" x14ac:dyDescent="0.25">
      <c r="H16496" t="s">
        <v>2450</v>
      </c>
    </row>
    <row r="16497" spans="8:8" x14ac:dyDescent="0.25">
      <c r="H16497" t="s">
        <v>135</v>
      </c>
    </row>
    <row r="16498" spans="8:8" x14ac:dyDescent="0.25">
      <c r="H16498" t="s">
        <v>3585</v>
      </c>
    </row>
    <row r="16499" spans="8:8" x14ac:dyDescent="0.25">
      <c r="H16499" t="s">
        <v>30</v>
      </c>
    </row>
    <row r="16501" spans="8:8" x14ac:dyDescent="0.25">
      <c r="H16501" t="s">
        <v>2452</v>
      </c>
    </row>
    <row r="16502" spans="8:8" x14ac:dyDescent="0.25">
      <c r="H16502" t="s">
        <v>2453</v>
      </c>
    </row>
    <row r="16503" spans="8:8" x14ac:dyDescent="0.25">
      <c r="H16503" t="s">
        <v>135</v>
      </c>
    </row>
    <row r="16504" spans="8:8" x14ac:dyDescent="0.25">
      <c r="H16504" t="s">
        <v>3586</v>
      </c>
    </row>
    <row r="16505" spans="8:8" x14ac:dyDescent="0.25">
      <c r="H16505" t="s">
        <v>30</v>
      </c>
    </row>
    <row r="16507" spans="8:8" x14ac:dyDescent="0.25">
      <c r="H16507" t="s">
        <v>2455</v>
      </c>
    </row>
    <row r="16508" spans="8:8" x14ac:dyDescent="0.25">
      <c r="H16508" t="s">
        <v>2456</v>
      </c>
    </row>
    <row r="16509" spans="8:8" x14ac:dyDescent="0.25">
      <c r="H16509" t="s">
        <v>135</v>
      </c>
    </row>
    <row r="16510" spans="8:8" x14ac:dyDescent="0.25">
      <c r="H16510" t="s">
        <v>3587</v>
      </c>
    </row>
    <row r="16511" spans="8:8" x14ac:dyDescent="0.25">
      <c r="H16511" t="s">
        <v>30</v>
      </c>
    </row>
    <row r="16513" spans="8:8" x14ac:dyDescent="0.25">
      <c r="H16513" t="s">
        <v>2458</v>
      </c>
    </row>
    <row r="16514" spans="8:8" x14ac:dyDescent="0.25">
      <c r="H16514" t="s">
        <v>2459</v>
      </c>
    </row>
    <row r="16515" spans="8:8" x14ac:dyDescent="0.25">
      <c r="H16515" t="s">
        <v>135</v>
      </c>
    </row>
    <row r="16516" spans="8:8" x14ac:dyDescent="0.25">
      <c r="H16516" t="s">
        <v>3588</v>
      </c>
    </row>
    <row r="16517" spans="8:8" x14ac:dyDescent="0.25">
      <c r="H16517" t="s">
        <v>30</v>
      </c>
    </row>
    <row r="16519" spans="8:8" x14ac:dyDescent="0.25">
      <c r="H16519" t="s">
        <v>2461</v>
      </c>
    </row>
    <row r="16520" spans="8:8" x14ac:dyDescent="0.25">
      <c r="H16520" t="s">
        <v>2462</v>
      </c>
    </row>
    <row r="16521" spans="8:8" x14ac:dyDescent="0.25">
      <c r="H16521" t="s">
        <v>135</v>
      </c>
    </row>
    <row r="16522" spans="8:8" x14ac:dyDescent="0.25">
      <c r="H16522" t="s">
        <v>3589</v>
      </c>
    </row>
    <row r="16523" spans="8:8" x14ac:dyDescent="0.25">
      <c r="H16523" t="s">
        <v>30</v>
      </c>
    </row>
    <row r="16525" spans="8:8" x14ac:dyDescent="0.25">
      <c r="H16525" t="s">
        <v>2464</v>
      </c>
    </row>
    <row r="16526" spans="8:8" x14ac:dyDescent="0.25">
      <c r="H16526" t="s">
        <v>2465</v>
      </c>
    </row>
    <row r="16527" spans="8:8" x14ac:dyDescent="0.25">
      <c r="H16527" t="s">
        <v>135</v>
      </c>
    </row>
    <row r="16528" spans="8:8" x14ac:dyDescent="0.25">
      <c r="H16528" t="s">
        <v>3590</v>
      </c>
    </row>
    <row r="16529" spans="8:8" x14ac:dyDescent="0.25">
      <c r="H16529" t="s">
        <v>30</v>
      </c>
    </row>
    <row r="16531" spans="8:8" x14ac:dyDescent="0.25">
      <c r="H16531" t="s">
        <v>2467</v>
      </c>
    </row>
    <row r="16532" spans="8:8" x14ac:dyDescent="0.25">
      <c r="H16532" t="s">
        <v>2468</v>
      </c>
    </row>
    <row r="16533" spans="8:8" x14ac:dyDescent="0.25">
      <c r="H16533" t="s">
        <v>135</v>
      </c>
    </row>
    <row r="16534" spans="8:8" x14ac:dyDescent="0.25">
      <c r="H16534" t="s">
        <v>3591</v>
      </c>
    </row>
    <row r="16535" spans="8:8" x14ac:dyDescent="0.25">
      <c r="H16535" t="s">
        <v>30</v>
      </c>
    </row>
    <row r="16537" spans="8:8" x14ac:dyDescent="0.25">
      <c r="H16537" t="s">
        <v>2470</v>
      </c>
    </row>
    <row r="16538" spans="8:8" x14ac:dyDescent="0.25">
      <c r="H16538" t="s">
        <v>2471</v>
      </c>
    </row>
    <row r="16539" spans="8:8" x14ac:dyDescent="0.25">
      <c r="H16539" t="s">
        <v>135</v>
      </c>
    </row>
    <row r="16540" spans="8:8" x14ac:dyDescent="0.25">
      <c r="H16540" t="s">
        <v>3592</v>
      </c>
    </row>
    <row r="16541" spans="8:8" x14ac:dyDescent="0.25">
      <c r="H16541" t="s">
        <v>30</v>
      </c>
    </row>
    <row r="16543" spans="8:8" x14ac:dyDescent="0.25">
      <c r="H16543" t="s">
        <v>2473</v>
      </c>
    </row>
    <row r="16544" spans="8:8" x14ac:dyDescent="0.25">
      <c r="H16544" t="s">
        <v>2474</v>
      </c>
    </row>
    <row r="16545" spans="8:8" x14ac:dyDescent="0.25">
      <c r="H16545" t="s">
        <v>135</v>
      </c>
    </row>
    <row r="16546" spans="8:8" x14ac:dyDescent="0.25">
      <c r="H16546" t="s">
        <v>3593</v>
      </c>
    </row>
    <row r="16547" spans="8:8" x14ac:dyDescent="0.25">
      <c r="H16547" t="s">
        <v>30</v>
      </c>
    </row>
    <row r="16549" spans="8:8" x14ac:dyDescent="0.25">
      <c r="H16549" t="s">
        <v>2476</v>
      </c>
    </row>
    <row r="16550" spans="8:8" x14ac:dyDescent="0.25">
      <c r="H16550" t="s">
        <v>2477</v>
      </c>
    </row>
    <row r="16551" spans="8:8" x14ac:dyDescent="0.25">
      <c r="H16551" t="s">
        <v>135</v>
      </c>
    </row>
    <row r="16552" spans="8:8" x14ac:dyDescent="0.25">
      <c r="H16552" t="s">
        <v>3594</v>
      </c>
    </row>
    <row r="16553" spans="8:8" x14ac:dyDescent="0.25">
      <c r="H16553" t="s">
        <v>30</v>
      </c>
    </row>
    <row r="16555" spans="8:8" x14ac:dyDescent="0.25">
      <c r="H16555" t="s">
        <v>2479</v>
      </c>
    </row>
    <row r="16556" spans="8:8" x14ac:dyDescent="0.25">
      <c r="H16556" t="s">
        <v>2480</v>
      </c>
    </row>
    <row r="16557" spans="8:8" x14ac:dyDescent="0.25">
      <c r="H16557" t="s">
        <v>135</v>
      </c>
    </row>
    <row r="16558" spans="8:8" x14ac:dyDescent="0.25">
      <c r="H16558" t="s">
        <v>3595</v>
      </c>
    </row>
    <row r="16559" spans="8:8" x14ac:dyDescent="0.25">
      <c r="H16559" t="s">
        <v>30</v>
      </c>
    </row>
    <row r="16561" spans="8:8" x14ac:dyDescent="0.25">
      <c r="H16561" t="s">
        <v>2482</v>
      </c>
    </row>
    <row r="16562" spans="8:8" x14ac:dyDescent="0.25">
      <c r="H16562" t="s">
        <v>2483</v>
      </c>
    </row>
    <row r="16563" spans="8:8" x14ac:dyDescent="0.25">
      <c r="H16563" t="s">
        <v>135</v>
      </c>
    </row>
    <row r="16564" spans="8:8" x14ac:dyDescent="0.25">
      <c r="H16564" t="s">
        <v>3596</v>
      </c>
    </row>
    <row r="16565" spans="8:8" x14ac:dyDescent="0.25">
      <c r="H16565" t="s">
        <v>30</v>
      </c>
    </row>
    <row r="16567" spans="8:8" x14ac:dyDescent="0.25">
      <c r="H16567" t="s">
        <v>2485</v>
      </c>
    </row>
    <row r="16568" spans="8:8" x14ac:dyDescent="0.25">
      <c r="H16568" t="s">
        <v>2486</v>
      </c>
    </row>
    <row r="16569" spans="8:8" x14ac:dyDescent="0.25">
      <c r="H16569" t="s">
        <v>135</v>
      </c>
    </row>
    <row r="16570" spans="8:8" x14ac:dyDescent="0.25">
      <c r="H16570" t="s">
        <v>3597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3598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3599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3600</v>
      </c>
    </row>
    <row r="16580" spans="8:8" x14ac:dyDescent="0.25">
      <c r="H16580" t="s">
        <v>30</v>
      </c>
    </row>
    <row r="16582" spans="8:8" x14ac:dyDescent="0.25">
      <c r="H16582" t="s">
        <v>2491</v>
      </c>
    </row>
    <row r="16583" spans="8:8" x14ac:dyDescent="0.25">
      <c r="H16583" t="s">
        <v>2492</v>
      </c>
    </row>
    <row r="16584" spans="8:8" x14ac:dyDescent="0.25">
      <c r="H16584" t="s">
        <v>135</v>
      </c>
    </row>
    <row r="16585" spans="8:8" x14ac:dyDescent="0.25">
      <c r="H16585" t="s">
        <v>3601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3602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3603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3604</v>
      </c>
    </row>
    <row r="16595" spans="8:8" x14ac:dyDescent="0.25">
      <c r="H16595" t="s">
        <v>30</v>
      </c>
    </row>
    <row r="16597" spans="8:8" x14ac:dyDescent="0.25">
      <c r="H16597" t="s">
        <v>2497</v>
      </c>
    </row>
    <row r="16598" spans="8:8" x14ac:dyDescent="0.25">
      <c r="H16598" t="s">
        <v>2498</v>
      </c>
    </row>
    <row r="16599" spans="8:8" x14ac:dyDescent="0.25">
      <c r="H16599" t="s">
        <v>135</v>
      </c>
    </row>
    <row r="16600" spans="8:8" x14ac:dyDescent="0.25">
      <c r="H16600" t="s">
        <v>4946</v>
      </c>
    </row>
    <row r="16601" spans="8:8" x14ac:dyDescent="0.25">
      <c r="H16601" t="s">
        <v>30</v>
      </c>
    </row>
    <row r="16603" spans="8:8" x14ac:dyDescent="0.25">
      <c r="H16603" t="s">
        <v>2499</v>
      </c>
    </row>
    <row r="16604" spans="8:8" x14ac:dyDescent="0.25">
      <c r="H16604" t="s">
        <v>2500</v>
      </c>
    </row>
    <row r="16605" spans="8:8" x14ac:dyDescent="0.25">
      <c r="H16605" t="s">
        <v>135</v>
      </c>
    </row>
    <row r="16606" spans="8:8" x14ac:dyDescent="0.25">
      <c r="H16606" t="s">
        <v>3605</v>
      </c>
    </row>
    <row r="16607" spans="8:8" x14ac:dyDescent="0.25">
      <c r="H16607" t="s">
        <v>30</v>
      </c>
    </row>
    <row r="16609" spans="8:8" x14ac:dyDescent="0.25">
      <c r="H16609" t="s">
        <v>2502</v>
      </c>
    </row>
    <row r="16610" spans="8:8" x14ac:dyDescent="0.25">
      <c r="H16610" t="s">
        <v>2503</v>
      </c>
    </row>
    <row r="16611" spans="8:8" x14ac:dyDescent="0.25">
      <c r="H16611" t="s">
        <v>135</v>
      </c>
    </row>
    <row r="16612" spans="8:8" x14ac:dyDescent="0.25">
      <c r="H16612" t="s">
        <v>3606</v>
      </c>
    </row>
    <row r="16613" spans="8:8" x14ac:dyDescent="0.25">
      <c r="H16613" t="s">
        <v>30</v>
      </c>
    </row>
    <row r="16615" spans="8:8" x14ac:dyDescent="0.25">
      <c r="H16615" t="s">
        <v>2505</v>
      </c>
    </row>
    <row r="16616" spans="8:8" x14ac:dyDescent="0.25">
      <c r="H16616" t="s">
        <v>2506</v>
      </c>
    </row>
    <row r="16617" spans="8:8" x14ac:dyDescent="0.25">
      <c r="H16617" t="s">
        <v>135</v>
      </c>
    </row>
    <row r="16618" spans="8:8" x14ac:dyDescent="0.25">
      <c r="H16618" t="s">
        <v>3607</v>
      </c>
    </row>
    <row r="16619" spans="8:8" x14ac:dyDescent="0.25">
      <c r="H16619" t="s">
        <v>30</v>
      </c>
    </row>
    <row r="16621" spans="8:8" x14ac:dyDescent="0.25">
      <c r="H16621" t="s">
        <v>2508</v>
      </c>
    </row>
    <row r="16622" spans="8:8" x14ac:dyDescent="0.25">
      <c r="H16622" t="s">
        <v>2509</v>
      </c>
    </row>
    <row r="16623" spans="8:8" x14ac:dyDescent="0.25">
      <c r="H16623" t="s">
        <v>135</v>
      </c>
    </row>
    <row r="16624" spans="8:8" x14ac:dyDescent="0.25">
      <c r="H16624" t="s">
        <v>3608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3609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3610</v>
      </c>
    </row>
    <row r="16631" spans="8:8" x14ac:dyDescent="0.25">
      <c r="H16631" t="s">
        <v>30</v>
      </c>
    </row>
    <row r="16633" spans="8:8" x14ac:dyDescent="0.25">
      <c r="H16633" t="s">
        <v>2513</v>
      </c>
    </row>
    <row r="16634" spans="8:8" x14ac:dyDescent="0.25">
      <c r="H16634" t="s">
        <v>2514</v>
      </c>
    </row>
    <row r="16635" spans="8:8" x14ac:dyDescent="0.25">
      <c r="H16635" t="s">
        <v>135</v>
      </c>
    </row>
    <row r="16636" spans="8:8" x14ac:dyDescent="0.25">
      <c r="H16636" t="s">
        <v>4947</v>
      </c>
    </row>
    <row r="16637" spans="8:8" x14ac:dyDescent="0.25">
      <c r="H16637" t="s">
        <v>30</v>
      </c>
    </row>
    <row r="16639" spans="8:8" x14ac:dyDescent="0.25">
      <c r="H16639" t="s">
        <v>2515</v>
      </c>
    </row>
    <row r="16640" spans="8:8" x14ac:dyDescent="0.25">
      <c r="H16640" t="s">
        <v>2516</v>
      </c>
    </row>
    <row r="16641" spans="8:8" x14ac:dyDescent="0.25">
      <c r="H16641" t="s">
        <v>135</v>
      </c>
    </row>
    <row r="16642" spans="8:8" x14ac:dyDescent="0.25">
      <c r="H16642" t="s">
        <v>3611</v>
      </c>
    </row>
    <row r="16643" spans="8:8" x14ac:dyDescent="0.25">
      <c r="H16643" t="s">
        <v>30</v>
      </c>
    </row>
    <row r="16645" spans="8:8" x14ac:dyDescent="0.25">
      <c r="H16645" t="s">
        <v>2518</v>
      </c>
    </row>
    <row r="16646" spans="8:8" x14ac:dyDescent="0.25">
      <c r="H16646" t="s">
        <v>2519</v>
      </c>
    </row>
    <row r="16647" spans="8:8" x14ac:dyDescent="0.25">
      <c r="H16647" t="s">
        <v>135</v>
      </c>
    </row>
    <row r="16648" spans="8:8" x14ac:dyDescent="0.25">
      <c r="H16648" t="s">
        <v>3612</v>
      </c>
    </row>
    <row r="16649" spans="8:8" x14ac:dyDescent="0.25">
      <c r="H16649" t="s">
        <v>30</v>
      </c>
    </row>
    <row r="16651" spans="8:8" x14ac:dyDescent="0.25">
      <c r="H16651" t="s">
        <v>2521</v>
      </c>
    </row>
    <row r="16652" spans="8:8" x14ac:dyDescent="0.25">
      <c r="H16652" t="s">
        <v>2522</v>
      </c>
    </row>
    <row r="16653" spans="8:8" x14ac:dyDescent="0.25">
      <c r="H16653" t="s">
        <v>135</v>
      </c>
    </row>
    <row r="16654" spans="8:8" x14ac:dyDescent="0.25">
      <c r="H16654" t="s">
        <v>3613</v>
      </c>
    </row>
    <row r="16655" spans="8:8" x14ac:dyDescent="0.25">
      <c r="H16655" t="s">
        <v>30</v>
      </c>
    </row>
    <row r="16657" spans="8:8" x14ac:dyDescent="0.25">
      <c r="H16657" t="s">
        <v>2524</v>
      </c>
    </row>
    <row r="16658" spans="8:8" x14ac:dyDescent="0.25">
      <c r="H16658" t="s">
        <v>2525</v>
      </c>
    </row>
    <row r="16659" spans="8:8" x14ac:dyDescent="0.25">
      <c r="H16659" t="s">
        <v>135</v>
      </c>
    </row>
    <row r="16660" spans="8:8" x14ac:dyDescent="0.25">
      <c r="H16660" t="s">
        <v>3614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3615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3616</v>
      </c>
    </row>
    <row r="16667" spans="8:8" x14ac:dyDescent="0.25">
      <c r="H16667" t="s">
        <v>30</v>
      </c>
    </row>
    <row r="16669" spans="8:8" x14ac:dyDescent="0.25">
      <c r="H16669" t="s">
        <v>2529</v>
      </c>
    </row>
    <row r="16670" spans="8:8" x14ac:dyDescent="0.25">
      <c r="H16670" t="s">
        <v>2530</v>
      </c>
    </row>
    <row r="16671" spans="8:8" x14ac:dyDescent="0.25">
      <c r="H16671" t="s">
        <v>135</v>
      </c>
    </row>
    <row r="16672" spans="8:8" x14ac:dyDescent="0.25">
      <c r="H16672" t="s">
        <v>4948</v>
      </c>
    </row>
    <row r="16673" spans="8:8" x14ac:dyDescent="0.25">
      <c r="H16673" t="s">
        <v>30</v>
      </c>
    </row>
    <row r="16675" spans="8:8" x14ac:dyDescent="0.25">
      <c r="H16675" t="s">
        <v>2531</v>
      </c>
    </row>
    <row r="16676" spans="8:8" x14ac:dyDescent="0.25">
      <c r="H16676" t="s">
        <v>2532</v>
      </c>
    </row>
    <row r="16677" spans="8:8" x14ac:dyDescent="0.25">
      <c r="H16677" t="s">
        <v>135</v>
      </c>
    </row>
    <row r="16678" spans="8:8" x14ac:dyDescent="0.25">
      <c r="H16678" t="s">
        <v>3617</v>
      </c>
    </row>
    <row r="16679" spans="8:8" x14ac:dyDescent="0.25">
      <c r="H16679" t="s">
        <v>30</v>
      </c>
    </row>
    <row r="16681" spans="8:8" x14ac:dyDescent="0.25">
      <c r="H16681" t="s">
        <v>2534</v>
      </c>
    </row>
    <row r="16682" spans="8:8" x14ac:dyDescent="0.25">
      <c r="H16682" t="s">
        <v>2535</v>
      </c>
    </row>
    <row r="16683" spans="8:8" x14ac:dyDescent="0.25">
      <c r="H16683" t="s">
        <v>135</v>
      </c>
    </row>
    <row r="16684" spans="8:8" x14ac:dyDescent="0.25">
      <c r="H16684" t="s">
        <v>3618</v>
      </c>
    </row>
    <row r="16685" spans="8:8" x14ac:dyDescent="0.25">
      <c r="H16685" t="s">
        <v>30</v>
      </c>
    </row>
    <row r="16687" spans="8:8" x14ac:dyDescent="0.25">
      <c r="H16687" t="s">
        <v>2537</v>
      </c>
    </row>
    <row r="16688" spans="8:8" x14ac:dyDescent="0.25">
      <c r="H16688" t="s">
        <v>2538</v>
      </c>
    </row>
    <row r="16689" spans="8:8" x14ac:dyDescent="0.25">
      <c r="H16689" t="s">
        <v>135</v>
      </c>
    </row>
    <row r="16690" spans="8:8" x14ac:dyDescent="0.25">
      <c r="H16690" t="s">
        <v>3619</v>
      </c>
    </row>
    <row r="16691" spans="8:8" x14ac:dyDescent="0.25">
      <c r="H16691" t="s">
        <v>30</v>
      </c>
    </row>
    <row r="16693" spans="8:8" x14ac:dyDescent="0.25">
      <c r="H16693" t="s">
        <v>2540</v>
      </c>
    </row>
    <row r="16694" spans="8:8" x14ac:dyDescent="0.25">
      <c r="H16694" t="s">
        <v>2541</v>
      </c>
    </row>
    <row r="16695" spans="8:8" x14ac:dyDescent="0.25">
      <c r="H16695" t="s">
        <v>135</v>
      </c>
    </row>
    <row r="16696" spans="8:8" x14ac:dyDescent="0.25">
      <c r="H16696" t="s">
        <v>3620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3621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3622</v>
      </c>
    </row>
    <row r="16703" spans="8:8" x14ac:dyDescent="0.25">
      <c r="H16703" t="s">
        <v>30</v>
      </c>
    </row>
    <row r="16705" spans="8:8" x14ac:dyDescent="0.25">
      <c r="H16705" t="s">
        <v>2545</v>
      </c>
    </row>
    <row r="16706" spans="8:8" x14ac:dyDescent="0.25">
      <c r="H16706" t="s">
        <v>2546</v>
      </c>
    </row>
    <row r="16707" spans="8:8" x14ac:dyDescent="0.25">
      <c r="H16707" t="s">
        <v>135</v>
      </c>
    </row>
    <row r="16708" spans="8:8" x14ac:dyDescent="0.25">
      <c r="H16708" t="s">
        <v>4949</v>
      </c>
    </row>
    <row r="16709" spans="8:8" x14ac:dyDescent="0.25">
      <c r="H16709" t="s">
        <v>30</v>
      </c>
    </row>
    <row r="16711" spans="8:8" x14ac:dyDescent="0.25">
      <c r="H16711" t="s">
        <v>2547</v>
      </c>
    </row>
    <row r="16712" spans="8:8" x14ac:dyDescent="0.25">
      <c r="H16712" t="s">
        <v>2548</v>
      </c>
    </row>
    <row r="16713" spans="8:8" x14ac:dyDescent="0.25">
      <c r="H16713" t="s">
        <v>135</v>
      </c>
    </row>
    <row r="16714" spans="8:8" x14ac:dyDescent="0.25">
      <c r="H16714" t="s">
        <v>3623</v>
      </c>
    </row>
    <row r="16715" spans="8:8" x14ac:dyDescent="0.25">
      <c r="H16715" t="s">
        <v>30</v>
      </c>
    </row>
    <row r="16717" spans="8:8" x14ac:dyDescent="0.25">
      <c r="H16717" t="s">
        <v>2550</v>
      </c>
    </row>
    <row r="16718" spans="8:8" x14ac:dyDescent="0.25">
      <c r="H16718" t="s">
        <v>2551</v>
      </c>
    </row>
    <row r="16719" spans="8:8" x14ac:dyDescent="0.25">
      <c r="H16719" t="s">
        <v>135</v>
      </c>
    </row>
    <row r="16720" spans="8:8" x14ac:dyDescent="0.25">
      <c r="H16720" t="s">
        <v>3624</v>
      </c>
    </row>
    <row r="16721" spans="8:8" x14ac:dyDescent="0.25">
      <c r="H16721" t="s">
        <v>30</v>
      </c>
    </row>
    <row r="16723" spans="8:8" x14ac:dyDescent="0.25">
      <c r="H16723" t="s">
        <v>2553</v>
      </c>
    </row>
    <row r="16724" spans="8:8" x14ac:dyDescent="0.25">
      <c r="H16724" t="s">
        <v>2554</v>
      </c>
    </row>
    <row r="16725" spans="8:8" x14ac:dyDescent="0.25">
      <c r="H16725" t="s">
        <v>135</v>
      </c>
    </row>
    <row r="16726" spans="8:8" x14ac:dyDescent="0.25">
      <c r="H16726" t="s">
        <v>3625</v>
      </c>
    </row>
    <row r="16727" spans="8:8" x14ac:dyDescent="0.25">
      <c r="H16727" t="s">
        <v>30</v>
      </c>
    </row>
    <row r="16729" spans="8:8" x14ac:dyDescent="0.25">
      <c r="H16729" t="s">
        <v>2556</v>
      </c>
    </row>
    <row r="16730" spans="8:8" x14ac:dyDescent="0.25">
      <c r="H16730" t="s">
        <v>2557</v>
      </c>
    </row>
    <row r="16731" spans="8:8" x14ac:dyDescent="0.25">
      <c r="H16731" t="s">
        <v>135</v>
      </c>
    </row>
    <row r="16732" spans="8:8" x14ac:dyDescent="0.25">
      <c r="H16732" t="s">
        <v>3626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3627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3628</v>
      </c>
    </row>
    <row r="16739" spans="8:8" x14ac:dyDescent="0.25">
      <c r="H16739" t="s">
        <v>30</v>
      </c>
    </row>
    <row r="16741" spans="8:8" x14ac:dyDescent="0.25">
      <c r="H16741" t="s">
        <v>2561</v>
      </c>
    </row>
    <row r="16742" spans="8:8" x14ac:dyDescent="0.25">
      <c r="H16742" t="s">
        <v>2562</v>
      </c>
    </row>
    <row r="16743" spans="8:8" x14ac:dyDescent="0.25">
      <c r="H16743" t="s">
        <v>135</v>
      </c>
    </row>
    <row r="16744" spans="8:8" x14ac:dyDescent="0.25">
      <c r="H16744" t="s">
        <v>4950</v>
      </c>
    </row>
    <row r="16745" spans="8:8" x14ac:dyDescent="0.25">
      <c r="H16745" t="s">
        <v>30</v>
      </c>
    </row>
    <row r="16747" spans="8:8" x14ac:dyDescent="0.25">
      <c r="H16747" t="s">
        <v>2563</v>
      </c>
    </row>
    <row r="16748" spans="8:8" x14ac:dyDescent="0.25">
      <c r="H16748" t="s">
        <v>2564</v>
      </c>
    </row>
    <row r="16749" spans="8:8" x14ac:dyDescent="0.25">
      <c r="H16749" t="s">
        <v>135</v>
      </c>
    </row>
    <row r="16750" spans="8:8" x14ac:dyDescent="0.25">
      <c r="H16750" t="s">
        <v>3629</v>
      </c>
    </row>
    <row r="16751" spans="8:8" x14ac:dyDescent="0.25">
      <c r="H16751" t="s">
        <v>30</v>
      </c>
    </row>
    <row r="16753" spans="8:8" x14ac:dyDescent="0.25">
      <c r="H16753" t="s">
        <v>2566</v>
      </c>
    </row>
    <row r="16754" spans="8:8" x14ac:dyDescent="0.25">
      <c r="H16754" t="s">
        <v>2567</v>
      </c>
    </row>
    <row r="16755" spans="8:8" x14ac:dyDescent="0.25">
      <c r="H16755" t="s">
        <v>135</v>
      </c>
    </row>
    <row r="16756" spans="8:8" x14ac:dyDescent="0.25">
      <c r="H16756" t="s">
        <v>3630</v>
      </c>
    </row>
    <row r="16757" spans="8:8" x14ac:dyDescent="0.25">
      <c r="H16757" t="s">
        <v>30</v>
      </c>
    </row>
    <row r="16759" spans="8:8" x14ac:dyDescent="0.25">
      <c r="H16759" t="s">
        <v>2569</v>
      </c>
    </row>
    <row r="16760" spans="8:8" x14ac:dyDescent="0.25">
      <c r="H16760" t="s">
        <v>2570</v>
      </c>
    </row>
    <row r="16761" spans="8:8" x14ac:dyDescent="0.25">
      <c r="H16761" t="s">
        <v>135</v>
      </c>
    </row>
    <row r="16762" spans="8:8" x14ac:dyDescent="0.25">
      <c r="H16762" t="s">
        <v>3631</v>
      </c>
    </row>
    <row r="16763" spans="8:8" x14ac:dyDescent="0.25">
      <c r="H16763" t="s">
        <v>30</v>
      </c>
    </row>
    <row r="16765" spans="8:8" x14ac:dyDescent="0.25">
      <c r="H16765" t="s">
        <v>2572</v>
      </c>
    </row>
    <row r="16766" spans="8:8" x14ac:dyDescent="0.25">
      <c r="H16766" t="s">
        <v>2573</v>
      </c>
    </row>
    <row r="16767" spans="8:8" x14ac:dyDescent="0.25">
      <c r="H16767" t="s">
        <v>135</v>
      </c>
    </row>
    <row r="16768" spans="8:8" x14ac:dyDescent="0.25">
      <c r="H16768" t="s">
        <v>3632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3633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3634</v>
      </c>
    </row>
    <row r="16775" spans="8:8" x14ac:dyDescent="0.25">
      <c r="H16775" t="s">
        <v>30</v>
      </c>
    </row>
    <row r="16777" spans="8:8" x14ac:dyDescent="0.25">
      <c r="H16777" t="s">
        <v>2577</v>
      </c>
    </row>
    <row r="16778" spans="8:8" x14ac:dyDescent="0.25">
      <c r="H16778" t="s">
        <v>2578</v>
      </c>
    </row>
    <row r="16779" spans="8:8" x14ac:dyDescent="0.25">
      <c r="H16779" t="s">
        <v>135</v>
      </c>
    </row>
    <row r="16780" spans="8:8" x14ac:dyDescent="0.25">
      <c r="H16780" t="s">
        <v>4951</v>
      </c>
    </row>
    <row r="16781" spans="8:8" x14ac:dyDescent="0.25">
      <c r="H16781" t="s">
        <v>30</v>
      </c>
    </row>
    <row r="16783" spans="8:8" x14ac:dyDescent="0.25">
      <c r="H16783" t="s">
        <v>2579</v>
      </c>
    </row>
    <row r="16784" spans="8:8" x14ac:dyDescent="0.25">
      <c r="H16784" t="s">
        <v>2580</v>
      </c>
    </row>
    <row r="16785" spans="8:8" x14ac:dyDescent="0.25">
      <c r="H16785" t="s">
        <v>135</v>
      </c>
    </row>
    <row r="16786" spans="8:8" x14ac:dyDescent="0.25">
      <c r="H16786" t="s">
        <v>3635</v>
      </c>
    </row>
    <row r="16787" spans="8:8" x14ac:dyDescent="0.25">
      <c r="H16787" t="s">
        <v>30</v>
      </c>
    </row>
    <row r="16789" spans="8:8" x14ac:dyDescent="0.25">
      <c r="H16789" t="s">
        <v>2582</v>
      </c>
    </row>
    <row r="16790" spans="8:8" x14ac:dyDescent="0.25">
      <c r="H16790" t="s">
        <v>2583</v>
      </c>
    </row>
    <row r="16791" spans="8:8" x14ac:dyDescent="0.25">
      <c r="H16791" t="s">
        <v>135</v>
      </c>
    </row>
    <row r="16792" spans="8:8" x14ac:dyDescent="0.25">
      <c r="H16792" t="s">
        <v>3636</v>
      </c>
    </row>
    <row r="16793" spans="8:8" x14ac:dyDescent="0.25">
      <c r="H16793" t="s">
        <v>30</v>
      </c>
    </row>
    <row r="16795" spans="8:8" x14ac:dyDescent="0.25">
      <c r="H16795" t="s">
        <v>2585</v>
      </c>
    </row>
    <row r="16796" spans="8:8" x14ac:dyDescent="0.25">
      <c r="H16796" t="s">
        <v>2586</v>
      </c>
    </row>
    <row r="16797" spans="8:8" x14ac:dyDescent="0.25">
      <c r="H16797" t="s">
        <v>135</v>
      </c>
    </row>
    <row r="16798" spans="8:8" x14ac:dyDescent="0.25">
      <c r="H16798" t="s">
        <v>3637</v>
      </c>
    </row>
    <row r="16799" spans="8:8" x14ac:dyDescent="0.25">
      <c r="H16799" t="s">
        <v>30</v>
      </c>
    </row>
    <row r="16801" spans="8:8" x14ac:dyDescent="0.25">
      <c r="H16801" t="s">
        <v>2588</v>
      </c>
    </row>
    <row r="16802" spans="8:8" x14ac:dyDescent="0.25">
      <c r="H16802" t="s">
        <v>2589</v>
      </c>
    </row>
    <row r="16803" spans="8:8" x14ac:dyDescent="0.25">
      <c r="H16803" t="s">
        <v>135</v>
      </c>
    </row>
    <row r="16804" spans="8:8" x14ac:dyDescent="0.25">
      <c r="H16804" t="s">
        <v>3638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3639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3640</v>
      </c>
    </row>
    <row r="16811" spans="8:8" x14ac:dyDescent="0.25">
      <c r="H16811" t="s">
        <v>30</v>
      </c>
    </row>
    <row r="16813" spans="8:8" x14ac:dyDescent="0.25">
      <c r="H16813" t="s">
        <v>2593</v>
      </c>
    </row>
    <row r="16814" spans="8:8" x14ac:dyDescent="0.25">
      <c r="H16814" t="s">
        <v>2594</v>
      </c>
    </row>
    <row r="16815" spans="8:8" x14ac:dyDescent="0.25">
      <c r="H16815" t="s">
        <v>135</v>
      </c>
    </row>
    <row r="16816" spans="8:8" x14ac:dyDescent="0.25">
      <c r="H16816" t="s">
        <v>4952</v>
      </c>
    </row>
    <row r="16817" spans="8:8" x14ac:dyDescent="0.25">
      <c r="H16817" t="s">
        <v>30</v>
      </c>
    </row>
    <row r="16819" spans="8:8" x14ac:dyDescent="0.25">
      <c r="H16819" t="s">
        <v>2595</v>
      </c>
    </row>
    <row r="16820" spans="8:8" x14ac:dyDescent="0.25">
      <c r="H16820" t="s">
        <v>2596</v>
      </c>
    </row>
    <row r="16821" spans="8:8" x14ac:dyDescent="0.25">
      <c r="H16821" t="s">
        <v>135</v>
      </c>
    </row>
    <row r="16822" spans="8:8" x14ac:dyDescent="0.25">
      <c r="H16822" t="s">
        <v>3641</v>
      </c>
    </row>
    <row r="16823" spans="8:8" x14ac:dyDescent="0.25">
      <c r="H16823" t="s">
        <v>30</v>
      </c>
    </row>
    <row r="16825" spans="8:8" x14ac:dyDescent="0.25">
      <c r="H16825" t="s">
        <v>2598</v>
      </c>
    </row>
    <row r="16826" spans="8:8" x14ac:dyDescent="0.25">
      <c r="H16826" t="s">
        <v>2599</v>
      </c>
    </row>
    <row r="16827" spans="8:8" x14ac:dyDescent="0.25">
      <c r="H16827" t="s">
        <v>135</v>
      </c>
    </row>
    <row r="16828" spans="8:8" x14ac:dyDescent="0.25">
      <c r="H16828" t="s">
        <v>3642</v>
      </c>
    </row>
    <row r="16829" spans="8:8" x14ac:dyDescent="0.25">
      <c r="H16829" t="s">
        <v>30</v>
      </c>
    </row>
    <row r="16831" spans="8:8" x14ac:dyDescent="0.25">
      <c r="H16831" t="s">
        <v>2601</v>
      </c>
    </row>
    <row r="16832" spans="8:8" x14ac:dyDescent="0.25">
      <c r="H16832" t="s">
        <v>2602</v>
      </c>
    </row>
    <row r="16833" spans="8:8" x14ac:dyDescent="0.25">
      <c r="H16833" t="s">
        <v>135</v>
      </c>
    </row>
    <row r="16834" spans="8:8" x14ac:dyDescent="0.25">
      <c r="H16834" t="s">
        <v>3643</v>
      </c>
    </row>
    <row r="16835" spans="8:8" x14ac:dyDescent="0.25">
      <c r="H16835" t="s">
        <v>30</v>
      </c>
    </row>
    <row r="16837" spans="8:8" x14ac:dyDescent="0.25">
      <c r="H16837" t="s">
        <v>2604</v>
      </c>
    </row>
    <row r="16838" spans="8:8" x14ac:dyDescent="0.25">
      <c r="H16838" t="s">
        <v>2605</v>
      </c>
    </row>
    <row r="16839" spans="8:8" x14ac:dyDescent="0.25">
      <c r="H16839" t="s">
        <v>135</v>
      </c>
    </row>
    <row r="16840" spans="8:8" x14ac:dyDescent="0.25">
      <c r="H16840" t="s">
        <v>3644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3645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3646</v>
      </c>
    </row>
    <row r="16847" spans="8:8" x14ac:dyDescent="0.25">
      <c r="H16847" t="s">
        <v>30</v>
      </c>
    </row>
    <row r="16849" spans="8:8" x14ac:dyDescent="0.25">
      <c r="H16849" t="s">
        <v>2609</v>
      </c>
    </row>
    <row r="16850" spans="8:8" x14ac:dyDescent="0.25">
      <c r="H16850" t="s">
        <v>2610</v>
      </c>
    </row>
    <row r="16851" spans="8:8" x14ac:dyDescent="0.25">
      <c r="H16851" t="s">
        <v>135</v>
      </c>
    </row>
    <row r="16852" spans="8:8" x14ac:dyDescent="0.25">
      <c r="H16852" t="s">
        <v>4953</v>
      </c>
    </row>
    <row r="16853" spans="8:8" x14ac:dyDescent="0.25">
      <c r="H16853" t="s">
        <v>30</v>
      </c>
    </row>
    <row r="16855" spans="8:8" x14ac:dyDescent="0.25">
      <c r="H16855" t="s">
        <v>2611</v>
      </c>
    </row>
    <row r="16856" spans="8:8" x14ac:dyDescent="0.25">
      <c r="H16856" t="s">
        <v>2612</v>
      </c>
    </row>
    <row r="16857" spans="8:8" x14ac:dyDescent="0.25">
      <c r="H16857" t="s">
        <v>135</v>
      </c>
    </row>
    <row r="16858" spans="8:8" x14ac:dyDescent="0.25">
      <c r="H16858" t="s">
        <v>3647</v>
      </c>
    </row>
    <row r="16859" spans="8:8" x14ac:dyDescent="0.25">
      <c r="H16859" t="s">
        <v>30</v>
      </c>
    </row>
    <row r="16861" spans="8:8" x14ac:dyDescent="0.25">
      <c r="H16861" t="s">
        <v>2614</v>
      </c>
    </row>
    <row r="16862" spans="8:8" x14ac:dyDescent="0.25">
      <c r="H16862" t="s">
        <v>2615</v>
      </c>
    </row>
    <row r="16863" spans="8:8" x14ac:dyDescent="0.25">
      <c r="H16863" t="s">
        <v>135</v>
      </c>
    </row>
    <row r="16864" spans="8:8" x14ac:dyDescent="0.25">
      <c r="H16864" t="s">
        <v>3648</v>
      </c>
    </row>
    <row r="16865" spans="8:8" x14ac:dyDescent="0.25">
      <c r="H16865" t="s">
        <v>30</v>
      </c>
    </row>
    <row r="16867" spans="8:8" x14ac:dyDescent="0.25">
      <c r="H16867" t="s">
        <v>2617</v>
      </c>
    </row>
    <row r="16868" spans="8:8" x14ac:dyDescent="0.25">
      <c r="H16868" t="s">
        <v>2618</v>
      </c>
    </row>
    <row r="16869" spans="8:8" x14ac:dyDescent="0.25">
      <c r="H16869" t="s">
        <v>135</v>
      </c>
    </row>
    <row r="16870" spans="8:8" x14ac:dyDescent="0.25">
      <c r="H16870" t="s">
        <v>3649</v>
      </c>
    </row>
    <row r="16871" spans="8:8" x14ac:dyDescent="0.25">
      <c r="H16871" t="s">
        <v>30</v>
      </c>
    </row>
    <row r="16873" spans="8:8" x14ac:dyDescent="0.25">
      <c r="H16873" t="s">
        <v>2620</v>
      </c>
    </row>
    <row r="16874" spans="8:8" x14ac:dyDescent="0.25">
      <c r="H16874" t="s">
        <v>2621</v>
      </c>
    </row>
    <row r="16875" spans="8:8" x14ac:dyDescent="0.25">
      <c r="H16875" t="s">
        <v>135</v>
      </c>
    </row>
    <row r="16876" spans="8:8" x14ac:dyDescent="0.25">
      <c r="H16876" t="s">
        <v>3650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3651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3652</v>
      </c>
    </row>
    <row r="16883" spans="8:8" x14ac:dyDescent="0.25">
      <c r="H16883" t="s">
        <v>30</v>
      </c>
    </row>
    <row r="16885" spans="8:8" x14ac:dyDescent="0.25">
      <c r="H16885" t="s">
        <v>2625</v>
      </c>
    </row>
    <row r="16886" spans="8:8" x14ac:dyDescent="0.25">
      <c r="H16886" t="s">
        <v>2626</v>
      </c>
    </row>
    <row r="16887" spans="8:8" x14ac:dyDescent="0.25">
      <c r="H16887" t="s">
        <v>135</v>
      </c>
    </row>
    <row r="16888" spans="8:8" x14ac:dyDescent="0.25">
      <c r="H16888" t="s">
        <v>4954</v>
      </c>
    </row>
    <row r="16889" spans="8:8" x14ac:dyDescent="0.25">
      <c r="H16889" t="s">
        <v>30</v>
      </c>
    </row>
    <row r="16891" spans="8:8" x14ac:dyDescent="0.25">
      <c r="H16891" t="s">
        <v>2627</v>
      </c>
    </row>
    <row r="16892" spans="8:8" x14ac:dyDescent="0.25">
      <c r="H16892" t="s">
        <v>2628</v>
      </c>
    </row>
    <row r="16893" spans="8:8" x14ac:dyDescent="0.25">
      <c r="H16893" t="s">
        <v>135</v>
      </c>
    </row>
    <row r="16894" spans="8:8" x14ac:dyDescent="0.25">
      <c r="H16894" t="s">
        <v>3653</v>
      </c>
    </row>
    <row r="16895" spans="8:8" x14ac:dyDescent="0.25">
      <c r="H16895" t="s">
        <v>30</v>
      </c>
    </row>
    <row r="16897" spans="8:8" x14ac:dyDescent="0.25">
      <c r="H16897" t="s">
        <v>2630</v>
      </c>
    </row>
    <row r="16898" spans="8:8" x14ac:dyDescent="0.25">
      <c r="H16898" t="s">
        <v>2631</v>
      </c>
    </row>
    <row r="16899" spans="8:8" x14ac:dyDescent="0.25">
      <c r="H16899" t="s">
        <v>135</v>
      </c>
    </row>
    <row r="16900" spans="8:8" x14ac:dyDescent="0.25">
      <c r="H16900" t="s">
        <v>3654</v>
      </c>
    </row>
    <row r="16901" spans="8:8" x14ac:dyDescent="0.25">
      <c r="H16901" t="s">
        <v>30</v>
      </c>
    </row>
    <row r="16903" spans="8:8" x14ac:dyDescent="0.25">
      <c r="H16903" t="s">
        <v>2633</v>
      </c>
    </row>
    <row r="16904" spans="8:8" x14ac:dyDescent="0.25">
      <c r="H16904" t="s">
        <v>2634</v>
      </c>
    </row>
    <row r="16905" spans="8:8" x14ac:dyDescent="0.25">
      <c r="H16905" t="s">
        <v>135</v>
      </c>
    </row>
    <row r="16906" spans="8:8" x14ac:dyDescent="0.25">
      <c r="H16906" t="s">
        <v>3655</v>
      </c>
    </row>
    <row r="16907" spans="8:8" x14ac:dyDescent="0.25">
      <c r="H16907" t="s">
        <v>30</v>
      </c>
    </row>
    <row r="16909" spans="8:8" x14ac:dyDescent="0.25">
      <c r="H16909" t="s">
        <v>2636</v>
      </c>
    </row>
    <row r="16910" spans="8:8" x14ac:dyDescent="0.25">
      <c r="H16910" t="s">
        <v>2637</v>
      </c>
    </row>
    <row r="16911" spans="8:8" x14ac:dyDescent="0.25">
      <c r="H16911" t="s">
        <v>135</v>
      </c>
    </row>
    <row r="16912" spans="8:8" x14ac:dyDescent="0.25">
      <c r="H16912" t="s">
        <v>3656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3657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3658</v>
      </c>
    </row>
    <row r="16919" spans="8:8" x14ac:dyDescent="0.25">
      <c r="H16919" t="s">
        <v>30</v>
      </c>
    </row>
    <row r="16921" spans="8:8" x14ac:dyDescent="0.25">
      <c r="H16921" t="s">
        <v>2641</v>
      </c>
    </row>
    <row r="16922" spans="8:8" x14ac:dyDescent="0.25">
      <c r="H16922" t="s">
        <v>2642</v>
      </c>
    </row>
    <row r="16923" spans="8:8" x14ac:dyDescent="0.25">
      <c r="H16923" t="s">
        <v>135</v>
      </c>
    </row>
    <row r="16924" spans="8:8" x14ac:dyDescent="0.25">
      <c r="H16924" t="s">
        <v>4955</v>
      </c>
    </row>
    <row r="16925" spans="8:8" x14ac:dyDescent="0.25">
      <c r="H16925" t="s">
        <v>30</v>
      </c>
    </row>
    <row r="16927" spans="8:8" x14ac:dyDescent="0.25">
      <c r="H16927" t="s">
        <v>2643</v>
      </c>
    </row>
    <row r="16928" spans="8:8" x14ac:dyDescent="0.25">
      <c r="H16928" t="s">
        <v>2644</v>
      </c>
    </row>
    <row r="16929" spans="8:8" x14ac:dyDescent="0.25">
      <c r="H16929" t="s">
        <v>135</v>
      </c>
    </row>
    <row r="16930" spans="8:8" x14ac:dyDescent="0.25">
      <c r="H16930" t="s">
        <v>3659</v>
      </c>
    </row>
    <row r="16931" spans="8:8" x14ac:dyDescent="0.25">
      <c r="H16931" t="s">
        <v>30</v>
      </c>
    </row>
    <row r="16933" spans="8:8" x14ac:dyDescent="0.25">
      <c r="H16933" t="s">
        <v>2646</v>
      </c>
    </row>
    <row r="16934" spans="8:8" x14ac:dyDescent="0.25">
      <c r="H16934" t="s">
        <v>2647</v>
      </c>
    </row>
    <row r="16935" spans="8:8" x14ac:dyDescent="0.25">
      <c r="H16935" t="s">
        <v>135</v>
      </c>
    </row>
    <row r="16936" spans="8:8" x14ac:dyDescent="0.25">
      <c r="H16936" t="s">
        <v>3660</v>
      </c>
    </row>
    <row r="16937" spans="8:8" x14ac:dyDescent="0.25">
      <c r="H16937" t="s">
        <v>30</v>
      </c>
    </row>
    <row r="16939" spans="8:8" x14ac:dyDescent="0.25">
      <c r="H16939" t="s">
        <v>2649</v>
      </c>
    </row>
    <row r="16940" spans="8:8" x14ac:dyDescent="0.25">
      <c r="H16940" t="s">
        <v>2650</v>
      </c>
    </row>
    <row r="16941" spans="8:8" x14ac:dyDescent="0.25">
      <c r="H16941" t="s">
        <v>135</v>
      </c>
    </row>
    <row r="16942" spans="8:8" x14ac:dyDescent="0.25">
      <c r="H16942" t="s">
        <v>3661</v>
      </c>
    </row>
    <row r="16943" spans="8:8" x14ac:dyDescent="0.25">
      <c r="H16943" t="s">
        <v>30</v>
      </c>
    </row>
    <row r="16945" spans="8:8" x14ac:dyDescent="0.25">
      <c r="H16945" t="s">
        <v>2652</v>
      </c>
    </row>
    <row r="16946" spans="8:8" x14ac:dyDescent="0.25">
      <c r="H16946" t="s">
        <v>2653</v>
      </c>
    </row>
    <row r="16947" spans="8:8" x14ac:dyDescent="0.25">
      <c r="H16947" t="s">
        <v>135</v>
      </c>
    </row>
    <row r="16948" spans="8:8" x14ac:dyDescent="0.25">
      <c r="H16948" t="s">
        <v>3662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3663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3664</v>
      </c>
    </row>
    <row r="16955" spans="8:8" x14ac:dyDescent="0.25">
      <c r="H16955" t="s">
        <v>30</v>
      </c>
    </row>
    <row r="16957" spans="8:8" x14ac:dyDescent="0.25">
      <c r="H16957" t="s">
        <v>2657</v>
      </c>
    </row>
    <row r="16958" spans="8:8" x14ac:dyDescent="0.25">
      <c r="H16958" t="s">
        <v>2658</v>
      </c>
    </row>
    <row r="16959" spans="8:8" x14ac:dyDescent="0.25">
      <c r="H16959" t="s">
        <v>135</v>
      </c>
    </row>
    <row r="16960" spans="8:8" x14ac:dyDescent="0.25">
      <c r="H16960" t="s">
        <v>4956</v>
      </c>
    </row>
    <row r="16961" spans="8:8" x14ac:dyDescent="0.25">
      <c r="H16961" t="s">
        <v>30</v>
      </c>
    </row>
    <row r="16963" spans="8:8" x14ac:dyDescent="0.25">
      <c r="H16963" t="s">
        <v>2659</v>
      </c>
    </row>
    <row r="16964" spans="8:8" x14ac:dyDescent="0.25">
      <c r="H16964" t="s">
        <v>2660</v>
      </c>
    </row>
    <row r="16965" spans="8:8" x14ac:dyDescent="0.25">
      <c r="H16965" t="s">
        <v>135</v>
      </c>
    </row>
    <row r="16966" spans="8:8" x14ac:dyDescent="0.25">
      <c r="H16966" t="s">
        <v>3665</v>
      </c>
    </row>
    <row r="16967" spans="8:8" x14ac:dyDescent="0.25">
      <c r="H16967" t="s">
        <v>30</v>
      </c>
    </row>
    <row r="16969" spans="8:8" x14ac:dyDescent="0.25">
      <c r="H16969" t="s">
        <v>2662</v>
      </c>
    </row>
    <row r="16970" spans="8:8" x14ac:dyDescent="0.25">
      <c r="H16970" t="s">
        <v>2663</v>
      </c>
    </row>
    <row r="16971" spans="8:8" x14ac:dyDescent="0.25">
      <c r="H16971" t="s">
        <v>135</v>
      </c>
    </row>
    <row r="16972" spans="8:8" x14ac:dyDescent="0.25">
      <c r="H16972" t="s">
        <v>3666</v>
      </c>
    </row>
    <row r="16973" spans="8:8" x14ac:dyDescent="0.25">
      <c r="H16973" t="s">
        <v>30</v>
      </c>
    </row>
    <row r="16975" spans="8:8" x14ac:dyDescent="0.25">
      <c r="H16975" t="s">
        <v>2665</v>
      </c>
    </row>
    <row r="16976" spans="8:8" x14ac:dyDescent="0.25">
      <c r="H16976" t="s">
        <v>2666</v>
      </c>
    </row>
    <row r="16977" spans="8:8" x14ac:dyDescent="0.25">
      <c r="H16977" t="s">
        <v>135</v>
      </c>
    </row>
    <row r="16978" spans="8:8" x14ac:dyDescent="0.25">
      <c r="H16978" t="s">
        <v>3667</v>
      </c>
    </row>
    <row r="16979" spans="8:8" x14ac:dyDescent="0.25">
      <c r="H16979" t="s">
        <v>30</v>
      </c>
    </row>
    <row r="16981" spans="8:8" x14ac:dyDescent="0.25">
      <c r="H16981" t="s">
        <v>2668</v>
      </c>
    </row>
    <row r="16982" spans="8:8" x14ac:dyDescent="0.25">
      <c r="H16982" t="s">
        <v>2669</v>
      </c>
    </row>
    <row r="16983" spans="8:8" x14ac:dyDescent="0.25">
      <c r="H16983" t="s">
        <v>135</v>
      </c>
    </row>
    <row r="16984" spans="8:8" x14ac:dyDescent="0.25">
      <c r="H16984" t="s">
        <v>3668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3669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3670</v>
      </c>
    </row>
    <row r="16991" spans="8:8" x14ac:dyDescent="0.25">
      <c r="H16991" t="s">
        <v>30</v>
      </c>
    </row>
    <row r="16993" spans="8:8" x14ac:dyDescent="0.25">
      <c r="H16993" t="s">
        <v>2673</v>
      </c>
    </row>
    <row r="16994" spans="8:8" x14ac:dyDescent="0.25">
      <c r="H16994" t="s">
        <v>2674</v>
      </c>
    </row>
    <row r="16995" spans="8:8" x14ac:dyDescent="0.25">
      <c r="H16995" t="s">
        <v>135</v>
      </c>
    </row>
    <row r="16996" spans="8:8" x14ac:dyDescent="0.25">
      <c r="H16996" t="s">
        <v>4957</v>
      </c>
    </row>
    <row r="16997" spans="8:8" x14ac:dyDescent="0.25">
      <c r="H16997" t="s">
        <v>30</v>
      </c>
    </row>
    <row r="16999" spans="8:8" x14ac:dyDescent="0.25">
      <c r="H16999" t="s">
        <v>2675</v>
      </c>
    </row>
    <row r="17000" spans="8:8" x14ac:dyDescent="0.25">
      <c r="H17000" t="s">
        <v>2676</v>
      </c>
    </row>
    <row r="17001" spans="8:8" x14ac:dyDescent="0.25">
      <c r="H17001" t="s">
        <v>135</v>
      </c>
    </row>
    <row r="17002" spans="8:8" x14ac:dyDescent="0.25">
      <c r="H17002" t="s">
        <v>3671</v>
      </c>
    </row>
    <row r="17003" spans="8:8" x14ac:dyDescent="0.25">
      <c r="H17003" t="s">
        <v>30</v>
      </c>
    </row>
    <row r="17005" spans="8:8" x14ac:dyDescent="0.25">
      <c r="H17005" t="s">
        <v>2678</v>
      </c>
    </row>
    <row r="17006" spans="8:8" x14ac:dyDescent="0.25">
      <c r="H17006" t="s">
        <v>2679</v>
      </c>
    </row>
    <row r="17007" spans="8:8" x14ac:dyDescent="0.25">
      <c r="H17007" t="s">
        <v>135</v>
      </c>
    </row>
    <row r="17008" spans="8:8" x14ac:dyDescent="0.25">
      <c r="H17008" t="s">
        <v>3672</v>
      </c>
    </row>
    <row r="17009" spans="8:8" x14ac:dyDescent="0.25">
      <c r="H17009" t="s">
        <v>30</v>
      </c>
    </row>
    <row r="17011" spans="8:8" x14ac:dyDescent="0.25">
      <c r="H17011" t="s">
        <v>2681</v>
      </c>
    </row>
    <row r="17012" spans="8:8" x14ac:dyDescent="0.25">
      <c r="H17012" t="s">
        <v>2682</v>
      </c>
    </row>
    <row r="17013" spans="8:8" x14ac:dyDescent="0.25">
      <c r="H17013" t="s">
        <v>135</v>
      </c>
    </row>
    <row r="17014" spans="8:8" x14ac:dyDescent="0.25">
      <c r="H17014" t="s">
        <v>3673</v>
      </c>
    </row>
    <row r="17015" spans="8:8" x14ac:dyDescent="0.25">
      <c r="H17015" t="s">
        <v>30</v>
      </c>
    </row>
    <row r="17017" spans="8:8" x14ac:dyDescent="0.25">
      <c r="H17017" t="s">
        <v>2684</v>
      </c>
    </row>
    <row r="17018" spans="8:8" x14ac:dyDescent="0.25">
      <c r="H17018" t="s">
        <v>2685</v>
      </c>
    </row>
    <row r="17019" spans="8:8" x14ac:dyDescent="0.25">
      <c r="H17019" t="s">
        <v>135</v>
      </c>
    </row>
    <row r="17020" spans="8:8" x14ac:dyDescent="0.25">
      <c r="H17020" t="s">
        <v>3674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3675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3676</v>
      </c>
    </row>
    <row r="17027" spans="8:8" x14ac:dyDescent="0.25">
      <c r="H17027" t="s">
        <v>30</v>
      </c>
    </row>
    <row r="17029" spans="8:8" x14ac:dyDescent="0.25">
      <c r="H17029" t="s">
        <v>2689</v>
      </c>
    </row>
    <row r="17030" spans="8:8" x14ac:dyDescent="0.25">
      <c r="H17030" t="s">
        <v>2690</v>
      </c>
    </row>
    <row r="17031" spans="8:8" x14ac:dyDescent="0.25">
      <c r="H17031" t="s">
        <v>135</v>
      </c>
    </row>
    <row r="17032" spans="8:8" x14ac:dyDescent="0.25">
      <c r="H17032" t="s">
        <v>4958</v>
      </c>
    </row>
    <row r="17033" spans="8:8" x14ac:dyDescent="0.25">
      <c r="H17033" t="s">
        <v>30</v>
      </c>
    </row>
    <row r="17035" spans="8:8" x14ac:dyDescent="0.25">
      <c r="H17035" t="s">
        <v>2691</v>
      </c>
    </row>
    <row r="17036" spans="8:8" x14ac:dyDescent="0.25">
      <c r="H17036" t="s">
        <v>2692</v>
      </c>
    </row>
    <row r="17037" spans="8:8" x14ac:dyDescent="0.25">
      <c r="H17037" t="s">
        <v>135</v>
      </c>
    </row>
    <row r="17038" spans="8:8" x14ac:dyDescent="0.25">
      <c r="H17038" t="s">
        <v>3677</v>
      </c>
    </row>
    <row r="17039" spans="8:8" x14ac:dyDescent="0.25">
      <c r="H17039" t="s">
        <v>30</v>
      </c>
    </row>
    <row r="17041" spans="8:8" x14ac:dyDescent="0.25">
      <c r="H17041" t="s">
        <v>2694</v>
      </c>
    </row>
    <row r="17042" spans="8:8" x14ac:dyDescent="0.25">
      <c r="H17042" t="s">
        <v>2695</v>
      </c>
    </row>
    <row r="17043" spans="8:8" x14ac:dyDescent="0.25">
      <c r="H17043" t="s">
        <v>135</v>
      </c>
    </row>
    <row r="17044" spans="8:8" x14ac:dyDescent="0.25">
      <c r="H17044" t="s">
        <v>3678</v>
      </c>
    </row>
    <row r="17045" spans="8:8" x14ac:dyDescent="0.25">
      <c r="H17045" t="s">
        <v>30</v>
      </c>
    </row>
    <row r="17047" spans="8:8" x14ac:dyDescent="0.25">
      <c r="H17047" t="s">
        <v>2697</v>
      </c>
    </row>
    <row r="17048" spans="8:8" x14ac:dyDescent="0.25">
      <c r="H17048" t="s">
        <v>2698</v>
      </c>
    </row>
    <row r="17049" spans="8:8" x14ac:dyDescent="0.25">
      <c r="H17049" t="s">
        <v>135</v>
      </c>
    </row>
    <row r="17050" spans="8:8" x14ac:dyDescent="0.25">
      <c r="H17050" t="s">
        <v>3679</v>
      </c>
    </row>
    <row r="17051" spans="8:8" x14ac:dyDescent="0.25">
      <c r="H17051" t="s">
        <v>30</v>
      </c>
    </row>
    <row r="17053" spans="8:8" x14ac:dyDescent="0.25">
      <c r="H17053" t="s">
        <v>2700</v>
      </c>
    </row>
    <row r="17054" spans="8:8" x14ac:dyDescent="0.25">
      <c r="H17054" t="s">
        <v>2701</v>
      </c>
    </row>
    <row r="17055" spans="8:8" x14ac:dyDescent="0.25">
      <c r="H17055" t="s">
        <v>135</v>
      </c>
    </row>
    <row r="17056" spans="8:8" x14ac:dyDescent="0.25">
      <c r="H17056" t="s">
        <v>3680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3681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3682</v>
      </c>
    </row>
    <row r="17063" spans="8:8" x14ac:dyDescent="0.25">
      <c r="H17063" t="s">
        <v>30</v>
      </c>
    </row>
    <row r="17065" spans="8:8" x14ac:dyDescent="0.25">
      <c r="H17065" t="s">
        <v>2705</v>
      </c>
    </row>
    <row r="17066" spans="8:8" x14ac:dyDescent="0.25">
      <c r="H17066" t="s">
        <v>2706</v>
      </c>
    </row>
    <row r="17067" spans="8:8" x14ac:dyDescent="0.25">
      <c r="H17067" t="s">
        <v>135</v>
      </c>
    </row>
    <row r="17068" spans="8:8" x14ac:dyDescent="0.25">
      <c r="H17068" t="s">
        <v>4959</v>
      </c>
    </row>
    <row r="17069" spans="8:8" x14ac:dyDescent="0.25">
      <c r="H17069" t="s">
        <v>30</v>
      </c>
    </row>
    <row r="17071" spans="8:8" x14ac:dyDescent="0.25">
      <c r="H17071" t="s">
        <v>2707</v>
      </c>
    </row>
    <row r="17072" spans="8:8" x14ac:dyDescent="0.25">
      <c r="H17072" t="s">
        <v>2708</v>
      </c>
    </row>
    <row r="17073" spans="8:8" x14ac:dyDescent="0.25">
      <c r="H17073" t="s">
        <v>135</v>
      </c>
    </row>
    <row r="17074" spans="8:8" x14ac:dyDescent="0.25">
      <c r="H17074" t="s">
        <v>3683</v>
      </c>
    </row>
    <row r="17075" spans="8:8" x14ac:dyDescent="0.25">
      <c r="H17075" t="s">
        <v>30</v>
      </c>
    </row>
    <row r="17077" spans="8:8" x14ac:dyDescent="0.25">
      <c r="H17077" t="s">
        <v>2710</v>
      </c>
    </row>
    <row r="17078" spans="8:8" x14ac:dyDescent="0.25">
      <c r="H17078" t="s">
        <v>2711</v>
      </c>
    </row>
    <row r="17079" spans="8:8" x14ac:dyDescent="0.25">
      <c r="H17079" t="s">
        <v>135</v>
      </c>
    </row>
    <row r="17080" spans="8:8" x14ac:dyDescent="0.25">
      <c r="H17080" t="s">
        <v>3684</v>
      </c>
    </row>
    <row r="17081" spans="8:8" x14ac:dyDescent="0.25">
      <c r="H17081" t="s">
        <v>30</v>
      </c>
    </row>
    <row r="17083" spans="8:8" x14ac:dyDescent="0.25">
      <c r="H17083" t="s">
        <v>2713</v>
      </c>
    </row>
    <row r="17084" spans="8:8" x14ac:dyDescent="0.25">
      <c r="H17084" t="s">
        <v>2714</v>
      </c>
    </row>
    <row r="17085" spans="8:8" x14ac:dyDescent="0.25">
      <c r="H17085" t="s">
        <v>135</v>
      </c>
    </row>
    <row r="17086" spans="8:8" x14ac:dyDescent="0.25">
      <c r="H17086" t="s">
        <v>3685</v>
      </c>
    </row>
    <row r="17087" spans="8:8" x14ac:dyDescent="0.25">
      <c r="H17087" t="s">
        <v>30</v>
      </c>
    </row>
    <row r="17089" spans="8:8" x14ac:dyDescent="0.25">
      <c r="H17089" t="s">
        <v>2716</v>
      </c>
    </row>
    <row r="17090" spans="8:8" x14ac:dyDescent="0.25">
      <c r="H17090" t="s">
        <v>2717</v>
      </c>
    </row>
    <row r="17091" spans="8:8" x14ac:dyDescent="0.25">
      <c r="H17091" t="s">
        <v>135</v>
      </c>
    </row>
    <row r="17092" spans="8:8" x14ac:dyDescent="0.25">
      <c r="H17092" t="s">
        <v>3686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3687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3688</v>
      </c>
    </row>
    <row r="17099" spans="8:8" x14ac:dyDescent="0.25">
      <c r="H17099" t="s">
        <v>30</v>
      </c>
    </row>
    <row r="17101" spans="8:8" x14ac:dyDescent="0.25">
      <c r="H17101" t="s">
        <v>2721</v>
      </c>
    </row>
    <row r="17102" spans="8:8" x14ac:dyDescent="0.25">
      <c r="H17102" t="s">
        <v>2722</v>
      </c>
    </row>
    <row r="17103" spans="8:8" x14ac:dyDescent="0.25">
      <c r="H17103" t="s">
        <v>135</v>
      </c>
    </row>
    <row r="17104" spans="8:8" x14ac:dyDescent="0.25">
      <c r="H17104" t="s">
        <v>4960</v>
      </c>
    </row>
    <row r="17105" spans="8:8" x14ac:dyDescent="0.25">
      <c r="H17105" t="s">
        <v>30</v>
      </c>
    </row>
    <row r="17107" spans="8:8" x14ac:dyDescent="0.25">
      <c r="H17107" t="s">
        <v>2723</v>
      </c>
    </row>
    <row r="17108" spans="8:8" x14ac:dyDescent="0.25">
      <c r="H17108" t="s">
        <v>2724</v>
      </c>
    </row>
    <row r="17109" spans="8:8" x14ac:dyDescent="0.25">
      <c r="H17109" t="s">
        <v>135</v>
      </c>
    </row>
    <row r="17110" spans="8:8" x14ac:dyDescent="0.25">
      <c r="H17110" t="s">
        <v>3689</v>
      </c>
    </row>
    <row r="17111" spans="8:8" x14ac:dyDescent="0.25">
      <c r="H17111" t="s">
        <v>30</v>
      </c>
    </row>
    <row r="17113" spans="8:8" x14ac:dyDescent="0.25">
      <c r="H17113" t="s">
        <v>2726</v>
      </c>
    </row>
    <row r="17114" spans="8:8" x14ac:dyDescent="0.25">
      <c r="H17114" t="s">
        <v>2727</v>
      </c>
    </row>
    <row r="17115" spans="8:8" x14ac:dyDescent="0.25">
      <c r="H17115" t="s">
        <v>135</v>
      </c>
    </row>
    <row r="17116" spans="8:8" x14ac:dyDescent="0.25">
      <c r="H17116" t="s">
        <v>3690</v>
      </c>
    </row>
    <row r="17117" spans="8:8" x14ac:dyDescent="0.25">
      <c r="H17117" t="s">
        <v>30</v>
      </c>
    </row>
    <row r="17119" spans="8:8" x14ac:dyDescent="0.25">
      <c r="H17119" t="s">
        <v>2729</v>
      </c>
    </row>
    <row r="17120" spans="8:8" x14ac:dyDescent="0.25">
      <c r="H17120" t="s">
        <v>2730</v>
      </c>
    </row>
    <row r="17121" spans="8:8" x14ac:dyDescent="0.25">
      <c r="H17121" t="s">
        <v>135</v>
      </c>
    </row>
    <row r="17122" spans="8:8" x14ac:dyDescent="0.25">
      <c r="H17122" t="s">
        <v>3691</v>
      </c>
    </row>
    <row r="17123" spans="8:8" x14ac:dyDescent="0.25">
      <c r="H17123" t="s">
        <v>30</v>
      </c>
    </row>
    <row r="17125" spans="8:8" x14ac:dyDescent="0.25">
      <c r="H17125" t="s">
        <v>2732</v>
      </c>
    </row>
    <row r="17126" spans="8:8" x14ac:dyDescent="0.25">
      <c r="H17126" t="s">
        <v>2733</v>
      </c>
    </row>
    <row r="17127" spans="8:8" x14ac:dyDescent="0.25">
      <c r="H17127" t="s">
        <v>135</v>
      </c>
    </row>
    <row r="17128" spans="8:8" x14ac:dyDescent="0.25">
      <c r="H17128" t="s">
        <v>3692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3693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3694</v>
      </c>
    </row>
    <row r="17135" spans="8:8" x14ac:dyDescent="0.25">
      <c r="H17135" t="s">
        <v>30</v>
      </c>
    </row>
    <row r="17137" spans="8:8" x14ac:dyDescent="0.25">
      <c r="H17137" t="s">
        <v>2737</v>
      </c>
    </row>
    <row r="17138" spans="8:8" x14ac:dyDescent="0.25">
      <c r="H17138" t="s">
        <v>2738</v>
      </c>
    </row>
    <row r="17139" spans="8:8" x14ac:dyDescent="0.25">
      <c r="H17139" t="s">
        <v>135</v>
      </c>
    </row>
    <row r="17140" spans="8:8" x14ac:dyDescent="0.25">
      <c r="H17140" t="s">
        <v>4961</v>
      </c>
    </row>
    <row r="17141" spans="8:8" x14ac:dyDescent="0.25">
      <c r="H17141" t="s">
        <v>30</v>
      </c>
    </row>
    <row r="17143" spans="8:8" x14ac:dyDescent="0.25">
      <c r="H17143" t="s">
        <v>2739</v>
      </c>
    </row>
    <row r="17144" spans="8:8" x14ac:dyDescent="0.25">
      <c r="H17144" t="s">
        <v>2740</v>
      </c>
    </row>
    <row r="17145" spans="8:8" x14ac:dyDescent="0.25">
      <c r="H17145" t="s">
        <v>135</v>
      </c>
    </row>
    <row r="17146" spans="8:8" x14ac:dyDescent="0.25">
      <c r="H17146" t="s">
        <v>3695</v>
      </c>
    </row>
    <row r="17147" spans="8:8" x14ac:dyDescent="0.25">
      <c r="H17147" t="s">
        <v>30</v>
      </c>
    </row>
    <row r="17149" spans="8:8" x14ac:dyDescent="0.25">
      <c r="H17149" t="s">
        <v>2742</v>
      </c>
    </row>
    <row r="17150" spans="8:8" x14ac:dyDescent="0.25">
      <c r="H17150" t="s">
        <v>2743</v>
      </c>
    </row>
    <row r="17151" spans="8:8" x14ac:dyDescent="0.25">
      <c r="H17151" t="s">
        <v>135</v>
      </c>
    </row>
    <row r="17152" spans="8:8" x14ac:dyDescent="0.25">
      <c r="H17152" t="s">
        <v>3696</v>
      </c>
    </row>
    <row r="17153" spans="8:8" x14ac:dyDescent="0.25">
      <c r="H17153" t="s">
        <v>30</v>
      </c>
    </row>
    <row r="17155" spans="8:8" x14ac:dyDescent="0.25">
      <c r="H17155" t="s">
        <v>2745</v>
      </c>
    </row>
    <row r="17156" spans="8:8" x14ac:dyDescent="0.25">
      <c r="H17156" t="s">
        <v>2746</v>
      </c>
    </row>
    <row r="17157" spans="8:8" x14ac:dyDescent="0.25">
      <c r="H17157" t="s">
        <v>135</v>
      </c>
    </row>
    <row r="17158" spans="8:8" x14ac:dyDescent="0.25">
      <c r="H17158" t="s">
        <v>3697</v>
      </c>
    </row>
    <row r="17159" spans="8:8" x14ac:dyDescent="0.25">
      <c r="H17159" t="s">
        <v>30</v>
      </c>
    </row>
    <row r="17161" spans="8:8" x14ac:dyDescent="0.25">
      <c r="H17161" t="s">
        <v>2748</v>
      </c>
    </row>
    <row r="17162" spans="8:8" x14ac:dyDescent="0.25">
      <c r="H17162" t="s">
        <v>2749</v>
      </c>
    </row>
    <row r="17163" spans="8:8" x14ac:dyDescent="0.25">
      <c r="H17163" t="s">
        <v>135</v>
      </c>
    </row>
    <row r="17164" spans="8:8" x14ac:dyDescent="0.25">
      <c r="H17164" t="s">
        <v>3698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3699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3700</v>
      </c>
    </row>
    <row r="17171" spans="8:8" x14ac:dyDescent="0.25">
      <c r="H17171" t="s">
        <v>30</v>
      </c>
    </row>
    <row r="17173" spans="8:8" x14ac:dyDescent="0.25">
      <c r="H17173" t="s">
        <v>2753</v>
      </c>
    </row>
    <row r="17174" spans="8:8" x14ac:dyDescent="0.25">
      <c r="H17174" t="s">
        <v>2754</v>
      </c>
    </row>
    <row r="17175" spans="8:8" x14ac:dyDescent="0.25">
      <c r="H17175" t="s">
        <v>135</v>
      </c>
    </row>
    <row r="17176" spans="8:8" x14ac:dyDescent="0.25">
      <c r="H17176" t="s">
        <v>4962</v>
      </c>
    </row>
    <row r="17177" spans="8:8" x14ac:dyDescent="0.25">
      <c r="H17177" t="s">
        <v>30</v>
      </c>
    </row>
    <row r="17179" spans="8:8" x14ac:dyDescent="0.25">
      <c r="H17179" t="s">
        <v>2755</v>
      </c>
    </row>
    <row r="17180" spans="8:8" x14ac:dyDescent="0.25">
      <c r="H17180" t="s">
        <v>2756</v>
      </c>
    </row>
    <row r="17181" spans="8:8" x14ac:dyDescent="0.25">
      <c r="H17181" t="s">
        <v>135</v>
      </c>
    </row>
    <row r="17182" spans="8:8" x14ac:dyDescent="0.25">
      <c r="H17182" t="s">
        <v>3701</v>
      </c>
    </row>
    <row r="17183" spans="8:8" x14ac:dyDescent="0.25">
      <c r="H17183" t="s">
        <v>30</v>
      </c>
    </row>
    <row r="17185" spans="8:8" x14ac:dyDescent="0.25">
      <c r="H17185" t="s">
        <v>2758</v>
      </c>
    </row>
    <row r="17186" spans="8:8" x14ac:dyDescent="0.25">
      <c r="H17186" t="s">
        <v>2759</v>
      </c>
    </row>
    <row r="17187" spans="8:8" x14ac:dyDescent="0.25">
      <c r="H17187" t="s">
        <v>135</v>
      </c>
    </row>
    <row r="17188" spans="8:8" x14ac:dyDescent="0.25">
      <c r="H17188" t="s">
        <v>3702</v>
      </c>
    </row>
    <row r="17189" spans="8:8" x14ac:dyDescent="0.25">
      <c r="H17189" t="s">
        <v>30</v>
      </c>
    </row>
    <row r="17191" spans="8:8" x14ac:dyDescent="0.25">
      <c r="H17191" t="s">
        <v>2761</v>
      </c>
    </row>
    <row r="17192" spans="8:8" x14ac:dyDescent="0.25">
      <c r="H17192" t="s">
        <v>2762</v>
      </c>
    </row>
    <row r="17193" spans="8:8" x14ac:dyDescent="0.25">
      <c r="H17193" t="s">
        <v>135</v>
      </c>
    </row>
    <row r="17194" spans="8:8" x14ac:dyDescent="0.25">
      <c r="H17194" t="s">
        <v>3703</v>
      </c>
    </row>
    <row r="17195" spans="8:8" x14ac:dyDescent="0.25">
      <c r="H17195" t="s">
        <v>30</v>
      </c>
    </row>
    <row r="17197" spans="8:8" x14ac:dyDescent="0.25">
      <c r="H17197" t="s">
        <v>2764</v>
      </c>
    </row>
    <row r="17198" spans="8:8" x14ac:dyDescent="0.25">
      <c r="H17198" t="s">
        <v>2765</v>
      </c>
    </row>
    <row r="17199" spans="8:8" x14ac:dyDescent="0.25">
      <c r="H17199" t="s">
        <v>135</v>
      </c>
    </row>
    <row r="17200" spans="8:8" x14ac:dyDescent="0.25">
      <c r="H17200" t="s">
        <v>3704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3705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3706</v>
      </c>
    </row>
    <row r="17207" spans="8:8" x14ac:dyDescent="0.25">
      <c r="H17207" t="s">
        <v>30</v>
      </c>
    </row>
    <row r="17209" spans="8:8" x14ac:dyDescent="0.25">
      <c r="H17209" t="s">
        <v>2769</v>
      </c>
    </row>
    <row r="17210" spans="8:8" x14ac:dyDescent="0.25">
      <c r="H17210" t="s">
        <v>2770</v>
      </c>
    </row>
    <row r="17211" spans="8:8" x14ac:dyDescent="0.25">
      <c r="H17211" t="s">
        <v>135</v>
      </c>
    </row>
    <row r="17212" spans="8:8" x14ac:dyDescent="0.25">
      <c r="H17212" t="s">
        <v>4963</v>
      </c>
    </row>
    <row r="17213" spans="8:8" x14ac:dyDescent="0.25">
      <c r="H17213" t="s">
        <v>30</v>
      </c>
    </row>
    <row r="17215" spans="8:8" x14ac:dyDescent="0.25">
      <c r="H17215" t="s">
        <v>2771</v>
      </c>
    </row>
    <row r="17216" spans="8:8" x14ac:dyDescent="0.25">
      <c r="H17216" t="s">
        <v>2772</v>
      </c>
    </row>
    <row r="17217" spans="8:8" x14ac:dyDescent="0.25">
      <c r="H17217" t="s">
        <v>135</v>
      </c>
    </row>
    <row r="17218" spans="8:8" x14ac:dyDescent="0.25">
      <c r="H17218" t="s">
        <v>3707</v>
      </c>
    </row>
    <row r="17219" spans="8:8" x14ac:dyDescent="0.25">
      <c r="H17219" t="s">
        <v>30</v>
      </c>
    </row>
    <row r="17221" spans="8:8" x14ac:dyDescent="0.25">
      <c r="H17221" t="s">
        <v>2774</v>
      </c>
    </row>
    <row r="17222" spans="8:8" x14ac:dyDescent="0.25">
      <c r="H17222" t="s">
        <v>2775</v>
      </c>
    </row>
    <row r="17223" spans="8:8" x14ac:dyDescent="0.25">
      <c r="H17223" t="s">
        <v>135</v>
      </c>
    </row>
    <row r="17224" spans="8:8" x14ac:dyDescent="0.25">
      <c r="H17224" t="s">
        <v>3708</v>
      </c>
    </row>
    <row r="17225" spans="8:8" x14ac:dyDescent="0.25">
      <c r="H17225" t="s">
        <v>30</v>
      </c>
    </row>
    <row r="17227" spans="8:8" x14ac:dyDescent="0.25">
      <c r="H17227" t="s">
        <v>2777</v>
      </c>
    </row>
    <row r="17228" spans="8:8" x14ac:dyDescent="0.25">
      <c r="H17228" t="s">
        <v>2778</v>
      </c>
    </row>
    <row r="17229" spans="8:8" x14ac:dyDescent="0.25">
      <c r="H17229" t="s">
        <v>135</v>
      </c>
    </row>
    <row r="17230" spans="8:8" x14ac:dyDescent="0.25">
      <c r="H17230" t="s">
        <v>3709</v>
      </c>
    </row>
    <row r="17231" spans="8:8" x14ac:dyDescent="0.25">
      <c r="H17231" t="s">
        <v>30</v>
      </c>
    </row>
    <row r="17233" spans="8:8" x14ac:dyDescent="0.25">
      <c r="H17233" t="s">
        <v>2780</v>
      </c>
    </row>
    <row r="17234" spans="8:8" x14ac:dyDescent="0.25">
      <c r="H17234" t="s">
        <v>2781</v>
      </c>
    </row>
    <row r="17235" spans="8:8" x14ac:dyDescent="0.25">
      <c r="H17235" t="s">
        <v>135</v>
      </c>
    </row>
    <row r="17236" spans="8:8" x14ac:dyDescent="0.25">
      <c r="H17236" t="s">
        <v>3710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3711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3712</v>
      </c>
    </row>
    <row r="17243" spans="8:8" x14ac:dyDescent="0.25">
      <c r="H17243" t="s">
        <v>30</v>
      </c>
    </row>
    <row r="17245" spans="8:8" x14ac:dyDescent="0.25">
      <c r="H17245" t="s">
        <v>2785</v>
      </c>
    </row>
    <row r="17246" spans="8:8" x14ac:dyDescent="0.25">
      <c r="H17246" t="s">
        <v>2786</v>
      </c>
    </row>
    <row r="17247" spans="8:8" x14ac:dyDescent="0.25">
      <c r="H17247" t="s">
        <v>135</v>
      </c>
    </row>
    <row r="17248" spans="8:8" x14ac:dyDescent="0.25">
      <c r="H17248" t="s">
        <v>4964</v>
      </c>
    </row>
    <row r="17249" spans="8:8" x14ac:dyDescent="0.25">
      <c r="H17249" t="s">
        <v>30</v>
      </c>
    </row>
    <row r="17251" spans="8:8" x14ac:dyDescent="0.25">
      <c r="H17251" t="s">
        <v>2787</v>
      </c>
    </row>
    <row r="17252" spans="8:8" x14ac:dyDescent="0.25">
      <c r="H17252" t="s">
        <v>2788</v>
      </c>
    </row>
    <row r="17253" spans="8:8" x14ac:dyDescent="0.25">
      <c r="H17253" t="s">
        <v>135</v>
      </c>
    </row>
    <row r="17254" spans="8:8" x14ac:dyDescent="0.25">
      <c r="H17254" t="s">
        <v>3713</v>
      </c>
    </row>
    <row r="17255" spans="8:8" x14ac:dyDescent="0.25">
      <c r="H17255" t="s">
        <v>30</v>
      </c>
    </row>
    <row r="17257" spans="8:8" x14ac:dyDescent="0.25">
      <c r="H17257" t="s">
        <v>2790</v>
      </c>
    </row>
    <row r="17258" spans="8:8" x14ac:dyDescent="0.25">
      <c r="H17258" t="s">
        <v>2791</v>
      </c>
    </row>
    <row r="17259" spans="8:8" x14ac:dyDescent="0.25">
      <c r="H17259" t="s">
        <v>135</v>
      </c>
    </row>
    <row r="17260" spans="8:8" x14ac:dyDescent="0.25">
      <c r="H17260" t="s">
        <v>3714</v>
      </c>
    </row>
    <row r="17261" spans="8:8" x14ac:dyDescent="0.25">
      <c r="H17261" t="s">
        <v>30</v>
      </c>
    </row>
    <row r="17263" spans="8:8" x14ac:dyDescent="0.25">
      <c r="H17263" t="s">
        <v>2793</v>
      </c>
    </row>
    <row r="17264" spans="8:8" x14ac:dyDescent="0.25">
      <c r="H17264" t="s">
        <v>2794</v>
      </c>
    </row>
    <row r="17265" spans="8:8" x14ac:dyDescent="0.25">
      <c r="H17265" t="s">
        <v>135</v>
      </c>
    </row>
    <row r="17266" spans="8:8" x14ac:dyDescent="0.25">
      <c r="H17266" t="s">
        <v>3715</v>
      </c>
    </row>
    <row r="17267" spans="8:8" x14ac:dyDescent="0.25">
      <c r="H17267" t="s">
        <v>30</v>
      </c>
    </row>
    <row r="17269" spans="8:8" x14ac:dyDescent="0.25">
      <c r="H17269" t="s">
        <v>2796</v>
      </c>
    </row>
    <row r="17270" spans="8:8" x14ac:dyDescent="0.25">
      <c r="H17270" t="s">
        <v>2797</v>
      </c>
    </row>
    <row r="17271" spans="8:8" x14ac:dyDescent="0.25">
      <c r="H17271" t="s">
        <v>135</v>
      </c>
    </row>
    <row r="17272" spans="8:8" x14ac:dyDescent="0.25">
      <c r="H17272" t="s">
        <v>3716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3717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3718</v>
      </c>
    </row>
    <row r="17279" spans="8:8" x14ac:dyDescent="0.25">
      <c r="H17279" t="s">
        <v>30</v>
      </c>
    </row>
    <row r="17281" spans="8:8" x14ac:dyDescent="0.25">
      <c r="H17281" t="s">
        <v>2801</v>
      </c>
    </row>
    <row r="17282" spans="8:8" x14ac:dyDescent="0.25">
      <c r="H17282" t="s">
        <v>2802</v>
      </c>
    </row>
    <row r="17283" spans="8:8" x14ac:dyDescent="0.25">
      <c r="H17283" t="s">
        <v>135</v>
      </c>
    </row>
    <row r="17284" spans="8:8" x14ac:dyDescent="0.25">
      <c r="H17284" t="s">
        <v>4965</v>
      </c>
    </row>
    <row r="17285" spans="8:8" x14ac:dyDescent="0.25">
      <c r="H17285" t="s">
        <v>30</v>
      </c>
    </row>
    <row r="17287" spans="8:8" x14ac:dyDescent="0.25">
      <c r="H17287" t="s">
        <v>2803</v>
      </c>
    </row>
    <row r="17288" spans="8:8" x14ac:dyDescent="0.25">
      <c r="H17288" t="s">
        <v>2804</v>
      </c>
    </row>
    <row r="17289" spans="8:8" x14ac:dyDescent="0.25">
      <c r="H17289" t="s">
        <v>135</v>
      </c>
    </row>
    <row r="17290" spans="8:8" x14ac:dyDescent="0.25">
      <c r="H17290" t="s">
        <v>3719</v>
      </c>
    </row>
    <row r="17291" spans="8:8" x14ac:dyDescent="0.25">
      <c r="H17291" t="s">
        <v>30</v>
      </c>
    </row>
    <row r="17293" spans="8:8" x14ac:dyDescent="0.25">
      <c r="H17293" t="s">
        <v>2806</v>
      </c>
    </row>
    <row r="17294" spans="8:8" x14ac:dyDescent="0.25">
      <c r="H17294" t="s">
        <v>2807</v>
      </c>
    </row>
    <row r="17295" spans="8:8" x14ac:dyDescent="0.25">
      <c r="H17295" t="s">
        <v>135</v>
      </c>
    </row>
    <row r="17296" spans="8:8" x14ac:dyDescent="0.25">
      <c r="H17296" t="s">
        <v>3720</v>
      </c>
    </row>
    <row r="17297" spans="8:8" x14ac:dyDescent="0.25">
      <c r="H17297" t="s">
        <v>30</v>
      </c>
    </row>
    <row r="17299" spans="8:8" x14ac:dyDescent="0.25">
      <c r="H17299" t="s">
        <v>2809</v>
      </c>
    </row>
    <row r="17300" spans="8:8" x14ac:dyDescent="0.25">
      <c r="H17300" t="s">
        <v>2810</v>
      </c>
    </row>
    <row r="17301" spans="8:8" x14ac:dyDescent="0.25">
      <c r="H17301" t="s">
        <v>135</v>
      </c>
    </row>
    <row r="17302" spans="8:8" x14ac:dyDescent="0.25">
      <c r="H17302" t="s">
        <v>3721</v>
      </c>
    </row>
    <row r="17303" spans="8:8" x14ac:dyDescent="0.25">
      <c r="H17303" t="s">
        <v>30</v>
      </c>
    </row>
    <row r="17305" spans="8:8" x14ac:dyDescent="0.25">
      <c r="H17305" t="s">
        <v>2812</v>
      </c>
    </row>
    <row r="17306" spans="8:8" x14ac:dyDescent="0.25">
      <c r="H17306" t="s">
        <v>2813</v>
      </c>
    </row>
    <row r="17307" spans="8:8" x14ac:dyDescent="0.25">
      <c r="H17307" t="s">
        <v>135</v>
      </c>
    </row>
    <row r="17308" spans="8:8" x14ac:dyDescent="0.25">
      <c r="H17308" t="s">
        <v>3722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3723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3724</v>
      </c>
    </row>
    <row r="17315" spans="8:8" x14ac:dyDescent="0.25">
      <c r="H17315" t="s">
        <v>30</v>
      </c>
    </row>
    <row r="17317" spans="8:8" x14ac:dyDescent="0.25">
      <c r="H17317" t="s">
        <v>2817</v>
      </c>
    </row>
    <row r="17318" spans="8:8" x14ac:dyDescent="0.25">
      <c r="H17318" t="s">
        <v>2818</v>
      </c>
    </row>
    <row r="17319" spans="8:8" x14ac:dyDescent="0.25">
      <c r="H17319" t="s">
        <v>135</v>
      </c>
    </row>
    <row r="17320" spans="8:8" x14ac:dyDescent="0.25">
      <c r="H17320" t="s">
        <v>4966</v>
      </c>
    </row>
    <row r="17321" spans="8:8" x14ac:dyDescent="0.25">
      <c r="H17321" t="s">
        <v>30</v>
      </c>
    </row>
    <row r="17323" spans="8:8" x14ac:dyDescent="0.25">
      <c r="H17323" t="s">
        <v>2819</v>
      </c>
    </row>
    <row r="17324" spans="8:8" x14ac:dyDescent="0.25">
      <c r="H17324" t="s">
        <v>2820</v>
      </c>
    </row>
    <row r="17325" spans="8:8" x14ac:dyDescent="0.25">
      <c r="H17325" t="s">
        <v>135</v>
      </c>
    </row>
    <row r="17326" spans="8:8" x14ac:dyDescent="0.25">
      <c r="H17326" t="s">
        <v>3725</v>
      </c>
    </row>
    <row r="17327" spans="8:8" x14ac:dyDescent="0.25">
      <c r="H17327" t="s">
        <v>30</v>
      </c>
    </row>
    <row r="17329" spans="8:8" x14ac:dyDescent="0.25">
      <c r="H17329" t="s">
        <v>2822</v>
      </c>
    </row>
    <row r="17330" spans="8:8" x14ac:dyDescent="0.25">
      <c r="H17330" t="s">
        <v>2823</v>
      </c>
    </row>
    <row r="17331" spans="8:8" x14ac:dyDescent="0.25">
      <c r="H17331" t="s">
        <v>135</v>
      </c>
    </row>
    <row r="17332" spans="8:8" x14ac:dyDescent="0.25">
      <c r="H17332" t="s">
        <v>3726</v>
      </c>
    </row>
    <row r="17333" spans="8:8" x14ac:dyDescent="0.25">
      <c r="H17333" t="s">
        <v>30</v>
      </c>
    </row>
    <row r="17335" spans="8:8" x14ac:dyDescent="0.25">
      <c r="H17335" t="s">
        <v>2825</v>
      </c>
    </row>
    <row r="17336" spans="8:8" x14ac:dyDescent="0.25">
      <c r="H17336" t="s">
        <v>2826</v>
      </c>
    </row>
    <row r="17337" spans="8:8" x14ac:dyDescent="0.25">
      <c r="H17337" t="s">
        <v>135</v>
      </c>
    </row>
    <row r="17338" spans="8:8" x14ac:dyDescent="0.25">
      <c r="H17338" t="s">
        <v>3727</v>
      </c>
    </row>
    <row r="17339" spans="8:8" x14ac:dyDescent="0.25">
      <c r="H17339" t="s">
        <v>30</v>
      </c>
    </row>
    <row r="17340" spans="8:8" x14ac:dyDescent="0.25">
      <c r="H17340" t="s">
        <v>2828</v>
      </c>
    </row>
    <row r="17341" spans="8:8" x14ac:dyDescent="0.25">
      <c r="H17341" t="s">
        <v>136</v>
      </c>
    </row>
    <row r="17342" spans="8:8" x14ac:dyDescent="0.25">
      <c r="H17342" t="s">
        <v>3728</v>
      </c>
    </row>
    <row r="17343" spans="8:8" x14ac:dyDescent="0.25">
      <c r="H17343" t="s">
        <v>30</v>
      </c>
    </row>
    <row r="17345" spans="8:8" x14ac:dyDescent="0.25">
      <c r="H17345" t="s">
        <v>2830</v>
      </c>
    </row>
    <row r="17346" spans="8:8" x14ac:dyDescent="0.25">
      <c r="H17346" t="s">
        <v>2831</v>
      </c>
    </row>
    <row r="17347" spans="8:8" x14ac:dyDescent="0.25">
      <c r="H17347" t="s">
        <v>135</v>
      </c>
    </row>
    <row r="17348" spans="8:8" x14ac:dyDescent="0.25">
      <c r="H17348" t="s">
        <v>3729</v>
      </c>
    </row>
    <row r="17349" spans="8:8" x14ac:dyDescent="0.25">
      <c r="H17349" t="s">
        <v>30</v>
      </c>
    </row>
    <row r="17351" spans="8:8" x14ac:dyDescent="0.25">
      <c r="H17351" t="s">
        <v>2833</v>
      </c>
    </row>
    <row r="17352" spans="8:8" x14ac:dyDescent="0.25">
      <c r="H17352" t="s">
        <v>2834</v>
      </c>
    </row>
    <row r="17353" spans="8:8" x14ac:dyDescent="0.25">
      <c r="H17353" t="s">
        <v>135</v>
      </c>
    </row>
    <row r="17354" spans="8:8" x14ac:dyDescent="0.25">
      <c r="H17354" t="s">
        <v>3730</v>
      </c>
    </row>
    <row r="17355" spans="8:8" x14ac:dyDescent="0.25">
      <c r="H17355" t="s">
        <v>30</v>
      </c>
    </row>
    <row r="17357" spans="8:8" x14ac:dyDescent="0.25">
      <c r="H17357" t="s">
        <v>2836</v>
      </c>
    </row>
    <row r="17358" spans="8:8" x14ac:dyDescent="0.25">
      <c r="H17358" t="s">
        <v>2837</v>
      </c>
    </row>
    <row r="17359" spans="8:8" x14ac:dyDescent="0.25">
      <c r="H17359" t="s">
        <v>135</v>
      </c>
    </row>
    <row r="17360" spans="8:8" x14ac:dyDescent="0.25">
      <c r="H17360" t="s">
        <v>3731</v>
      </c>
    </row>
    <row r="17361" spans="8:8" x14ac:dyDescent="0.25">
      <c r="H17361" t="s">
        <v>30</v>
      </c>
    </row>
    <row r="17363" spans="8:8" x14ac:dyDescent="0.25">
      <c r="H17363" t="s">
        <v>2839</v>
      </c>
    </row>
    <row r="17364" spans="8:8" x14ac:dyDescent="0.25">
      <c r="H17364" t="s">
        <v>2840</v>
      </c>
    </row>
    <row r="17365" spans="8:8" x14ac:dyDescent="0.25">
      <c r="H17365" t="s">
        <v>135</v>
      </c>
    </row>
    <row r="17366" spans="8:8" x14ac:dyDescent="0.25">
      <c r="H17366" t="s">
        <v>3732</v>
      </c>
    </row>
    <row r="17367" spans="8:8" x14ac:dyDescent="0.25">
      <c r="H17367" t="s">
        <v>30</v>
      </c>
    </row>
    <row r="17369" spans="8:8" x14ac:dyDescent="0.25">
      <c r="H17369" t="s">
        <v>2842</v>
      </c>
    </row>
    <row r="17370" spans="8:8" x14ac:dyDescent="0.25">
      <c r="H17370" t="s">
        <v>2843</v>
      </c>
    </row>
    <row r="17371" spans="8:8" x14ac:dyDescent="0.25">
      <c r="H17371" t="s">
        <v>135</v>
      </c>
    </row>
    <row r="17372" spans="8:8" x14ac:dyDescent="0.25">
      <c r="H17372" t="s">
        <v>3733</v>
      </c>
    </row>
    <row r="17373" spans="8:8" x14ac:dyDescent="0.25">
      <c r="H17373" t="s">
        <v>30</v>
      </c>
    </row>
    <row r="17375" spans="8:8" x14ac:dyDescent="0.25">
      <c r="H17375" t="s">
        <v>2845</v>
      </c>
    </row>
    <row r="17376" spans="8:8" x14ac:dyDescent="0.25">
      <c r="H17376" t="s">
        <v>2846</v>
      </c>
    </row>
    <row r="17377" spans="8:8" x14ac:dyDescent="0.25">
      <c r="H17377" t="s">
        <v>135</v>
      </c>
    </row>
    <row r="17378" spans="8:8" x14ac:dyDescent="0.25">
      <c r="H17378" t="s">
        <v>3734</v>
      </c>
    </row>
    <row r="17379" spans="8:8" x14ac:dyDescent="0.25">
      <c r="H17379" t="s">
        <v>30</v>
      </c>
    </row>
    <row r="17381" spans="8:8" x14ac:dyDescent="0.25">
      <c r="H17381" t="s">
        <v>2848</v>
      </c>
    </row>
    <row r="17382" spans="8:8" x14ac:dyDescent="0.25">
      <c r="H17382" t="s">
        <v>2849</v>
      </c>
    </row>
    <row r="17383" spans="8:8" x14ac:dyDescent="0.25">
      <c r="H17383" t="s">
        <v>135</v>
      </c>
    </row>
    <row r="17384" spans="8:8" x14ac:dyDescent="0.25">
      <c r="H17384" t="s">
        <v>3735</v>
      </c>
    </row>
    <row r="17385" spans="8:8" x14ac:dyDescent="0.25">
      <c r="H17385" t="s">
        <v>30</v>
      </c>
    </row>
    <row r="17387" spans="8:8" x14ac:dyDescent="0.25">
      <c r="H17387" t="s">
        <v>2851</v>
      </c>
    </row>
    <row r="17388" spans="8:8" x14ac:dyDescent="0.25">
      <c r="H17388" t="s">
        <v>2852</v>
      </c>
    </row>
    <row r="17389" spans="8:8" x14ac:dyDescent="0.25">
      <c r="H17389" t="s">
        <v>135</v>
      </c>
    </row>
    <row r="17390" spans="8:8" x14ac:dyDescent="0.25">
      <c r="H17390" t="s">
        <v>3736</v>
      </c>
    </row>
    <row r="17391" spans="8:8" x14ac:dyDescent="0.25">
      <c r="H17391" t="s">
        <v>30</v>
      </c>
    </row>
    <row r="17393" spans="8:8" x14ac:dyDescent="0.25">
      <c r="H17393" t="s">
        <v>2854</v>
      </c>
    </row>
    <row r="17394" spans="8:8" x14ac:dyDescent="0.25">
      <c r="H17394" t="s">
        <v>2855</v>
      </c>
    </row>
    <row r="17395" spans="8:8" x14ac:dyDescent="0.25">
      <c r="H17395" t="s">
        <v>135</v>
      </c>
    </row>
    <row r="17396" spans="8:8" x14ac:dyDescent="0.25">
      <c r="H17396" t="s">
        <v>3737</v>
      </c>
    </row>
    <row r="17397" spans="8:8" x14ac:dyDescent="0.25">
      <c r="H17397" t="s">
        <v>30</v>
      </c>
    </row>
    <row r="17399" spans="8:8" x14ac:dyDescent="0.25">
      <c r="H17399" t="s">
        <v>2857</v>
      </c>
    </row>
    <row r="17400" spans="8:8" x14ac:dyDescent="0.25">
      <c r="H17400" t="s">
        <v>2858</v>
      </c>
    </row>
    <row r="17401" spans="8:8" x14ac:dyDescent="0.25">
      <c r="H17401" t="s">
        <v>135</v>
      </c>
    </row>
    <row r="17402" spans="8:8" x14ac:dyDescent="0.25">
      <c r="H17402" t="s">
        <v>3738</v>
      </c>
    </row>
    <row r="17403" spans="8:8" x14ac:dyDescent="0.25">
      <c r="H17403" t="s">
        <v>30</v>
      </c>
    </row>
    <row r="17405" spans="8:8" x14ac:dyDescent="0.25">
      <c r="H17405" t="s">
        <v>2860</v>
      </c>
    </row>
    <row r="17406" spans="8:8" x14ac:dyDescent="0.25">
      <c r="H17406" t="s">
        <v>2861</v>
      </c>
    </row>
    <row r="17407" spans="8:8" x14ac:dyDescent="0.25">
      <c r="H17407" t="s">
        <v>135</v>
      </c>
    </row>
    <row r="17408" spans="8:8" x14ac:dyDescent="0.25">
      <c r="H17408" t="s">
        <v>3739</v>
      </c>
    </row>
    <row r="17409" spans="8:8" x14ac:dyDescent="0.25">
      <c r="H17409" t="s">
        <v>30</v>
      </c>
    </row>
    <row r="17411" spans="8:8" x14ac:dyDescent="0.25">
      <c r="H17411" t="s">
        <v>2863</v>
      </c>
    </row>
    <row r="17412" spans="8:8" x14ac:dyDescent="0.25">
      <c r="H17412" t="s">
        <v>2864</v>
      </c>
    </row>
    <row r="17413" spans="8:8" x14ac:dyDescent="0.25">
      <c r="H17413" t="s">
        <v>135</v>
      </c>
    </row>
    <row r="17414" spans="8:8" x14ac:dyDescent="0.25">
      <c r="H17414" t="s">
        <v>3740</v>
      </c>
    </row>
    <row r="17415" spans="8:8" x14ac:dyDescent="0.25">
      <c r="H17415" t="s">
        <v>30</v>
      </c>
    </row>
    <row r="17417" spans="8:8" x14ac:dyDescent="0.25">
      <c r="H17417" t="s">
        <v>2866</v>
      </c>
    </row>
    <row r="17418" spans="8:8" x14ac:dyDescent="0.25">
      <c r="H17418" t="s">
        <v>2867</v>
      </c>
    </row>
    <row r="17419" spans="8:8" x14ac:dyDescent="0.25">
      <c r="H17419" t="s">
        <v>135</v>
      </c>
    </row>
    <row r="17420" spans="8:8" x14ac:dyDescent="0.25">
      <c r="H17420" t="s">
        <v>3741</v>
      </c>
    </row>
    <row r="17421" spans="8:8" x14ac:dyDescent="0.25">
      <c r="H17421" t="s">
        <v>30</v>
      </c>
    </row>
    <row r="17423" spans="8:8" x14ac:dyDescent="0.25">
      <c r="H17423" t="s">
        <v>2869</v>
      </c>
    </row>
    <row r="17424" spans="8:8" x14ac:dyDescent="0.25">
      <c r="H17424" t="s">
        <v>2870</v>
      </c>
    </row>
    <row r="17425" spans="8:8" x14ac:dyDescent="0.25">
      <c r="H17425" t="s">
        <v>135</v>
      </c>
    </row>
    <row r="17426" spans="8:8" x14ac:dyDescent="0.25">
      <c r="H17426" t="s">
        <v>3742</v>
      </c>
    </row>
    <row r="17427" spans="8:8" x14ac:dyDescent="0.25">
      <c r="H17427" t="s">
        <v>30</v>
      </c>
    </row>
    <row r="17429" spans="8:8" x14ac:dyDescent="0.25">
      <c r="H17429" t="s">
        <v>2872</v>
      </c>
    </row>
    <row r="17430" spans="8:8" x14ac:dyDescent="0.25">
      <c r="H17430" t="s">
        <v>2873</v>
      </c>
    </row>
    <row r="17431" spans="8:8" x14ac:dyDescent="0.25">
      <c r="H17431" t="s">
        <v>135</v>
      </c>
    </row>
    <row r="17432" spans="8:8" x14ac:dyDescent="0.25">
      <c r="H17432" t="s">
        <v>3743</v>
      </c>
    </row>
    <row r="17433" spans="8:8" x14ac:dyDescent="0.25">
      <c r="H17433" t="s">
        <v>30</v>
      </c>
    </row>
    <row r="17435" spans="8:8" x14ac:dyDescent="0.25">
      <c r="H17435" t="s">
        <v>2875</v>
      </c>
    </row>
    <row r="17436" spans="8:8" x14ac:dyDescent="0.25">
      <c r="H17436" t="s">
        <v>2876</v>
      </c>
    </row>
    <row r="17437" spans="8:8" x14ac:dyDescent="0.25">
      <c r="H17437" t="s">
        <v>135</v>
      </c>
    </row>
    <row r="17438" spans="8:8" x14ac:dyDescent="0.25">
      <c r="H17438" t="s">
        <v>3744</v>
      </c>
    </row>
    <row r="17439" spans="8:8" x14ac:dyDescent="0.25">
      <c r="H17439" t="s">
        <v>30</v>
      </c>
    </row>
    <row r="17441" spans="8:8" x14ac:dyDescent="0.25">
      <c r="H17441" t="s">
        <v>2878</v>
      </c>
    </row>
    <row r="17442" spans="8:8" x14ac:dyDescent="0.25">
      <c r="H17442" t="s">
        <v>2879</v>
      </c>
    </row>
    <row r="17443" spans="8:8" x14ac:dyDescent="0.25">
      <c r="H17443" t="s">
        <v>135</v>
      </c>
    </row>
    <row r="17444" spans="8:8" x14ac:dyDescent="0.25">
      <c r="H17444" t="s">
        <v>3745</v>
      </c>
    </row>
    <row r="17445" spans="8:8" x14ac:dyDescent="0.25">
      <c r="H17445" t="s">
        <v>30</v>
      </c>
    </row>
    <row r="17447" spans="8:8" x14ac:dyDescent="0.25">
      <c r="H17447" t="s">
        <v>2881</v>
      </c>
    </row>
    <row r="17448" spans="8:8" x14ac:dyDescent="0.25">
      <c r="H17448" t="s">
        <v>2882</v>
      </c>
    </row>
    <row r="17449" spans="8:8" x14ac:dyDescent="0.25">
      <c r="H17449" t="s">
        <v>135</v>
      </c>
    </row>
    <row r="17450" spans="8:8" x14ac:dyDescent="0.25">
      <c r="H17450" t="s">
        <v>3746</v>
      </c>
    </row>
    <row r="17451" spans="8:8" x14ac:dyDescent="0.25">
      <c r="H17451" t="s">
        <v>30</v>
      </c>
    </row>
    <row r="17453" spans="8:8" x14ac:dyDescent="0.25">
      <c r="H17453" t="s">
        <v>2884</v>
      </c>
    </row>
    <row r="17454" spans="8:8" x14ac:dyDescent="0.25">
      <c r="H17454" t="s">
        <v>2885</v>
      </c>
    </row>
    <row r="17455" spans="8:8" x14ac:dyDescent="0.25">
      <c r="H17455" t="s">
        <v>135</v>
      </c>
    </row>
    <row r="17456" spans="8:8" x14ac:dyDescent="0.25">
      <c r="H17456" t="s">
        <v>3747</v>
      </c>
    </row>
    <row r="17457" spans="8:8" x14ac:dyDescent="0.25">
      <c r="H17457" t="s">
        <v>30</v>
      </c>
    </row>
    <row r="17459" spans="8:8" x14ac:dyDescent="0.25">
      <c r="H17459" t="s">
        <v>2887</v>
      </c>
    </row>
    <row r="17460" spans="8:8" x14ac:dyDescent="0.25">
      <c r="H17460" t="s">
        <v>2888</v>
      </c>
    </row>
    <row r="17461" spans="8:8" x14ac:dyDescent="0.25">
      <c r="H17461" t="s">
        <v>135</v>
      </c>
    </row>
    <row r="17462" spans="8:8" x14ac:dyDescent="0.25">
      <c r="H17462" t="s">
        <v>3748</v>
      </c>
    </row>
    <row r="17463" spans="8:8" x14ac:dyDescent="0.25">
      <c r="H17463" t="s">
        <v>30</v>
      </c>
    </row>
    <row r="17465" spans="8:8" x14ac:dyDescent="0.25">
      <c r="H17465" t="s">
        <v>2890</v>
      </c>
    </row>
    <row r="17466" spans="8:8" x14ac:dyDescent="0.25">
      <c r="H17466" t="s">
        <v>2891</v>
      </c>
    </row>
    <row r="17467" spans="8:8" x14ac:dyDescent="0.25">
      <c r="H17467" t="s">
        <v>135</v>
      </c>
    </row>
    <row r="17468" spans="8:8" x14ac:dyDescent="0.25">
      <c r="H17468" t="s">
        <v>3749</v>
      </c>
    </row>
    <row r="17469" spans="8:8" x14ac:dyDescent="0.25">
      <c r="H17469" t="s">
        <v>30</v>
      </c>
    </row>
    <row r="17471" spans="8:8" x14ac:dyDescent="0.25">
      <c r="H17471" t="s">
        <v>2893</v>
      </c>
    </row>
    <row r="17472" spans="8:8" x14ac:dyDescent="0.25">
      <c r="H17472" t="s">
        <v>2894</v>
      </c>
    </row>
    <row r="17473" spans="8:8" x14ac:dyDescent="0.25">
      <c r="H17473" t="s">
        <v>135</v>
      </c>
    </row>
    <row r="17474" spans="8:8" x14ac:dyDescent="0.25">
      <c r="H17474" t="s">
        <v>3750</v>
      </c>
    </row>
    <row r="17475" spans="8:8" x14ac:dyDescent="0.25">
      <c r="H17475" t="s">
        <v>30</v>
      </c>
    </row>
    <row r="17477" spans="8:8" x14ac:dyDescent="0.25">
      <c r="H17477" t="s">
        <v>2896</v>
      </c>
    </row>
    <row r="17478" spans="8:8" x14ac:dyDescent="0.25">
      <c r="H17478" t="s">
        <v>2897</v>
      </c>
    </row>
    <row r="17479" spans="8:8" x14ac:dyDescent="0.25">
      <c r="H17479" t="s">
        <v>135</v>
      </c>
    </row>
    <row r="17480" spans="8:8" x14ac:dyDescent="0.25">
      <c r="H17480" t="s">
        <v>3751</v>
      </c>
    </row>
    <row r="17481" spans="8:8" x14ac:dyDescent="0.25">
      <c r="H17481" t="s">
        <v>30</v>
      </c>
    </row>
    <row r="17483" spans="8:8" x14ac:dyDescent="0.25">
      <c r="H17483" t="s">
        <v>2899</v>
      </c>
    </row>
    <row r="17484" spans="8:8" x14ac:dyDescent="0.25">
      <c r="H17484" t="s">
        <v>2900</v>
      </c>
    </row>
    <row r="17485" spans="8:8" x14ac:dyDescent="0.25">
      <c r="H17485" t="s">
        <v>135</v>
      </c>
    </row>
    <row r="17486" spans="8:8" x14ac:dyDescent="0.25">
      <c r="H17486" t="s">
        <v>3752</v>
      </c>
    </row>
    <row r="17487" spans="8:8" x14ac:dyDescent="0.25">
      <c r="H17487" t="s">
        <v>30</v>
      </c>
    </row>
    <row r="17489" spans="8:8" x14ac:dyDescent="0.25">
      <c r="H17489" t="s">
        <v>2902</v>
      </c>
    </row>
    <row r="17490" spans="8:8" x14ac:dyDescent="0.25">
      <c r="H17490" t="s">
        <v>2903</v>
      </c>
    </row>
    <row r="17491" spans="8:8" x14ac:dyDescent="0.25">
      <c r="H17491" t="s">
        <v>135</v>
      </c>
    </row>
    <row r="17492" spans="8:8" x14ac:dyDescent="0.25">
      <c r="H17492" t="s">
        <v>3753</v>
      </c>
    </row>
    <row r="17493" spans="8:8" x14ac:dyDescent="0.25">
      <c r="H17493" t="s">
        <v>30</v>
      </c>
    </row>
    <row r="17495" spans="8:8" x14ac:dyDescent="0.25">
      <c r="H17495" t="s">
        <v>2905</v>
      </c>
    </row>
    <row r="17496" spans="8:8" x14ac:dyDescent="0.25">
      <c r="H17496" t="s">
        <v>2906</v>
      </c>
    </row>
    <row r="17497" spans="8:8" x14ac:dyDescent="0.25">
      <c r="H17497" t="s">
        <v>135</v>
      </c>
    </row>
    <row r="17498" spans="8:8" x14ac:dyDescent="0.25">
      <c r="H17498" t="s">
        <v>3754</v>
      </c>
    </row>
    <row r="17499" spans="8:8" x14ac:dyDescent="0.25">
      <c r="H17499" t="s">
        <v>30</v>
      </c>
    </row>
    <row r="17501" spans="8:8" x14ac:dyDescent="0.25">
      <c r="H17501" t="s">
        <v>2908</v>
      </c>
    </row>
    <row r="17502" spans="8:8" x14ac:dyDescent="0.25">
      <c r="H17502" t="s">
        <v>2909</v>
      </c>
    </row>
    <row r="17503" spans="8:8" x14ac:dyDescent="0.25">
      <c r="H17503" t="s">
        <v>135</v>
      </c>
    </row>
    <row r="17504" spans="8:8" x14ac:dyDescent="0.25">
      <c r="H17504" t="s">
        <v>3755</v>
      </c>
    </row>
    <row r="17505" spans="8:8" x14ac:dyDescent="0.25">
      <c r="H17505" t="s">
        <v>30</v>
      </c>
    </row>
    <row r="17507" spans="8:8" x14ac:dyDescent="0.25">
      <c r="H17507" t="s">
        <v>2911</v>
      </c>
    </row>
    <row r="17508" spans="8:8" x14ac:dyDescent="0.25">
      <c r="H17508" t="s">
        <v>2912</v>
      </c>
    </row>
    <row r="17509" spans="8:8" x14ac:dyDescent="0.25">
      <c r="H17509" t="s">
        <v>135</v>
      </c>
    </row>
    <row r="17510" spans="8:8" x14ac:dyDescent="0.25">
      <c r="H17510" t="s">
        <v>3756</v>
      </c>
    </row>
    <row r="17511" spans="8:8" x14ac:dyDescent="0.25">
      <c r="H17511" t="s">
        <v>30</v>
      </c>
    </row>
    <row r="17513" spans="8:8" x14ac:dyDescent="0.25">
      <c r="H17513" t="s">
        <v>2914</v>
      </c>
    </row>
    <row r="17514" spans="8:8" x14ac:dyDescent="0.25">
      <c r="H17514" t="s">
        <v>2915</v>
      </c>
    </row>
    <row r="17515" spans="8:8" x14ac:dyDescent="0.25">
      <c r="H17515" t="s">
        <v>135</v>
      </c>
    </row>
    <row r="17516" spans="8:8" x14ac:dyDescent="0.25">
      <c r="H17516" t="s">
        <v>3757</v>
      </c>
    </row>
    <row r="17517" spans="8:8" x14ac:dyDescent="0.25">
      <c r="H17517" t="s">
        <v>30</v>
      </c>
    </row>
    <row r="17519" spans="8:8" x14ac:dyDescent="0.25">
      <c r="H17519" t="s">
        <v>2917</v>
      </c>
    </row>
    <row r="17520" spans="8:8" x14ac:dyDescent="0.25">
      <c r="H17520" t="s">
        <v>2918</v>
      </c>
    </row>
    <row r="17521" spans="8:8" x14ac:dyDescent="0.25">
      <c r="H17521" t="s">
        <v>135</v>
      </c>
    </row>
    <row r="17522" spans="8:8" x14ac:dyDescent="0.25">
      <c r="H17522" t="s">
        <v>3758</v>
      </c>
    </row>
    <row r="17523" spans="8:8" x14ac:dyDescent="0.25">
      <c r="H17523" t="s">
        <v>30</v>
      </c>
    </row>
    <row r="17525" spans="8:8" x14ac:dyDescent="0.25">
      <c r="H17525" t="s">
        <v>2920</v>
      </c>
    </row>
    <row r="17526" spans="8:8" x14ac:dyDescent="0.25">
      <c r="H17526" t="s">
        <v>2921</v>
      </c>
    </row>
    <row r="17527" spans="8:8" x14ac:dyDescent="0.25">
      <c r="H17527" t="s">
        <v>135</v>
      </c>
    </row>
    <row r="17528" spans="8:8" x14ac:dyDescent="0.25">
      <c r="H17528" t="s">
        <v>3759</v>
      </c>
    </row>
    <row r="17529" spans="8:8" x14ac:dyDescent="0.25">
      <c r="H17529" t="s">
        <v>30</v>
      </c>
    </row>
    <row r="17531" spans="8:8" x14ac:dyDescent="0.25">
      <c r="H17531" t="s">
        <v>2923</v>
      </c>
    </row>
    <row r="17532" spans="8:8" x14ac:dyDescent="0.25">
      <c r="H17532" t="s">
        <v>2924</v>
      </c>
    </row>
    <row r="17533" spans="8:8" x14ac:dyDescent="0.25">
      <c r="H17533" t="s">
        <v>135</v>
      </c>
    </row>
    <row r="17534" spans="8:8" x14ac:dyDescent="0.25">
      <c r="H17534" t="s">
        <v>3760</v>
      </c>
    </row>
    <row r="17535" spans="8:8" x14ac:dyDescent="0.25">
      <c r="H17535" t="s">
        <v>30</v>
      </c>
    </row>
    <row r="17537" spans="8:8" x14ac:dyDescent="0.25">
      <c r="H17537" t="s">
        <v>2926</v>
      </c>
    </row>
    <row r="17538" spans="8:8" x14ac:dyDescent="0.25">
      <c r="H17538" t="s">
        <v>2927</v>
      </c>
    </row>
    <row r="17539" spans="8:8" x14ac:dyDescent="0.25">
      <c r="H17539" t="s">
        <v>135</v>
      </c>
    </row>
    <row r="17540" spans="8:8" x14ac:dyDescent="0.25">
      <c r="H17540" t="s">
        <v>3761</v>
      </c>
    </row>
    <row r="17541" spans="8:8" x14ac:dyDescent="0.25">
      <c r="H17541" t="s">
        <v>30</v>
      </c>
    </row>
    <row r="17543" spans="8:8" x14ac:dyDescent="0.25">
      <c r="H17543" t="s">
        <v>2929</v>
      </c>
    </row>
    <row r="17544" spans="8:8" x14ac:dyDescent="0.25">
      <c r="H17544" t="s">
        <v>2930</v>
      </c>
    </row>
    <row r="17545" spans="8:8" x14ac:dyDescent="0.25">
      <c r="H17545" t="s">
        <v>135</v>
      </c>
    </row>
    <row r="17546" spans="8:8" x14ac:dyDescent="0.25">
      <c r="H17546" t="s">
        <v>3762</v>
      </c>
    </row>
    <row r="17547" spans="8:8" x14ac:dyDescent="0.25">
      <c r="H17547" t="s">
        <v>30</v>
      </c>
    </row>
    <row r="17549" spans="8:8" x14ac:dyDescent="0.25">
      <c r="H17549" t="s">
        <v>2932</v>
      </c>
    </row>
    <row r="17550" spans="8:8" x14ac:dyDescent="0.25">
      <c r="H17550" t="s">
        <v>2933</v>
      </c>
    </row>
    <row r="17551" spans="8:8" x14ac:dyDescent="0.25">
      <c r="H17551" t="s">
        <v>135</v>
      </c>
    </row>
    <row r="17552" spans="8:8" x14ac:dyDescent="0.25">
      <c r="H17552" t="s">
        <v>3763</v>
      </c>
    </row>
    <row r="17553" spans="8:8" x14ac:dyDescent="0.25">
      <c r="H17553" t="s">
        <v>30</v>
      </c>
    </row>
    <row r="17555" spans="8:8" x14ac:dyDescent="0.25">
      <c r="H17555" t="s">
        <v>2935</v>
      </c>
    </row>
    <row r="17556" spans="8:8" x14ac:dyDescent="0.25">
      <c r="H17556" t="s">
        <v>2936</v>
      </c>
    </row>
    <row r="17557" spans="8:8" x14ac:dyDescent="0.25">
      <c r="H17557" t="s">
        <v>135</v>
      </c>
    </row>
    <row r="17558" spans="8:8" x14ac:dyDescent="0.25">
      <c r="H17558" t="s">
        <v>3764</v>
      </c>
    </row>
    <row r="17559" spans="8:8" x14ac:dyDescent="0.25">
      <c r="H17559" t="s">
        <v>30</v>
      </c>
    </row>
    <row r="17561" spans="8:8" x14ac:dyDescent="0.25">
      <c r="H17561" t="s">
        <v>2938</v>
      </c>
    </row>
    <row r="17562" spans="8:8" x14ac:dyDescent="0.25">
      <c r="H17562" t="s">
        <v>2939</v>
      </c>
    </row>
    <row r="17563" spans="8:8" x14ac:dyDescent="0.25">
      <c r="H17563" t="s">
        <v>135</v>
      </c>
    </row>
    <row r="17564" spans="8:8" x14ac:dyDescent="0.25">
      <c r="H17564" t="s">
        <v>3765</v>
      </c>
    </row>
    <row r="17565" spans="8:8" x14ac:dyDescent="0.25">
      <c r="H17565" t="s">
        <v>30</v>
      </c>
    </row>
    <row r="17567" spans="8:8" x14ac:dyDescent="0.25">
      <c r="H17567" t="s">
        <v>2941</v>
      </c>
    </row>
    <row r="17568" spans="8:8" x14ac:dyDescent="0.25">
      <c r="H17568" t="s">
        <v>2942</v>
      </c>
    </row>
    <row r="17569" spans="8:8" x14ac:dyDescent="0.25">
      <c r="H17569" t="s">
        <v>135</v>
      </c>
    </row>
    <row r="17570" spans="8:8" x14ac:dyDescent="0.25">
      <c r="H17570" t="s">
        <v>3766</v>
      </c>
    </row>
    <row r="17571" spans="8:8" x14ac:dyDescent="0.25">
      <c r="H17571" t="s">
        <v>30</v>
      </c>
    </row>
    <row r="17573" spans="8:8" x14ac:dyDescent="0.25">
      <c r="H17573" t="s">
        <v>2944</v>
      </c>
    </row>
    <row r="17574" spans="8:8" x14ac:dyDescent="0.25">
      <c r="H17574" t="s">
        <v>2945</v>
      </c>
    </row>
    <row r="17575" spans="8:8" x14ac:dyDescent="0.25">
      <c r="H17575" t="s">
        <v>135</v>
      </c>
    </row>
    <row r="17576" spans="8:8" x14ac:dyDescent="0.25">
      <c r="H17576" t="s">
        <v>3767</v>
      </c>
    </row>
    <row r="17577" spans="8:8" x14ac:dyDescent="0.25">
      <c r="H17577" t="s">
        <v>30</v>
      </c>
    </row>
    <row r="17579" spans="8:8" x14ac:dyDescent="0.25">
      <c r="H17579" t="s">
        <v>2947</v>
      </c>
    </row>
    <row r="17580" spans="8:8" x14ac:dyDescent="0.25">
      <c r="H17580" t="s">
        <v>2948</v>
      </c>
    </row>
    <row r="17581" spans="8:8" x14ac:dyDescent="0.25">
      <c r="H17581" t="s">
        <v>135</v>
      </c>
    </row>
    <row r="17582" spans="8:8" x14ac:dyDescent="0.25">
      <c r="H17582" t="s">
        <v>3768</v>
      </c>
    </row>
    <row r="17583" spans="8:8" x14ac:dyDescent="0.25">
      <c r="H17583" t="s">
        <v>30</v>
      </c>
    </row>
    <row r="17585" spans="8:8" x14ac:dyDescent="0.25">
      <c r="H17585" t="s">
        <v>2950</v>
      </c>
    </row>
    <row r="17586" spans="8:8" x14ac:dyDescent="0.25">
      <c r="H17586" t="s">
        <v>2951</v>
      </c>
    </row>
    <row r="17587" spans="8:8" x14ac:dyDescent="0.25">
      <c r="H17587" t="s">
        <v>135</v>
      </c>
    </row>
    <row r="17588" spans="8:8" x14ac:dyDescent="0.25">
      <c r="H17588" t="s">
        <v>3769</v>
      </c>
    </row>
    <row r="17589" spans="8:8" x14ac:dyDescent="0.25">
      <c r="H17589" t="s">
        <v>30</v>
      </c>
    </row>
    <row r="17591" spans="8:8" x14ac:dyDescent="0.25">
      <c r="H17591" t="s">
        <v>2953</v>
      </c>
    </row>
    <row r="17592" spans="8:8" x14ac:dyDescent="0.25">
      <c r="H17592" t="s">
        <v>2954</v>
      </c>
    </row>
    <row r="17593" spans="8:8" x14ac:dyDescent="0.25">
      <c r="H17593" t="s">
        <v>135</v>
      </c>
    </row>
    <row r="17594" spans="8:8" x14ac:dyDescent="0.25">
      <c r="H17594" t="s">
        <v>3770</v>
      </c>
    </row>
    <row r="17595" spans="8:8" x14ac:dyDescent="0.25">
      <c r="H17595" t="s">
        <v>30</v>
      </c>
    </row>
    <row r="17597" spans="8:8" x14ac:dyDescent="0.25">
      <c r="H17597" t="s">
        <v>2956</v>
      </c>
    </row>
    <row r="17598" spans="8:8" x14ac:dyDescent="0.25">
      <c r="H17598" t="s">
        <v>2957</v>
      </c>
    </row>
    <row r="17599" spans="8:8" x14ac:dyDescent="0.25">
      <c r="H17599" t="s">
        <v>135</v>
      </c>
    </row>
    <row r="17600" spans="8:8" x14ac:dyDescent="0.25">
      <c r="H17600" t="s">
        <v>3771</v>
      </c>
    </row>
    <row r="17601" spans="8:8" x14ac:dyDescent="0.25">
      <c r="H17601" t="s">
        <v>30</v>
      </c>
    </row>
    <row r="17603" spans="8:8" x14ac:dyDescent="0.25">
      <c r="H17603" t="s">
        <v>2959</v>
      </c>
    </row>
    <row r="17604" spans="8:8" x14ac:dyDescent="0.25">
      <c r="H17604" t="s">
        <v>2960</v>
      </c>
    </row>
    <row r="17605" spans="8:8" x14ac:dyDescent="0.25">
      <c r="H17605" t="s">
        <v>135</v>
      </c>
    </row>
    <row r="17606" spans="8:8" x14ac:dyDescent="0.25">
      <c r="H17606" t="s">
        <v>3772</v>
      </c>
    </row>
    <row r="17607" spans="8:8" x14ac:dyDescent="0.25">
      <c r="H17607" t="s">
        <v>30</v>
      </c>
    </row>
    <row r="17609" spans="8:8" x14ac:dyDescent="0.25">
      <c r="H17609" t="s">
        <v>2962</v>
      </c>
    </row>
    <row r="17610" spans="8:8" x14ac:dyDescent="0.25">
      <c r="H17610" t="s">
        <v>2963</v>
      </c>
    </row>
    <row r="17611" spans="8:8" x14ac:dyDescent="0.25">
      <c r="H17611" t="s">
        <v>135</v>
      </c>
    </row>
    <row r="17612" spans="8:8" x14ac:dyDescent="0.25">
      <c r="H17612" t="s">
        <v>3773</v>
      </c>
    </row>
    <row r="17613" spans="8:8" x14ac:dyDescent="0.25">
      <c r="H17613" t="s">
        <v>30</v>
      </c>
    </row>
    <row r="17615" spans="8:8" x14ac:dyDescent="0.25">
      <c r="H17615" t="s">
        <v>2965</v>
      </c>
    </row>
    <row r="17616" spans="8:8" x14ac:dyDescent="0.25">
      <c r="H17616" t="s">
        <v>2966</v>
      </c>
    </row>
    <row r="17617" spans="8:8" x14ac:dyDescent="0.25">
      <c r="H17617" t="s">
        <v>135</v>
      </c>
    </row>
    <row r="17618" spans="8:8" x14ac:dyDescent="0.25">
      <c r="H17618" t="s">
        <v>3774</v>
      </c>
    </row>
    <row r="17619" spans="8:8" x14ac:dyDescent="0.25">
      <c r="H17619" t="s">
        <v>30</v>
      </c>
    </row>
    <row r="17621" spans="8:8" x14ac:dyDescent="0.25">
      <c r="H17621" t="s">
        <v>2968</v>
      </c>
    </row>
    <row r="17622" spans="8:8" x14ac:dyDescent="0.25">
      <c r="H17622" t="s">
        <v>2969</v>
      </c>
    </row>
    <row r="17623" spans="8:8" x14ac:dyDescent="0.25">
      <c r="H17623" t="s">
        <v>135</v>
      </c>
    </row>
    <row r="17624" spans="8:8" x14ac:dyDescent="0.25">
      <c r="H17624" t="s">
        <v>3775</v>
      </c>
    </row>
    <row r="17625" spans="8:8" x14ac:dyDescent="0.25">
      <c r="H17625" t="s">
        <v>30</v>
      </c>
    </row>
    <row r="17627" spans="8:8" x14ac:dyDescent="0.25">
      <c r="H17627" t="s">
        <v>2971</v>
      </c>
    </row>
    <row r="17628" spans="8:8" x14ac:dyDescent="0.25">
      <c r="H17628" t="s">
        <v>2972</v>
      </c>
    </row>
    <row r="17629" spans="8:8" x14ac:dyDescent="0.25">
      <c r="H17629" t="s">
        <v>135</v>
      </c>
    </row>
    <row r="17630" spans="8:8" x14ac:dyDescent="0.25">
      <c r="H17630" t="s">
        <v>3776</v>
      </c>
    </row>
    <row r="17631" spans="8:8" x14ac:dyDescent="0.25">
      <c r="H17631" t="s">
        <v>30</v>
      </c>
    </row>
    <row r="17633" spans="8:8" x14ac:dyDescent="0.25">
      <c r="H17633" t="s">
        <v>2974</v>
      </c>
    </row>
    <row r="17634" spans="8:8" x14ac:dyDescent="0.25">
      <c r="H17634" t="s">
        <v>2975</v>
      </c>
    </row>
    <row r="17635" spans="8:8" x14ac:dyDescent="0.25">
      <c r="H17635" t="s">
        <v>135</v>
      </c>
    </row>
    <row r="17636" spans="8:8" x14ac:dyDescent="0.25">
      <c r="H17636" t="s">
        <v>3777</v>
      </c>
    </row>
    <row r="17637" spans="8:8" x14ac:dyDescent="0.25">
      <c r="H17637" t="s">
        <v>30</v>
      </c>
    </row>
    <row r="17639" spans="8:8" x14ac:dyDescent="0.25">
      <c r="H17639" t="s">
        <v>2977</v>
      </c>
    </row>
    <row r="17640" spans="8:8" x14ac:dyDescent="0.25">
      <c r="H17640" t="s">
        <v>2978</v>
      </c>
    </row>
    <row r="17641" spans="8:8" x14ac:dyDescent="0.25">
      <c r="H17641" t="s">
        <v>135</v>
      </c>
    </row>
    <row r="17642" spans="8:8" x14ac:dyDescent="0.25">
      <c r="H17642" t="s">
        <v>3778</v>
      </c>
    </row>
    <row r="17643" spans="8:8" x14ac:dyDescent="0.25">
      <c r="H17643" t="s">
        <v>30</v>
      </c>
    </row>
    <row r="17645" spans="8:8" x14ac:dyDescent="0.25">
      <c r="H17645" t="s">
        <v>2980</v>
      </c>
    </row>
    <row r="17646" spans="8:8" x14ac:dyDescent="0.25">
      <c r="H17646" t="s">
        <v>2981</v>
      </c>
    </row>
    <row r="17647" spans="8:8" x14ac:dyDescent="0.25">
      <c r="H17647" t="s">
        <v>135</v>
      </c>
    </row>
    <row r="17648" spans="8:8" x14ac:dyDescent="0.25">
      <c r="H17648" t="s">
        <v>3779</v>
      </c>
    </row>
    <row r="17649" spans="8:8" x14ac:dyDescent="0.25">
      <c r="H17649" t="s">
        <v>30</v>
      </c>
    </row>
    <row r="17651" spans="8:8" x14ac:dyDescent="0.25">
      <c r="H17651" t="s">
        <v>2983</v>
      </c>
    </row>
    <row r="17652" spans="8:8" x14ac:dyDescent="0.25">
      <c r="H17652" t="s">
        <v>2984</v>
      </c>
    </row>
    <row r="17653" spans="8:8" x14ac:dyDescent="0.25">
      <c r="H17653" t="s">
        <v>135</v>
      </c>
    </row>
    <row r="17654" spans="8:8" x14ac:dyDescent="0.25">
      <c r="H17654" t="s">
        <v>3780</v>
      </c>
    </row>
    <row r="17655" spans="8:8" x14ac:dyDescent="0.25">
      <c r="H17655" t="s">
        <v>30</v>
      </c>
    </row>
    <row r="17657" spans="8:8" x14ac:dyDescent="0.25">
      <c r="H17657" t="s">
        <v>2986</v>
      </c>
    </row>
    <row r="17658" spans="8:8" x14ac:dyDescent="0.25">
      <c r="H17658" t="s">
        <v>2987</v>
      </c>
    </row>
    <row r="17659" spans="8:8" x14ac:dyDescent="0.25">
      <c r="H17659" t="s">
        <v>135</v>
      </c>
    </row>
    <row r="17660" spans="8:8" x14ac:dyDescent="0.25">
      <c r="H17660" t="s">
        <v>3781</v>
      </c>
    </row>
    <row r="17661" spans="8:8" x14ac:dyDescent="0.25">
      <c r="H17661" t="s">
        <v>30</v>
      </c>
    </row>
    <row r="17663" spans="8:8" x14ac:dyDescent="0.25">
      <c r="H17663" t="s">
        <v>2989</v>
      </c>
    </row>
    <row r="17664" spans="8:8" x14ac:dyDescent="0.25">
      <c r="H17664" t="s">
        <v>2990</v>
      </c>
    </row>
    <row r="17665" spans="8:8" x14ac:dyDescent="0.25">
      <c r="H17665" t="s">
        <v>135</v>
      </c>
    </row>
    <row r="17666" spans="8:8" x14ac:dyDescent="0.25">
      <c r="H17666" t="s">
        <v>3782</v>
      </c>
    </row>
    <row r="17667" spans="8:8" x14ac:dyDescent="0.25">
      <c r="H17667" t="s">
        <v>30</v>
      </c>
    </row>
    <row r="17669" spans="8:8" x14ac:dyDescent="0.25">
      <c r="H17669" t="s">
        <v>2992</v>
      </c>
    </row>
    <row r="17670" spans="8:8" x14ac:dyDescent="0.25">
      <c r="H17670" t="s">
        <v>2993</v>
      </c>
    </row>
    <row r="17671" spans="8:8" x14ac:dyDescent="0.25">
      <c r="H17671" t="s">
        <v>135</v>
      </c>
    </row>
    <row r="17672" spans="8:8" x14ac:dyDescent="0.25">
      <c r="H17672" t="s">
        <v>3783</v>
      </c>
    </row>
    <row r="17673" spans="8:8" x14ac:dyDescent="0.25">
      <c r="H17673" t="s">
        <v>30</v>
      </c>
    </row>
    <row r="17675" spans="8:8" x14ac:dyDescent="0.25">
      <c r="H17675" t="s">
        <v>2995</v>
      </c>
    </row>
    <row r="17676" spans="8:8" x14ac:dyDescent="0.25">
      <c r="H17676" t="s">
        <v>2996</v>
      </c>
    </row>
    <row r="17677" spans="8:8" x14ac:dyDescent="0.25">
      <c r="H17677" t="s">
        <v>135</v>
      </c>
    </row>
    <row r="17678" spans="8:8" x14ac:dyDescent="0.25">
      <c r="H17678" t="s">
        <v>3784</v>
      </c>
    </row>
    <row r="17679" spans="8:8" x14ac:dyDescent="0.25">
      <c r="H17679" t="s">
        <v>30</v>
      </c>
    </row>
    <row r="17681" spans="8:8" x14ac:dyDescent="0.25">
      <c r="H17681" t="s">
        <v>2998</v>
      </c>
    </row>
    <row r="17682" spans="8:8" x14ac:dyDescent="0.25">
      <c r="H17682" t="s">
        <v>2999</v>
      </c>
    </row>
    <row r="17683" spans="8:8" x14ac:dyDescent="0.25">
      <c r="H17683" t="s">
        <v>135</v>
      </c>
    </row>
    <row r="17684" spans="8:8" x14ac:dyDescent="0.25">
      <c r="H17684" t="s">
        <v>3785</v>
      </c>
    </row>
    <row r="17685" spans="8:8" x14ac:dyDescent="0.25">
      <c r="H17685" t="s">
        <v>30</v>
      </c>
    </row>
    <row r="17687" spans="8:8" x14ac:dyDescent="0.25">
      <c r="H17687" t="s">
        <v>3001</v>
      </c>
    </row>
    <row r="17688" spans="8:8" x14ac:dyDescent="0.25">
      <c r="H17688" t="s">
        <v>3002</v>
      </c>
    </row>
    <row r="17689" spans="8:8" x14ac:dyDescent="0.25">
      <c r="H17689" t="s">
        <v>135</v>
      </c>
    </row>
    <row r="17690" spans="8:8" x14ac:dyDescent="0.25">
      <c r="H17690" t="s">
        <v>3786</v>
      </c>
    </row>
    <row r="17691" spans="8:8" x14ac:dyDescent="0.25">
      <c r="H17691" t="s">
        <v>30</v>
      </c>
    </row>
    <row r="17693" spans="8:8" x14ac:dyDescent="0.25">
      <c r="H17693" t="s">
        <v>3004</v>
      </c>
    </row>
    <row r="17694" spans="8:8" x14ac:dyDescent="0.25">
      <c r="H17694" t="s">
        <v>3005</v>
      </c>
    </row>
    <row r="17695" spans="8:8" x14ac:dyDescent="0.25">
      <c r="H17695" t="s">
        <v>135</v>
      </c>
    </row>
    <row r="17696" spans="8:8" x14ac:dyDescent="0.25">
      <c r="H17696" t="s">
        <v>3787</v>
      </c>
    </row>
    <row r="17697" spans="8:8" x14ac:dyDescent="0.25">
      <c r="H17697" t="s">
        <v>30</v>
      </c>
    </row>
    <row r="17699" spans="8:8" x14ac:dyDescent="0.25">
      <c r="H17699" t="s">
        <v>3007</v>
      </c>
    </row>
    <row r="17700" spans="8:8" x14ac:dyDescent="0.25">
      <c r="H17700" t="s">
        <v>3008</v>
      </c>
    </row>
    <row r="17701" spans="8:8" x14ac:dyDescent="0.25">
      <c r="H17701" t="s">
        <v>135</v>
      </c>
    </row>
    <row r="17702" spans="8:8" x14ac:dyDescent="0.25">
      <c r="H17702" t="s">
        <v>3788</v>
      </c>
    </row>
    <row r="17703" spans="8:8" x14ac:dyDescent="0.25">
      <c r="H17703" t="s">
        <v>30</v>
      </c>
    </row>
    <row r="17705" spans="8:8" x14ac:dyDescent="0.25">
      <c r="H17705" t="s">
        <v>3010</v>
      </c>
    </row>
    <row r="17706" spans="8:8" x14ac:dyDescent="0.25">
      <c r="H17706" t="s">
        <v>3011</v>
      </c>
    </row>
    <row r="17707" spans="8:8" x14ac:dyDescent="0.25">
      <c r="H17707" t="s">
        <v>135</v>
      </c>
    </row>
    <row r="17708" spans="8:8" x14ac:dyDescent="0.25">
      <c r="H17708" t="s">
        <v>3789</v>
      </c>
    </row>
    <row r="17709" spans="8:8" x14ac:dyDescent="0.25">
      <c r="H17709" t="s">
        <v>30</v>
      </c>
    </row>
    <row r="17711" spans="8:8" x14ac:dyDescent="0.25">
      <c r="H17711" t="s">
        <v>3013</v>
      </c>
    </row>
    <row r="17712" spans="8:8" x14ac:dyDescent="0.25">
      <c r="H17712" t="s">
        <v>3014</v>
      </c>
    </row>
    <row r="17713" spans="8:8" x14ac:dyDescent="0.25">
      <c r="H17713" t="s">
        <v>135</v>
      </c>
    </row>
    <row r="17714" spans="8:8" x14ac:dyDescent="0.25">
      <c r="H17714" t="s">
        <v>3790</v>
      </c>
    </row>
    <row r="17715" spans="8:8" x14ac:dyDescent="0.25">
      <c r="H17715" t="s">
        <v>30</v>
      </c>
    </row>
    <row r="17717" spans="8:8" x14ac:dyDescent="0.25">
      <c r="H17717" t="s">
        <v>3016</v>
      </c>
    </row>
    <row r="17718" spans="8:8" x14ac:dyDescent="0.25">
      <c r="H17718" t="s">
        <v>3017</v>
      </c>
    </row>
    <row r="17719" spans="8:8" x14ac:dyDescent="0.25">
      <c r="H17719" t="s">
        <v>135</v>
      </c>
    </row>
    <row r="17720" spans="8:8" x14ac:dyDescent="0.25">
      <c r="H17720" t="s">
        <v>3791</v>
      </c>
    </row>
    <row r="17721" spans="8:8" x14ac:dyDescent="0.25">
      <c r="H17721" t="s">
        <v>30</v>
      </c>
    </row>
    <row r="17723" spans="8:8" x14ac:dyDescent="0.25">
      <c r="H17723" t="s">
        <v>3019</v>
      </c>
    </row>
    <row r="17724" spans="8:8" x14ac:dyDescent="0.25">
      <c r="H17724" t="s">
        <v>3020</v>
      </c>
    </row>
    <row r="17725" spans="8:8" x14ac:dyDescent="0.25">
      <c r="H17725" t="s">
        <v>135</v>
      </c>
    </row>
    <row r="17726" spans="8:8" x14ac:dyDescent="0.25">
      <c r="H17726" t="s">
        <v>3792</v>
      </c>
    </row>
    <row r="17727" spans="8:8" x14ac:dyDescent="0.25">
      <c r="H17727" t="s">
        <v>30</v>
      </c>
    </row>
    <row r="17729" spans="8:8" x14ac:dyDescent="0.25">
      <c r="H17729" t="s">
        <v>3022</v>
      </c>
    </row>
    <row r="17730" spans="8:8" x14ac:dyDescent="0.25">
      <c r="H17730" t="s">
        <v>3023</v>
      </c>
    </row>
    <row r="17731" spans="8:8" x14ac:dyDescent="0.25">
      <c r="H17731" t="s">
        <v>135</v>
      </c>
    </row>
    <row r="17732" spans="8:8" x14ac:dyDescent="0.25">
      <c r="H17732" t="s">
        <v>3793</v>
      </c>
    </row>
    <row r="17733" spans="8:8" x14ac:dyDescent="0.25">
      <c r="H17733" t="s">
        <v>30</v>
      </c>
    </row>
    <row r="17735" spans="8:8" x14ac:dyDescent="0.25">
      <c r="H17735" t="s">
        <v>3025</v>
      </c>
    </row>
    <row r="17736" spans="8:8" x14ac:dyDescent="0.25">
      <c r="H17736" t="s">
        <v>3026</v>
      </c>
    </row>
    <row r="17737" spans="8:8" x14ac:dyDescent="0.25">
      <c r="H17737" t="s">
        <v>135</v>
      </c>
    </row>
    <row r="17738" spans="8:8" x14ac:dyDescent="0.25">
      <c r="H17738" t="s">
        <v>3794</v>
      </c>
    </row>
    <row r="17739" spans="8:8" x14ac:dyDescent="0.25">
      <c r="H17739" t="s">
        <v>30</v>
      </c>
    </row>
    <row r="17741" spans="8:8" x14ac:dyDescent="0.25">
      <c r="H17741" t="s">
        <v>3028</v>
      </c>
    </row>
    <row r="17742" spans="8:8" x14ac:dyDescent="0.25">
      <c r="H17742" t="s">
        <v>3029</v>
      </c>
    </row>
    <row r="17743" spans="8:8" x14ac:dyDescent="0.25">
      <c r="H17743" t="s">
        <v>135</v>
      </c>
    </row>
    <row r="17744" spans="8:8" x14ac:dyDescent="0.25">
      <c r="H17744" t="s">
        <v>3795</v>
      </c>
    </row>
    <row r="17745" spans="8:8" x14ac:dyDescent="0.25">
      <c r="H17745" t="s">
        <v>30</v>
      </c>
    </row>
    <row r="17747" spans="8:8" x14ac:dyDescent="0.25">
      <c r="H17747" t="s">
        <v>3031</v>
      </c>
    </row>
    <row r="17748" spans="8:8" x14ac:dyDescent="0.25">
      <c r="H17748" t="s">
        <v>3032</v>
      </c>
    </row>
    <row r="17749" spans="8:8" x14ac:dyDescent="0.25">
      <c r="H17749" t="s">
        <v>135</v>
      </c>
    </row>
    <row r="17750" spans="8:8" x14ac:dyDescent="0.25">
      <c r="H17750" t="s">
        <v>3796</v>
      </c>
    </row>
    <row r="17751" spans="8:8" x14ac:dyDescent="0.25">
      <c r="H17751" t="s">
        <v>30</v>
      </c>
    </row>
    <row r="17753" spans="8:8" x14ac:dyDescent="0.25">
      <c r="H17753" t="s">
        <v>3034</v>
      </c>
    </row>
    <row r="17754" spans="8:8" x14ac:dyDescent="0.25">
      <c r="H17754" t="s">
        <v>3035</v>
      </c>
    </row>
    <row r="17755" spans="8:8" x14ac:dyDescent="0.25">
      <c r="H17755" t="s">
        <v>135</v>
      </c>
    </row>
    <row r="17756" spans="8:8" x14ac:dyDescent="0.25">
      <c r="H17756" t="s">
        <v>3797</v>
      </c>
    </row>
    <row r="17757" spans="8:8" x14ac:dyDescent="0.25">
      <c r="H17757" t="s">
        <v>30</v>
      </c>
    </row>
    <row r="17759" spans="8:8" x14ac:dyDescent="0.25">
      <c r="H17759" t="s">
        <v>3037</v>
      </c>
    </row>
    <row r="17760" spans="8:8" x14ac:dyDescent="0.25">
      <c r="H17760" t="s">
        <v>3038</v>
      </c>
    </row>
    <row r="17761" spans="8:8" x14ac:dyDescent="0.25">
      <c r="H17761" t="s">
        <v>135</v>
      </c>
    </row>
    <row r="17762" spans="8:8" x14ac:dyDescent="0.25">
      <c r="H17762" t="s">
        <v>3798</v>
      </c>
    </row>
    <row r="17763" spans="8:8" x14ac:dyDescent="0.25">
      <c r="H17763" t="s">
        <v>30</v>
      </c>
    </row>
    <row r="17765" spans="8:8" x14ac:dyDescent="0.25">
      <c r="H17765" t="s">
        <v>3040</v>
      </c>
    </row>
    <row r="17766" spans="8:8" x14ac:dyDescent="0.25">
      <c r="H17766" t="s">
        <v>3041</v>
      </c>
    </row>
    <row r="17767" spans="8:8" x14ac:dyDescent="0.25">
      <c r="H17767" t="s">
        <v>135</v>
      </c>
    </row>
    <row r="17768" spans="8:8" x14ac:dyDescent="0.25">
      <c r="H17768" t="s">
        <v>3799</v>
      </c>
    </row>
    <row r="17769" spans="8:8" x14ac:dyDescent="0.25">
      <c r="H17769" t="s">
        <v>30</v>
      </c>
    </row>
    <row r="17771" spans="8:8" x14ac:dyDescent="0.25">
      <c r="H17771" t="s">
        <v>3043</v>
      </c>
    </row>
    <row r="17772" spans="8:8" x14ac:dyDescent="0.25">
      <c r="H17772" t="s">
        <v>3044</v>
      </c>
    </row>
    <row r="17773" spans="8:8" x14ac:dyDescent="0.25">
      <c r="H17773" t="s">
        <v>135</v>
      </c>
    </row>
    <row r="17774" spans="8:8" x14ac:dyDescent="0.25">
      <c r="H17774" t="s">
        <v>3800</v>
      </c>
    </row>
    <row r="17775" spans="8:8" x14ac:dyDescent="0.25">
      <c r="H17775" t="s">
        <v>30</v>
      </c>
    </row>
    <row r="17777" spans="8:8" x14ac:dyDescent="0.25">
      <c r="H17777" t="s">
        <v>3046</v>
      </c>
    </row>
    <row r="17778" spans="8:8" x14ac:dyDescent="0.25">
      <c r="H17778" t="s">
        <v>3047</v>
      </c>
    </row>
    <row r="17779" spans="8:8" x14ac:dyDescent="0.25">
      <c r="H17779" t="s">
        <v>135</v>
      </c>
    </row>
    <row r="17780" spans="8:8" x14ac:dyDescent="0.25">
      <c r="H17780" t="s">
        <v>3801</v>
      </c>
    </row>
    <row r="17781" spans="8:8" x14ac:dyDescent="0.25">
      <c r="H17781" t="s">
        <v>30</v>
      </c>
    </row>
    <row r="17783" spans="8:8" x14ac:dyDescent="0.25">
      <c r="H17783" t="s">
        <v>3049</v>
      </c>
    </row>
    <row r="17784" spans="8:8" x14ac:dyDescent="0.25">
      <c r="H17784" t="s">
        <v>3050</v>
      </c>
    </row>
    <row r="17785" spans="8:8" x14ac:dyDescent="0.25">
      <c r="H17785" t="s">
        <v>135</v>
      </c>
    </row>
    <row r="17786" spans="8:8" x14ac:dyDescent="0.25">
      <c r="H17786" t="s">
        <v>3802</v>
      </c>
    </row>
    <row r="17787" spans="8:8" x14ac:dyDescent="0.25">
      <c r="H17787" t="s">
        <v>30</v>
      </c>
    </row>
    <row r="17789" spans="8:8" x14ac:dyDescent="0.25">
      <c r="H17789" t="s">
        <v>3052</v>
      </c>
    </row>
    <row r="17790" spans="8:8" x14ac:dyDescent="0.25">
      <c r="H17790" t="s">
        <v>3053</v>
      </c>
    </row>
    <row r="17791" spans="8:8" x14ac:dyDescent="0.25">
      <c r="H17791" t="s">
        <v>135</v>
      </c>
    </row>
    <row r="17792" spans="8:8" x14ac:dyDescent="0.25">
      <c r="H17792" t="s">
        <v>3803</v>
      </c>
    </row>
    <row r="17793" spans="8:8" x14ac:dyDescent="0.25">
      <c r="H17793" t="s">
        <v>30</v>
      </c>
    </row>
    <row r="17795" spans="8:8" x14ac:dyDescent="0.25">
      <c r="H17795" t="s">
        <v>3055</v>
      </c>
    </row>
    <row r="17796" spans="8:8" x14ac:dyDescent="0.25">
      <c r="H17796" t="s">
        <v>3056</v>
      </c>
    </row>
    <row r="17797" spans="8:8" x14ac:dyDescent="0.25">
      <c r="H17797" t="s">
        <v>135</v>
      </c>
    </row>
    <row r="17798" spans="8:8" x14ac:dyDescent="0.25">
      <c r="H17798" t="s">
        <v>3804</v>
      </c>
    </row>
    <row r="17799" spans="8:8" x14ac:dyDescent="0.25">
      <c r="H17799" t="s">
        <v>30</v>
      </c>
    </row>
    <row r="17801" spans="8:8" x14ac:dyDescent="0.25">
      <c r="H17801" t="s">
        <v>3058</v>
      </c>
    </row>
    <row r="17802" spans="8:8" x14ac:dyDescent="0.25">
      <c r="H17802" t="s">
        <v>3059</v>
      </c>
    </row>
    <row r="17803" spans="8:8" x14ac:dyDescent="0.25">
      <c r="H17803" t="s">
        <v>135</v>
      </c>
    </row>
    <row r="17804" spans="8:8" x14ac:dyDescent="0.25">
      <c r="H17804" t="s">
        <v>3805</v>
      </c>
    </row>
    <row r="17805" spans="8:8" x14ac:dyDescent="0.25">
      <c r="H17805" t="s">
        <v>30</v>
      </c>
    </row>
    <row r="17807" spans="8:8" x14ac:dyDescent="0.25">
      <c r="H17807" t="s">
        <v>3061</v>
      </c>
    </row>
    <row r="17808" spans="8:8" x14ac:dyDescent="0.25">
      <c r="H17808" t="s">
        <v>3062</v>
      </c>
    </row>
    <row r="17809" spans="8:8" x14ac:dyDescent="0.25">
      <c r="H17809" t="s">
        <v>135</v>
      </c>
    </row>
    <row r="17810" spans="8:8" x14ac:dyDescent="0.25">
      <c r="H17810" t="s">
        <v>3806</v>
      </c>
    </row>
    <row r="17811" spans="8:8" x14ac:dyDescent="0.25">
      <c r="H17811" t="s">
        <v>30</v>
      </c>
    </row>
    <row r="17813" spans="8:8" x14ac:dyDescent="0.25">
      <c r="H17813" t="s">
        <v>3064</v>
      </c>
    </row>
    <row r="17814" spans="8:8" x14ac:dyDescent="0.25">
      <c r="H17814" t="s">
        <v>3065</v>
      </c>
    </row>
    <row r="17815" spans="8:8" x14ac:dyDescent="0.25">
      <c r="H17815" t="s">
        <v>135</v>
      </c>
    </row>
    <row r="17816" spans="8:8" x14ac:dyDescent="0.25">
      <c r="H17816" t="s">
        <v>3807</v>
      </c>
    </row>
    <row r="17817" spans="8:8" x14ac:dyDescent="0.25">
      <c r="H17817" t="s">
        <v>30</v>
      </c>
    </row>
    <row r="17819" spans="8:8" x14ac:dyDescent="0.25">
      <c r="H17819" t="s">
        <v>3067</v>
      </c>
    </row>
    <row r="17820" spans="8:8" x14ac:dyDescent="0.25">
      <c r="H17820" t="s">
        <v>3068</v>
      </c>
    </row>
    <row r="17821" spans="8:8" x14ac:dyDescent="0.25">
      <c r="H17821" t="s">
        <v>135</v>
      </c>
    </row>
    <row r="17822" spans="8:8" x14ac:dyDescent="0.25">
      <c r="H17822" t="s">
        <v>3808</v>
      </c>
    </row>
    <row r="17823" spans="8:8" x14ac:dyDescent="0.25">
      <c r="H17823" t="s">
        <v>30</v>
      </c>
    </row>
    <row r="17825" spans="8:8" x14ac:dyDescent="0.25">
      <c r="H17825" t="s">
        <v>3070</v>
      </c>
    </row>
    <row r="17826" spans="8:8" x14ac:dyDescent="0.25">
      <c r="H17826" t="s">
        <v>3071</v>
      </c>
    </row>
    <row r="17827" spans="8:8" x14ac:dyDescent="0.25">
      <c r="H17827" t="s">
        <v>135</v>
      </c>
    </row>
    <row r="17828" spans="8:8" x14ac:dyDescent="0.25">
      <c r="H17828" t="s">
        <v>3809</v>
      </c>
    </row>
    <row r="17829" spans="8:8" x14ac:dyDescent="0.25">
      <c r="H17829" t="s">
        <v>30</v>
      </c>
    </row>
    <row r="17831" spans="8:8" x14ac:dyDescent="0.25">
      <c r="H17831" t="s">
        <v>3073</v>
      </c>
    </row>
    <row r="17832" spans="8:8" x14ac:dyDescent="0.25">
      <c r="H17832" t="s">
        <v>3074</v>
      </c>
    </row>
    <row r="17833" spans="8:8" x14ac:dyDescent="0.25">
      <c r="H17833" t="s">
        <v>135</v>
      </c>
    </row>
    <row r="17834" spans="8:8" x14ac:dyDescent="0.25">
      <c r="H17834" t="s">
        <v>3810</v>
      </c>
    </row>
    <row r="17835" spans="8:8" x14ac:dyDescent="0.25">
      <c r="H17835" t="s">
        <v>30</v>
      </c>
    </row>
    <row r="17837" spans="8:8" x14ac:dyDescent="0.25">
      <c r="H17837" t="s">
        <v>3076</v>
      </c>
    </row>
    <row r="17838" spans="8:8" x14ac:dyDescent="0.25">
      <c r="H17838" t="s">
        <v>3077</v>
      </c>
    </row>
    <row r="17839" spans="8:8" x14ac:dyDescent="0.25">
      <c r="H17839" t="s">
        <v>135</v>
      </c>
    </row>
    <row r="17840" spans="8:8" x14ac:dyDescent="0.25">
      <c r="H17840" t="s">
        <v>3811</v>
      </c>
    </row>
    <row r="17841" spans="8:8" x14ac:dyDescent="0.25">
      <c r="H17841" t="s">
        <v>30</v>
      </c>
    </row>
    <row r="17843" spans="8:8" x14ac:dyDescent="0.25">
      <c r="H17843" t="s">
        <v>3079</v>
      </c>
    </row>
    <row r="17844" spans="8:8" x14ac:dyDescent="0.25">
      <c r="H17844" t="s">
        <v>3080</v>
      </c>
    </row>
    <row r="17845" spans="8:8" x14ac:dyDescent="0.25">
      <c r="H17845" t="s">
        <v>135</v>
      </c>
    </row>
    <row r="17846" spans="8:8" x14ac:dyDescent="0.25">
      <c r="H17846" t="s">
        <v>3812</v>
      </c>
    </row>
    <row r="17847" spans="8:8" x14ac:dyDescent="0.25">
      <c r="H17847" t="s">
        <v>30</v>
      </c>
    </row>
    <row r="17849" spans="8:8" x14ac:dyDescent="0.25">
      <c r="H17849" t="s">
        <v>3082</v>
      </c>
    </row>
    <row r="17850" spans="8:8" x14ac:dyDescent="0.25">
      <c r="H17850" t="s">
        <v>3083</v>
      </c>
    </row>
    <row r="17851" spans="8:8" x14ac:dyDescent="0.25">
      <c r="H17851" t="s">
        <v>135</v>
      </c>
    </row>
    <row r="17852" spans="8:8" x14ac:dyDescent="0.25">
      <c r="H17852" t="s">
        <v>3813</v>
      </c>
    </row>
    <row r="17853" spans="8:8" x14ac:dyDescent="0.25">
      <c r="H17853" t="s">
        <v>30</v>
      </c>
    </row>
    <row r="17855" spans="8:8" x14ac:dyDescent="0.25">
      <c r="H17855" t="s">
        <v>3085</v>
      </c>
    </row>
    <row r="17856" spans="8:8" x14ac:dyDescent="0.25">
      <c r="H17856" t="s">
        <v>3086</v>
      </c>
    </row>
    <row r="17857" spans="8:8" x14ac:dyDescent="0.25">
      <c r="H17857" t="s">
        <v>135</v>
      </c>
    </row>
    <row r="17858" spans="8:8" x14ac:dyDescent="0.25">
      <c r="H17858" t="s">
        <v>3814</v>
      </c>
    </row>
    <row r="17859" spans="8:8" x14ac:dyDescent="0.25">
      <c r="H17859" t="s">
        <v>30</v>
      </c>
    </row>
    <row r="17861" spans="8:8" x14ac:dyDescent="0.25">
      <c r="H17861" t="s">
        <v>3088</v>
      </c>
    </row>
    <row r="17862" spans="8:8" x14ac:dyDescent="0.25">
      <c r="H17862" t="s">
        <v>3089</v>
      </c>
    </row>
    <row r="17863" spans="8:8" x14ac:dyDescent="0.25">
      <c r="H17863" t="s">
        <v>135</v>
      </c>
    </row>
    <row r="17864" spans="8:8" x14ac:dyDescent="0.25">
      <c r="H17864" t="s">
        <v>3815</v>
      </c>
    </row>
    <row r="17865" spans="8:8" x14ac:dyDescent="0.25">
      <c r="H17865" t="s">
        <v>30</v>
      </c>
    </row>
    <row r="17867" spans="8:8" x14ac:dyDescent="0.25">
      <c r="H17867" t="s">
        <v>3091</v>
      </c>
    </row>
    <row r="17868" spans="8:8" x14ac:dyDescent="0.25">
      <c r="H17868" t="s">
        <v>3092</v>
      </c>
    </row>
    <row r="17869" spans="8:8" x14ac:dyDescent="0.25">
      <c r="H17869" t="s">
        <v>135</v>
      </c>
    </row>
    <row r="17870" spans="8:8" x14ac:dyDescent="0.25">
      <c r="H17870" t="s">
        <v>3816</v>
      </c>
    </row>
    <row r="17871" spans="8:8" x14ac:dyDescent="0.25">
      <c r="H17871" t="s">
        <v>30</v>
      </c>
    </row>
    <row r="17873" spans="8:8" x14ac:dyDescent="0.25">
      <c r="H17873" t="s">
        <v>3094</v>
      </c>
    </row>
    <row r="17874" spans="8:8" x14ac:dyDescent="0.25">
      <c r="H17874" t="s">
        <v>3095</v>
      </c>
    </row>
    <row r="17875" spans="8:8" x14ac:dyDescent="0.25">
      <c r="H17875" t="s">
        <v>135</v>
      </c>
    </row>
    <row r="17876" spans="8:8" x14ac:dyDescent="0.25">
      <c r="H17876" t="s">
        <v>3817</v>
      </c>
    </row>
    <row r="17877" spans="8:8" x14ac:dyDescent="0.25">
      <c r="H17877" t="s">
        <v>30</v>
      </c>
    </row>
    <row r="17879" spans="8:8" x14ac:dyDescent="0.25">
      <c r="H17879" t="s">
        <v>3097</v>
      </c>
    </row>
    <row r="17880" spans="8:8" x14ac:dyDescent="0.25">
      <c r="H17880" t="s">
        <v>3098</v>
      </c>
    </row>
    <row r="17881" spans="8:8" x14ac:dyDescent="0.25">
      <c r="H17881" t="s">
        <v>135</v>
      </c>
    </row>
    <row r="17882" spans="8:8" x14ac:dyDescent="0.25">
      <c r="H17882" t="s">
        <v>3818</v>
      </c>
    </row>
    <row r="17883" spans="8:8" x14ac:dyDescent="0.25">
      <c r="H17883" t="s">
        <v>30</v>
      </c>
    </row>
    <row r="17885" spans="8:8" x14ac:dyDescent="0.25">
      <c r="H17885" t="s">
        <v>3100</v>
      </c>
    </row>
    <row r="17886" spans="8:8" x14ac:dyDescent="0.25">
      <c r="H17886" t="s">
        <v>3101</v>
      </c>
    </row>
    <row r="17887" spans="8:8" x14ac:dyDescent="0.25">
      <c r="H17887" t="s">
        <v>135</v>
      </c>
    </row>
    <row r="17888" spans="8:8" x14ac:dyDescent="0.25">
      <c r="H17888" t="s">
        <v>3819</v>
      </c>
    </row>
    <row r="17889" spans="8:8" x14ac:dyDescent="0.25">
      <c r="H17889" t="s">
        <v>30</v>
      </c>
    </row>
    <row r="17891" spans="8:8" x14ac:dyDescent="0.25">
      <c r="H17891" t="s">
        <v>3103</v>
      </c>
    </row>
    <row r="17892" spans="8:8" x14ac:dyDescent="0.25">
      <c r="H17892" t="s">
        <v>3104</v>
      </c>
    </row>
    <row r="17893" spans="8:8" x14ac:dyDescent="0.25">
      <c r="H17893" t="s">
        <v>135</v>
      </c>
    </row>
    <row r="17894" spans="8:8" x14ac:dyDescent="0.25">
      <c r="H17894" t="s">
        <v>3820</v>
      </c>
    </row>
    <row r="17895" spans="8:8" x14ac:dyDescent="0.25">
      <c r="H17895" t="s">
        <v>30</v>
      </c>
    </row>
    <row r="17897" spans="8:8" x14ac:dyDescent="0.25">
      <c r="H17897" t="s">
        <v>3106</v>
      </c>
    </row>
    <row r="17898" spans="8:8" x14ac:dyDescent="0.25">
      <c r="H17898" t="s">
        <v>3107</v>
      </c>
    </row>
    <row r="17899" spans="8:8" x14ac:dyDescent="0.25">
      <c r="H17899" t="s">
        <v>135</v>
      </c>
    </row>
    <row r="17900" spans="8:8" x14ac:dyDescent="0.25">
      <c r="H17900" t="s">
        <v>3821</v>
      </c>
    </row>
    <row r="17901" spans="8:8" x14ac:dyDescent="0.25">
      <c r="H17901" t="s">
        <v>30</v>
      </c>
    </row>
    <row r="17903" spans="8:8" x14ac:dyDescent="0.25">
      <c r="H17903" t="s">
        <v>3109</v>
      </c>
    </row>
    <row r="17904" spans="8:8" x14ac:dyDescent="0.25">
      <c r="H17904" t="s">
        <v>3110</v>
      </c>
    </row>
    <row r="17905" spans="8:8" x14ac:dyDescent="0.25">
      <c r="H17905" t="s">
        <v>135</v>
      </c>
    </row>
    <row r="17906" spans="8:8" x14ac:dyDescent="0.25">
      <c r="H17906" t="s">
        <v>3822</v>
      </c>
    </row>
    <row r="17907" spans="8:8" x14ac:dyDescent="0.25">
      <c r="H17907" t="s">
        <v>30</v>
      </c>
    </row>
    <row r="17909" spans="8:8" x14ac:dyDescent="0.25">
      <c r="H17909" t="s">
        <v>3112</v>
      </c>
    </row>
    <row r="17910" spans="8:8" x14ac:dyDescent="0.25">
      <c r="H17910" t="s">
        <v>3113</v>
      </c>
    </row>
    <row r="17911" spans="8:8" x14ac:dyDescent="0.25">
      <c r="H17911" t="s">
        <v>135</v>
      </c>
    </row>
    <row r="17912" spans="8:8" x14ac:dyDescent="0.25">
      <c r="H17912" t="s">
        <v>3823</v>
      </c>
    </row>
    <row r="17913" spans="8:8" x14ac:dyDescent="0.25">
      <c r="H17913" t="s">
        <v>30</v>
      </c>
    </row>
    <row r="17915" spans="8:8" x14ac:dyDescent="0.25">
      <c r="H17915" t="s">
        <v>3115</v>
      </c>
    </row>
    <row r="17916" spans="8:8" x14ac:dyDescent="0.25">
      <c r="H17916" t="s">
        <v>3116</v>
      </c>
    </row>
    <row r="17917" spans="8:8" x14ac:dyDescent="0.25">
      <c r="H17917" t="s">
        <v>135</v>
      </c>
    </row>
    <row r="17918" spans="8:8" x14ac:dyDescent="0.25">
      <c r="H17918" t="s">
        <v>3824</v>
      </c>
    </row>
    <row r="17919" spans="8:8" x14ac:dyDescent="0.25">
      <c r="H17919" t="s">
        <v>30</v>
      </c>
    </row>
    <row r="17921" spans="8:8" x14ac:dyDescent="0.25">
      <c r="H17921" t="s">
        <v>3118</v>
      </c>
    </row>
    <row r="17922" spans="8:8" x14ac:dyDescent="0.25">
      <c r="H17922" t="s">
        <v>3119</v>
      </c>
    </row>
    <row r="17923" spans="8:8" x14ac:dyDescent="0.25">
      <c r="H17923" t="s">
        <v>135</v>
      </c>
    </row>
    <row r="17924" spans="8:8" x14ac:dyDescent="0.25">
      <c r="H17924" t="s">
        <v>3825</v>
      </c>
    </row>
    <row r="17925" spans="8:8" x14ac:dyDescent="0.25">
      <c r="H17925" t="s">
        <v>30</v>
      </c>
    </row>
    <row r="17927" spans="8:8" x14ac:dyDescent="0.25">
      <c r="H17927" t="s">
        <v>3121</v>
      </c>
    </row>
    <row r="17928" spans="8:8" x14ac:dyDescent="0.25">
      <c r="H17928" t="s">
        <v>3122</v>
      </c>
    </row>
    <row r="17929" spans="8:8" x14ac:dyDescent="0.25">
      <c r="H17929" t="s">
        <v>135</v>
      </c>
    </row>
    <row r="17930" spans="8:8" x14ac:dyDescent="0.25">
      <c r="H17930" t="s">
        <v>3826</v>
      </c>
    </row>
    <row r="17931" spans="8:8" x14ac:dyDescent="0.25">
      <c r="H17931" t="s">
        <v>30</v>
      </c>
    </row>
    <row r="17933" spans="8:8" x14ac:dyDescent="0.25">
      <c r="H17933" t="s">
        <v>3124</v>
      </c>
    </row>
    <row r="17934" spans="8:8" x14ac:dyDescent="0.25">
      <c r="H17934" t="s">
        <v>3125</v>
      </c>
    </row>
    <row r="17935" spans="8:8" x14ac:dyDescent="0.25">
      <c r="H17935" t="s">
        <v>135</v>
      </c>
    </row>
    <row r="17936" spans="8:8" x14ac:dyDescent="0.25">
      <c r="H17936" t="s">
        <v>3827</v>
      </c>
    </row>
    <row r="17937" spans="8:8" x14ac:dyDescent="0.25">
      <c r="H17937" t="s">
        <v>30</v>
      </c>
    </row>
    <row r="17939" spans="8:8" x14ac:dyDescent="0.25">
      <c r="H17939" t="s">
        <v>3127</v>
      </c>
    </row>
    <row r="17940" spans="8:8" x14ac:dyDescent="0.25">
      <c r="H17940" t="s">
        <v>3128</v>
      </c>
    </row>
    <row r="17941" spans="8:8" x14ac:dyDescent="0.25">
      <c r="H17941" t="s">
        <v>135</v>
      </c>
    </row>
    <row r="17942" spans="8:8" x14ac:dyDescent="0.25">
      <c r="H17942" t="s">
        <v>3828</v>
      </c>
    </row>
    <row r="17943" spans="8:8" x14ac:dyDescent="0.25">
      <c r="H17943" t="s">
        <v>30</v>
      </c>
    </row>
    <row r="17945" spans="8:8" x14ac:dyDescent="0.25">
      <c r="H17945" t="s">
        <v>3130</v>
      </c>
    </row>
    <row r="17946" spans="8:8" x14ac:dyDescent="0.25">
      <c r="H17946" t="s">
        <v>3131</v>
      </c>
    </row>
    <row r="17947" spans="8:8" x14ac:dyDescent="0.25">
      <c r="H17947" t="s">
        <v>135</v>
      </c>
    </row>
    <row r="17948" spans="8:8" x14ac:dyDescent="0.25">
      <c r="H17948" t="s">
        <v>3829</v>
      </c>
    </row>
    <row r="17949" spans="8:8" x14ac:dyDescent="0.25">
      <c r="H17949" t="s">
        <v>30</v>
      </c>
    </row>
    <row r="17951" spans="8:8" x14ac:dyDescent="0.25">
      <c r="H17951" t="s">
        <v>3133</v>
      </c>
    </row>
    <row r="17952" spans="8:8" x14ac:dyDescent="0.25">
      <c r="H17952" t="s">
        <v>3134</v>
      </c>
    </row>
    <row r="17953" spans="8:8" x14ac:dyDescent="0.25">
      <c r="H17953" t="s">
        <v>135</v>
      </c>
    </row>
    <row r="17954" spans="8:8" x14ac:dyDescent="0.25">
      <c r="H17954" t="s">
        <v>3830</v>
      </c>
    </row>
    <row r="17955" spans="8:8" x14ac:dyDescent="0.25">
      <c r="H17955" t="s">
        <v>30</v>
      </c>
    </row>
    <row r="17957" spans="8:8" x14ac:dyDescent="0.25">
      <c r="H17957" t="s">
        <v>3136</v>
      </c>
    </row>
    <row r="17958" spans="8:8" x14ac:dyDescent="0.25">
      <c r="H17958" t="s">
        <v>3137</v>
      </c>
    </row>
    <row r="17959" spans="8:8" x14ac:dyDescent="0.25">
      <c r="H17959" t="s">
        <v>135</v>
      </c>
    </row>
    <row r="17960" spans="8:8" x14ac:dyDescent="0.25">
      <c r="H17960" t="s">
        <v>3831</v>
      </c>
    </row>
    <row r="17961" spans="8:8" x14ac:dyDescent="0.25">
      <c r="H17961" t="s">
        <v>30</v>
      </c>
    </row>
    <row r="17963" spans="8:8" x14ac:dyDescent="0.25">
      <c r="H17963" t="s">
        <v>3139</v>
      </c>
    </row>
    <row r="17964" spans="8:8" x14ac:dyDescent="0.25">
      <c r="H17964" t="s">
        <v>3140</v>
      </c>
    </row>
    <row r="17965" spans="8:8" x14ac:dyDescent="0.25">
      <c r="H17965" t="s">
        <v>135</v>
      </c>
    </row>
    <row r="17966" spans="8:8" x14ac:dyDescent="0.25">
      <c r="H17966" t="s">
        <v>3832</v>
      </c>
    </row>
    <row r="17967" spans="8:8" x14ac:dyDescent="0.25">
      <c r="H17967" t="s">
        <v>30</v>
      </c>
    </row>
    <row r="17969" spans="8:8" x14ac:dyDescent="0.25">
      <c r="H17969" t="s">
        <v>3142</v>
      </c>
    </row>
    <row r="17970" spans="8:8" x14ac:dyDescent="0.25">
      <c r="H17970" t="s">
        <v>3143</v>
      </c>
    </row>
    <row r="17971" spans="8:8" x14ac:dyDescent="0.25">
      <c r="H17971" t="s">
        <v>135</v>
      </c>
    </row>
    <row r="17972" spans="8:8" x14ac:dyDescent="0.25">
      <c r="H17972" t="s">
        <v>3833</v>
      </c>
    </row>
    <row r="17973" spans="8:8" x14ac:dyDescent="0.25">
      <c r="H17973" t="s">
        <v>30</v>
      </c>
    </row>
    <row r="17975" spans="8:8" x14ac:dyDescent="0.25">
      <c r="H17975" t="s">
        <v>3145</v>
      </c>
    </row>
    <row r="17976" spans="8:8" x14ac:dyDescent="0.25">
      <c r="H17976" t="s">
        <v>3146</v>
      </c>
    </row>
    <row r="17977" spans="8:8" x14ac:dyDescent="0.25">
      <c r="H17977" t="s">
        <v>135</v>
      </c>
    </row>
    <row r="17978" spans="8:8" x14ac:dyDescent="0.25">
      <c r="H17978" t="s">
        <v>3834</v>
      </c>
    </row>
    <row r="17979" spans="8:8" x14ac:dyDescent="0.25">
      <c r="H17979" t="s">
        <v>30</v>
      </c>
    </row>
    <row r="17981" spans="8:8" x14ac:dyDescent="0.25">
      <c r="H17981" t="s">
        <v>3148</v>
      </c>
    </row>
    <row r="17982" spans="8:8" x14ac:dyDescent="0.25">
      <c r="H17982" t="s">
        <v>3149</v>
      </c>
    </row>
    <row r="17983" spans="8:8" x14ac:dyDescent="0.25">
      <c r="H17983" t="s">
        <v>135</v>
      </c>
    </row>
    <row r="17984" spans="8:8" x14ac:dyDescent="0.25">
      <c r="H17984" t="s">
        <v>3835</v>
      </c>
    </row>
    <row r="17985" spans="8:8" x14ac:dyDescent="0.25">
      <c r="H17985" t="s">
        <v>30</v>
      </c>
    </row>
    <row r="17987" spans="8:8" x14ac:dyDescent="0.25">
      <c r="H17987" t="s">
        <v>3151</v>
      </c>
    </row>
    <row r="17988" spans="8:8" x14ac:dyDescent="0.25">
      <c r="H17988" t="s">
        <v>3152</v>
      </c>
    </row>
    <row r="17989" spans="8:8" x14ac:dyDescent="0.25">
      <c r="H17989" t="s">
        <v>135</v>
      </c>
    </row>
    <row r="17990" spans="8:8" x14ac:dyDescent="0.25">
      <c r="H17990" t="s">
        <v>3836</v>
      </c>
    </row>
    <row r="17991" spans="8:8" x14ac:dyDescent="0.25">
      <c r="H17991" t="s">
        <v>30</v>
      </c>
    </row>
    <row r="17993" spans="8:8" x14ac:dyDescent="0.25">
      <c r="H17993" t="s">
        <v>3154</v>
      </c>
    </row>
    <row r="17994" spans="8:8" x14ac:dyDescent="0.25">
      <c r="H17994" t="s">
        <v>3155</v>
      </c>
    </row>
    <row r="17995" spans="8:8" x14ac:dyDescent="0.25">
      <c r="H17995" t="s">
        <v>135</v>
      </c>
    </row>
    <row r="17996" spans="8:8" x14ac:dyDescent="0.25">
      <c r="H17996" t="s">
        <v>3837</v>
      </c>
    </row>
    <row r="17997" spans="8:8" x14ac:dyDescent="0.25">
      <c r="H17997" t="s">
        <v>30</v>
      </c>
    </row>
    <row r="17999" spans="8:8" x14ac:dyDescent="0.25">
      <c r="H17999" t="s">
        <v>3157</v>
      </c>
    </row>
    <row r="18000" spans="8:8" x14ac:dyDescent="0.25">
      <c r="H18000" t="s">
        <v>3158</v>
      </c>
    </row>
    <row r="18001" spans="8:8" x14ac:dyDescent="0.25">
      <c r="H18001" t="s">
        <v>135</v>
      </c>
    </row>
    <row r="18002" spans="8:8" x14ac:dyDescent="0.25">
      <c r="H18002" t="s">
        <v>3838</v>
      </c>
    </row>
    <row r="18003" spans="8:8" x14ac:dyDescent="0.25">
      <c r="H18003" t="s">
        <v>30</v>
      </c>
    </row>
    <row r="18005" spans="8:8" x14ac:dyDescent="0.25">
      <c r="H18005" t="s">
        <v>3160</v>
      </c>
    </row>
    <row r="18006" spans="8:8" x14ac:dyDescent="0.25">
      <c r="H18006" t="s">
        <v>3161</v>
      </c>
    </row>
    <row r="18007" spans="8:8" x14ac:dyDescent="0.25">
      <c r="H18007" t="s">
        <v>135</v>
      </c>
    </row>
    <row r="18008" spans="8:8" x14ac:dyDescent="0.25">
      <c r="H18008" t="s">
        <v>3839</v>
      </c>
    </row>
    <row r="18009" spans="8:8" x14ac:dyDescent="0.25">
      <c r="H18009" t="s">
        <v>30</v>
      </c>
    </row>
    <row r="18011" spans="8:8" x14ac:dyDescent="0.25">
      <c r="H18011" t="s">
        <v>3163</v>
      </c>
    </row>
    <row r="18012" spans="8:8" x14ac:dyDescent="0.25">
      <c r="H18012" t="s">
        <v>3164</v>
      </c>
    </row>
    <row r="18013" spans="8:8" x14ac:dyDescent="0.25">
      <c r="H18013" t="s">
        <v>135</v>
      </c>
    </row>
    <row r="18014" spans="8:8" x14ac:dyDescent="0.25">
      <c r="H18014" t="s">
        <v>3840</v>
      </c>
    </row>
    <row r="18015" spans="8:8" x14ac:dyDescent="0.25">
      <c r="H18015" t="s">
        <v>30</v>
      </c>
    </row>
    <row r="18017" spans="8:8" x14ac:dyDescent="0.25">
      <c r="H18017" t="s">
        <v>3166</v>
      </c>
    </row>
    <row r="18018" spans="8:8" x14ac:dyDescent="0.25">
      <c r="H18018" t="s">
        <v>3167</v>
      </c>
    </row>
    <row r="18019" spans="8:8" x14ac:dyDescent="0.25">
      <c r="H18019" t="s">
        <v>135</v>
      </c>
    </row>
    <row r="18020" spans="8:8" x14ac:dyDescent="0.25">
      <c r="H18020" t="s">
        <v>3841</v>
      </c>
    </row>
    <row r="18021" spans="8:8" x14ac:dyDescent="0.25">
      <c r="H18021" t="s">
        <v>30</v>
      </c>
    </row>
    <row r="18023" spans="8:8" x14ac:dyDescent="0.25">
      <c r="H18023" t="s">
        <v>3169</v>
      </c>
    </row>
    <row r="18024" spans="8:8" x14ac:dyDescent="0.25">
      <c r="H18024" t="s">
        <v>3170</v>
      </c>
    </row>
    <row r="18025" spans="8:8" x14ac:dyDescent="0.25">
      <c r="H18025" t="s">
        <v>135</v>
      </c>
    </row>
    <row r="18026" spans="8:8" x14ac:dyDescent="0.25">
      <c r="H18026" t="s">
        <v>3842</v>
      </c>
    </row>
    <row r="18027" spans="8:8" x14ac:dyDescent="0.25">
      <c r="H18027" t="s">
        <v>30</v>
      </c>
    </row>
    <row r="18029" spans="8:8" x14ac:dyDescent="0.25">
      <c r="H18029" t="s">
        <v>3172</v>
      </c>
    </row>
    <row r="18030" spans="8:8" x14ac:dyDescent="0.25">
      <c r="H18030" t="s">
        <v>3173</v>
      </c>
    </row>
    <row r="18031" spans="8:8" x14ac:dyDescent="0.25">
      <c r="H18031" t="s">
        <v>135</v>
      </c>
    </row>
    <row r="18032" spans="8:8" x14ac:dyDescent="0.25">
      <c r="H18032" t="s">
        <v>3843</v>
      </c>
    </row>
    <row r="18033" spans="8:8" x14ac:dyDescent="0.25">
      <c r="H18033" t="s">
        <v>30</v>
      </c>
    </row>
    <row r="18035" spans="8:8" x14ac:dyDescent="0.25">
      <c r="H18035" t="s">
        <v>3175</v>
      </c>
    </row>
    <row r="18036" spans="8:8" x14ac:dyDescent="0.25">
      <c r="H18036" t="s">
        <v>3176</v>
      </c>
    </row>
    <row r="18037" spans="8:8" x14ac:dyDescent="0.25">
      <c r="H18037" t="s">
        <v>135</v>
      </c>
    </row>
    <row r="18038" spans="8:8" x14ac:dyDescent="0.25">
      <c r="H18038" t="s">
        <v>3844</v>
      </c>
    </row>
    <row r="18039" spans="8:8" x14ac:dyDescent="0.25">
      <c r="H18039" t="s">
        <v>30</v>
      </c>
    </row>
    <row r="18041" spans="8:8" x14ac:dyDescent="0.25">
      <c r="H18041" t="s">
        <v>3178</v>
      </c>
    </row>
    <row r="18042" spans="8:8" x14ac:dyDescent="0.25">
      <c r="H18042" t="s">
        <v>3179</v>
      </c>
    </row>
    <row r="18043" spans="8:8" x14ac:dyDescent="0.25">
      <c r="H18043" t="s">
        <v>135</v>
      </c>
    </row>
    <row r="18044" spans="8:8" x14ac:dyDescent="0.25">
      <c r="H18044" t="s">
        <v>3845</v>
      </c>
    </row>
    <row r="18045" spans="8:8" x14ac:dyDescent="0.25">
      <c r="H18045" t="s">
        <v>30</v>
      </c>
    </row>
    <row r="18047" spans="8:8" x14ac:dyDescent="0.25">
      <c r="H18047" t="s">
        <v>3181</v>
      </c>
    </row>
    <row r="18048" spans="8:8" x14ac:dyDescent="0.25">
      <c r="H18048" t="s">
        <v>3182</v>
      </c>
    </row>
    <row r="18049" spans="8:8" x14ac:dyDescent="0.25">
      <c r="H18049" t="s">
        <v>135</v>
      </c>
    </row>
    <row r="18050" spans="8:8" x14ac:dyDescent="0.25">
      <c r="H18050" t="s">
        <v>3846</v>
      </c>
    </row>
    <row r="18051" spans="8:8" x14ac:dyDescent="0.25">
      <c r="H18051" t="s">
        <v>30</v>
      </c>
    </row>
    <row r="18053" spans="8:8" x14ac:dyDescent="0.25">
      <c r="H18053" t="s">
        <v>3184</v>
      </c>
    </row>
    <row r="18054" spans="8:8" x14ac:dyDescent="0.25">
      <c r="H18054" t="s">
        <v>3185</v>
      </c>
    </row>
    <row r="18055" spans="8:8" x14ac:dyDescent="0.25">
      <c r="H18055" t="s">
        <v>135</v>
      </c>
    </row>
    <row r="18056" spans="8:8" x14ac:dyDescent="0.25">
      <c r="H18056" t="s">
        <v>3847</v>
      </c>
    </row>
    <row r="18057" spans="8:8" x14ac:dyDescent="0.25">
      <c r="H18057" t="s">
        <v>30</v>
      </c>
    </row>
    <row r="18059" spans="8:8" x14ac:dyDescent="0.25">
      <c r="H18059" t="s">
        <v>3187</v>
      </c>
    </row>
    <row r="18060" spans="8:8" x14ac:dyDescent="0.25">
      <c r="H18060" t="s">
        <v>3188</v>
      </c>
    </row>
    <row r="18061" spans="8:8" x14ac:dyDescent="0.25">
      <c r="H18061" t="s">
        <v>135</v>
      </c>
    </row>
    <row r="18062" spans="8:8" x14ac:dyDescent="0.25">
      <c r="H18062" t="s">
        <v>3848</v>
      </c>
    </row>
    <row r="18063" spans="8:8" x14ac:dyDescent="0.25">
      <c r="H18063" t="s">
        <v>30</v>
      </c>
    </row>
    <row r="18065" spans="8:8" x14ac:dyDescent="0.25">
      <c r="H18065" t="s">
        <v>3190</v>
      </c>
    </row>
    <row r="18066" spans="8:8" x14ac:dyDescent="0.25">
      <c r="H18066" t="s">
        <v>3191</v>
      </c>
    </row>
    <row r="18067" spans="8:8" x14ac:dyDescent="0.25">
      <c r="H18067" t="s">
        <v>135</v>
      </c>
    </row>
    <row r="18068" spans="8:8" x14ac:dyDescent="0.25">
      <c r="H18068" t="s">
        <v>3849</v>
      </c>
    </row>
    <row r="18069" spans="8:8" x14ac:dyDescent="0.25">
      <c r="H18069" t="s">
        <v>30</v>
      </c>
    </row>
    <row r="18071" spans="8:8" x14ac:dyDescent="0.25">
      <c r="H18071" t="s">
        <v>3193</v>
      </c>
    </row>
    <row r="18072" spans="8:8" x14ac:dyDescent="0.25">
      <c r="H18072" t="s">
        <v>3194</v>
      </c>
    </row>
    <row r="18073" spans="8:8" x14ac:dyDescent="0.25">
      <c r="H18073" t="s">
        <v>135</v>
      </c>
    </row>
    <row r="18074" spans="8:8" x14ac:dyDescent="0.25">
      <c r="H18074" t="s">
        <v>3850</v>
      </c>
    </row>
    <row r="18075" spans="8:8" x14ac:dyDescent="0.25">
      <c r="H18075" t="s">
        <v>30</v>
      </c>
    </row>
    <row r="18077" spans="8:8" x14ac:dyDescent="0.25">
      <c r="H18077" t="s">
        <v>3196</v>
      </c>
    </row>
    <row r="18078" spans="8:8" x14ac:dyDescent="0.25">
      <c r="H18078" t="s">
        <v>3197</v>
      </c>
    </row>
    <row r="18079" spans="8:8" x14ac:dyDescent="0.25">
      <c r="H18079" t="s">
        <v>135</v>
      </c>
    </row>
    <row r="18080" spans="8:8" x14ac:dyDescent="0.25">
      <c r="H18080" t="s">
        <v>3851</v>
      </c>
    </row>
    <row r="18081" spans="8:8" x14ac:dyDescent="0.25">
      <c r="H18081" t="s">
        <v>30</v>
      </c>
    </row>
    <row r="18083" spans="8:8" x14ac:dyDescent="0.25">
      <c r="H18083" t="s">
        <v>3199</v>
      </c>
    </row>
    <row r="18084" spans="8:8" x14ac:dyDescent="0.25">
      <c r="H18084" t="s">
        <v>3200</v>
      </c>
    </row>
    <row r="18085" spans="8:8" x14ac:dyDescent="0.25">
      <c r="H18085" t="s">
        <v>135</v>
      </c>
    </row>
    <row r="18086" spans="8:8" x14ac:dyDescent="0.25">
      <c r="H18086" t="s">
        <v>3852</v>
      </c>
    </row>
    <row r="18087" spans="8:8" x14ac:dyDescent="0.25">
      <c r="H18087" t="s">
        <v>30</v>
      </c>
    </row>
    <row r="18089" spans="8:8" x14ac:dyDescent="0.25">
      <c r="H18089" t="s">
        <v>3202</v>
      </c>
    </row>
    <row r="18090" spans="8:8" x14ac:dyDescent="0.25">
      <c r="H18090" t="s">
        <v>3203</v>
      </c>
    </row>
    <row r="18091" spans="8:8" x14ac:dyDescent="0.25">
      <c r="H18091" t="s">
        <v>135</v>
      </c>
    </row>
    <row r="18092" spans="8:8" x14ac:dyDescent="0.25">
      <c r="H18092" t="s">
        <v>3853</v>
      </c>
    </row>
    <row r="18093" spans="8:8" x14ac:dyDescent="0.25">
      <c r="H18093" t="s">
        <v>30</v>
      </c>
    </row>
    <row r="18095" spans="8:8" x14ac:dyDescent="0.25">
      <c r="H18095" t="s">
        <v>3205</v>
      </c>
    </row>
    <row r="18096" spans="8:8" x14ac:dyDescent="0.25">
      <c r="H18096" t="s">
        <v>3206</v>
      </c>
    </row>
    <row r="18097" spans="8:8" x14ac:dyDescent="0.25">
      <c r="H18097" t="s">
        <v>135</v>
      </c>
    </row>
    <row r="18098" spans="8:8" x14ac:dyDescent="0.25">
      <c r="H18098" t="s">
        <v>3854</v>
      </c>
    </row>
    <row r="18099" spans="8:8" x14ac:dyDescent="0.25">
      <c r="H18099" t="s">
        <v>30</v>
      </c>
    </row>
    <row r="18101" spans="8:8" x14ac:dyDescent="0.25">
      <c r="H18101" t="s">
        <v>3208</v>
      </c>
    </row>
    <row r="18102" spans="8:8" x14ac:dyDescent="0.25">
      <c r="H18102" t="s">
        <v>3209</v>
      </c>
    </row>
    <row r="18103" spans="8:8" x14ac:dyDescent="0.25">
      <c r="H18103" t="s">
        <v>135</v>
      </c>
    </row>
    <row r="18104" spans="8:8" x14ac:dyDescent="0.25">
      <c r="H18104" t="s">
        <v>3855</v>
      </c>
    </row>
    <row r="18105" spans="8:8" x14ac:dyDescent="0.25">
      <c r="H18105" t="s">
        <v>30</v>
      </c>
    </row>
    <row r="18107" spans="8:8" x14ac:dyDescent="0.25">
      <c r="H18107" t="s">
        <v>3211</v>
      </c>
    </row>
    <row r="18108" spans="8:8" x14ac:dyDescent="0.25">
      <c r="H18108" t="s">
        <v>3212</v>
      </c>
    </row>
    <row r="18109" spans="8:8" x14ac:dyDescent="0.25">
      <c r="H18109" t="s">
        <v>135</v>
      </c>
    </row>
    <row r="18110" spans="8:8" x14ac:dyDescent="0.25">
      <c r="H18110" t="s">
        <v>3856</v>
      </c>
    </row>
    <row r="18111" spans="8:8" x14ac:dyDescent="0.25">
      <c r="H18111" t="s">
        <v>30</v>
      </c>
    </row>
    <row r="18113" spans="8:8" x14ac:dyDescent="0.25">
      <c r="H18113" t="s">
        <v>3214</v>
      </c>
    </row>
    <row r="18114" spans="8:8" x14ac:dyDescent="0.25">
      <c r="H18114" t="s">
        <v>3215</v>
      </c>
    </row>
    <row r="18115" spans="8:8" x14ac:dyDescent="0.25">
      <c r="H18115" t="s">
        <v>135</v>
      </c>
    </row>
    <row r="18116" spans="8:8" x14ac:dyDescent="0.25">
      <c r="H18116" t="s">
        <v>3857</v>
      </c>
    </row>
    <row r="18117" spans="8:8" x14ac:dyDescent="0.25">
      <c r="H18117" t="s">
        <v>30</v>
      </c>
    </row>
    <row r="18119" spans="8:8" x14ac:dyDescent="0.25">
      <c r="H18119" t="s">
        <v>3217</v>
      </c>
    </row>
    <row r="18120" spans="8:8" x14ac:dyDescent="0.25">
      <c r="H18120" t="s">
        <v>3218</v>
      </c>
    </row>
    <row r="18121" spans="8:8" x14ac:dyDescent="0.25">
      <c r="H18121" t="s">
        <v>135</v>
      </c>
    </row>
    <row r="18122" spans="8:8" x14ac:dyDescent="0.25">
      <c r="H18122" t="s">
        <v>3858</v>
      </c>
    </row>
    <row r="18123" spans="8:8" x14ac:dyDescent="0.25">
      <c r="H18123" t="s">
        <v>30</v>
      </c>
    </row>
    <row r="18125" spans="8:8" x14ac:dyDescent="0.25">
      <c r="H18125" t="s">
        <v>3220</v>
      </c>
    </row>
    <row r="18126" spans="8:8" x14ac:dyDescent="0.25">
      <c r="H18126" t="s">
        <v>3221</v>
      </c>
    </row>
    <row r="18127" spans="8:8" x14ac:dyDescent="0.25">
      <c r="H18127" t="s">
        <v>135</v>
      </c>
    </row>
    <row r="18128" spans="8:8" x14ac:dyDescent="0.25">
      <c r="H18128" t="s">
        <v>3859</v>
      </c>
    </row>
    <row r="18129" spans="8:8" x14ac:dyDescent="0.25">
      <c r="H18129" t="s">
        <v>30</v>
      </c>
    </row>
    <row r="18131" spans="8:8" x14ac:dyDescent="0.25">
      <c r="H18131" t="s">
        <v>3223</v>
      </c>
    </row>
    <row r="18132" spans="8:8" x14ac:dyDescent="0.25">
      <c r="H18132" t="s">
        <v>3224</v>
      </c>
    </row>
    <row r="18133" spans="8:8" x14ac:dyDescent="0.25">
      <c r="H18133" t="s">
        <v>135</v>
      </c>
    </row>
    <row r="18134" spans="8:8" x14ac:dyDescent="0.25">
      <c r="H18134" t="s">
        <v>3860</v>
      </c>
    </row>
    <row r="18135" spans="8:8" x14ac:dyDescent="0.25">
      <c r="H18135" t="s">
        <v>30</v>
      </c>
    </row>
    <row r="18137" spans="8:8" x14ac:dyDescent="0.25">
      <c r="H18137" t="s">
        <v>3226</v>
      </c>
    </row>
    <row r="18138" spans="8:8" x14ac:dyDescent="0.25">
      <c r="H18138" t="s">
        <v>3227</v>
      </c>
    </row>
    <row r="18139" spans="8:8" x14ac:dyDescent="0.25">
      <c r="H18139" t="s">
        <v>135</v>
      </c>
    </row>
    <row r="18140" spans="8:8" x14ac:dyDescent="0.25">
      <c r="H18140" t="s">
        <v>3861</v>
      </c>
    </row>
    <row r="18141" spans="8:8" x14ac:dyDescent="0.25">
      <c r="H18141" t="s">
        <v>30</v>
      </c>
    </row>
    <row r="18143" spans="8:8" x14ac:dyDescent="0.25">
      <c r="H18143" t="s">
        <v>3229</v>
      </c>
    </row>
    <row r="18144" spans="8:8" x14ac:dyDescent="0.25">
      <c r="H18144" t="s">
        <v>3230</v>
      </c>
    </row>
    <row r="18145" spans="8:8" x14ac:dyDescent="0.25">
      <c r="H18145" t="s">
        <v>135</v>
      </c>
    </row>
    <row r="18146" spans="8:8" x14ac:dyDescent="0.25">
      <c r="H18146" t="s">
        <v>3862</v>
      </c>
    </row>
    <row r="18147" spans="8:8" x14ac:dyDescent="0.25">
      <c r="H18147" t="s">
        <v>30</v>
      </c>
    </row>
    <row r="18149" spans="8:8" x14ac:dyDescent="0.25">
      <c r="H18149" t="s">
        <v>3232</v>
      </c>
    </row>
    <row r="18150" spans="8:8" x14ac:dyDescent="0.25">
      <c r="H18150" t="s">
        <v>3233</v>
      </c>
    </row>
    <row r="18151" spans="8:8" x14ac:dyDescent="0.25">
      <c r="H18151" t="s">
        <v>135</v>
      </c>
    </row>
    <row r="18152" spans="8:8" x14ac:dyDescent="0.25">
      <c r="H18152" t="s">
        <v>3863</v>
      </c>
    </row>
    <row r="18153" spans="8:8" x14ac:dyDescent="0.25">
      <c r="H18153" t="s">
        <v>30</v>
      </c>
    </row>
    <row r="18154" spans="8:8" x14ac:dyDescent="0.25">
      <c r="H18154" t="s">
        <v>3235</v>
      </c>
    </row>
    <row r="18155" spans="8:8" x14ac:dyDescent="0.25">
      <c r="H18155" t="s">
        <v>136</v>
      </c>
    </row>
    <row r="18156" spans="8:8" x14ac:dyDescent="0.25">
      <c r="H18156" t="s">
        <v>3864</v>
      </c>
    </row>
    <row r="18157" spans="8:8" x14ac:dyDescent="0.25">
      <c r="H18157" t="s">
        <v>30</v>
      </c>
    </row>
    <row r="18158" spans="8:8" x14ac:dyDescent="0.25">
      <c r="H18158" t="s">
        <v>3237</v>
      </c>
    </row>
    <row r="18159" spans="8:8" x14ac:dyDescent="0.25">
      <c r="H18159" t="s">
        <v>137</v>
      </c>
    </row>
    <row r="18160" spans="8:8" x14ac:dyDescent="0.25">
      <c r="H18160" t="s">
        <v>3865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3866</v>
      </c>
    </row>
    <row r="18164" spans="8:8" x14ac:dyDescent="0.25">
      <c r="H18164" t="s">
        <v>30</v>
      </c>
    </row>
    <row r="18166" spans="8:8" x14ac:dyDescent="0.25">
      <c r="H18166" t="s">
        <v>3240</v>
      </c>
    </row>
    <row r="18167" spans="8:8" x14ac:dyDescent="0.25">
      <c r="H18167" t="s">
        <v>3241</v>
      </c>
    </row>
    <row r="18168" spans="8:8" x14ac:dyDescent="0.25">
      <c r="H18168" t="s">
        <v>135</v>
      </c>
    </row>
    <row r="18169" spans="8:8" x14ac:dyDescent="0.25">
      <c r="H18169" t="s">
        <v>3867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3868</v>
      </c>
    </row>
    <row r="18173" spans="8:8" x14ac:dyDescent="0.25">
      <c r="H18173" t="s">
        <v>30</v>
      </c>
    </row>
    <row r="18174" spans="8:8" x14ac:dyDescent="0.25">
      <c r="H18174" t="s">
        <v>3244</v>
      </c>
    </row>
    <row r="18175" spans="8:8" x14ac:dyDescent="0.25">
      <c r="H18175" t="s">
        <v>137</v>
      </c>
    </row>
    <row r="18176" spans="8:8" x14ac:dyDescent="0.25">
      <c r="H18176" t="s">
        <v>3869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3870</v>
      </c>
    </row>
    <row r="18180" spans="8:8" x14ac:dyDescent="0.25">
      <c r="H18180" t="s">
        <v>30</v>
      </c>
    </row>
    <row r="18182" spans="8:8" x14ac:dyDescent="0.25">
      <c r="H18182" t="s">
        <v>3247</v>
      </c>
    </row>
    <row r="18183" spans="8:8" x14ac:dyDescent="0.25">
      <c r="H18183" t="s">
        <v>3248</v>
      </c>
    </row>
    <row r="18184" spans="8:8" x14ac:dyDescent="0.25">
      <c r="H18184" t="s">
        <v>135</v>
      </c>
    </row>
    <row r="18185" spans="8:8" x14ac:dyDescent="0.25">
      <c r="H18185" t="s">
        <v>3871</v>
      </c>
    </row>
    <row r="18186" spans="8:8" x14ac:dyDescent="0.25">
      <c r="H18186" t="s">
        <v>30</v>
      </c>
    </row>
    <row r="18187" spans="8:8" x14ac:dyDescent="0.25">
      <c r="H18187" t="s">
        <v>3250</v>
      </c>
    </row>
    <row r="18188" spans="8:8" x14ac:dyDescent="0.25">
      <c r="H18188" t="s">
        <v>137</v>
      </c>
    </row>
    <row r="18189" spans="8:8" x14ac:dyDescent="0.25">
      <c r="H18189" t="s">
        <v>3872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3873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05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3874</v>
      </c>
      <c r="I5" s="6" t="s">
        <v>84</v>
      </c>
    </row>
    <row r="6" spans="2:9" x14ac:dyDescent="0.25">
      <c r="B6" t="s">
        <v>125</v>
      </c>
      <c r="H6" t="s">
        <v>3875</v>
      </c>
    </row>
    <row r="7" spans="2:9" x14ac:dyDescent="0.25">
      <c r="H7" t="s">
        <v>3876</v>
      </c>
    </row>
    <row r="8" spans="2:9" x14ac:dyDescent="0.25">
      <c r="B8" s="1" t="s">
        <v>19</v>
      </c>
      <c r="H8" t="s">
        <v>3877</v>
      </c>
    </row>
    <row r="9" spans="2:9" x14ac:dyDescent="0.25">
      <c r="B9" t="s">
        <v>126</v>
      </c>
      <c r="H9" t="s">
        <v>3878</v>
      </c>
    </row>
    <row r="10" spans="2:9" x14ac:dyDescent="0.25">
      <c r="H10" t="s">
        <v>3879</v>
      </c>
    </row>
    <row r="11" spans="2:9" x14ac:dyDescent="0.25">
      <c r="B11" s="1" t="s">
        <v>12</v>
      </c>
      <c r="H11" t="s">
        <v>3880</v>
      </c>
    </row>
    <row r="12" spans="2:9" x14ac:dyDescent="0.25">
      <c r="B12" t="s">
        <v>14</v>
      </c>
      <c r="H12" t="s">
        <v>3881</v>
      </c>
    </row>
    <row r="13" spans="2:9" x14ac:dyDescent="0.25">
      <c r="H13" t="s">
        <v>3882</v>
      </c>
    </row>
    <row r="14" spans="2:9" x14ac:dyDescent="0.25">
      <c r="B14" s="1" t="s">
        <v>35</v>
      </c>
      <c r="H14" t="s">
        <v>4967</v>
      </c>
    </row>
    <row r="15" spans="2:9" x14ac:dyDescent="0.25">
      <c r="B15" t="s">
        <v>34</v>
      </c>
      <c r="H15" t="s">
        <v>3883</v>
      </c>
    </row>
    <row r="16" spans="2:9" x14ac:dyDescent="0.25">
      <c r="H16" t="s">
        <v>3884</v>
      </c>
    </row>
    <row r="17" spans="2:8" x14ac:dyDescent="0.25">
      <c r="B17" s="1" t="s">
        <v>20</v>
      </c>
      <c r="H17" t="s">
        <v>3885</v>
      </c>
    </row>
    <row r="18" spans="2:8" x14ac:dyDescent="0.25">
      <c r="B18" t="s">
        <v>129</v>
      </c>
      <c r="H18" t="s">
        <v>3886</v>
      </c>
    </row>
    <row r="19" spans="2:8" x14ac:dyDescent="0.25">
      <c r="H19" t="s">
        <v>3887</v>
      </c>
    </row>
    <row r="20" spans="2:8" x14ac:dyDescent="0.25">
      <c r="B20" s="1"/>
      <c r="H20" t="s">
        <v>3888</v>
      </c>
    </row>
    <row r="21" spans="2:8" x14ac:dyDescent="0.25">
      <c r="H21" t="s">
        <v>3889</v>
      </c>
    </row>
    <row r="22" spans="2:8" x14ac:dyDescent="0.25">
      <c r="H22" t="s">
        <v>3890</v>
      </c>
    </row>
    <row r="23" spans="2:8" x14ac:dyDescent="0.25">
      <c r="H23" t="s">
        <v>3891</v>
      </c>
    </row>
    <row r="24" spans="2:8" x14ac:dyDescent="0.25">
      <c r="H24" t="s">
        <v>3892</v>
      </c>
    </row>
    <row r="25" spans="2:8" x14ac:dyDescent="0.25">
      <c r="H25" t="s">
        <v>3893</v>
      </c>
    </row>
    <row r="26" spans="2:8" x14ac:dyDescent="0.25">
      <c r="H26" t="s">
        <v>3894</v>
      </c>
    </row>
    <row r="27" spans="2:8" x14ac:dyDescent="0.25">
      <c r="H27" t="s">
        <v>3895</v>
      </c>
    </row>
    <row r="28" spans="2:8" x14ac:dyDescent="0.25">
      <c r="H28" t="s">
        <v>4923</v>
      </c>
    </row>
    <row r="29" spans="2:8" x14ac:dyDescent="0.25">
      <c r="H29" t="s">
        <v>3896</v>
      </c>
    </row>
    <row r="30" spans="2:8" x14ac:dyDescent="0.25">
      <c r="H30" t="s">
        <v>3897</v>
      </c>
    </row>
    <row r="31" spans="2:8" x14ac:dyDescent="0.25">
      <c r="H31" t="s">
        <v>3898</v>
      </c>
    </row>
    <row r="32" spans="2:8" x14ac:dyDescent="0.25">
      <c r="H32" t="s">
        <v>4968</v>
      </c>
    </row>
    <row r="33" spans="8:8" x14ac:dyDescent="0.25">
      <c r="H33" t="s">
        <v>3899</v>
      </c>
    </row>
    <row r="34" spans="8:8" x14ac:dyDescent="0.25">
      <c r="H34" t="s">
        <v>3900</v>
      </c>
    </row>
    <row r="35" spans="8:8" x14ac:dyDescent="0.25">
      <c r="H35" t="s">
        <v>3901</v>
      </c>
    </row>
    <row r="36" spans="8:8" x14ac:dyDescent="0.25">
      <c r="H36" t="s">
        <v>3902</v>
      </c>
    </row>
    <row r="37" spans="8:8" x14ac:dyDescent="0.25">
      <c r="H37" t="s">
        <v>3903</v>
      </c>
    </row>
    <row r="38" spans="8:8" x14ac:dyDescent="0.25">
      <c r="H38" t="s">
        <v>3904</v>
      </c>
    </row>
    <row r="39" spans="8:8" x14ac:dyDescent="0.25">
      <c r="H39" t="s">
        <v>3905</v>
      </c>
    </row>
    <row r="40" spans="8:8" x14ac:dyDescent="0.25">
      <c r="H40" t="s">
        <v>3906</v>
      </c>
    </row>
    <row r="41" spans="8:8" x14ac:dyDescent="0.25">
      <c r="H41" t="s">
        <v>3907</v>
      </c>
    </row>
    <row r="42" spans="8:8" x14ac:dyDescent="0.25">
      <c r="H42" t="s">
        <v>3908</v>
      </c>
    </row>
    <row r="43" spans="8:8" x14ac:dyDescent="0.25">
      <c r="H43" t="s">
        <v>3909</v>
      </c>
    </row>
    <row r="44" spans="8:8" x14ac:dyDescent="0.25">
      <c r="H44" t="s">
        <v>3910</v>
      </c>
    </row>
    <row r="45" spans="8:8" x14ac:dyDescent="0.25">
      <c r="H45" t="s">
        <v>3911</v>
      </c>
    </row>
    <row r="46" spans="8:8" x14ac:dyDescent="0.25">
      <c r="H46" t="s">
        <v>4969</v>
      </c>
    </row>
    <row r="47" spans="8:8" x14ac:dyDescent="0.25">
      <c r="H47" t="s">
        <v>3912</v>
      </c>
    </row>
    <row r="48" spans="8:8" x14ac:dyDescent="0.25">
      <c r="H48" t="s">
        <v>3913</v>
      </c>
    </row>
    <row r="49" spans="8:8" x14ac:dyDescent="0.25">
      <c r="H49" t="s">
        <v>3914</v>
      </c>
    </row>
    <row r="50" spans="8:8" x14ac:dyDescent="0.25">
      <c r="H50" t="s">
        <v>3915</v>
      </c>
    </row>
    <row r="51" spans="8:8" x14ac:dyDescent="0.25">
      <c r="H51" t="s">
        <v>3916</v>
      </c>
    </row>
    <row r="52" spans="8:8" x14ac:dyDescent="0.25">
      <c r="H52" t="s">
        <v>3917</v>
      </c>
    </row>
    <row r="53" spans="8:8" x14ac:dyDescent="0.25">
      <c r="H53" t="s">
        <v>3918</v>
      </c>
    </row>
    <row r="54" spans="8:8" x14ac:dyDescent="0.25">
      <c r="H54" t="s">
        <v>3919</v>
      </c>
    </row>
    <row r="55" spans="8:8" x14ac:dyDescent="0.25">
      <c r="H55" t="s">
        <v>3920</v>
      </c>
    </row>
    <row r="56" spans="8:8" x14ac:dyDescent="0.25">
      <c r="H56" t="s">
        <v>3921</v>
      </c>
    </row>
    <row r="57" spans="8:8" x14ac:dyDescent="0.25">
      <c r="H57" t="s">
        <v>3922</v>
      </c>
    </row>
    <row r="58" spans="8:8" x14ac:dyDescent="0.25">
      <c r="H58" t="s">
        <v>3923</v>
      </c>
    </row>
    <row r="59" spans="8:8" x14ac:dyDescent="0.25">
      <c r="H59" t="s">
        <v>3924</v>
      </c>
    </row>
    <row r="60" spans="8:8" x14ac:dyDescent="0.25">
      <c r="H60" t="s">
        <v>3925</v>
      </c>
    </row>
    <row r="61" spans="8:8" x14ac:dyDescent="0.25">
      <c r="H61" t="s">
        <v>3926</v>
      </c>
    </row>
    <row r="62" spans="8:8" x14ac:dyDescent="0.25">
      <c r="H62" t="s">
        <v>3927</v>
      </c>
    </row>
    <row r="63" spans="8:8" x14ac:dyDescent="0.25">
      <c r="H63" t="s">
        <v>3928</v>
      </c>
    </row>
    <row r="64" spans="8:8" x14ac:dyDescent="0.25">
      <c r="H64" t="s">
        <v>3929</v>
      </c>
    </row>
    <row r="65" spans="8:8" x14ac:dyDescent="0.25">
      <c r="H65" t="s">
        <v>3930</v>
      </c>
    </row>
    <row r="66" spans="8:8" x14ac:dyDescent="0.25">
      <c r="H66" t="s">
        <v>3931</v>
      </c>
    </row>
    <row r="67" spans="8:8" x14ac:dyDescent="0.25">
      <c r="H67" t="s">
        <v>3932</v>
      </c>
    </row>
    <row r="68" spans="8:8" x14ac:dyDescent="0.25">
      <c r="H68" t="s">
        <v>3933</v>
      </c>
    </row>
    <row r="69" spans="8:8" x14ac:dyDescent="0.25">
      <c r="H69" t="s">
        <v>3934</v>
      </c>
    </row>
    <row r="70" spans="8:8" x14ac:dyDescent="0.25">
      <c r="H70" t="s">
        <v>3935</v>
      </c>
    </row>
    <row r="71" spans="8:8" x14ac:dyDescent="0.25">
      <c r="H71" t="s">
        <v>3936</v>
      </c>
    </row>
    <row r="72" spans="8:8" x14ac:dyDescent="0.25">
      <c r="H72" t="s">
        <v>3937</v>
      </c>
    </row>
    <row r="73" spans="8:8" x14ac:dyDescent="0.25">
      <c r="H73" t="s">
        <v>3938</v>
      </c>
    </row>
    <row r="74" spans="8:8" x14ac:dyDescent="0.25">
      <c r="H74" t="s">
        <v>3939</v>
      </c>
    </row>
    <row r="75" spans="8:8" x14ac:dyDescent="0.25">
      <c r="H75" t="s">
        <v>3940</v>
      </c>
    </row>
    <row r="76" spans="8:8" x14ac:dyDescent="0.25">
      <c r="H76" t="s">
        <v>3941</v>
      </c>
    </row>
    <row r="77" spans="8:8" x14ac:dyDescent="0.25">
      <c r="H77" t="s">
        <v>3942</v>
      </c>
    </row>
    <row r="78" spans="8:8" x14ac:dyDescent="0.25">
      <c r="H78" t="s">
        <v>3943</v>
      </c>
    </row>
    <row r="79" spans="8:8" x14ac:dyDescent="0.25">
      <c r="H79" t="s">
        <v>3944</v>
      </c>
    </row>
    <row r="80" spans="8:8" x14ac:dyDescent="0.25">
      <c r="H80" t="s">
        <v>3945</v>
      </c>
    </row>
    <row r="81" spans="8:8" x14ac:dyDescent="0.25">
      <c r="H81" t="s">
        <v>3946</v>
      </c>
    </row>
    <row r="82" spans="8:8" x14ac:dyDescent="0.25">
      <c r="H82" t="s">
        <v>3947</v>
      </c>
    </row>
    <row r="83" spans="8:8" x14ac:dyDescent="0.25">
      <c r="H83" t="s">
        <v>3948</v>
      </c>
    </row>
    <row r="84" spans="8:8" x14ac:dyDescent="0.25">
      <c r="H84" t="s">
        <v>3949</v>
      </c>
    </row>
    <row r="85" spans="8:8" x14ac:dyDescent="0.25">
      <c r="H85" t="s">
        <v>3950</v>
      </c>
    </row>
    <row r="86" spans="8:8" x14ac:dyDescent="0.25">
      <c r="H86" t="s">
        <v>3951</v>
      </c>
    </row>
    <row r="87" spans="8:8" x14ac:dyDescent="0.25">
      <c r="H87" t="s">
        <v>3952</v>
      </c>
    </row>
    <row r="88" spans="8:8" x14ac:dyDescent="0.25">
      <c r="H88" t="s">
        <v>3953</v>
      </c>
    </row>
    <row r="89" spans="8:8" x14ac:dyDescent="0.25">
      <c r="H89" t="s">
        <v>3954</v>
      </c>
    </row>
    <row r="90" spans="8:8" x14ac:dyDescent="0.25">
      <c r="H90" t="s">
        <v>3955</v>
      </c>
    </row>
    <row r="91" spans="8:8" x14ac:dyDescent="0.25">
      <c r="H91" t="s">
        <v>3956</v>
      </c>
    </row>
    <row r="92" spans="8:8" x14ac:dyDescent="0.25">
      <c r="H92" t="s">
        <v>3957</v>
      </c>
    </row>
    <row r="93" spans="8:8" x14ac:dyDescent="0.25">
      <c r="H93" t="s">
        <v>3958</v>
      </c>
    </row>
    <row r="94" spans="8:8" x14ac:dyDescent="0.25">
      <c r="H94" t="s">
        <v>3959</v>
      </c>
    </row>
    <row r="95" spans="8:8" x14ac:dyDescent="0.25">
      <c r="H95" t="s">
        <v>3960</v>
      </c>
    </row>
    <row r="96" spans="8:8" x14ac:dyDescent="0.25">
      <c r="H96" t="s">
        <v>4970</v>
      </c>
    </row>
    <row r="97" spans="8:8" x14ac:dyDescent="0.25">
      <c r="H97" t="s">
        <v>3961</v>
      </c>
    </row>
    <row r="98" spans="8:8" x14ac:dyDescent="0.25">
      <c r="H98" t="s">
        <v>3962</v>
      </c>
    </row>
    <row r="99" spans="8:8" x14ac:dyDescent="0.25">
      <c r="H99" t="s">
        <v>3963</v>
      </c>
    </row>
    <row r="100" spans="8:8" x14ac:dyDescent="0.25">
      <c r="H100" t="s">
        <v>3964</v>
      </c>
    </row>
    <row r="101" spans="8:8" x14ac:dyDescent="0.25">
      <c r="H101" t="s">
        <v>3965</v>
      </c>
    </row>
    <row r="102" spans="8:8" x14ac:dyDescent="0.25">
      <c r="H102" t="s">
        <v>3966</v>
      </c>
    </row>
    <row r="103" spans="8:8" x14ac:dyDescent="0.25">
      <c r="H103" t="s">
        <v>3967</v>
      </c>
    </row>
    <row r="104" spans="8:8" x14ac:dyDescent="0.25">
      <c r="H104" t="s">
        <v>3968</v>
      </c>
    </row>
    <row r="105" spans="8:8" x14ac:dyDescent="0.25">
      <c r="H105" t="s">
        <v>3969</v>
      </c>
    </row>
    <row r="106" spans="8:8" x14ac:dyDescent="0.25">
      <c r="H106" t="s">
        <v>4971</v>
      </c>
    </row>
    <row r="107" spans="8:8" x14ac:dyDescent="0.25">
      <c r="H107" t="s">
        <v>3970</v>
      </c>
    </row>
    <row r="108" spans="8:8" x14ac:dyDescent="0.25">
      <c r="H108" t="s">
        <v>3971</v>
      </c>
    </row>
    <row r="109" spans="8:8" x14ac:dyDescent="0.25">
      <c r="H109" t="s">
        <v>3972</v>
      </c>
    </row>
    <row r="110" spans="8:8" x14ac:dyDescent="0.25">
      <c r="H110" t="s">
        <v>3973</v>
      </c>
    </row>
    <row r="111" spans="8:8" x14ac:dyDescent="0.25">
      <c r="H111" t="s">
        <v>3974</v>
      </c>
    </row>
    <row r="112" spans="8:8" x14ac:dyDescent="0.25">
      <c r="H112" t="s">
        <v>3975</v>
      </c>
    </row>
    <row r="113" spans="8:8" x14ac:dyDescent="0.25">
      <c r="H113" t="s">
        <v>3976</v>
      </c>
    </row>
    <row r="114" spans="8:8" x14ac:dyDescent="0.25">
      <c r="H114" t="s">
        <v>3977</v>
      </c>
    </row>
    <row r="115" spans="8:8" x14ac:dyDescent="0.25">
      <c r="H115" t="s">
        <v>3978</v>
      </c>
    </row>
    <row r="116" spans="8:8" x14ac:dyDescent="0.25">
      <c r="H116" t="s">
        <v>3979</v>
      </c>
    </row>
    <row r="117" spans="8:8" x14ac:dyDescent="0.25">
      <c r="H117" t="s">
        <v>3980</v>
      </c>
    </row>
    <row r="118" spans="8:8" x14ac:dyDescent="0.25">
      <c r="H118" t="s">
        <v>3981</v>
      </c>
    </row>
    <row r="119" spans="8:8" x14ac:dyDescent="0.25">
      <c r="H119" t="s">
        <v>3982</v>
      </c>
    </row>
    <row r="120" spans="8:8" x14ac:dyDescent="0.25">
      <c r="H120" t="s">
        <v>3983</v>
      </c>
    </row>
    <row r="121" spans="8:8" x14ac:dyDescent="0.25">
      <c r="H121" t="s">
        <v>3984</v>
      </c>
    </row>
    <row r="122" spans="8:8" x14ac:dyDescent="0.25">
      <c r="H122" t="s">
        <v>4972</v>
      </c>
    </row>
    <row r="123" spans="8:8" x14ac:dyDescent="0.25">
      <c r="H123" t="s">
        <v>3985</v>
      </c>
    </row>
    <row r="124" spans="8:8" x14ac:dyDescent="0.25">
      <c r="H124" t="s">
        <v>3986</v>
      </c>
    </row>
    <row r="125" spans="8:8" x14ac:dyDescent="0.25">
      <c r="H125" t="s">
        <v>3987</v>
      </c>
    </row>
    <row r="126" spans="8:8" x14ac:dyDescent="0.25">
      <c r="H126" t="s">
        <v>3988</v>
      </c>
    </row>
    <row r="127" spans="8:8" x14ac:dyDescent="0.25">
      <c r="H127" t="s">
        <v>3989</v>
      </c>
    </row>
    <row r="128" spans="8:8" x14ac:dyDescent="0.25">
      <c r="H128" t="s">
        <v>3990</v>
      </c>
    </row>
    <row r="129" spans="8:8" x14ac:dyDescent="0.25">
      <c r="H129" t="s">
        <v>3991</v>
      </c>
    </row>
    <row r="130" spans="8:8" x14ac:dyDescent="0.25">
      <c r="H130" t="s">
        <v>3992</v>
      </c>
    </row>
    <row r="131" spans="8:8" x14ac:dyDescent="0.25">
      <c r="H131" t="s">
        <v>3993</v>
      </c>
    </row>
    <row r="132" spans="8:8" x14ac:dyDescent="0.25">
      <c r="H132" t="s">
        <v>3994</v>
      </c>
    </row>
    <row r="133" spans="8:8" x14ac:dyDescent="0.25">
      <c r="H133" t="s">
        <v>3995</v>
      </c>
    </row>
    <row r="134" spans="8:8" x14ac:dyDescent="0.25">
      <c r="H134" t="s">
        <v>3996</v>
      </c>
    </row>
    <row r="135" spans="8:8" x14ac:dyDescent="0.25">
      <c r="H135" t="s">
        <v>3997</v>
      </c>
    </row>
    <row r="136" spans="8:8" x14ac:dyDescent="0.25">
      <c r="H136" t="s">
        <v>3998</v>
      </c>
    </row>
    <row r="137" spans="8:8" x14ac:dyDescent="0.25">
      <c r="H137" t="s">
        <v>3999</v>
      </c>
    </row>
    <row r="138" spans="8:8" x14ac:dyDescent="0.25">
      <c r="H138" t="s">
        <v>4000</v>
      </c>
    </row>
    <row r="139" spans="8:8" x14ac:dyDescent="0.25">
      <c r="H139" t="s">
        <v>4001</v>
      </c>
    </row>
    <row r="140" spans="8:8" x14ac:dyDescent="0.25">
      <c r="H140" t="s">
        <v>4002</v>
      </c>
    </row>
    <row r="141" spans="8:8" x14ac:dyDescent="0.25">
      <c r="H141" t="s">
        <v>4003</v>
      </c>
    </row>
    <row r="142" spans="8:8" x14ac:dyDescent="0.25">
      <c r="H142" t="s">
        <v>4004</v>
      </c>
    </row>
    <row r="143" spans="8:8" x14ac:dyDescent="0.25">
      <c r="H143" t="s">
        <v>4005</v>
      </c>
    </row>
    <row r="144" spans="8:8" x14ac:dyDescent="0.25">
      <c r="H144" t="s">
        <v>4006</v>
      </c>
    </row>
    <row r="145" spans="8:8" x14ac:dyDescent="0.25">
      <c r="H145" t="s">
        <v>4007</v>
      </c>
    </row>
    <row r="146" spans="8:8" x14ac:dyDescent="0.25">
      <c r="H146" t="s">
        <v>4008</v>
      </c>
    </row>
    <row r="147" spans="8:8" x14ac:dyDescent="0.25">
      <c r="H147" t="s">
        <v>4009</v>
      </c>
    </row>
    <row r="148" spans="8:8" x14ac:dyDescent="0.25">
      <c r="H148" t="s">
        <v>4010</v>
      </c>
    </row>
    <row r="149" spans="8:8" x14ac:dyDescent="0.25">
      <c r="H149" t="s">
        <v>4011</v>
      </c>
    </row>
    <row r="150" spans="8:8" x14ac:dyDescent="0.25">
      <c r="H150" t="s">
        <v>4012</v>
      </c>
    </row>
    <row r="151" spans="8:8" x14ac:dyDescent="0.25">
      <c r="H151" t="s">
        <v>4013</v>
      </c>
    </row>
    <row r="152" spans="8:8" x14ac:dyDescent="0.25">
      <c r="H152" t="s">
        <v>4014</v>
      </c>
    </row>
    <row r="153" spans="8:8" x14ac:dyDescent="0.25">
      <c r="H153" t="s">
        <v>4015</v>
      </c>
    </row>
    <row r="154" spans="8:8" x14ac:dyDescent="0.25">
      <c r="H154" t="s">
        <v>4016</v>
      </c>
    </row>
    <row r="155" spans="8:8" x14ac:dyDescent="0.25">
      <c r="H155" t="s">
        <v>4017</v>
      </c>
    </row>
    <row r="156" spans="8:8" x14ac:dyDescent="0.25">
      <c r="H156" t="s">
        <v>4018</v>
      </c>
    </row>
    <row r="157" spans="8:8" x14ac:dyDescent="0.25">
      <c r="H157" t="s">
        <v>4019</v>
      </c>
    </row>
    <row r="158" spans="8:8" x14ac:dyDescent="0.25">
      <c r="H158" t="s">
        <v>4020</v>
      </c>
    </row>
    <row r="159" spans="8:8" x14ac:dyDescent="0.25">
      <c r="H159" t="s">
        <v>4021</v>
      </c>
    </row>
    <row r="160" spans="8:8" x14ac:dyDescent="0.25">
      <c r="H160" t="s">
        <v>4022</v>
      </c>
    </row>
    <row r="161" spans="8:8" x14ac:dyDescent="0.25">
      <c r="H161" t="s">
        <v>4023</v>
      </c>
    </row>
    <row r="162" spans="8:8" x14ac:dyDescent="0.25">
      <c r="H162" t="s">
        <v>4024</v>
      </c>
    </row>
    <row r="163" spans="8:8" x14ac:dyDescent="0.25">
      <c r="H163" t="s">
        <v>4025</v>
      </c>
    </row>
    <row r="164" spans="8:8" x14ac:dyDescent="0.25">
      <c r="H164" t="s">
        <v>4026</v>
      </c>
    </row>
    <row r="165" spans="8:8" x14ac:dyDescent="0.25">
      <c r="H165" t="s">
        <v>4027</v>
      </c>
    </row>
    <row r="166" spans="8:8" x14ac:dyDescent="0.25">
      <c r="H166" t="s">
        <v>4028</v>
      </c>
    </row>
    <row r="167" spans="8:8" x14ac:dyDescent="0.25">
      <c r="H167" t="s">
        <v>4029</v>
      </c>
    </row>
    <row r="168" spans="8:8" x14ac:dyDescent="0.25">
      <c r="H168" t="s">
        <v>4030</v>
      </c>
    </row>
    <row r="169" spans="8:8" x14ac:dyDescent="0.25">
      <c r="H169" t="s">
        <v>4031</v>
      </c>
    </row>
    <row r="170" spans="8:8" x14ac:dyDescent="0.25">
      <c r="H170" t="s">
        <v>4032</v>
      </c>
    </row>
    <row r="171" spans="8:8" x14ac:dyDescent="0.25">
      <c r="H171" t="s">
        <v>4033</v>
      </c>
    </row>
    <row r="172" spans="8:8" x14ac:dyDescent="0.25">
      <c r="H172" t="s">
        <v>4034</v>
      </c>
    </row>
    <row r="173" spans="8:8" x14ac:dyDescent="0.25">
      <c r="H173" t="s">
        <v>4035</v>
      </c>
    </row>
    <row r="174" spans="8:8" x14ac:dyDescent="0.25">
      <c r="H174" t="s">
        <v>4036</v>
      </c>
    </row>
    <row r="175" spans="8:8" x14ac:dyDescent="0.25">
      <c r="H175" t="s">
        <v>4037</v>
      </c>
    </row>
    <row r="176" spans="8:8" x14ac:dyDescent="0.25">
      <c r="H176" t="s">
        <v>4038</v>
      </c>
    </row>
    <row r="177" spans="8:8" x14ac:dyDescent="0.25">
      <c r="H177" t="s">
        <v>4039</v>
      </c>
    </row>
    <row r="178" spans="8:8" x14ac:dyDescent="0.25">
      <c r="H178" t="s">
        <v>4040</v>
      </c>
    </row>
    <row r="179" spans="8:8" x14ac:dyDescent="0.25">
      <c r="H179" t="s">
        <v>4041</v>
      </c>
    </row>
    <row r="180" spans="8:8" x14ac:dyDescent="0.25">
      <c r="H180" t="s">
        <v>4042</v>
      </c>
    </row>
    <row r="181" spans="8:8" x14ac:dyDescent="0.25">
      <c r="H181" t="s">
        <v>4043</v>
      </c>
    </row>
    <row r="182" spans="8:8" x14ac:dyDescent="0.25">
      <c r="H182" t="s">
        <v>4044</v>
      </c>
    </row>
    <row r="183" spans="8:8" x14ac:dyDescent="0.25">
      <c r="H183" t="s">
        <v>4045</v>
      </c>
    </row>
    <row r="184" spans="8:8" x14ac:dyDescent="0.25">
      <c r="H184" t="s">
        <v>4046</v>
      </c>
    </row>
    <row r="185" spans="8:8" x14ac:dyDescent="0.25">
      <c r="H185" t="s">
        <v>4047</v>
      </c>
    </row>
    <row r="186" spans="8:8" x14ac:dyDescent="0.25">
      <c r="H186" t="s">
        <v>4048</v>
      </c>
    </row>
    <row r="187" spans="8:8" x14ac:dyDescent="0.25">
      <c r="H187" t="s">
        <v>4049</v>
      </c>
    </row>
    <row r="188" spans="8:8" x14ac:dyDescent="0.25">
      <c r="H188" t="s">
        <v>4050</v>
      </c>
    </row>
    <row r="189" spans="8:8" x14ac:dyDescent="0.25">
      <c r="H189" t="s">
        <v>4051</v>
      </c>
    </row>
    <row r="190" spans="8:8" x14ac:dyDescent="0.25">
      <c r="H190" t="s">
        <v>4052</v>
      </c>
    </row>
    <row r="191" spans="8:8" x14ac:dyDescent="0.25">
      <c r="H191" t="s">
        <v>4053</v>
      </c>
    </row>
    <row r="192" spans="8:8" x14ac:dyDescent="0.25">
      <c r="H192" t="s">
        <v>4054</v>
      </c>
    </row>
    <row r="193" spans="8:8" x14ac:dyDescent="0.25">
      <c r="H193" t="s">
        <v>4055</v>
      </c>
    </row>
    <row r="194" spans="8:8" x14ac:dyDescent="0.25">
      <c r="H194" t="s">
        <v>4056</v>
      </c>
    </row>
    <row r="195" spans="8:8" x14ac:dyDescent="0.25">
      <c r="H195" t="s">
        <v>4057</v>
      </c>
    </row>
    <row r="196" spans="8:8" x14ac:dyDescent="0.25">
      <c r="H196" t="s">
        <v>4058</v>
      </c>
    </row>
    <row r="197" spans="8:8" x14ac:dyDescent="0.25">
      <c r="H197" t="s">
        <v>4059</v>
      </c>
    </row>
    <row r="198" spans="8:8" x14ac:dyDescent="0.25">
      <c r="H198" t="s">
        <v>4060</v>
      </c>
    </row>
    <row r="199" spans="8:8" x14ac:dyDescent="0.25">
      <c r="H199" t="s">
        <v>4061</v>
      </c>
    </row>
    <row r="200" spans="8:8" x14ac:dyDescent="0.25">
      <c r="H200" t="s">
        <v>4062</v>
      </c>
    </row>
    <row r="201" spans="8:8" x14ac:dyDescent="0.25">
      <c r="H201" t="s">
        <v>4063</v>
      </c>
    </row>
    <row r="202" spans="8:8" x14ac:dyDescent="0.25">
      <c r="H202" t="s">
        <v>4064</v>
      </c>
    </row>
    <row r="203" spans="8:8" x14ac:dyDescent="0.25">
      <c r="H203" t="s">
        <v>4065</v>
      </c>
    </row>
    <row r="204" spans="8:8" x14ac:dyDescent="0.25">
      <c r="H204" t="s">
        <v>4066</v>
      </c>
    </row>
    <row r="205" spans="8:8" x14ac:dyDescent="0.25">
      <c r="H205" t="s">
        <v>4067</v>
      </c>
    </row>
    <row r="206" spans="8:8" x14ac:dyDescent="0.25">
      <c r="H206" t="s">
        <v>4068</v>
      </c>
    </row>
    <row r="207" spans="8:8" x14ac:dyDescent="0.25">
      <c r="H207" t="s">
        <v>4069</v>
      </c>
    </row>
    <row r="208" spans="8:8" x14ac:dyDescent="0.25">
      <c r="H208" t="s">
        <v>4070</v>
      </c>
    </row>
    <row r="209" spans="8:8" x14ac:dyDescent="0.25">
      <c r="H209" t="s">
        <v>4071</v>
      </c>
    </row>
    <row r="210" spans="8:8" x14ac:dyDescent="0.25">
      <c r="H210" t="s">
        <v>4072</v>
      </c>
    </row>
    <row r="211" spans="8:8" x14ac:dyDescent="0.25">
      <c r="H211" t="s">
        <v>4073</v>
      </c>
    </row>
    <row r="212" spans="8:8" x14ac:dyDescent="0.25">
      <c r="H212" t="s">
        <v>4074</v>
      </c>
    </row>
    <row r="213" spans="8:8" x14ac:dyDescent="0.25">
      <c r="H213" t="s">
        <v>4075</v>
      </c>
    </row>
    <row r="214" spans="8:8" x14ac:dyDescent="0.25">
      <c r="H214" t="s">
        <v>4076</v>
      </c>
    </row>
    <row r="215" spans="8:8" x14ac:dyDescent="0.25">
      <c r="H215" t="s">
        <v>4077</v>
      </c>
    </row>
    <row r="216" spans="8:8" x14ac:dyDescent="0.25">
      <c r="H216" t="s">
        <v>4078</v>
      </c>
    </row>
    <row r="217" spans="8:8" x14ac:dyDescent="0.25">
      <c r="H217" t="s">
        <v>4079</v>
      </c>
    </row>
    <row r="218" spans="8:8" x14ac:dyDescent="0.25">
      <c r="H218" t="s">
        <v>4080</v>
      </c>
    </row>
    <row r="219" spans="8:8" x14ac:dyDescent="0.25">
      <c r="H219" t="s">
        <v>4081</v>
      </c>
    </row>
    <row r="220" spans="8:8" x14ac:dyDescent="0.25">
      <c r="H220" t="s">
        <v>4082</v>
      </c>
    </row>
    <row r="221" spans="8:8" x14ac:dyDescent="0.25">
      <c r="H221" t="s">
        <v>4083</v>
      </c>
    </row>
    <row r="222" spans="8:8" x14ac:dyDescent="0.25">
      <c r="H222" t="s">
        <v>4084</v>
      </c>
    </row>
    <row r="223" spans="8:8" x14ac:dyDescent="0.25">
      <c r="H223" t="s">
        <v>4085</v>
      </c>
    </row>
    <row r="224" spans="8:8" x14ac:dyDescent="0.25">
      <c r="H224" t="s">
        <v>4086</v>
      </c>
    </row>
    <row r="225" spans="8:8" x14ac:dyDescent="0.25">
      <c r="H225" t="s">
        <v>4087</v>
      </c>
    </row>
    <row r="226" spans="8:8" x14ac:dyDescent="0.25">
      <c r="H226" t="s">
        <v>4088</v>
      </c>
    </row>
    <row r="227" spans="8:8" x14ac:dyDescent="0.25">
      <c r="H227" t="s">
        <v>4089</v>
      </c>
    </row>
    <row r="228" spans="8:8" x14ac:dyDescent="0.25">
      <c r="H228" t="s">
        <v>4090</v>
      </c>
    </row>
    <row r="229" spans="8:8" x14ac:dyDescent="0.25">
      <c r="H229" t="s">
        <v>4091</v>
      </c>
    </row>
    <row r="230" spans="8:8" x14ac:dyDescent="0.25">
      <c r="H230" t="s">
        <v>4092</v>
      </c>
    </row>
    <row r="231" spans="8:8" x14ac:dyDescent="0.25">
      <c r="H231" t="s">
        <v>4093</v>
      </c>
    </row>
    <row r="232" spans="8:8" x14ac:dyDescent="0.25">
      <c r="H232" t="s">
        <v>4094</v>
      </c>
    </row>
    <row r="233" spans="8:8" x14ac:dyDescent="0.25">
      <c r="H233" t="s">
        <v>4095</v>
      </c>
    </row>
    <row r="234" spans="8:8" x14ac:dyDescent="0.25">
      <c r="H234" t="s">
        <v>4096</v>
      </c>
    </row>
    <row r="235" spans="8:8" x14ac:dyDescent="0.25">
      <c r="H235" t="s">
        <v>4097</v>
      </c>
    </row>
    <row r="236" spans="8:8" x14ac:dyDescent="0.25">
      <c r="H236" t="s">
        <v>4098</v>
      </c>
    </row>
    <row r="237" spans="8:8" x14ac:dyDescent="0.25">
      <c r="H237" t="s">
        <v>4099</v>
      </c>
    </row>
    <row r="238" spans="8:8" x14ac:dyDescent="0.25">
      <c r="H238" t="s">
        <v>4100</v>
      </c>
    </row>
    <row r="239" spans="8:8" x14ac:dyDescent="0.25">
      <c r="H239" t="s">
        <v>4101</v>
      </c>
    </row>
    <row r="240" spans="8:8" x14ac:dyDescent="0.25">
      <c r="H240" t="s">
        <v>4102</v>
      </c>
    </row>
    <row r="241" spans="8:8" x14ac:dyDescent="0.25">
      <c r="H241" t="s">
        <v>4103</v>
      </c>
    </row>
    <row r="242" spans="8:8" x14ac:dyDescent="0.25">
      <c r="H242" t="s">
        <v>4104</v>
      </c>
    </row>
    <row r="243" spans="8:8" x14ac:dyDescent="0.25">
      <c r="H243" t="s">
        <v>4105</v>
      </c>
    </row>
    <row r="244" spans="8:8" x14ac:dyDescent="0.25">
      <c r="H244" t="s">
        <v>4106</v>
      </c>
    </row>
    <row r="245" spans="8:8" x14ac:dyDescent="0.25">
      <c r="H245" t="s">
        <v>4107</v>
      </c>
    </row>
    <row r="246" spans="8:8" x14ac:dyDescent="0.25">
      <c r="H246" t="s">
        <v>4108</v>
      </c>
    </row>
    <row r="247" spans="8:8" x14ac:dyDescent="0.25">
      <c r="H247" t="s">
        <v>4109</v>
      </c>
    </row>
    <row r="248" spans="8:8" x14ac:dyDescent="0.25">
      <c r="H248" t="s">
        <v>4110</v>
      </c>
    </row>
    <row r="249" spans="8:8" x14ac:dyDescent="0.25">
      <c r="H249" t="s">
        <v>4111</v>
      </c>
    </row>
    <row r="250" spans="8:8" x14ac:dyDescent="0.25">
      <c r="H250" t="s">
        <v>4112</v>
      </c>
    </row>
    <row r="251" spans="8:8" x14ac:dyDescent="0.25">
      <c r="H251" t="s">
        <v>4113</v>
      </c>
    </row>
    <row r="252" spans="8:8" x14ac:dyDescent="0.25">
      <c r="H252" t="s">
        <v>4114</v>
      </c>
    </row>
    <row r="253" spans="8:8" x14ac:dyDescent="0.25">
      <c r="H253" t="s">
        <v>4115</v>
      </c>
    </row>
    <row r="254" spans="8:8" x14ac:dyDescent="0.25">
      <c r="H254" t="s">
        <v>4116</v>
      </c>
    </row>
    <row r="255" spans="8:8" x14ac:dyDescent="0.25">
      <c r="H255" t="s">
        <v>4117</v>
      </c>
    </row>
    <row r="256" spans="8:8" x14ac:dyDescent="0.25">
      <c r="H256" t="s">
        <v>4118</v>
      </c>
    </row>
    <row r="257" spans="8:8" x14ac:dyDescent="0.25">
      <c r="H257" t="s">
        <v>4119</v>
      </c>
    </row>
    <row r="258" spans="8:8" x14ac:dyDescent="0.25">
      <c r="H258" t="s">
        <v>4120</v>
      </c>
    </row>
    <row r="259" spans="8:8" x14ac:dyDescent="0.25">
      <c r="H259" t="s">
        <v>4121</v>
      </c>
    </row>
    <row r="260" spans="8:8" x14ac:dyDescent="0.25">
      <c r="H260" t="s">
        <v>4122</v>
      </c>
    </row>
    <row r="261" spans="8:8" x14ac:dyDescent="0.25">
      <c r="H261" t="s">
        <v>4123</v>
      </c>
    </row>
    <row r="262" spans="8:8" x14ac:dyDescent="0.25">
      <c r="H262" t="s">
        <v>4124</v>
      </c>
    </row>
    <row r="263" spans="8:8" x14ac:dyDescent="0.25">
      <c r="H263" t="s">
        <v>4125</v>
      </c>
    </row>
    <row r="264" spans="8:8" x14ac:dyDescent="0.25">
      <c r="H264" t="s">
        <v>4126</v>
      </c>
    </row>
    <row r="265" spans="8:8" x14ac:dyDescent="0.25">
      <c r="H265" t="s">
        <v>4127</v>
      </c>
    </row>
    <row r="266" spans="8:8" x14ac:dyDescent="0.25">
      <c r="H266" t="s">
        <v>4128</v>
      </c>
    </row>
    <row r="267" spans="8:8" x14ac:dyDescent="0.25">
      <c r="H267" t="s">
        <v>4129</v>
      </c>
    </row>
    <row r="268" spans="8:8" x14ac:dyDescent="0.25">
      <c r="H268" t="s">
        <v>4130</v>
      </c>
    </row>
    <row r="269" spans="8:8" x14ac:dyDescent="0.25">
      <c r="H269" t="s">
        <v>4131</v>
      </c>
    </row>
    <row r="270" spans="8:8" x14ac:dyDescent="0.25">
      <c r="H270" t="s">
        <v>4132</v>
      </c>
    </row>
    <row r="271" spans="8:8" x14ac:dyDescent="0.25">
      <c r="H271" t="s">
        <v>4133</v>
      </c>
    </row>
    <row r="272" spans="8:8" x14ac:dyDescent="0.25">
      <c r="H272" t="s">
        <v>4134</v>
      </c>
    </row>
    <row r="273" spans="8:8" x14ac:dyDescent="0.25">
      <c r="H273" t="s">
        <v>4135</v>
      </c>
    </row>
    <row r="274" spans="8:8" x14ac:dyDescent="0.25">
      <c r="H274" t="s">
        <v>4136</v>
      </c>
    </row>
    <row r="275" spans="8:8" x14ac:dyDescent="0.25">
      <c r="H275" t="s">
        <v>4137</v>
      </c>
    </row>
    <row r="276" spans="8:8" x14ac:dyDescent="0.25">
      <c r="H276" t="s">
        <v>4138</v>
      </c>
    </row>
    <row r="277" spans="8:8" x14ac:dyDescent="0.25">
      <c r="H277" t="s">
        <v>4139</v>
      </c>
    </row>
    <row r="278" spans="8:8" x14ac:dyDescent="0.25">
      <c r="H278" t="s">
        <v>4140</v>
      </c>
    </row>
    <row r="279" spans="8:8" x14ac:dyDescent="0.25">
      <c r="H279" t="s">
        <v>4141</v>
      </c>
    </row>
    <row r="280" spans="8:8" x14ac:dyDescent="0.25">
      <c r="H280" t="s">
        <v>4142</v>
      </c>
    </row>
    <row r="281" spans="8:8" x14ac:dyDescent="0.25">
      <c r="H281" t="s">
        <v>4143</v>
      </c>
    </row>
    <row r="282" spans="8:8" x14ac:dyDescent="0.25">
      <c r="H282" t="s">
        <v>4144</v>
      </c>
    </row>
    <row r="283" spans="8:8" x14ac:dyDescent="0.25">
      <c r="H283" t="s">
        <v>4145</v>
      </c>
    </row>
    <row r="284" spans="8:8" x14ac:dyDescent="0.25">
      <c r="H284" t="s">
        <v>4146</v>
      </c>
    </row>
    <row r="285" spans="8:8" x14ac:dyDescent="0.25">
      <c r="H285" t="s">
        <v>4147</v>
      </c>
    </row>
    <row r="286" spans="8:8" x14ac:dyDescent="0.25">
      <c r="H286" t="s">
        <v>4148</v>
      </c>
    </row>
    <row r="287" spans="8:8" x14ac:dyDescent="0.25">
      <c r="H287" t="s">
        <v>4149</v>
      </c>
    </row>
    <row r="288" spans="8:8" x14ac:dyDescent="0.25">
      <c r="H288" t="s">
        <v>4150</v>
      </c>
    </row>
    <row r="289" spans="8:8" x14ac:dyDescent="0.25">
      <c r="H289" t="s">
        <v>4151</v>
      </c>
    </row>
    <row r="290" spans="8:8" x14ac:dyDescent="0.25">
      <c r="H290" t="s">
        <v>4152</v>
      </c>
    </row>
    <row r="291" spans="8:8" x14ac:dyDescent="0.25">
      <c r="H291" t="s">
        <v>4153</v>
      </c>
    </row>
    <row r="292" spans="8:8" x14ac:dyDescent="0.25">
      <c r="H292" t="s">
        <v>4154</v>
      </c>
    </row>
    <row r="293" spans="8:8" x14ac:dyDescent="0.25">
      <c r="H293" t="s">
        <v>4155</v>
      </c>
    </row>
    <row r="294" spans="8:8" x14ac:dyDescent="0.25">
      <c r="H294" t="s">
        <v>4156</v>
      </c>
    </row>
    <row r="295" spans="8:8" x14ac:dyDescent="0.25">
      <c r="H295" t="s">
        <v>4157</v>
      </c>
    </row>
    <row r="296" spans="8:8" x14ac:dyDescent="0.25">
      <c r="H296" t="s">
        <v>4158</v>
      </c>
    </row>
    <row r="297" spans="8:8" x14ac:dyDescent="0.25">
      <c r="H297" t="s">
        <v>4159</v>
      </c>
    </row>
    <row r="298" spans="8:8" x14ac:dyDescent="0.25">
      <c r="H298" t="s">
        <v>4160</v>
      </c>
    </row>
    <row r="299" spans="8:8" x14ac:dyDescent="0.25">
      <c r="H299" t="s">
        <v>4161</v>
      </c>
    </row>
    <row r="300" spans="8:8" x14ac:dyDescent="0.25">
      <c r="H300" t="s">
        <v>4162</v>
      </c>
    </row>
    <row r="301" spans="8:8" x14ac:dyDescent="0.25">
      <c r="H301" t="s">
        <v>4163</v>
      </c>
    </row>
    <row r="302" spans="8:8" x14ac:dyDescent="0.25">
      <c r="H302" t="s">
        <v>4164</v>
      </c>
    </row>
    <row r="303" spans="8:8" x14ac:dyDescent="0.25">
      <c r="H303" t="s">
        <v>4165</v>
      </c>
    </row>
    <row r="304" spans="8:8" x14ac:dyDescent="0.25">
      <c r="H304" t="s">
        <v>4166</v>
      </c>
    </row>
    <row r="305" spans="8:8" x14ac:dyDescent="0.25">
      <c r="H305" t="s">
        <v>4167</v>
      </c>
    </row>
    <row r="306" spans="8:8" x14ac:dyDescent="0.25">
      <c r="H306" t="s">
        <v>4168</v>
      </c>
    </row>
    <row r="307" spans="8:8" x14ac:dyDescent="0.25">
      <c r="H307" t="s">
        <v>4169</v>
      </c>
    </row>
    <row r="308" spans="8:8" x14ac:dyDescent="0.25">
      <c r="H308" t="s">
        <v>4170</v>
      </c>
    </row>
    <row r="309" spans="8:8" x14ac:dyDescent="0.25">
      <c r="H309" t="s">
        <v>4171</v>
      </c>
    </row>
    <row r="310" spans="8:8" x14ac:dyDescent="0.25">
      <c r="H310" t="s">
        <v>4172</v>
      </c>
    </row>
    <row r="311" spans="8:8" x14ac:dyDescent="0.25">
      <c r="H311" t="s">
        <v>4173</v>
      </c>
    </row>
    <row r="312" spans="8:8" x14ac:dyDescent="0.25">
      <c r="H312" t="s">
        <v>4174</v>
      </c>
    </row>
    <row r="313" spans="8:8" x14ac:dyDescent="0.25">
      <c r="H313" t="s">
        <v>4175</v>
      </c>
    </row>
    <row r="314" spans="8:8" x14ac:dyDescent="0.25">
      <c r="H314" t="s">
        <v>4176</v>
      </c>
    </row>
    <row r="315" spans="8:8" x14ac:dyDescent="0.25">
      <c r="H315" t="s">
        <v>4177</v>
      </c>
    </row>
    <row r="316" spans="8:8" x14ac:dyDescent="0.25">
      <c r="H316" t="s">
        <v>4178</v>
      </c>
    </row>
    <row r="317" spans="8:8" x14ac:dyDescent="0.25">
      <c r="H317" t="s">
        <v>4179</v>
      </c>
    </row>
    <row r="318" spans="8:8" x14ac:dyDescent="0.25">
      <c r="H318" t="s">
        <v>4180</v>
      </c>
    </row>
    <row r="319" spans="8:8" x14ac:dyDescent="0.25">
      <c r="H319" t="s">
        <v>4181</v>
      </c>
    </row>
    <row r="320" spans="8:8" x14ac:dyDescent="0.25">
      <c r="H320" t="s">
        <v>4182</v>
      </c>
    </row>
    <row r="321" spans="8:8" x14ac:dyDescent="0.25">
      <c r="H321" t="s">
        <v>4183</v>
      </c>
    </row>
    <row r="322" spans="8:8" x14ac:dyDescent="0.25">
      <c r="H322" t="s">
        <v>4184</v>
      </c>
    </row>
    <row r="323" spans="8:8" x14ac:dyDescent="0.25">
      <c r="H323" t="s">
        <v>4185</v>
      </c>
    </row>
    <row r="324" spans="8:8" x14ac:dyDescent="0.25">
      <c r="H324" t="s">
        <v>4186</v>
      </c>
    </row>
    <row r="325" spans="8:8" x14ac:dyDescent="0.25">
      <c r="H325" t="s">
        <v>4187</v>
      </c>
    </row>
    <row r="326" spans="8:8" x14ac:dyDescent="0.25">
      <c r="H326" t="s">
        <v>4188</v>
      </c>
    </row>
    <row r="327" spans="8:8" x14ac:dyDescent="0.25">
      <c r="H327" t="s">
        <v>4189</v>
      </c>
    </row>
    <row r="328" spans="8:8" x14ac:dyDescent="0.25">
      <c r="H328" t="s">
        <v>4190</v>
      </c>
    </row>
    <row r="329" spans="8:8" x14ac:dyDescent="0.25">
      <c r="H329" t="s">
        <v>4191</v>
      </c>
    </row>
    <row r="330" spans="8:8" x14ac:dyDescent="0.25">
      <c r="H330" t="s">
        <v>4192</v>
      </c>
    </row>
    <row r="331" spans="8:8" x14ac:dyDescent="0.25">
      <c r="H331" t="s">
        <v>4193</v>
      </c>
    </row>
    <row r="332" spans="8:8" x14ac:dyDescent="0.25">
      <c r="H332" t="s">
        <v>4194</v>
      </c>
    </row>
    <row r="333" spans="8:8" x14ac:dyDescent="0.25">
      <c r="H333" t="s">
        <v>4195</v>
      </c>
    </row>
    <row r="334" spans="8:8" x14ac:dyDescent="0.25">
      <c r="H334" t="s">
        <v>4196</v>
      </c>
    </row>
    <row r="335" spans="8:8" x14ac:dyDescent="0.25">
      <c r="H335" t="s">
        <v>4197</v>
      </c>
    </row>
    <row r="336" spans="8:8" x14ac:dyDescent="0.25">
      <c r="H336" t="s">
        <v>4198</v>
      </c>
    </row>
    <row r="337" spans="8:8" x14ac:dyDescent="0.25">
      <c r="H337" t="s">
        <v>4199</v>
      </c>
    </row>
    <row r="338" spans="8:8" x14ac:dyDescent="0.25">
      <c r="H338" t="s">
        <v>4200</v>
      </c>
    </row>
    <row r="339" spans="8:8" x14ac:dyDescent="0.25">
      <c r="H339" t="s">
        <v>4201</v>
      </c>
    </row>
    <row r="340" spans="8:8" x14ac:dyDescent="0.25">
      <c r="H340" t="s">
        <v>4202</v>
      </c>
    </row>
    <row r="341" spans="8:8" x14ac:dyDescent="0.25">
      <c r="H341" t="s">
        <v>4203</v>
      </c>
    </row>
    <row r="342" spans="8:8" x14ac:dyDescent="0.25">
      <c r="H342" t="s">
        <v>4204</v>
      </c>
    </row>
    <row r="343" spans="8:8" x14ac:dyDescent="0.25">
      <c r="H343" t="s">
        <v>4205</v>
      </c>
    </row>
    <row r="344" spans="8:8" x14ac:dyDescent="0.25">
      <c r="H344" t="s">
        <v>4206</v>
      </c>
    </row>
    <row r="345" spans="8:8" x14ac:dyDescent="0.25">
      <c r="H345" t="s">
        <v>4207</v>
      </c>
    </row>
    <row r="346" spans="8:8" x14ac:dyDescent="0.25">
      <c r="H346" t="s">
        <v>4208</v>
      </c>
    </row>
    <row r="347" spans="8:8" x14ac:dyDescent="0.25">
      <c r="H347" t="s">
        <v>4209</v>
      </c>
    </row>
    <row r="348" spans="8:8" x14ac:dyDescent="0.25">
      <c r="H348" t="s">
        <v>4210</v>
      </c>
    </row>
    <row r="349" spans="8:8" x14ac:dyDescent="0.25">
      <c r="H349" t="s">
        <v>4211</v>
      </c>
    </row>
    <row r="350" spans="8:8" x14ac:dyDescent="0.25">
      <c r="H350" t="s">
        <v>4212</v>
      </c>
    </row>
    <row r="351" spans="8:8" x14ac:dyDescent="0.25">
      <c r="H351" t="s">
        <v>4213</v>
      </c>
    </row>
    <row r="352" spans="8:8" x14ac:dyDescent="0.25">
      <c r="H352" t="s">
        <v>4214</v>
      </c>
    </row>
    <row r="353" spans="8:8" x14ac:dyDescent="0.25">
      <c r="H353" t="s">
        <v>4215</v>
      </c>
    </row>
    <row r="354" spans="8:8" x14ac:dyDescent="0.25">
      <c r="H354" t="s">
        <v>4216</v>
      </c>
    </row>
    <row r="355" spans="8:8" x14ac:dyDescent="0.25">
      <c r="H355" t="s">
        <v>4217</v>
      </c>
    </row>
    <row r="356" spans="8:8" x14ac:dyDescent="0.25">
      <c r="H356" t="s">
        <v>4218</v>
      </c>
    </row>
    <row r="357" spans="8:8" x14ac:dyDescent="0.25">
      <c r="H357" t="s">
        <v>4219</v>
      </c>
    </row>
    <row r="358" spans="8:8" x14ac:dyDescent="0.25">
      <c r="H358" t="s">
        <v>4220</v>
      </c>
    </row>
    <row r="359" spans="8:8" x14ac:dyDescent="0.25">
      <c r="H359" t="s">
        <v>4221</v>
      </c>
    </row>
    <row r="360" spans="8:8" x14ac:dyDescent="0.25">
      <c r="H360" t="s">
        <v>4222</v>
      </c>
    </row>
    <row r="361" spans="8:8" x14ac:dyDescent="0.25">
      <c r="H361" t="s">
        <v>4223</v>
      </c>
    </row>
    <row r="362" spans="8:8" x14ac:dyDescent="0.25">
      <c r="H362" t="s">
        <v>4224</v>
      </c>
    </row>
    <row r="363" spans="8:8" x14ac:dyDescent="0.25">
      <c r="H363" t="s">
        <v>4225</v>
      </c>
    </row>
    <row r="364" spans="8:8" x14ac:dyDescent="0.25">
      <c r="H364" t="s">
        <v>4226</v>
      </c>
    </row>
    <row r="365" spans="8:8" x14ac:dyDescent="0.25">
      <c r="H365" t="s">
        <v>4227</v>
      </c>
    </row>
    <row r="366" spans="8:8" x14ac:dyDescent="0.25">
      <c r="H366" t="s">
        <v>4228</v>
      </c>
    </row>
    <row r="367" spans="8:8" x14ac:dyDescent="0.25">
      <c r="H367" t="s">
        <v>4229</v>
      </c>
    </row>
    <row r="368" spans="8:8" x14ac:dyDescent="0.25">
      <c r="H368" t="s">
        <v>4230</v>
      </c>
    </row>
    <row r="369" spans="8:8" x14ac:dyDescent="0.25">
      <c r="H369" t="s">
        <v>4231</v>
      </c>
    </row>
    <row r="370" spans="8:8" x14ac:dyDescent="0.25">
      <c r="H370" t="s">
        <v>4232</v>
      </c>
    </row>
    <row r="371" spans="8:8" x14ac:dyDescent="0.25">
      <c r="H371" t="s">
        <v>4233</v>
      </c>
    </row>
    <row r="372" spans="8:8" x14ac:dyDescent="0.25">
      <c r="H372" t="s">
        <v>4234</v>
      </c>
    </row>
    <row r="373" spans="8:8" x14ac:dyDescent="0.25">
      <c r="H373" t="s">
        <v>4235</v>
      </c>
    </row>
    <row r="374" spans="8:8" x14ac:dyDescent="0.25">
      <c r="H374" t="s">
        <v>4236</v>
      </c>
    </row>
    <row r="375" spans="8:8" x14ac:dyDescent="0.25">
      <c r="H375" t="s">
        <v>4237</v>
      </c>
    </row>
    <row r="376" spans="8:8" x14ac:dyDescent="0.25">
      <c r="H376" t="s">
        <v>4238</v>
      </c>
    </row>
    <row r="377" spans="8:8" x14ac:dyDescent="0.25">
      <c r="H377" t="s">
        <v>4239</v>
      </c>
    </row>
    <row r="378" spans="8:8" x14ac:dyDescent="0.25">
      <c r="H378" t="s">
        <v>4240</v>
      </c>
    </row>
    <row r="379" spans="8:8" x14ac:dyDescent="0.25">
      <c r="H379" t="s">
        <v>4241</v>
      </c>
    </row>
    <row r="380" spans="8:8" x14ac:dyDescent="0.25">
      <c r="H380" t="s">
        <v>4242</v>
      </c>
    </row>
    <row r="381" spans="8:8" x14ac:dyDescent="0.25">
      <c r="H381" t="s">
        <v>4243</v>
      </c>
    </row>
    <row r="382" spans="8:8" x14ac:dyDescent="0.25">
      <c r="H382" t="s">
        <v>4244</v>
      </c>
    </row>
    <row r="383" spans="8:8" x14ac:dyDescent="0.25">
      <c r="H383" t="s">
        <v>4245</v>
      </c>
    </row>
    <row r="384" spans="8:8" x14ac:dyDescent="0.25">
      <c r="H384" t="s">
        <v>4246</v>
      </c>
    </row>
    <row r="385" spans="8:8" x14ac:dyDescent="0.25">
      <c r="H385" t="s">
        <v>4247</v>
      </c>
    </row>
    <row r="386" spans="8:8" x14ac:dyDescent="0.25">
      <c r="H386" t="s">
        <v>4248</v>
      </c>
    </row>
    <row r="387" spans="8:8" x14ac:dyDescent="0.25">
      <c r="H387" t="s">
        <v>4249</v>
      </c>
    </row>
    <row r="388" spans="8:8" x14ac:dyDescent="0.25">
      <c r="H388" t="s">
        <v>4250</v>
      </c>
    </row>
    <row r="389" spans="8:8" x14ac:dyDescent="0.25">
      <c r="H389" t="s">
        <v>4251</v>
      </c>
    </row>
    <row r="390" spans="8:8" x14ac:dyDescent="0.25">
      <c r="H390" t="s">
        <v>4252</v>
      </c>
    </row>
    <row r="391" spans="8:8" x14ac:dyDescent="0.25">
      <c r="H391" t="s">
        <v>4253</v>
      </c>
    </row>
    <row r="392" spans="8:8" x14ac:dyDescent="0.25">
      <c r="H392" t="s">
        <v>4254</v>
      </c>
    </row>
    <row r="393" spans="8:8" x14ac:dyDescent="0.25">
      <c r="H393" t="s">
        <v>4255</v>
      </c>
    </row>
    <row r="394" spans="8:8" x14ac:dyDescent="0.25">
      <c r="H394" t="s">
        <v>4256</v>
      </c>
    </row>
    <row r="395" spans="8:8" x14ac:dyDescent="0.25">
      <c r="H395" t="s">
        <v>4257</v>
      </c>
    </row>
    <row r="396" spans="8:8" x14ac:dyDescent="0.25">
      <c r="H396" t="s">
        <v>4258</v>
      </c>
    </row>
    <row r="397" spans="8:8" x14ac:dyDescent="0.25">
      <c r="H397" t="s">
        <v>4259</v>
      </c>
    </row>
    <row r="398" spans="8:8" x14ac:dyDescent="0.25">
      <c r="H398" t="s">
        <v>4260</v>
      </c>
    </row>
    <row r="399" spans="8:8" x14ac:dyDescent="0.25">
      <c r="H399" t="s">
        <v>4261</v>
      </c>
    </row>
    <row r="400" spans="8:8" x14ac:dyDescent="0.25">
      <c r="H400" t="s">
        <v>4262</v>
      </c>
    </row>
    <row r="401" spans="8:8" x14ac:dyDescent="0.25">
      <c r="H401" t="s">
        <v>4263</v>
      </c>
    </row>
    <row r="402" spans="8:8" x14ac:dyDescent="0.25">
      <c r="H402" t="s">
        <v>4264</v>
      </c>
    </row>
    <row r="403" spans="8:8" x14ac:dyDescent="0.25">
      <c r="H403" t="s">
        <v>4265</v>
      </c>
    </row>
    <row r="404" spans="8:8" x14ac:dyDescent="0.25">
      <c r="H404" t="s">
        <v>4266</v>
      </c>
    </row>
    <row r="405" spans="8:8" x14ac:dyDescent="0.25">
      <c r="H405" t="s">
        <v>4267</v>
      </c>
    </row>
    <row r="406" spans="8:8" x14ac:dyDescent="0.25">
      <c r="H406" t="s">
        <v>4268</v>
      </c>
    </row>
    <row r="407" spans="8:8" x14ac:dyDescent="0.25">
      <c r="H407" t="s">
        <v>4269</v>
      </c>
    </row>
    <row r="408" spans="8:8" x14ac:dyDescent="0.25">
      <c r="H408" t="s">
        <v>4270</v>
      </c>
    </row>
    <row r="409" spans="8:8" x14ac:dyDescent="0.25">
      <c r="H409" t="s">
        <v>4271</v>
      </c>
    </row>
    <row r="410" spans="8:8" x14ac:dyDescent="0.25">
      <c r="H410" t="s">
        <v>4272</v>
      </c>
    </row>
    <row r="411" spans="8:8" x14ac:dyDescent="0.25">
      <c r="H411" t="s">
        <v>4273</v>
      </c>
    </row>
    <row r="412" spans="8:8" x14ac:dyDescent="0.25">
      <c r="H412" t="s">
        <v>4274</v>
      </c>
    </row>
    <row r="413" spans="8:8" x14ac:dyDescent="0.25">
      <c r="H413" t="s">
        <v>4275</v>
      </c>
    </row>
    <row r="414" spans="8:8" x14ac:dyDescent="0.25">
      <c r="H414" t="s">
        <v>4276</v>
      </c>
    </row>
    <row r="415" spans="8:8" x14ac:dyDescent="0.25">
      <c r="H415" t="s">
        <v>4277</v>
      </c>
    </row>
    <row r="416" spans="8:8" x14ac:dyDescent="0.25">
      <c r="H416" t="s">
        <v>4278</v>
      </c>
    </row>
    <row r="417" spans="8:8" x14ac:dyDescent="0.25">
      <c r="H417" t="s">
        <v>4279</v>
      </c>
    </row>
    <row r="418" spans="8:8" x14ac:dyDescent="0.25">
      <c r="H418" t="s">
        <v>4280</v>
      </c>
    </row>
    <row r="419" spans="8:8" x14ac:dyDescent="0.25">
      <c r="H419" t="s">
        <v>4281</v>
      </c>
    </row>
    <row r="420" spans="8:8" x14ac:dyDescent="0.25">
      <c r="H420" t="s">
        <v>4282</v>
      </c>
    </row>
    <row r="421" spans="8:8" x14ac:dyDescent="0.25">
      <c r="H421" t="s">
        <v>4283</v>
      </c>
    </row>
    <row r="422" spans="8:8" x14ac:dyDescent="0.25">
      <c r="H422" t="s">
        <v>4284</v>
      </c>
    </row>
    <row r="423" spans="8:8" x14ac:dyDescent="0.25">
      <c r="H423" t="s">
        <v>4285</v>
      </c>
    </row>
    <row r="424" spans="8:8" x14ac:dyDescent="0.25">
      <c r="H424" t="s">
        <v>4286</v>
      </c>
    </row>
    <row r="425" spans="8:8" x14ac:dyDescent="0.25">
      <c r="H425" t="s">
        <v>4287</v>
      </c>
    </row>
    <row r="426" spans="8:8" x14ac:dyDescent="0.25">
      <c r="H426" t="s">
        <v>4288</v>
      </c>
    </row>
    <row r="427" spans="8:8" x14ac:dyDescent="0.25">
      <c r="H427" t="s">
        <v>4289</v>
      </c>
    </row>
    <row r="428" spans="8:8" x14ac:dyDescent="0.25">
      <c r="H428" t="s">
        <v>4290</v>
      </c>
    </row>
    <row r="429" spans="8:8" x14ac:dyDescent="0.25">
      <c r="H429" t="s">
        <v>4291</v>
      </c>
    </row>
    <row r="430" spans="8:8" x14ac:dyDescent="0.25">
      <c r="H430" t="s">
        <v>4292</v>
      </c>
    </row>
    <row r="431" spans="8:8" x14ac:dyDescent="0.25">
      <c r="H431" t="s">
        <v>4293</v>
      </c>
    </row>
    <row r="432" spans="8:8" x14ac:dyDescent="0.25">
      <c r="H432" t="s">
        <v>4294</v>
      </c>
    </row>
    <row r="433" spans="8:8" x14ac:dyDescent="0.25">
      <c r="H433" t="s">
        <v>4295</v>
      </c>
    </row>
    <row r="434" spans="8:8" x14ac:dyDescent="0.25">
      <c r="H434" t="s">
        <v>4296</v>
      </c>
    </row>
    <row r="435" spans="8:8" x14ac:dyDescent="0.25">
      <c r="H435" t="s">
        <v>4297</v>
      </c>
    </row>
    <row r="436" spans="8:8" x14ac:dyDescent="0.25">
      <c r="H436" t="s">
        <v>4298</v>
      </c>
    </row>
    <row r="437" spans="8:8" x14ac:dyDescent="0.25">
      <c r="H437" t="s">
        <v>4299</v>
      </c>
    </row>
    <row r="438" spans="8:8" x14ac:dyDescent="0.25">
      <c r="H438" t="s">
        <v>4300</v>
      </c>
    </row>
    <row r="439" spans="8:8" x14ac:dyDescent="0.25">
      <c r="H439" t="s">
        <v>4301</v>
      </c>
    </row>
    <row r="440" spans="8:8" x14ac:dyDescent="0.25">
      <c r="H440" t="s">
        <v>4302</v>
      </c>
    </row>
    <row r="441" spans="8:8" x14ac:dyDescent="0.25">
      <c r="H441" t="s">
        <v>4303</v>
      </c>
    </row>
    <row r="442" spans="8:8" x14ac:dyDescent="0.25">
      <c r="H442" t="s">
        <v>4304</v>
      </c>
    </row>
    <row r="443" spans="8:8" x14ac:dyDescent="0.25">
      <c r="H443" t="s">
        <v>4305</v>
      </c>
    </row>
    <row r="444" spans="8:8" x14ac:dyDescent="0.25">
      <c r="H444" t="s">
        <v>4306</v>
      </c>
    </row>
    <row r="445" spans="8:8" x14ac:dyDescent="0.25">
      <c r="H445" t="s">
        <v>4307</v>
      </c>
    </row>
    <row r="446" spans="8:8" x14ac:dyDescent="0.25">
      <c r="H446" t="s">
        <v>4308</v>
      </c>
    </row>
    <row r="447" spans="8:8" x14ac:dyDescent="0.25">
      <c r="H447" t="s">
        <v>4309</v>
      </c>
    </row>
    <row r="448" spans="8:8" x14ac:dyDescent="0.25">
      <c r="H448" t="s">
        <v>4310</v>
      </c>
    </row>
    <row r="449" spans="8:8" x14ac:dyDescent="0.25">
      <c r="H449" t="s">
        <v>4311</v>
      </c>
    </row>
    <row r="450" spans="8:8" x14ac:dyDescent="0.25">
      <c r="H450" t="s">
        <v>4312</v>
      </c>
    </row>
    <row r="451" spans="8:8" x14ac:dyDescent="0.25">
      <c r="H451" t="s">
        <v>4313</v>
      </c>
    </row>
    <row r="452" spans="8:8" x14ac:dyDescent="0.25">
      <c r="H452" t="s">
        <v>4314</v>
      </c>
    </row>
    <row r="453" spans="8:8" x14ac:dyDescent="0.25">
      <c r="H453" t="s">
        <v>4315</v>
      </c>
    </row>
    <row r="454" spans="8:8" x14ac:dyDescent="0.25">
      <c r="H454" t="s">
        <v>4316</v>
      </c>
    </row>
    <row r="455" spans="8:8" x14ac:dyDescent="0.25">
      <c r="H455" t="s">
        <v>4317</v>
      </c>
    </row>
    <row r="456" spans="8:8" x14ac:dyDescent="0.25">
      <c r="H456" t="s">
        <v>4318</v>
      </c>
    </row>
    <row r="457" spans="8:8" x14ac:dyDescent="0.25">
      <c r="H457" t="s">
        <v>4319</v>
      </c>
    </row>
    <row r="458" spans="8:8" x14ac:dyDescent="0.25">
      <c r="H458" t="s">
        <v>4320</v>
      </c>
    </row>
    <row r="459" spans="8:8" x14ac:dyDescent="0.25">
      <c r="H459" t="s">
        <v>4321</v>
      </c>
    </row>
    <row r="460" spans="8:8" x14ac:dyDescent="0.25">
      <c r="H460" t="s">
        <v>4322</v>
      </c>
    </row>
    <row r="461" spans="8:8" x14ac:dyDescent="0.25">
      <c r="H461" t="s">
        <v>4323</v>
      </c>
    </row>
    <row r="462" spans="8:8" x14ac:dyDescent="0.25">
      <c r="H462" t="s">
        <v>4324</v>
      </c>
    </row>
    <row r="463" spans="8:8" x14ac:dyDescent="0.25">
      <c r="H463" t="s">
        <v>4325</v>
      </c>
    </row>
    <row r="464" spans="8:8" x14ac:dyDescent="0.25">
      <c r="H464" t="s">
        <v>4326</v>
      </c>
    </row>
    <row r="465" spans="8:8" x14ac:dyDescent="0.25">
      <c r="H465" t="s">
        <v>4327</v>
      </c>
    </row>
    <row r="466" spans="8:8" x14ac:dyDescent="0.25">
      <c r="H466" t="s">
        <v>4328</v>
      </c>
    </row>
    <row r="467" spans="8:8" x14ac:dyDescent="0.25">
      <c r="H467" t="s">
        <v>4329</v>
      </c>
    </row>
    <row r="468" spans="8:8" x14ac:dyDescent="0.25">
      <c r="H468" t="s">
        <v>4330</v>
      </c>
    </row>
    <row r="469" spans="8:8" x14ac:dyDescent="0.25">
      <c r="H469" t="s">
        <v>4331</v>
      </c>
    </row>
    <row r="470" spans="8:8" x14ac:dyDescent="0.25">
      <c r="H470" t="s">
        <v>4332</v>
      </c>
    </row>
    <row r="471" spans="8:8" x14ac:dyDescent="0.25">
      <c r="H471" t="s">
        <v>4333</v>
      </c>
    </row>
    <row r="472" spans="8:8" x14ac:dyDescent="0.25">
      <c r="H472" t="s">
        <v>4334</v>
      </c>
    </row>
    <row r="473" spans="8:8" x14ac:dyDescent="0.25">
      <c r="H473" t="s">
        <v>4335</v>
      </c>
    </row>
    <row r="474" spans="8:8" x14ac:dyDescent="0.25">
      <c r="H474" t="s">
        <v>4336</v>
      </c>
    </row>
    <row r="475" spans="8:8" x14ac:dyDescent="0.25">
      <c r="H475" t="s">
        <v>4337</v>
      </c>
    </row>
    <row r="476" spans="8:8" x14ac:dyDescent="0.25">
      <c r="H476" t="s">
        <v>4338</v>
      </c>
    </row>
    <row r="477" spans="8:8" x14ac:dyDescent="0.25">
      <c r="H477" t="s">
        <v>4339</v>
      </c>
    </row>
    <row r="478" spans="8:8" x14ac:dyDescent="0.25">
      <c r="H478" t="s">
        <v>4340</v>
      </c>
    </row>
    <row r="479" spans="8:8" x14ac:dyDescent="0.25">
      <c r="H479" t="s">
        <v>4341</v>
      </c>
    </row>
    <row r="480" spans="8:8" x14ac:dyDescent="0.25">
      <c r="H480" t="s">
        <v>4342</v>
      </c>
    </row>
    <row r="481" spans="8:8" x14ac:dyDescent="0.25">
      <c r="H481" t="s">
        <v>4343</v>
      </c>
    </row>
    <row r="482" spans="8:8" x14ac:dyDescent="0.25">
      <c r="H482" t="s">
        <v>4344</v>
      </c>
    </row>
    <row r="483" spans="8:8" x14ac:dyDescent="0.25">
      <c r="H483" t="s">
        <v>4345</v>
      </c>
    </row>
    <row r="484" spans="8:8" x14ac:dyDescent="0.25">
      <c r="H484" t="s">
        <v>4346</v>
      </c>
    </row>
    <row r="485" spans="8:8" x14ac:dyDescent="0.25">
      <c r="H485" t="s">
        <v>4347</v>
      </c>
    </row>
    <row r="486" spans="8:8" x14ac:dyDescent="0.25">
      <c r="H486" t="s">
        <v>4348</v>
      </c>
    </row>
    <row r="487" spans="8:8" x14ac:dyDescent="0.25">
      <c r="H487" t="s">
        <v>4349</v>
      </c>
    </row>
    <row r="488" spans="8:8" x14ac:dyDescent="0.25">
      <c r="H488" t="s">
        <v>4350</v>
      </c>
    </row>
    <row r="489" spans="8:8" x14ac:dyDescent="0.25">
      <c r="H489" t="s">
        <v>4351</v>
      </c>
    </row>
    <row r="490" spans="8:8" x14ac:dyDescent="0.25">
      <c r="H490" t="s">
        <v>4352</v>
      </c>
    </row>
    <row r="491" spans="8:8" x14ac:dyDescent="0.25">
      <c r="H491" t="s">
        <v>4353</v>
      </c>
    </row>
    <row r="492" spans="8:8" x14ac:dyDescent="0.25">
      <c r="H492" t="s">
        <v>4354</v>
      </c>
    </row>
    <row r="493" spans="8:8" x14ac:dyDescent="0.25">
      <c r="H493" t="s">
        <v>4355</v>
      </c>
    </row>
    <row r="494" spans="8:8" x14ac:dyDescent="0.25">
      <c r="H494" t="s">
        <v>4356</v>
      </c>
    </row>
    <row r="495" spans="8:8" x14ac:dyDescent="0.25">
      <c r="H495" t="s">
        <v>4357</v>
      </c>
    </row>
    <row r="496" spans="8:8" x14ac:dyDescent="0.25">
      <c r="H496" t="s">
        <v>4358</v>
      </c>
    </row>
    <row r="497" spans="8:8" x14ac:dyDescent="0.25">
      <c r="H497" t="s">
        <v>4359</v>
      </c>
    </row>
    <row r="498" spans="8:8" x14ac:dyDescent="0.25">
      <c r="H498" t="s">
        <v>4360</v>
      </c>
    </row>
    <row r="499" spans="8:8" x14ac:dyDescent="0.25">
      <c r="H499" t="s">
        <v>4361</v>
      </c>
    </row>
    <row r="500" spans="8:8" x14ac:dyDescent="0.25">
      <c r="H500" t="s">
        <v>4362</v>
      </c>
    </row>
    <row r="501" spans="8:8" x14ac:dyDescent="0.25">
      <c r="H501" t="s">
        <v>4363</v>
      </c>
    </row>
    <row r="502" spans="8:8" x14ac:dyDescent="0.25">
      <c r="H502" t="s">
        <v>4364</v>
      </c>
    </row>
    <row r="503" spans="8:8" x14ac:dyDescent="0.25">
      <c r="H503" t="s">
        <v>4365</v>
      </c>
    </row>
    <row r="504" spans="8:8" x14ac:dyDescent="0.25">
      <c r="H504" t="s">
        <v>4366</v>
      </c>
    </row>
    <row r="505" spans="8:8" x14ac:dyDescent="0.25">
      <c r="H505" t="s">
        <v>4367</v>
      </c>
    </row>
    <row r="506" spans="8:8" x14ac:dyDescent="0.25">
      <c r="H506" t="s">
        <v>4368</v>
      </c>
    </row>
    <row r="507" spans="8:8" x14ac:dyDescent="0.25">
      <c r="H507" t="s">
        <v>4369</v>
      </c>
    </row>
    <row r="508" spans="8:8" x14ac:dyDescent="0.25">
      <c r="H508" t="s">
        <v>4370</v>
      </c>
    </row>
    <row r="509" spans="8:8" x14ac:dyDescent="0.25">
      <c r="H509" t="s">
        <v>4371</v>
      </c>
    </row>
    <row r="510" spans="8:8" x14ac:dyDescent="0.25">
      <c r="H510" t="s">
        <v>4372</v>
      </c>
    </row>
    <row r="511" spans="8:8" x14ac:dyDescent="0.25">
      <c r="H511" t="s">
        <v>4373</v>
      </c>
    </row>
    <row r="512" spans="8:8" x14ac:dyDescent="0.25">
      <c r="H512" t="s">
        <v>4374</v>
      </c>
    </row>
    <row r="513" spans="8:8" x14ac:dyDescent="0.25">
      <c r="H513" t="s">
        <v>4375</v>
      </c>
    </row>
    <row r="514" spans="8:8" x14ac:dyDescent="0.25">
      <c r="H514" t="s">
        <v>4376</v>
      </c>
    </row>
    <row r="515" spans="8:8" x14ac:dyDescent="0.25">
      <c r="H515" t="s">
        <v>4377</v>
      </c>
    </row>
    <row r="516" spans="8:8" x14ac:dyDescent="0.25">
      <c r="H516" t="s">
        <v>4378</v>
      </c>
    </row>
    <row r="517" spans="8:8" x14ac:dyDescent="0.25">
      <c r="H517" t="s">
        <v>4379</v>
      </c>
    </row>
    <row r="518" spans="8:8" x14ac:dyDescent="0.25">
      <c r="H518" t="s">
        <v>4380</v>
      </c>
    </row>
    <row r="519" spans="8:8" x14ac:dyDescent="0.25">
      <c r="H519" t="s">
        <v>4381</v>
      </c>
    </row>
    <row r="520" spans="8:8" x14ac:dyDescent="0.25">
      <c r="H520" t="s">
        <v>4382</v>
      </c>
    </row>
    <row r="521" spans="8:8" x14ac:dyDescent="0.25">
      <c r="H521" t="s">
        <v>4383</v>
      </c>
    </row>
    <row r="522" spans="8:8" x14ac:dyDescent="0.25">
      <c r="H522" t="s">
        <v>4384</v>
      </c>
    </row>
    <row r="523" spans="8:8" x14ac:dyDescent="0.25">
      <c r="H523" t="s">
        <v>4385</v>
      </c>
    </row>
    <row r="524" spans="8:8" x14ac:dyDescent="0.25">
      <c r="H524" t="s">
        <v>4386</v>
      </c>
    </row>
    <row r="525" spans="8:8" x14ac:dyDescent="0.25">
      <c r="H525" t="s">
        <v>4387</v>
      </c>
    </row>
    <row r="526" spans="8:8" x14ac:dyDescent="0.25">
      <c r="H526" t="s">
        <v>4388</v>
      </c>
    </row>
    <row r="527" spans="8:8" x14ac:dyDescent="0.25">
      <c r="H527" t="s">
        <v>4389</v>
      </c>
    </row>
    <row r="528" spans="8:8" x14ac:dyDescent="0.25">
      <c r="H528" t="s">
        <v>4390</v>
      </c>
    </row>
    <row r="529" spans="8:8" x14ac:dyDescent="0.25">
      <c r="H529" t="s">
        <v>4391</v>
      </c>
    </row>
    <row r="530" spans="8:8" x14ac:dyDescent="0.25">
      <c r="H530" t="s">
        <v>4392</v>
      </c>
    </row>
    <row r="531" spans="8:8" x14ac:dyDescent="0.25">
      <c r="H531" t="s">
        <v>4393</v>
      </c>
    </row>
    <row r="532" spans="8:8" x14ac:dyDescent="0.25">
      <c r="H532" t="s">
        <v>4394</v>
      </c>
    </row>
    <row r="533" spans="8:8" x14ac:dyDescent="0.25">
      <c r="H533" t="s">
        <v>4395</v>
      </c>
    </row>
    <row r="534" spans="8:8" x14ac:dyDescent="0.25">
      <c r="H534" t="s">
        <v>4396</v>
      </c>
    </row>
    <row r="535" spans="8:8" x14ac:dyDescent="0.25">
      <c r="H535" t="s">
        <v>4397</v>
      </c>
    </row>
    <row r="536" spans="8:8" x14ac:dyDescent="0.25">
      <c r="H536" t="s">
        <v>4398</v>
      </c>
    </row>
    <row r="537" spans="8:8" x14ac:dyDescent="0.25">
      <c r="H537" t="s">
        <v>4399</v>
      </c>
    </row>
    <row r="538" spans="8:8" x14ac:dyDescent="0.25">
      <c r="H538" t="s">
        <v>4400</v>
      </c>
    </row>
    <row r="539" spans="8:8" x14ac:dyDescent="0.25">
      <c r="H539" t="s">
        <v>4401</v>
      </c>
    </row>
    <row r="540" spans="8:8" x14ac:dyDescent="0.25">
      <c r="H540" t="s">
        <v>4402</v>
      </c>
    </row>
    <row r="541" spans="8:8" x14ac:dyDescent="0.25">
      <c r="H541" t="s">
        <v>4403</v>
      </c>
    </row>
    <row r="542" spans="8:8" x14ac:dyDescent="0.25">
      <c r="H542" t="s">
        <v>4404</v>
      </c>
    </row>
    <row r="543" spans="8:8" x14ac:dyDescent="0.25">
      <c r="H543" t="s">
        <v>4405</v>
      </c>
    </row>
    <row r="544" spans="8:8" x14ac:dyDescent="0.25">
      <c r="H544" t="s">
        <v>4406</v>
      </c>
    </row>
    <row r="545" spans="8:8" x14ac:dyDescent="0.25">
      <c r="H545" t="s">
        <v>4407</v>
      </c>
    </row>
    <row r="546" spans="8:8" x14ac:dyDescent="0.25">
      <c r="H546" t="s">
        <v>4408</v>
      </c>
    </row>
    <row r="547" spans="8:8" x14ac:dyDescent="0.25">
      <c r="H547" t="s">
        <v>4409</v>
      </c>
    </row>
    <row r="548" spans="8:8" x14ac:dyDescent="0.25">
      <c r="H548" t="s">
        <v>4410</v>
      </c>
    </row>
    <row r="549" spans="8:8" x14ac:dyDescent="0.25">
      <c r="H549" t="s">
        <v>4411</v>
      </c>
    </row>
    <row r="550" spans="8:8" x14ac:dyDescent="0.25">
      <c r="H550" t="s">
        <v>4412</v>
      </c>
    </row>
    <row r="551" spans="8:8" x14ac:dyDescent="0.25">
      <c r="H551" t="s">
        <v>4413</v>
      </c>
    </row>
    <row r="552" spans="8:8" x14ac:dyDescent="0.25">
      <c r="H552" t="s">
        <v>4414</v>
      </c>
    </row>
    <row r="553" spans="8:8" x14ac:dyDescent="0.25">
      <c r="H553" t="s">
        <v>4415</v>
      </c>
    </row>
    <row r="554" spans="8:8" x14ac:dyDescent="0.25">
      <c r="H554" t="s">
        <v>4416</v>
      </c>
    </row>
    <row r="555" spans="8:8" x14ac:dyDescent="0.25">
      <c r="H555" t="s">
        <v>4417</v>
      </c>
    </row>
    <row r="556" spans="8:8" x14ac:dyDescent="0.25">
      <c r="H556" t="s">
        <v>4418</v>
      </c>
    </row>
    <row r="557" spans="8:8" x14ac:dyDescent="0.25">
      <c r="H557" t="s">
        <v>4419</v>
      </c>
    </row>
    <row r="558" spans="8:8" x14ac:dyDescent="0.25">
      <c r="H558" t="s">
        <v>4420</v>
      </c>
    </row>
    <row r="559" spans="8:8" x14ac:dyDescent="0.25">
      <c r="H559" t="s">
        <v>4421</v>
      </c>
    </row>
    <row r="560" spans="8:8" x14ac:dyDescent="0.25">
      <c r="H560" t="s">
        <v>4422</v>
      </c>
    </row>
    <row r="561" spans="8:8" x14ac:dyDescent="0.25">
      <c r="H561" t="s">
        <v>4423</v>
      </c>
    </row>
    <row r="562" spans="8:8" x14ac:dyDescent="0.25">
      <c r="H562" t="s">
        <v>4424</v>
      </c>
    </row>
    <row r="563" spans="8:8" x14ac:dyDescent="0.25">
      <c r="H563" t="s">
        <v>4425</v>
      </c>
    </row>
    <row r="564" spans="8:8" x14ac:dyDescent="0.25">
      <c r="H564" t="s">
        <v>4924</v>
      </c>
    </row>
    <row r="565" spans="8:8" x14ac:dyDescent="0.25">
      <c r="H565" t="s">
        <v>4426</v>
      </c>
    </row>
    <row r="566" spans="8:8" x14ac:dyDescent="0.25">
      <c r="H566" t="s">
        <v>4427</v>
      </c>
    </row>
    <row r="567" spans="8:8" x14ac:dyDescent="0.25">
      <c r="H567" t="s">
        <v>4428</v>
      </c>
    </row>
    <row r="568" spans="8:8" x14ac:dyDescent="0.25">
      <c r="H568" t="s">
        <v>4429</v>
      </c>
    </row>
    <row r="569" spans="8:8" x14ac:dyDescent="0.25">
      <c r="H569" t="s">
        <v>4430</v>
      </c>
    </row>
    <row r="570" spans="8:8" x14ac:dyDescent="0.25">
      <c r="H570" t="s">
        <v>4431</v>
      </c>
    </row>
    <row r="571" spans="8:8" x14ac:dyDescent="0.25">
      <c r="H571" t="s">
        <v>4432</v>
      </c>
    </row>
    <row r="572" spans="8:8" x14ac:dyDescent="0.25">
      <c r="H572" t="s">
        <v>4433</v>
      </c>
    </row>
    <row r="573" spans="8:8" x14ac:dyDescent="0.25">
      <c r="H573" t="s">
        <v>4434</v>
      </c>
    </row>
    <row r="574" spans="8:8" x14ac:dyDescent="0.25">
      <c r="H574" t="s">
        <v>4925</v>
      </c>
    </row>
    <row r="575" spans="8:8" x14ac:dyDescent="0.25">
      <c r="H575" t="s">
        <v>4435</v>
      </c>
    </row>
    <row r="576" spans="8:8" x14ac:dyDescent="0.25">
      <c r="H576" t="s">
        <v>4436</v>
      </c>
    </row>
    <row r="577" spans="8:8" x14ac:dyDescent="0.25">
      <c r="H577" t="s">
        <v>4437</v>
      </c>
    </row>
    <row r="578" spans="8:8" x14ac:dyDescent="0.25">
      <c r="H578" t="s">
        <v>4438</v>
      </c>
    </row>
    <row r="579" spans="8:8" x14ac:dyDescent="0.25">
      <c r="H579" t="s">
        <v>4439</v>
      </c>
    </row>
    <row r="580" spans="8:8" x14ac:dyDescent="0.25">
      <c r="H580" t="s">
        <v>4440</v>
      </c>
    </row>
    <row r="581" spans="8:8" x14ac:dyDescent="0.25">
      <c r="H581" t="s">
        <v>4441</v>
      </c>
    </row>
    <row r="582" spans="8:8" x14ac:dyDescent="0.25">
      <c r="H582" t="s">
        <v>4442</v>
      </c>
    </row>
    <row r="583" spans="8:8" x14ac:dyDescent="0.25">
      <c r="H583" t="s">
        <v>4443</v>
      </c>
    </row>
    <row r="584" spans="8:8" x14ac:dyDescent="0.25">
      <c r="H584" t="s">
        <v>4926</v>
      </c>
    </row>
    <row r="585" spans="8:8" x14ac:dyDescent="0.25">
      <c r="H585" t="s">
        <v>4444</v>
      </c>
    </row>
    <row r="586" spans="8:8" x14ac:dyDescent="0.25">
      <c r="H586" t="s">
        <v>4445</v>
      </c>
    </row>
    <row r="587" spans="8:8" x14ac:dyDescent="0.25">
      <c r="H587" t="s">
        <v>4446</v>
      </c>
    </row>
    <row r="588" spans="8:8" x14ac:dyDescent="0.25">
      <c r="H588" t="s">
        <v>4447</v>
      </c>
    </row>
    <row r="589" spans="8:8" x14ac:dyDescent="0.25">
      <c r="H589" t="s">
        <v>4448</v>
      </c>
    </row>
    <row r="590" spans="8:8" x14ac:dyDescent="0.25">
      <c r="H590" t="s">
        <v>4449</v>
      </c>
    </row>
    <row r="591" spans="8:8" x14ac:dyDescent="0.25">
      <c r="H591" t="s">
        <v>4450</v>
      </c>
    </row>
    <row r="592" spans="8:8" x14ac:dyDescent="0.25">
      <c r="H592" t="s">
        <v>4451</v>
      </c>
    </row>
    <row r="593" spans="8:8" x14ac:dyDescent="0.25">
      <c r="H593" t="s">
        <v>4452</v>
      </c>
    </row>
    <row r="594" spans="8:8" x14ac:dyDescent="0.25">
      <c r="H594" t="s">
        <v>4927</v>
      </c>
    </row>
    <row r="595" spans="8:8" x14ac:dyDescent="0.25">
      <c r="H595" t="s">
        <v>4453</v>
      </c>
    </row>
    <row r="596" spans="8:8" x14ac:dyDescent="0.25">
      <c r="H596" t="s">
        <v>4454</v>
      </c>
    </row>
    <row r="597" spans="8:8" x14ac:dyDescent="0.25">
      <c r="H597" t="s">
        <v>4455</v>
      </c>
    </row>
    <row r="598" spans="8:8" x14ac:dyDescent="0.25">
      <c r="H598" t="s">
        <v>4456</v>
      </c>
    </row>
    <row r="599" spans="8:8" x14ac:dyDescent="0.25">
      <c r="H599" t="s">
        <v>4457</v>
      </c>
    </row>
    <row r="600" spans="8:8" x14ac:dyDescent="0.25">
      <c r="H600" t="s">
        <v>4458</v>
      </c>
    </row>
    <row r="601" spans="8:8" x14ac:dyDescent="0.25">
      <c r="H601" t="s">
        <v>4459</v>
      </c>
    </row>
    <row r="602" spans="8:8" x14ac:dyDescent="0.25">
      <c r="H602" t="s">
        <v>4460</v>
      </c>
    </row>
    <row r="603" spans="8:8" x14ac:dyDescent="0.25">
      <c r="H603" t="s">
        <v>4461</v>
      </c>
    </row>
    <row r="604" spans="8:8" x14ac:dyDescent="0.25">
      <c r="H604" t="s">
        <v>4928</v>
      </c>
    </row>
    <row r="605" spans="8:8" x14ac:dyDescent="0.25">
      <c r="H605" t="s">
        <v>4462</v>
      </c>
    </row>
    <row r="606" spans="8:8" x14ac:dyDescent="0.25">
      <c r="H606" t="s">
        <v>4463</v>
      </c>
    </row>
    <row r="607" spans="8:8" x14ac:dyDescent="0.25">
      <c r="H607" t="s">
        <v>4464</v>
      </c>
    </row>
    <row r="608" spans="8:8" x14ac:dyDescent="0.25">
      <c r="H608" t="s">
        <v>4465</v>
      </c>
    </row>
    <row r="609" spans="8:8" x14ac:dyDescent="0.25">
      <c r="H609" t="s">
        <v>4466</v>
      </c>
    </row>
    <row r="610" spans="8:8" x14ac:dyDescent="0.25">
      <c r="H610" t="s">
        <v>4467</v>
      </c>
    </row>
    <row r="611" spans="8:8" x14ac:dyDescent="0.25">
      <c r="H611" t="s">
        <v>4468</v>
      </c>
    </row>
    <row r="612" spans="8:8" x14ac:dyDescent="0.25">
      <c r="H612" t="s">
        <v>4469</v>
      </c>
    </row>
    <row r="613" spans="8:8" x14ac:dyDescent="0.25">
      <c r="H613" t="s">
        <v>4470</v>
      </c>
    </row>
    <row r="614" spans="8:8" x14ac:dyDescent="0.25">
      <c r="H614" t="s">
        <v>4929</v>
      </c>
    </row>
    <row r="615" spans="8:8" x14ac:dyDescent="0.25">
      <c r="H615" t="s">
        <v>4471</v>
      </c>
    </row>
    <row r="616" spans="8:8" x14ac:dyDescent="0.25">
      <c r="H616" t="s">
        <v>4472</v>
      </c>
    </row>
    <row r="617" spans="8:8" x14ac:dyDescent="0.25">
      <c r="H617" t="s">
        <v>4473</v>
      </c>
    </row>
    <row r="618" spans="8:8" x14ac:dyDescent="0.25">
      <c r="H618" t="s">
        <v>4474</v>
      </c>
    </row>
    <row r="619" spans="8:8" x14ac:dyDescent="0.25">
      <c r="H619" t="s">
        <v>4475</v>
      </c>
    </row>
    <row r="620" spans="8:8" x14ac:dyDescent="0.25">
      <c r="H620" t="s">
        <v>4476</v>
      </c>
    </row>
    <row r="621" spans="8:8" x14ac:dyDescent="0.25">
      <c r="H621" t="s">
        <v>4477</v>
      </c>
    </row>
    <row r="622" spans="8:8" x14ac:dyDescent="0.25">
      <c r="H622" t="s">
        <v>4478</v>
      </c>
    </row>
    <row r="623" spans="8:8" x14ac:dyDescent="0.25">
      <c r="H623" t="s">
        <v>4479</v>
      </c>
    </row>
    <row r="624" spans="8:8" x14ac:dyDescent="0.25">
      <c r="H624" t="s">
        <v>4930</v>
      </c>
    </row>
    <row r="625" spans="8:8" x14ac:dyDescent="0.25">
      <c r="H625" t="s">
        <v>4480</v>
      </c>
    </row>
    <row r="626" spans="8:8" x14ac:dyDescent="0.25">
      <c r="H626" t="s">
        <v>4481</v>
      </c>
    </row>
    <row r="627" spans="8:8" x14ac:dyDescent="0.25">
      <c r="H627" t="s">
        <v>4482</v>
      </c>
    </row>
    <row r="628" spans="8:8" x14ac:dyDescent="0.25">
      <c r="H628" t="s">
        <v>4483</v>
      </c>
    </row>
    <row r="629" spans="8:8" x14ac:dyDescent="0.25">
      <c r="H629" t="s">
        <v>4484</v>
      </c>
    </row>
    <row r="630" spans="8:8" x14ac:dyDescent="0.25">
      <c r="H630" t="s">
        <v>4485</v>
      </c>
    </row>
    <row r="631" spans="8:8" x14ac:dyDescent="0.25">
      <c r="H631" t="s">
        <v>4486</v>
      </c>
    </row>
    <row r="632" spans="8:8" x14ac:dyDescent="0.25">
      <c r="H632" t="s">
        <v>4487</v>
      </c>
    </row>
    <row r="633" spans="8:8" x14ac:dyDescent="0.25">
      <c r="H633" t="s">
        <v>4488</v>
      </c>
    </row>
    <row r="634" spans="8:8" x14ac:dyDescent="0.25">
      <c r="H634" t="s">
        <v>4931</v>
      </c>
    </row>
    <row r="635" spans="8:8" x14ac:dyDescent="0.25">
      <c r="H635" t="s">
        <v>4489</v>
      </c>
    </row>
    <row r="636" spans="8:8" x14ac:dyDescent="0.25">
      <c r="H636" t="s">
        <v>4490</v>
      </c>
    </row>
    <row r="637" spans="8:8" x14ac:dyDescent="0.25">
      <c r="H637" t="s">
        <v>4491</v>
      </c>
    </row>
    <row r="638" spans="8:8" x14ac:dyDescent="0.25">
      <c r="H638" t="s">
        <v>4492</v>
      </c>
    </row>
    <row r="639" spans="8:8" x14ac:dyDescent="0.25">
      <c r="H639" t="s">
        <v>4493</v>
      </c>
    </row>
    <row r="640" spans="8:8" x14ac:dyDescent="0.25">
      <c r="H640" t="s">
        <v>4494</v>
      </c>
    </row>
    <row r="641" spans="8:8" x14ac:dyDescent="0.25">
      <c r="H641" t="s">
        <v>4495</v>
      </c>
    </row>
    <row r="642" spans="8:8" x14ac:dyDescent="0.25">
      <c r="H642" t="s">
        <v>4496</v>
      </c>
    </row>
    <row r="643" spans="8:8" x14ac:dyDescent="0.25">
      <c r="H643" t="s">
        <v>4497</v>
      </c>
    </row>
    <row r="644" spans="8:8" x14ac:dyDescent="0.25">
      <c r="H644" t="s">
        <v>4932</v>
      </c>
    </row>
    <row r="645" spans="8:8" x14ac:dyDescent="0.25">
      <c r="H645" t="s">
        <v>4498</v>
      </c>
    </row>
    <row r="646" spans="8:8" x14ac:dyDescent="0.25">
      <c r="H646" t="s">
        <v>4499</v>
      </c>
    </row>
    <row r="647" spans="8:8" x14ac:dyDescent="0.25">
      <c r="H647" t="s">
        <v>4500</v>
      </c>
    </row>
    <row r="648" spans="8:8" x14ac:dyDescent="0.25">
      <c r="H648" t="s">
        <v>4501</v>
      </c>
    </row>
    <row r="649" spans="8:8" x14ac:dyDescent="0.25">
      <c r="H649" t="s">
        <v>4502</v>
      </c>
    </row>
    <row r="650" spans="8:8" x14ac:dyDescent="0.25">
      <c r="H650" t="s">
        <v>4503</v>
      </c>
    </row>
    <row r="651" spans="8:8" x14ac:dyDescent="0.25">
      <c r="H651" t="s">
        <v>4504</v>
      </c>
    </row>
    <row r="652" spans="8:8" x14ac:dyDescent="0.25">
      <c r="H652" t="s">
        <v>4505</v>
      </c>
    </row>
    <row r="653" spans="8:8" x14ac:dyDescent="0.25">
      <c r="H653" t="s">
        <v>4506</v>
      </c>
    </row>
    <row r="654" spans="8:8" x14ac:dyDescent="0.25">
      <c r="H654" t="s">
        <v>4933</v>
      </c>
    </row>
    <row r="655" spans="8:8" x14ac:dyDescent="0.25">
      <c r="H655" t="s">
        <v>4507</v>
      </c>
    </row>
    <row r="656" spans="8:8" x14ac:dyDescent="0.25">
      <c r="H656" t="s">
        <v>4508</v>
      </c>
    </row>
    <row r="657" spans="8:8" x14ac:dyDescent="0.25">
      <c r="H657" t="s">
        <v>4509</v>
      </c>
    </row>
    <row r="658" spans="8:8" x14ac:dyDescent="0.25">
      <c r="H658" t="s">
        <v>4510</v>
      </c>
    </row>
    <row r="659" spans="8:8" x14ac:dyDescent="0.25">
      <c r="H659" t="s">
        <v>4511</v>
      </c>
    </row>
    <row r="660" spans="8:8" x14ac:dyDescent="0.25">
      <c r="H660" t="s">
        <v>4512</v>
      </c>
    </row>
    <row r="661" spans="8:8" x14ac:dyDescent="0.25">
      <c r="H661" t="s">
        <v>4513</v>
      </c>
    </row>
    <row r="662" spans="8:8" x14ac:dyDescent="0.25">
      <c r="H662" t="s">
        <v>4514</v>
      </c>
    </row>
    <row r="663" spans="8:8" x14ac:dyDescent="0.25">
      <c r="H663" t="s">
        <v>4515</v>
      </c>
    </row>
    <row r="664" spans="8:8" x14ac:dyDescent="0.25">
      <c r="H664" t="s">
        <v>4934</v>
      </c>
    </row>
    <row r="665" spans="8:8" x14ac:dyDescent="0.25">
      <c r="H665" t="s">
        <v>4516</v>
      </c>
    </row>
    <row r="666" spans="8:8" x14ac:dyDescent="0.25">
      <c r="H666" t="s">
        <v>4517</v>
      </c>
    </row>
    <row r="667" spans="8:8" x14ac:dyDescent="0.25">
      <c r="H667" t="s">
        <v>4518</v>
      </c>
    </row>
    <row r="668" spans="8:8" x14ac:dyDescent="0.25">
      <c r="H668" t="s">
        <v>4519</v>
      </c>
    </row>
    <row r="669" spans="8:8" x14ac:dyDescent="0.25">
      <c r="H669" t="s">
        <v>4520</v>
      </c>
    </row>
    <row r="670" spans="8:8" x14ac:dyDescent="0.25">
      <c r="H670" t="s">
        <v>4521</v>
      </c>
    </row>
    <row r="671" spans="8:8" x14ac:dyDescent="0.25">
      <c r="H671" t="s">
        <v>4522</v>
      </c>
    </row>
    <row r="672" spans="8:8" x14ac:dyDescent="0.25">
      <c r="H672" t="s">
        <v>4523</v>
      </c>
    </row>
    <row r="673" spans="8:8" x14ac:dyDescent="0.25">
      <c r="H673" t="s">
        <v>4524</v>
      </c>
    </row>
    <row r="674" spans="8:8" x14ac:dyDescent="0.25">
      <c r="H674" t="s">
        <v>4935</v>
      </c>
    </row>
    <row r="675" spans="8:8" x14ac:dyDescent="0.25">
      <c r="H675" t="s">
        <v>4525</v>
      </c>
    </row>
    <row r="676" spans="8:8" x14ac:dyDescent="0.25">
      <c r="H676" t="s">
        <v>4526</v>
      </c>
    </row>
    <row r="677" spans="8:8" x14ac:dyDescent="0.25">
      <c r="H677" t="s">
        <v>4527</v>
      </c>
    </row>
    <row r="678" spans="8:8" x14ac:dyDescent="0.25">
      <c r="H678" t="s">
        <v>4528</v>
      </c>
    </row>
    <row r="679" spans="8:8" x14ac:dyDescent="0.25">
      <c r="H679" t="s">
        <v>4529</v>
      </c>
    </row>
    <row r="680" spans="8:8" x14ac:dyDescent="0.25">
      <c r="H680" t="s">
        <v>4530</v>
      </c>
    </row>
    <row r="681" spans="8:8" x14ac:dyDescent="0.25">
      <c r="H681" t="s">
        <v>4531</v>
      </c>
    </row>
    <row r="682" spans="8:8" x14ac:dyDescent="0.25">
      <c r="H682" t="s">
        <v>4532</v>
      </c>
    </row>
    <row r="683" spans="8:8" x14ac:dyDescent="0.25">
      <c r="H683" t="s">
        <v>4533</v>
      </c>
    </row>
    <row r="684" spans="8:8" x14ac:dyDescent="0.25">
      <c r="H684" t="s">
        <v>4936</v>
      </c>
    </row>
    <row r="685" spans="8:8" x14ac:dyDescent="0.25">
      <c r="H685" t="s">
        <v>4534</v>
      </c>
    </row>
    <row r="686" spans="8:8" x14ac:dyDescent="0.25">
      <c r="H686" t="s">
        <v>4535</v>
      </c>
    </row>
    <row r="687" spans="8:8" x14ac:dyDescent="0.25">
      <c r="H687" t="s">
        <v>4536</v>
      </c>
    </row>
    <row r="688" spans="8:8" x14ac:dyDescent="0.25">
      <c r="H688" t="s">
        <v>4537</v>
      </c>
    </row>
    <row r="689" spans="8:8" x14ac:dyDescent="0.25">
      <c r="H689" t="s">
        <v>4538</v>
      </c>
    </row>
    <row r="690" spans="8:8" x14ac:dyDescent="0.25">
      <c r="H690" t="s">
        <v>4539</v>
      </c>
    </row>
    <row r="691" spans="8:8" x14ac:dyDescent="0.25">
      <c r="H691" t="s">
        <v>4540</v>
      </c>
    </row>
    <row r="692" spans="8:8" x14ac:dyDescent="0.25">
      <c r="H692" t="s">
        <v>4541</v>
      </c>
    </row>
    <row r="693" spans="8:8" x14ac:dyDescent="0.25">
      <c r="H693" t="s">
        <v>4542</v>
      </c>
    </row>
    <row r="694" spans="8:8" x14ac:dyDescent="0.25">
      <c r="H694" t="s">
        <v>4937</v>
      </c>
    </row>
    <row r="695" spans="8:8" x14ac:dyDescent="0.25">
      <c r="H695" t="s">
        <v>4543</v>
      </c>
    </row>
    <row r="696" spans="8:8" x14ac:dyDescent="0.25">
      <c r="H696" t="s">
        <v>4544</v>
      </c>
    </row>
    <row r="697" spans="8:8" x14ac:dyDescent="0.25">
      <c r="H697" t="s">
        <v>4545</v>
      </c>
    </row>
    <row r="698" spans="8:8" x14ac:dyDescent="0.25">
      <c r="H698" t="s">
        <v>4546</v>
      </c>
    </row>
    <row r="699" spans="8:8" x14ac:dyDescent="0.25">
      <c r="H699" t="s">
        <v>4547</v>
      </c>
    </row>
    <row r="700" spans="8:8" x14ac:dyDescent="0.25">
      <c r="H700" t="s">
        <v>4548</v>
      </c>
    </row>
    <row r="701" spans="8:8" x14ac:dyDescent="0.25">
      <c r="H701" t="s">
        <v>4549</v>
      </c>
    </row>
    <row r="702" spans="8:8" x14ac:dyDescent="0.25">
      <c r="H702" t="s">
        <v>4550</v>
      </c>
    </row>
    <row r="703" spans="8:8" x14ac:dyDescent="0.25">
      <c r="H703" t="s">
        <v>4551</v>
      </c>
    </row>
    <row r="704" spans="8:8" x14ac:dyDescent="0.25">
      <c r="H704" t="s">
        <v>4938</v>
      </c>
    </row>
    <row r="705" spans="8:8" x14ac:dyDescent="0.25">
      <c r="H705" t="s">
        <v>4552</v>
      </c>
    </row>
    <row r="706" spans="8:8" x14ac:dyDescent="0.25">
      <c r="H706" t="s">
        <v>4553</v>
      </c>
    </row>
    <row r="707" spans="8:8" x14ac:dyDescent="0.25">
      <c r="H707" t="s">
        <v>4554</v>
      </c>
    </row>
    <row r="708" spans="8:8" x14ac:dyDescent="0.25">
      <c r="H708" t="s">
        <v>4555</v>
      </c>
    </row>
    <row r="709" spans="8:8" x14ac:dyDescent="0.25">
      <c r="H709" t="s">
        <v>4556</v>
      </c>
    </row>
    <row r="710" spans="8:8" x14ac:dyDescent="0.25">
      <c r="H710" t="s">
        <v>4557</v>
      </c>
    </row>
    <row r="711" spans="8:8" x14ac:dyDescent="0.25">
      <c r="H711" t="s">
        <v>4558</v>
      </c>
    </row>
    <row r="712" spans="8:8" x14ac:dyDescent="0.25">
      <c r="H712" t="s">
        <v>4559</v>
      </c>
    </row>
    <row r="713" spans="8:8" x14ac:dyDescent="0.25">
      <c r="H713" t="s">
        <v>4560</v>
      </c>
    </row>
    <row r="714" spans="8:8" x14ac:dyDescent="0.25">
      <c r="H714" t="s">
        <v>4939</v>
      </c>
    </row>
    <row r="715" spans="8:8" x14ac:dyDescent="0.25">
      <c r="H715" t="s">
        <v>4561</v>
      </c>
    </row>
    <row r="716" spans="8:8" x14ac:dyDescent="0.25">
      <c r="H716" t="s">
        <v>4562</v>
      </c>
    </row>
    <row r="717" spans="8:8" x14ac:dyDescent="0.25">
      <c r="H717" t="s">
        <v>4563</v>
      </c>
    </row>
    <row r="718" spans="8:8" x14ac:dyDescent="0.25">
      <c r="H718" t="s">
        <v>4564</v>
      </c>
    </row>
    <row r="719" spans="8:8" x14ac:dyDescent="0.25">
      <c r="H719" t="s">
        <v>4565</v>
      </c>
    </row>
    <row r="720" spans="8:8" x14ac:dyDescent="0.25">
      <c r="H720" t="s">
        <v>4566</v>
      </c>
    </row>
    <row r="721" spans="8:8" x14ac:dyDescent="0.25">
      <c r="H721" t="s">
        <v>4567</v>
      </c>
    </row>
    <row r="722" spans="8:8" x14ac:dyDescent="0.25">
      <c r="H722" t="s">
        <v>4568</v>
      </c>
    </row>
    <row r="723" spans="8:8" x14ac:dyDescent="0.25">
      <c r="H723" t="s">
        <v>4569</v>
      </c>
    </row>
    <row r="724" spans="8:8" x14ac:dyDescent="0.25">
      <c r="H724" t="s">
        <v>4940</v>
      </c>
    </row>
    <row r="725" spans="8:8" x14ac:dyDescent="0.25">
      <c r="H725" t="s">
        <v>4570</v>
      </c>
    </row>
    <row r="726" spans="8:8" x14ac:dyDescent="0.25">
      <c r="H726" t="s">
        <v>4571</v>
      </c>
    </row>
    <row r="727" spans="8:8" x14ac:dyDescent="0.25">
      <c r="H727" t="s">
        <v>4572</v>
      </c>
    </row>
    <row r="728" spans="8:8" x14ac:dyDescent="0.25">
      <c r="H728" t="s">
        <v>4573</v>
      </c>
    </row>
    <row r="729" spans="8:8" x14ac:dyDescent="0.25">
      <c r="H729" t="s">
        <v>4574</v>
      </c>
    </row>
    <row r="730" spans="8:8" x14ac:dyDescent="0.25">
      <c r="H730" t="s">
        <v>4575</v>
      </c>
    </row>
    <row r="731" spans="8:8" x14ac:dyDescent="0.25">
      <c r="H731" t="s">
        <v>4576</v>
      </c>
    </row>
    <row r="732" spans="8:8" x14ac:dyDescent="0.25">
      <c r="H732" t="s">
        <v>4577</v>
      </c>
    </row>
    <row r="733" spans="8:8" x14ac:dyDescent="0.25">
      <c r="H733" t="s">
        <v>4578</v>
      </c>
    </row>
    <row r="734" spans="8:8" x14ac:dyDescent="0.25">
      <c r="H734" t="s">
        <v>4941</v>
      </c>
    </row>
    <row r="735" spans="8:8" x14ac:dyDescent="0.25">
      <c r="H735" t="s">
        <v>4579</v>
      </c>
    </row>
    <row r="736" spans="8:8" x14ac:dyDescent="0.25">
      <c r="H736" t="s">
        <v>4580</v>
      </c>
    </row>
    <row r="737" spans="8:8" x14ac:dyDescent="0.25">
      <c r="H737" t="s">
        <v>4581</v>
      </c>
    </row>
    <row r="738" spans="8:8" x14ac:dyDescent="0.25">
      <c r="H738" t="s">
        <v>4582</v>
      </c>
    </row>
    <row r="739" spans="8:8" x14ac:dyDescent="0.25">
      <c r="H739" t="s">
        <v>4583</v>
      </c>
    </row>
    <row r="740" spans="8:8" x14ac:dyDescent="0.25">
      <c r="H740" t="s">
        <v>4584</v>
      </c>
    </row>
    <row r="741" spans="8:8" x14ac:dyDescent="0.25">
      <c r="H741" t="s">
        <v>4585</v>
      </c>
    </row>
    <row r="742" spans="8:8" x14ac:dyDescent="0.25">
      <c r="H742" t="s">
        <v>4586</v>
      </c>
    </row>
    <row r="743" spans="8:8" x14ac:dyDescent="0.25">
      <c r="H743" t="s">
        <v>4587</v>
      </c>
    </row>
    <row r="744" spans="8:8" x14ac:dyDescent="0.25">
      <c r="H744" t="s">
        <v>4942</v>
      </c>
    </row>
    <row r="745" spans="8:8" x14ac:dyDescent="0.25">
      <c r="H745" t="s">
        <v>4588</v>
      </c>
    </row>
    <row r="746" spans="8:8" x14ac:dyDescent="0.25">
      <c r="H746" t="s">
        <v>4589</v>
      </c>
    </row>
    <row r="747" spans="8:8" x14ac:dyDescent="0.25">
      <c r="H747" t="s">
        <v>4590</v>
      </c>
    </row>
    <row r="748" spans="8:8" x14ac:dyDescent="0.25">
      <c r="H748" t="s">
        <v>4591</v>
      </c>
    </row>
    <row r="749" spans="8:8" x14ac:dyDescent="0.25">
      <c r="H749" t="s">
        <v>4592</v>
      </c>
    </row>
    <row r="750" spans="8:8" x14ac:dyDescent="0.25">
      <c r="H750" t="s">
        <v>4593</v>
      </c>
    </row>
    <row r="751" spans="8:8" x14ac:dyDescent="0.25">
      <c r="H751" t="s">
        <v>4594</v>
      </c>
    </row>
    <row r="752" spans="8:8" x14ac:dyDescent="0.25">
      <c r="H752" t="s">
        <v>4595</v>
      </c>
    </row>
    <row r="753" spans="8:8" x14ac:dyDescent="0.25">
      <c r="H753" t="s">
        <v>4596</v>
      </c>
    </row>
    <row r="754" spans="8:8" x14ac:dyDescent="0.25">
      <c r="H754" t="s">
        <v>4943</v>
      </c>
    </row>
    <row r="755" spans="8:8" x14ac:dyDescent="0.25">
      <c r="H755" t="s">
        <v>4597</v>
      </c>
    </row>
    <row r="756" spans="8:8" x14ac:dyDescent="0.25">
      <c r="H756" t="s">
        <v>4598</v>
      </c>
    </row>
    <row r="757" spans="8:8" x14ac:dyDescent="0.25">
      <c r="H757" t="s">
        <v>4599</v>
      </c>
    </row>
    <row r="758" spans="8:8" x14ac:dyDescent="0.25">
      <c r="H758" t="s">
        <v>4600</v>
      </c>
    </row>
    <row r="759" spans="8:8" x14ac:dyDescent="0.25">
      <c r="H759" t="s">
        <v>4601</v>
      </c>
    </row>
    <row r="760" spans="8:8" x14ac:dyDescent="0.25">
      <c r="H760" t="s">
        <v>4602</v>
      </c>
    </row>
    <row r="761" spans="8:8" x14ac:dyDescent="0.25">
      <c r="H761" t="s">
        <v>4603</v>
      </c>
    </row>
    <row r="762" spans="8:8" x14ac:dyDescent="0.25">
      <c r="H762" t="s">
        <v>4604</v>
      </c>
    </row>
    <row r="763" spans="8:8" x14ac:dyDescent="0.25">
      <c r="H763" t="s">
        <v>4605</v>
      </c>
    </row>
    <row r="764" spans="8:8" x14ac:dyDescent="0.25">
      <c r="H764" t="s">
        <v>4944</v>
      </c>
    </row>
    <row r="765" spans="8:8" x14ac:dyDescent="0.25">
      <c r="H765" t="s">
        <v>4606</v>
      </c>
    </row>
    <row r="766" spans="8:8" x14ac:dyDescent="0.25">
      <c r="H766" t="s">
        <v>4607</v>
      </c>
    </row>
    <row r="767" spans="8:8" x14ac:dyDescent="0.25">
      <c r="H767" t="s">
        <v>4608</v>
      </c>
    </row>
    <row r="768" spans="8:8" x14ac:dyDescent="0.25">
      <c r="H768" t="s">
        <v>4609</v>
      </c>
    </row>
    <row r="769" spans="8:8" x14ac:dyDescent="0.25">
      <c r="H769" t="s">
        <v>4610</v>
      </c>
    </row>
    <row r="770" spans="8:8" x14ac:dyDescent="0.25">
      <c r="H770" t="s">
        <v>4611</v>
      </c>
    </row>
    <row r="771" spans="8:8" x14ac:dyDescent="0.25">
      <c r="H771" t="s">
        <v>4612</v>
      </c>
    </row>
    <row r="772" spans="8:8" x14ac:dyDescent="0.25">
      <c r="H772" t="s">
        <v>4613</v>
      </c>
    </row>
    <row r="773" spans="8:8" x14ac:dyDescent="0.25">
      <c r="H773" t="s">
        <v>4614</v>
      </c>
    </row>
    <row r="774" spans="8:8" x14ac:dyDescent="0.25">
      <c r="H774" t="s">
        <v>4615</v>
      </c>
    </row>
    <row r="775" spans="8:8" x14ac:dyDescent="0.25">
      <c r="H775" t="s">
        <v>4616</v>
      </c>
    </row>
    <row r="776" spans="8:8" x14ac:dyDescent="0.25">
      <c r="H776" t="s">
        <v>4617</v>
      </c>
    </row>
    <row r="777" spans="8:8" x14ac:dyDescent="0.25">
      <c r="H777" t="s">
        <v>4618</v>
      </c>
    </row>
    <row r="778" spans="8:8" x14ac:dyDescent="0.25">
      <c r="H778" t="s">
        <v>4619</v>
      </c>
    </row>
    <row r="779" spans="8:8" x14ac:dyDescent="0.25">
      <c r="H779" t="s">
        <v>4620</v>
      </c>
    </row>
    <row r="780" spans="8:8" x14ac:dyDescent="0.25">
      <c r="H780" t="s">
        <v>4621</v>
      </c>
    </row>
    <row r="781" spans="8:8" x14ac:dyDescent="0.25">
      <c r="H781" t="s">
        <v>4622</v>
      </c>
    </row>
    <row r="782" spans="8:8" x14ac:dyDescent="0.25">
      <c r="H782" t="s">
        <v>4623</v>
      </c>
    </row>
    <row r="783" spans="8:8" x14ac:dyDescent="0.25">
      <c r="H783" t="s">
        <v>4624</v>
      </c>
    </row>
    <row r="784" spans="8:8" x14ac:dyDescent="0.25">
      <c r="H784" t="s">
        <v>4625</v>
      </c>
    </row>
    <row r="785" spans="8:8" x14ac:dyDescent="0.25">
      <c r="H785" t="s">
        <v>4626</v>
      </c>
    </row>
    <row r="786" spans="8:8" x14ac:dyDescent="0.25">
      <c r="H786" t="s">
        <v>4627</v>
      </c>
    </row>
    <row r="787" spans="8:8" x14ac:dyDescent="0.25">
      <c r="H787" t="s">
        <v>4628</v>
      </c>
    </row>
    <row r="788" spans="8:8" x14ac:dyDescent="0.25">
      <c r="H788" t="s">
        <v>4629</v>
      </c>
    </row>
    <row r="789" spans="8:8" x14ac:dyDescent="0.25">
      <c r="H789" t="s">
        <v>4630</v>
      </c>
    </row>
    <row r="790" spans="8:8" x14ac:dyDescent="0.25">
      <c r="H790" t="s">
        <v>4631</v>
      </c>
    </row>
    <row r="791" spans="8:8" x14ac:dyDescent="0.25">
      <c r="H791" t="s">
        <v>4632</v>
      </c>
    </row>
    <row r="792" spans="8:8" x14ac:dyDescent="0.25">
      <c r="H792" t="s">
        <v>4633</v>
      </c>
    </row>
    <row r="793" spans="8:8" x14ac:dyDescent="0.25">
      <c r="H793" t="s">
        <v>4634</v>
      </c>
    </row>
    <row r="794" spans="8:8" x14ac:dyDescent="0.25">
      <c r="H794" t="s">
        <v>4635</v>
      </c>
    </row>
    <row r="795" spans="8:8" x14ac:dyDescent="0.25">
      <c r="H795" t="s">
        <v>4636</v>
      </c>
    </row>
    <row r="796" spans="8:8" x14ac:dyDescent="0.25">
      <c r="H796" t="s">
        <v>4637</v>
      </c>
    </row>
    <row r="797" spans="8:8" x14ac:dyDescent="0.25">
      <c r="H797" t="s">
        <v>4638</v>
      </c>
    </row>
    <row r="798" spans="8:8" x14ac:dyDescent="0.25">
      <c r="H798" t="s">
        <v>4639</v>
      </c>
    </row>
    <row r="799" spans="8:8" x14ac:dyDescent="0.25">
      <c r="H799" t="s">
        <v>4640</v>
      </c>
    </row>
    <row r="800" spans="8:8" x14ac:dyDescent="0.25">
      <c r="H800" t="s">
        <v>4641</v>
      </c>
    </row>
    <row r="801" spans="8:8" x14ac:dyDescent="0.25">
      <c r="H801" t="s">
        <v>4642</v>
      </c>
    </row>
    <row r="802" spans="8:8" x14ac:dyDescent="0.25">
      <c r="H802" t="s">
        <v>4643</v>
      </c>
    </row>
    <row r="803" spans="8:8" x14ac:dyDescent="0.25">
      <c r="H803" t="s">
        <v>4644</v>
      </c>
    </row>
    <row r="804" spans="8:8" x14ac:dyDescent="0.25">
      <c r="H804" t="s">
        <v>4645</v>
      </c>
    </row>
    <row r="805" spans="8:8" x14ac:dyDescent="0.25">
      <c r="H805" t="s">
        <v>4646</v>
      </c>
    </row>
    <row r="806" spans="8:8" x14ac:dyDescent="0.25">
      <c r="H806" t="s">
        <v>4647</v>
      </c>
    </row>
    <row r="807" spans="8:8" x14ac:dyDescent="0.25">
      <c r="H807" t="s">
        <v>4648</v>
      </c>
    </row>
    <row r="808" spans="8:8" x14ac:dyDescent="0.25">
      <c r="H808" t="s">
        <v>4649</v>
      </c>
    </row>
    <row r="809" spans="8:8" x14ac:dyDescent="0.25">
      <c r="H809" t="s">
        <v>4650</v>
      </c>
    </row>
    <row r="810" spans="8:8" x14ac:dyDescent="0.25">
      <c r="H810" t="s">
        <v>4651</v>
      </c>
    </row>
    <row r="811" spans="8:8" x14ac:dyDescent="0.25">
      <c r="H811" t="s">
        <v>4652</v>
      </c>
    </row>
    <row r="812" spans="8:8" x14ac:dyDescent="0.25">
      <c r="H812" t="s">
        <v>4653</v>
      </c>
    </row>
    <row r="813" spans="8:8" x14ac:dyDescent="0.25">
      <c r="H813" t="s">
        <v>4654</v>
      </c>
    </row>
    <row r="814" spans="8:8" x14ac:dyDescent="0.25">
      <c r="H814" t="s">
        <v>4655</v>
      </c>
    </row>
    <row r="815" spans="8:8" x14ac:dyDescent="0.25">
      <c r="H815" t="s">
        <v>4656</v>
      </c>
    </row>
    <row r="816" spans="8:8" x14ac:dyDescent="0.25">
      <c r="H816" t="s">
        <v>4657</v>
      </c>
    </row>
    <row r="817" spans="8:8" x14ac:dyDescent="0.25">
      <c r="H817" t="s">
        <v>4658</v>
      </c>
    </row>
    <row r="818" spans="8:8" x14ac:dyDescent="0.25">
      <c r="H818" t="s">
        <v>4659</v>
      </c>
    </row>
    <row r="819" spans="8:8" x14ac:dyDescent="0.25">
      <c r="H819" t="s">
        <v>4660</v>
      </c>
    </row>
    <row r="820" spans="8:8" x14ac:dyDescent="0.25">
      <c r="H820" t="s">
        <v>4661</v>
      </c>
    </row>
    <row r="821" spans="8:8" x14ac:dyDescent="0.25">
      <c r="H821" t="s">
        <v>4662</v>
      </c>
    </row>
    <row r="822" spans="8:8" x14ac:dyDescent="0.25">
      <c r="H822" t="s">
        <v>4663</v>
      </c>
    </row>
    <row r="823" spans="8:8" x14ac:dyDescent="0.25">
      <c r="H823" t="s">
        <v>4664</v>
      </c>
    </row>
    <row r="824" spans="8:8" x14ac:dyDescent="0.25">
      <c r="H824" t="s">
        <v>4665</v>
      </c>
    </row>
    <row r="825" spans="8:8" x14ac:dyDescent="0.25">
      <c r="H825" t="s">
        <v>4666</v>
      </c>
    </row>
    <row r="826" spans="8:8" x14ac:dyDescent="0.25">
      <c r="H826" t="s">
        <v>4667</v>
      </c>
    </row>
    <row r="827" spans="8:8" x14ac:dyDescent="0.25">
      <c r="H827" t="s">
        <v>4668</v>
      </c>
    </row>
    <row r="828" spans="8:8" x14ac:dyDescent="0.25">
      <c r="H828" t="s">
        <v>4669</v>
      </c>
    </row>
    <row r="829" spans="8:8" x14ac:dyDescent="0.25">
      <c r="H829" t="s">
        <v>4670</v>
      </c>
    </row>
    <row r="830" spans="8:8" x14ac:dyDescent="0.25">
      <c r="H830" t="s">
        <v>4671</v>
      </c>
    </row>
    <row r="831" spans="8:8" x14ac:dyDescent="0.25">
      <c r="H831" t="s">
        <v>4672</v>
      </c>
    </row>
    <row r="832" spans="8:8" x14ac:dyDescent="0.25">
      <c r="H832" t="s">
        <v>4673</v>
      </c>
    </row>
    <row r="833" spans="8:8" x14ac:dyDescent="0.25">
      <c r="H833" t="s">
        <v>4674</v>
      </c>
    </row>
    <row r="834" spans="8:8" x14ac:dyDescent="0.25">
      <c r="H834" t="s">
        <v>4675</v>
      </c>
    </row>
    <row r="835" spans="8:8" x14ac:dyDescent="0.25">
      <c r="H835" t="s">
        <v>4676</v>
      </c>
    </row>
    <row r="836" spans="8:8" x14ac:dyDescent="0.25">
      <c r="H836" t="s">
        <v>4677</v>
      </c>
    </row>
    <row r="837" spans="8:8" x14ac:dyDescent="0.25">
      <c r="H837" t="s">
        <v>4678</v>
      </c>
    </row>
    <row r="838" spans="8:8" x14ac:dyDescent="0.25">
      <c r="H838" t="s">
        <v>4679</v>
      </c>
    </row>
    <row r="839" spans="8:8" x14ac:dyDescent="0.25">
      <c r="H839" t="s">
        <v>4680</v>
      </c>
    </row>
    <row r="840" spans="8:8" x14ac:dyDescent="0.25">
      <c r="H840" t="s">
        <v>4681</v>
      </c>
    </row>
    <row r="841" spans="8:8" x14ac:dyDescent="0.25">
      <c r="H841" t="s">
        <v>4682</v>
      </c>
    </row>
    <row r="842" spans="8:8" x14ac:dyDescent="0.25">
      <c r="H842" t="s">
        <v>4683</v>
      </c>
    </row>
    <row r="843" spans="8:8" x14ac:dyDescent="0.25">
      <c r="H843" t="s">
        <v>4684</v>
      </c>
    </row>
    <row r="844" spans="8:8" x14ac:dyDescent="0.25">
      <c r="H844" t="s">
        <v>4685</v>
      </c>
    </row>
    <row r="845" spans="8:8" x14ac:dyDescent="0.25">
      <c r="H845" t="s">
        <v>4686</v>
      </c>
    </row>
    <row r="846" spans="8:8" x14ac:dyDescent="0.25">
      <c r="H846" t="s">
        <v>4687</v>
      </c>
    </row>
    <row r="847" spans="8:8" x14ac:dyDescent="0.25">
      <c r="H847" t="s">
        <v>4688</v>
      </c>
    </row>
    <row r="848" spans="8:8" x14ac:dyDescent="0.25">
      <c r="H848" t="s">
        <v>4689</v>
      </c>
    </row>
    <row r="849" spans="8:8" x14ac:dyDescent="0.25">
      <c r="H849" t="s">
        <v>4690</v>
      </c>
    </row>
    <row r="850" spans="8:8" x14ac:dyDescent="0.25">
      <c r="H850" t="s">
        <v>4691</v>
      </c>
    </row>
    <row r="851" spans="8:8" x14ac:dyDescent="0.25">
      <c r="H851" t="s">
        <v>4692</v>
      </c>
    </row>
    <row r="852" spans="8:8" x14ac:dyDescent="0.25">
      <c r="H852" t="s">
        <v>4693</v>
      </c>
    </row>
    <row r="853" spans="8:8" x14ac:dyDescent="0.25">
      <c r="H853" t="s">
        <v>4694</v>
      </c>
    </row>
    <row r="854" spans="8:8" x14ac:dyDescent="0.25">
      <c r="H854" t="s">
        <v>4695</v>
      </c>
    </row>
    <row r="855" spans="8:8" x14ac:dyDescent="0.25">
      <c r="H855" t="s">
        <v>4696</v>
      </c>
    </row>
    <row r="856" spans="8:8" x14ac:dyDescent="0.25">
      <c r="H856" t="s">
        <v>4697</v>
      </c>
    </row>
    <row r="857" spans="8:8" x14ac:dyDescent="0.25">
      <c r="H857" t="s">
        <v>4698</v>
      </c>
    </row>
    <row r="858" spans="8:8" x14ac:dyDescent="0.25">
      <c r="H858" t="s">
        <v>4699</v>
      </c>
    </row>
    <row r="859" spans="8:8" x14ac:dyDescent="0.25">
      <c r="H859" t="s">
        <v>4700</v>
      </c>
    </row>
    <row r="860" spans="8:8" x14ac:dyDescent="0.25">
      <c r="H860" t="s">
        <v>4701</v>
      </c>
    </row>
    <row r="861" spans="8:8" x14ac:dyDescent="0.25">
      <c r="H861" t="s">
        <v>4702</v>
      </c>
    </row>
    <row r="862" spans="8:8" x14ac:dyDescent="0.25">
      <c r="H862" t="s">
        <v>4703</v>
      </c>
    </row>
    <row r="863" spans="8:8" x14ac:dyDescent="0.25">
      <c r="H863" t="s">
        <v>4704</v>
      </c>
    </row>
    <row r="864" spans="8:8" x14ac:dyDescent="0.25">
      <c r="H864" t="s">
        <v>4705</v>
      </c>
    </row>
    <row r="865" spans="8:8" x14ac:dyDescent="0.25">
      <c r="H865" t="s">
        <v>4706</v>
      </c>
    </row>
    <row r="866" spans="8:8" x14ac:dyDescent="0.25">
      <c r="H866" t="s">
        <v>4707</v>
      </c>
    </row>
    <row r="867" spans="8:8" x14ac:dyDescent="0.25">
      <c r="H867" t="s">
        <v>4708</v>
      </c>
    </row>
    <row r="868" spans="8:8" x14ac:dyDescent="0.25">
      <c r="H868" t="s">
        <v>4709</v>
      </c>
    </row>
    <row r="869" spans="8:8" x14ac:dyDescent="0.25">
      <c r="H869" t="s">
        <v>4710</v>
      </c>
    </row>
    <row r="870" spans="8:8" x14ac:dyDescent="0.25">
      <c r="H870" t="s">
        <v>4711</v>
      </c>
    </row>
    <row r="871" spans="8:8" x14ac:dyDescent="0.25">
      <c r="H871" t="s">
        <v>4712</v>
      </c>
    </row>
    <row r="872" spans="8:8" x14ac:dyDescent="0.25">
      <c r="H872" t="s">
        <v>4713</v>
      </c>
    </row>
    <row r="873" spans="8:8" x14ac:dyDescent="0.25">
      <c r="H873" t="s">
        <v>4714</v>
      </c>
    </row>
    <row r="874" spans="8:8" x14ac:dyDescent="0.25">
      <c r="H874" t="s">
        <v>4715</v>
      </c>
    </row>
    <row r="875" spans="8:8" x14ac:dyDescent="0.25">
      <c r="H875" t="s">
        <v>4716</v>
      </c>
    </row>
    <row r="876" spans="8:8" x14ac:dyDescent="0.25">
      <c r="H876" t="s">
        <v>4717</v>
      </c>
    </row>
    <row r="877" spans="8:8" x14ac:dyDescent="0.25">
      <c r="H877" t="s">
        <v>4718</v>
      </c>
    </row>
    <row r="878" spans="8:8" x14ac:dyDescent="0.25">
      <c r="H878" t="s">
        <v>4719</v>
      </c>
    </row>
    <row r="879" spans="8:8" x14ac:dyDescent="0.25">
      <c r="H879" t="s">
        <v>4720</v>
      </c>
    </row>
    <row r="880" spans="8:8" x14ac:dyDescent="0.25">
      <c r="H880" t="s">
        <v>4721</v>
      </c>
    </row>
    <row r="881" spans="8:8" x14ac:dyDescent="0.25">
      <c r="H881" t="s">
        <v>4722</v>
      </c>
    </row>
    <row r="882" spans="8:8" x14ac:dyDescent="0.25">
      <c r="H882" t="s">
        <v>4723</v>
      </c>
    </row>
    <row r="883" spans="8:8" x14ac:dyDescent="0.25">
      <c r="H883" t="s">
        <v>4724</v>
      </c>
    </row>
    <row r="884" spans="8:8" x14ac:dyDescent="0.25">
      <c r="H884" t="s">
        <v>4725</v>
      </c>
    </row>
    <row r="885" spans="8:8" x14ac:dyDescent="0.25">
      <c r="H885" t="s">
        <v>4726</v>
      </c>
    </row>
    <row r="886" spans="8:8" x14ac:dyDescent="0.25">
      <c r="H886" t="s">
        <v>4727</v>
      </c>
    </row>
    <row r="887" spans="8:8" x14ac:dyDescent="0.25">
      <c r="H887" t="s">
        <v>4728</v>
      </c>
    </row>
    <row r="888" spans="8:8" x14ac:dyDescent="0.25">
      <c r="H888" t="s">
        <v>4729</v>
      </c>
    </row>
    <row r="889" spans="8:8" x14ac:dyDescent="0.25">
      <c r="H889" t="s">
        <v>4730</v>
      </c>
    </row>
    <row r="890" spans="8:8" x14ac:dyDescent="0.25">
      <c r="H890" t="s">
        <v>4731</v>
      </c>
    </row>
    <row r="891" spans="8:8" x14ac:dyDescent="0.25">
      <c r="H891" t="s">
        <v>4732</v>
      </c>
    </row>
    <row r="892" spans="8:8" x14ac:dyDescent="0.25">
      <c r="H892" t="s">
        <v>4733</v>
      </c>
    </row>
    <row r="893" spans="8:8" x14ac:dyDescent="0.25">
      <c r="H893" t="s">
        <v>4734</v>
      </c>
    </row>
    <row r="894" spans="8:8" x14ac:dyDescent="0.25">
      <c r="H894" t="s">
        <v>4735</v>
      </c>
    </row>
    <row r="895" spans="8:8" x14ac:dyDescent="0.25">
      <c r="H895" t="s">
        <v>4736</v>
      </c>
    </row>
    <row r="896" spans="8:8" x14ac:dyDescent="0.25">
      <c r="H896" t="s">
        <v>4737</v>
      </c>
    </row>
    <row r="897" spans="8:8" x14ac:dyDescent="0.25">
      <c r="H897" t="s">
        <v>4738</v>
      </c>
    </row>
    <row r="898" spans="8:8" x14ac:dyDescent="0.25">
      <c r="H898" t="s">
        <v>4739</v>
      </c>
    </row>
    <row r="899" spans="8:8" x14ac:dyDescent="0.25">
      <c r="H899" t="s">
        <v>4740</v>
      </c>
    </row>
    <row r="900" spans="8:8" x14ac:dyDescent="0.25">
      <c r="H900" t="s">
        <v>4741</v>
      </c>
    </row>
    <row r="901" spans="8:8" x14ac:dyDescent="0.25">
      <c r="H901" t="s">
        <v>4742</v>
      </c>
    </row>
    <row r="902" spans="8:8" x14ac:dyDescent="0.25">
      <c r="H902" t="s">
        <v>4743</v>
      </c>
    </row>
    <row r="903" spans="8:8" x14ac:dyDescent="0.25">
      <c r="H903" t="s">
        <v>4744</v>
      </c>
    </row>
    <row r="904" spans="8:8" x14ac:dyDescent="0.25">
      <c r="H904" t="s">
        <v>4745</v>
      </c>
    </row>
    <row r="905" spans="8:8" x14ac:dyDescent="0.25">
      <c r="H905" t="s">
        <v>4746</v>
      </c>
    </row>
    <row r="906" spans="8:8" x14ac:dyDescent="0.25">
      <c r="H906" t="s">
        <v>4747</v>
      </c>
    </row>
    <row r="907" spans="8:8" x14ac:dyDescent="0.25">
      <c r="H907" t="s">
        <v>4748</v>
      </c>
    </row>
    <row r="908" spans="8:8" x14ac:dyDescent="0.25">
      <c r="H908" t="s">
        <v>4749</v>
      </c>
    </row>
    <row r="909" spans="8:8" x14ac:dyDescent="0.25">
      <c r="H909" t="s">
        <v>4750</v>
      </c>
    </row>
    <row r="910" spans="8:8" x14ac:dyDescent="0.25">
      <c r="H910" t="s">
        <v>4751</v>
      </c>
    </row>
    <row r="911" spans="8:8" x14ac:dyDescent="0.25">
      <c r="H911" t="s">
        <v>4752</v>
      </c>
    </row>
    <row r="912" spans="8:8" x14ac:dyDescent="0.25">
      <c r="H912" t="s">
        <v>4753</v>
      </c>
    </row>
    <row r="913" spans="8:8" x14ac:dyDescent="0.25">
      <c r="H913" t="s">
        <v>4754</v>
      </c>
    </row>
    <row r="914" spans="8:8" x14ac:dyDescent="0.25">
      <c r="H914" t="s">
        <v>4755</v>
      </c>
    </row>
    <row r="915" spans="8:8" x14ac:dyDescent="0.25">
      <c r="H915" t="s">
        <v>4756</v>
      </c>
    </row>
    <row r="916" spans="8:8" x14ac:dyDescent="0.25">
      <c r="H916" t="s">
        <v>4757</v>
      </c>
    </row>
    <row r="917" spans="8:8" x14ac:dyDescent="0.25">
      <c r="H917" t="s">
        <v>4758</v>
      </c>
    </row>
    <row r="918" spans="8:8" x14ac:dyDescent="0.25">
      <c r="H918" t="s">
        <v>4759</v>
      </c>
    </row>
    <row r="919" spans="8:8" x14ac:dyDescent="0.25">
      <c r="H919" t="s">
        <v>4760</v>
      </c>
    </row>
    <row r="920" spans="8:8" x14ac:dyDescent="0.25">
      <c r="H920" t="s">
        <v>4761</v>
      </c>
    </row>
    <row r="921" spans="8:8" x14ac:dyDescent="0.25">
      <c r="H921" t="s">
        <v>4762</v>
      </c>
    </row>
    <row r="922" spans="8:8" x14ac:dyDescent="0.25">
      <c r="H922" t="s">
        <v>4763</v>
      </c>
    </row>
    <row r="923" spans="8:8" x14ac:dyDescent="0.25">
      <c r="H923" t="s">
        <v>4764</v>
      </c>
    </row>
    <row r="924" spans="8:8" x14ac:dyDescent="0.25">
      <c r="H924" t="s">
        <v>4765</v>
      </c>
    </row>
    <row r="925" spans="8:8" x14ac:dyDescent="0.25">
      <c r="H925" t="s">
        <v>4766</v>
      </c>
    </row>
    <row r="926" spans="8:8" x14ac:dyDescent="0.25">
      <c r="H926" t="s">
        <v>4767</v>
      </c>
    </row>
    <row r="927" spans="8:8" x14ac:dyDescent="0.25">
      <c r="H927" t="s">
        <v>4768</v>
      </c>
    </row>
    <row r="928" spans="8:8" x14ac:dyDescent="0.25">
      <c r="H928" t="s">
        <v>4769</v>
      </c>
    </row>
    <row r="929" spans="8:8" x14ac:dyDescent="0.25">
      <c r="H929" t="s">
        <v>4770</v>
      </c>
    </row>
    <row r="930" spans="8:8" x14ac:dyDescent="0.25">
      <c r="H930" t="s">
        <v>4771</v>
      </c>
    </row>
    <row r="931" spans="8:8" x14ac:dyDescent="0.25">
      <c r="H931" t="s">
        <v>4772</v>
      </c>
    </row>
    <row r="932" spans="8:8" x14ac:dyDescent="0.25">
      <c r="H932" t="s">
        <v>4773</v>
      </c>
    </row>
    <row r="933" spans="8:8" x14ac:dyDescent="0.25">
      <c r="H933" t="s">
        <v>4774</v>
      </c>
    </row>
    <row r="934" spans="8:8" x14ac:dyDescent="0.25">
      <c r="H934" t="s">
        <v>4775</v>
      </c>
    </row>
    <row r="935" spans="8:8" x14ac:dyDescent="0.25">
      <c r="H935" t="s">
        <v>4776</v>
      </c>
    </row>
    <row r="936" spans="8:8" x14ac:dyDescent="0.25">
      <c r="H936" t="s">
        <v>4777</v>
      </c>
    </row>
    <row r="937" spans="8:8" x14ac:dyDescent="0.25">
      <c r="H937" t="s">
        <v>4778</v>
      </c>
    </row>
    <row r="938" spans="8:8" x14ac:dyDescent="0.25">
      <c r="H938" t="s">
        <v>4779</v>
      </c>
    </row>
    <row r="939" spans="8:8" x14ac:dyDescent="0.25">
      <c r="H939" t="s">
        <v>4780</v>
      </c>
    </row>
    <row r="940" spans="8:8" x14ac:dyDescent="0.25">
      <c r="H940" t="s">
        <v>4781</v>
      </c>
    </row>
    <row r="941" spans="8:8" x14ac:dyDescent="0.25">
      <c r="H941" t="s">
        <v>4782</v>
      </c>
    </row>
    <row r="942" spans="8:8" x14ac:dyDescent="0.25">
      <c r="H942" t="s">
        <v>4783</v>
      </c>
    </row>
    <row r="943" spans="8:8" x14ac:dyDescent="0.25">
      <c r="H943" t="s">
        <v>4784</v>
      </c>
    </row>
    <row r="944" spans="8:8" x14ac:dyDescent="0.25">
      <c r="H944" t="s">
        <v>4785</v>
      </c>
    </row>
    <row r="945" spans="8:8" x14ac:dyDescent="0.25">
      <c r="H945" t="s">
        <v>4786</v>
      </c>
    </row>
    <row r="946" spans="8:8" x14ac:dyDescent="0.25">
      <c r="H946" t="s">
        <v>4787</v>
      </c>
    </row>
    <row r="947" spans="8:8" x14ac:dyDescent="0.25">
      <c r="H947" t="s">
        <v>4788</v>
      </c>
    </row>
    <row r="948" spans="8:8" x14ac:dyDescent="0.25">
      <c r="H948" t="s">
        <v>4789</v>
      </c>
    </row>
    <row r="949" spans="8:8" x14ac:dyDescent="0.25">
      <c r="H949" t="s">
        <v>4790</v>
      </c>
    </row>
    <row r="950" spans="8:8" x14ac:dyDescent="0.25">
      <c r="H950" t="s">
        <v>4791</v>
      </c>
    </row>
    <row r="951" spans="8:8" x14ac:dyDescent="0.25">
      <c r="H951" t="s">
        <v>4792</v>
      </c>
    </row>
    <row r="952" spans="8:8" x14ac:dyDescent="0.25">
      <c r="H952" t="s">
        <v>4793</v>
      </c>
    </row>
    <row r="953" spans="8:8" x14ac:dyDescent="0.25">
      <c r="H953" t="s">
        <v>4794</v>
      </c>
    </row>
    <row r="954" spans="8:8" x14ac:dyDescent="0.25">
      <c r="H954" t="s">
        <v>4795</v>
      </c>
    </row>
    <row r="955" spans="8:8" x14ac:dyDescent="0.25">
      <c r="H955" t="s">
        <v>4796</v>
      </c>
    </row>
    <row r="956" spans="8:8" x14ac:dyDescent="0.25">
      <c r="H956" t="s">
        <v>4797</v>
      </c>
    </row>
    <row r="957" spans="8:8" x14ac:dyDescent="0.25">
      <c r="H957" t="s">
        <v>4798</v>
      </c>
    </row>
    <row r="958" spans="8:8" x14ac:dyDescent="0.25">
      <c r="H958" t="s">
        <v>4799</v>
      </c>
    </row>
    <row r="959" spans="8:8" x14ac:dyDescent="0.25">
      <c r="H959" t="s">
        <v>4800</v>
      </c>
    </row>
    <row r="960" spans="8:8" x14ac:dyDescent="0.25">
      <c r="H960" t="s">
        <v>4801</v>
      </c>
    </row>
    <row r="961" spans="8:8" x14ac:dyDescent="0.25">
      <c r="H961" t="s">
        <v>4802</v>
      </c>
    </row>
    <row r="962" spans="8:8" x14ac:dyDescent="0.25">
      <c r="H962" t="s">
        <v>4803</v>
      </c>
    </row>
    <row r="963" spans="8:8" x14ac:dyDescent="0.25">
      <c r="H963" t="s">
        <v>4804</v>
      </c>
    </row>
    <row r="964" spans="8:8" x14ac:dyDescent="0.25">
      <c r="H964" t="s">
        <v>4805</v>
      </c>
    </row>
    <row r="965" spans="8:8" x14ac:dyDescent="0.25">
      <c r="H965" t="s">
        <v>4806</v>
      </c>
    </row>
    <row r="966" spans="8:8" x14ac:dyDescent="0.25">
      <c r="H966" t="s">
        <v>4807</v>
      </c>
    </row>
    <row r="967" spans="8:8" x14ac:dyDescent="0.25">
      <c r="H967" t="s">
        <v>4808</v>
      </c>
    </row>
    <row r="968" spans="8:8" x14ac:dyDescent="0.25">
      <c r="H968" t="s">
        <v>4809</v>
      </c>
    </row>
    <row r="969" spans="8:8" x14ac:dyDescent="0.25">
      <c r="H969" t="s">
        <v>4810</v>
      </c>
    </row>
    <row r="970" spans="8:8" x14ac:dyDescent="0.25">
      <c r="H970" t="s">
        <v>4811</v>
      </c>
    </row>
    <row r="971" spans="8:8" x14ac:dyDescent="0.25">
      <c r="H971" t="s">
        <v>4812</v>
      </c>
    </row>
    <row r="972" spans="8:8" x14ac:dyDescent="0.25">
      <c r="H972" t="s">
        <v>4813</v>
      </c>
    </row>
    <row r="973" spans="8:8" x14ac:dyDescent="0.25">
      <c r="H973" t="s">
        <v>4814</v>
      </c>
    </row>
    <row r="974" spans="8:8" x14ac:dyDescent="0.25">
      <c r="H974" t="s">
        <v>4815</v>
      </c>
    </row>
    <row r="975" spans="8:8" x14ac:dyDescent="0.25">
      <c r="H975" t="s">
        <v>4816</v>
      </c>
    </row>
    <row r="976" spans="8:8" x14ac:dyDescent="0.25">
      <c r="H976" t="s">
        <v>4817</v>
      </c>
    </row>
    <row r="977" spans="8:8" x14ac:dyDescent="0.25">
      <c r="H977" t="s">
        <v>4818</v>
      </c>
    </row>
    <row r="978" spans="8:8" x14ac:dyDescent="0.25">
      <c r="H978" t="s">
        <v>4819</v>
      </c>
    </row>
    <row r="979" spans="8:8" x14ac:dyDescent="0.25">
      <c r="H979" t="s">
        <v>4820</v>
      </c>
    </row>
    <row r="980" spans="8:8" x14ac:dyDescent="0.25">
      <c r="H980" t="s">
        <v>4821</v>
      </c>
    </row>
    <row r="981" spans="8:8" x14ac:dyDescent="0.25">
      <c r="H981" t="s">
        <v>4822</v>
      </c>
    </row>
    <row r="982" spans="8:8" x14ac:dyDescent="0.25">
      <c r="H982" t="s">
        <v>4823</v>
      </c>
    </row>
    <row r="983" spans="8:8" x14ac:dyDescent="0.25">
      <c r="H983" t="s">
        <v>4824</v>
      </c>
    </row>
    <row r="984" spans="8:8" x14ac:dyDescent="0.25">
      <c r="H984" t="s">
        <v>4825</v>
      </c>
    </row>
    <row r="985" spans="8:8" x14ac:dyDescent="0.25">
      <c r="H985" t="s">
        <v>4826</v>
      </c>
    </row>
    <row r="986" spans="8:8" x14ac:dyDescent="0.25">
      <c r="H986" t="s">
        <v>4827</v>
      </c>
    </row>
    <row r="987" spans="8:8" x14ac:dyDescent="0.25">
      <c r="H987" t="s">
        <v>4828</v>
      </c>
    </row>
    <row r="988" spans="8:8" x14ac:dyDescent="0.25">
      <c r="H988" t="s">
        <v>4829</v>
      </c>
    </row>
    <row r="989" spans="8:8" x14ac:dyDescent="0.25">
      <c r="H989" t="s">
        <v>4830</v>
      </c>
    </row>
    <row r="990" spans="8:8" x14ac:dyDescent="0.25">
      <c r="H990" t="s">
        <v>4831</v>
      </c>
    </row>
    <row r="991" spans="8:8" x14ac:dyDescent="0.25">
      <c r="H991" t="s">
        <v>4832</v>
      </c>
    </row>
    <row r="992" spans="8:8" x14ac:dyDescent="0.25">
      <c r="H992" t="s">
        <v>4833</v>
      </c>
    </row>
    <row r="993" spans="8:8" x14ac:dyDescent="0.25">
      <c r="H993" t="s">
        <v>4834</v>
      </c>
    </row>
    <row r="994" spans="8:8" x14ac:dyDescent="0.25">
      <c r="H994" t="s">
        <v>4835</v>
      </c>
    </row>
    <row r="995" spans="8:8" x14ac:dyDescent="0.25">
      <c r="H995" t="s">
        <v>4836</v>
      </c>
    </row>
    <row r="996" spans="8:8" x14ac:dyDescent="0.25">
      <c r="H996" t="s">
        <v>4837</v>
      </c>
    </row>
    <row r="997" spans="8:8" x14ac:dyDescent="0.25">
      <c r="H997" t="s">
        <v>4838</v>
      </c>
    </row>
    <row r="998" spans="8:8" x14ac:dyDescent="0.25">
      <c r="H998" t="s">
        <v>4839</v>
      </c>
    </row>
    <row r="999" spans="8:8" x14ac:dyDescent="0.25">
      <c r="H999" t="s">
        <v>4840</v>
      </c>
    </row>
    <row r="1000" spans="8:8" x14ac:dyDescent="0.25">
      <c r="H1000" t="s">
        <v>4841</v>
      </c>
    </row>
    <row r="1001" spans="8:8" x14ac:dyDescent="0.25">
      <c r="H1001" t="s">
        <v>4842</v>
      </c>
    </row>
    <row r="1002" spans="8:8" x14ac:dyDescent="0.25">
      <c r="H1002" t="s">
        <v>4843</v>
      </c>
    </row>
    <row r="1003" spans="8:8" x14ac:dyDescent="0.25">
      <c r="H1003" t="s">
        <v>4844</v>
      </c>
    </row>
    <row r="1004" spans="8:8" x14ac:dyDescent="0.25">
      <c r="H1004" t="s">
        <v>4845</v>
      </c>
    </row>
    <row r="1005" spans="8:8" x14ac:dyDescent="0.25">
      <c r="H1005" t="s">
        <v>4846</v>
      </c>
    </row>
    <row r="1006" spans="8:8" x14ac:dyDescent="0.25">
      <c r="H1006" t="s">
        <v>4847</v>
      </c>
    </row>
    <row r="1007" spans="8:8" x14ac:dyDescent="0.25">
      <c r="H1007" t="s">
        <v>4848</v>
      </c>
    </row>
    <row r="1008" spans="8:8" x14ac:dyDescent="0.25">
      <c r="H1008" t="s">
        <v>4849</v>
      </c>
    </row>
    <row r="1009" spans="8:8" x14ac:dyDescent="0.25">
      <c r="H1009" t="s">
        <v>4850</v>
      </c>
    </row>
    <row r="1010" spans="8:8" x14ac:dyDescent="0.25">
      <c r="H1010" t="s">
        <v>4851</v>
      </c>
    </row>
    <row r="1011" spans="8:8" x14ac:dyDescent="0.25">
      <c r="H1011" t="s">
        <v>4852</v>
      </c>
    </row>
    <row r="1012" spans="8:8" x14ac:dyDescent="0.25">
      <c r="H1012" t="s">
        <v>4853</v>
      </c>
    </row>
    <row r="1013" spans="8:8" x14ac:dyDescent="0.25">
      <c r="H1013" t="s">
        <v>4854</v>
      </c>
    </row>
    <row r="1014" spans="8:8" x14ac:dyDescent="0.25">
      <c r="H1014" t="s">
        <v>4855</v>
      </c>
    </row>
    <row r="1015" spans="8:8" x14ac:dyDescent="0.25">
      <c r="H1015" t="s">
        <v>4856</v>
      </c>
    </row>
    <row r="1016" spans="8:8" x14ac:dyDescent="0.25">
      <c r="H1016" t="s">
        <v>4857</v>
      </c>
    </row>
    <row r="1017" spans="8:8" x14ac:dyDescent="0.25">
      <c r="H1017" t="s">
        <v>4858</v>
      </c>
    </row>
    <row r="1018" spans="8:8" x14ac:dyDescent="0.25">
      <c r="H1018" t="s">
        <v>4859</v>
      </c>
    </row>
    <row r="1019" spans="8:8" x14ac:dyDescent="0.25">
      <c r="H1019" t="s">
        <v>4860</v>
      </c>
    </row>
    <row r="1020" spans="8:8" x14ac:dyDescent="0.25">
      <c r="H1020" t="s">
        <v>4861</v>
      </c>
    </row>
    <row r="1021" spans="8:8" x14ac:dyDescent="0.25">
      <c r="H1021" t="s">
        <v>4862</v>
      </c>
    </row>
    <row r="1022" spans="8:8" x14ac:dyDescent="0.25">
      <c r="H1022" t="s">
        <v>4863</v>
      </c>
    </row>
    <row r="1023" spans="8:8" x14ac:dyDescent="0.25">
      <c r="H1023" t="s">
        <v>4864</v>
      </c>
    </row>
    <row r="1024" spans="8:8" x14ac:dyDescent="0.25">
      <c r="H1024" t="s">
        <v>4865</v>
      </c>
    </row>
    <row r="1025" spans="8:8" x14ac:dyDescent="0.25">
      <c r="H1025" t="s">
        <v>4866</v>
      </c>
    </row>
    <row r="1026" spans="8:8" x14ac:dyDescent="0.25">
      <c r="H1026" t="s">
        <v>4867</v>
      </c>
    </row>
    <row r="1027" spans="8:8" x14ac:dyDescent="0.25">
      <c r="H1027" t="s">
        <v>4868</v>
      </c>
    </row>
    <row r="1028" spans="8:8" x14ac:dyDescent="0.25">
      <c r="H1028" t="s">
        <v>4869</v>
      </c>
    </row>
    <row r="1029" spans="8:8" x14ac:dyDescent="0.25">
      <c r="H1029" t="s">
        <v>4870</v>
      </c>
    </row>
    <row r="1030" spans="8:8" x14ac:dyDescent="0.25">
      <c r="H1030" t="s">
        <v>4871</v>
      </c>
    </row>
    <row r="1031" spans="8:8" x14ac:dyDescent="0.25">
      <c r="H1031" t="s">
        <v>4872</v>
      </c>
    </row>
    <row r="1032" spans="8:8" x14ac:dyDescent="0.25">
      <c r="H1032" t="s">
        <v>4873</v>
      </c>
    </row>
    <row r="1033" spans="8:8" x14ac:dyDescent="0.25">
      <c r="H1033" t="s">
        <v>4874</v>
      </c>
    </row>
    <row r="1034" spans="8:8" x14ac:dyDescent="0.25">
      <c r="H1034" t="s">
        <v>4875</v>
      </c>
    </row>
    <row r="1035" spans="8:8" x14ac:dyDescent="0.25">
      <c r="H1035" t="s">
        <v>4876</v>
      </c>
    </row>
    <row r="1036" spans="8:8" x14ac:dyDescent="0.25">
      <c r="H1036" t="s">
        <v>4877</v>
      </c>
    </row>
    <row r="1037" spans="8:8" x14ac:dyDescent="0.25">
      <c r="H1037" t="s">
        <v>4878</v>
      </c>
    </row>
    <row r="1038" spans="8:8" x14ac:dyDescent="0.25">
      <c r="H1038" t="s">
        <v>4879</v>
      </c>
    </row>
    <row r="1039" spans="8:8" x14ac:dyDescent="0.25">
      <c r="H1039" t="s">
        <v>4880</v>
      </c>
    </row>
    <row r="1040" spans="8:8" x14ac:dyDescent="0.25">
      <c r="H1040" t="s">
        <v>4881</v>
      </c>
    </row>
    <row r="1041" spans="8:8" x14ac:dyDescent="0.25">
      <c r="H1041" t="s">
        <v>4882</v>
      </c>
    </row>
    <row r="1042" spans="8:8" x14ac:dyDescent="0.25">
      <c r="H1042" t="s">
        <v>4883</v>
      </c>
    </row>
    <row r="1043" spans="8:8" x14ac:dyDescent="0.25">
      <c r="H1043" t="s">
        <v>4884</v>
      </c>
    </row>
    <row r="1044" spans="8:8" x14ac:dyDescent="0.25">
      <c r="H1044" t="s">
        <v>4885</v>
      </c>
    </row>
    <row r="1045" spans="8:8" x14ac:dyDescent="0.25">
      <c r="H1045" t="s">
        <v>4886</v>
      </c>
    </row>
    <row r="1046" spans="8:8" x14ac:dyDescent="0.25">
      <c r="H1046" t="s">
        <v>4887</v>
      </c>
    </row>
    <row r="1047" spans="8:8" x14ac:dyDescent="0.25">
      <c r="H1047" t="s">
        <v>4888</v>
      </c>
    </row>
    <row r="1048" spans="8:8" x14ac:dyDescent="0.25">
      <c r="H1048" t="s">
        <v>4889</v>
      </c>
    </row>
    <row r="1049" spans="8:8" x14ac:dyDescent="0.25">
      <c r="H1049" t="s">
        <v>4890</v>
      </c>
    </row>
    <row r="1050" spans="8:8" x14ac:dyDescent="0.25">
      <c r="H1050" t="s">
        <v>4891</v>
      </c>
    </row>
    <row r="1051" spans="8:8" x14ac:dyDescent="0.25">
      <c r="H1051" t="s">
        <v>4892</v>
      </c>
    </row>
    <row r="1052" spans="8:8" x14ac:dyDescent="0.25">
      <c r="H1052" t="s">
        <v>4893</v>
      </c>
    </row>
    <row r="1053" spans="8:8" x14ac:dyDescent="0.25">
      <c r="H1053" t="s">
        <v>4894</v>
      </c>
    </row>
    <row r="1054" spans="8:8" x14ac:dyDescent="0.25">
      <c r="H1054" t="s">
        <v>4895</v>
      </c>
    </row>
    <row r="1055" spans="8:8" x14ac:dyDescent="0.25">
      <c r="H1055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87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4896</v>
      </c>
    </row>
    <row r="4" spans="2:8" x14ac:dyDescent="0.25">
      <c r="H4" t="s">
        <v>5293</v>
      </c>
    </row>
    <row r="5" spans="2:8" x14ac:dyDescent="0.25">
      <c r="B5" s="1"/>
      <c r="H5" t="s">
        <v>5294</v>
      </c>
    </row>
    <row r="6" spans="2:8" x14ac:dyDescent="0.25">
      <c r="H6" t="s">
        <v>5295</v>
      </c>
    </row>
    <row r="7" spans="2:8" x14ac:dyDescent="0.25">
      <c r="H7" t="s">
        <v>5296</v>
      </c>
    </row>
    <row r="8" spans="2:8" x14ac:dyDescent="0.25">
      <c r="B8" s="1"/>
      <c r="H8" t="s">
        <v>5297</v>
      </c>
    </row>
    <row r="9" spans="2:8" x14ac:dyDescent="0.25">
      <c r="H9" t="s">
        <v>5298</v>
      </c>
    </row>
    <row r="10" spans="2:8" x14ac:dyDescent="0.25">
      <c r="H10" t="s">
        <v>5299</v>
      </c>
    </row>
    <row r="11" spans="2:8" x14ac:dyDescent="0.25">
      <c r="B11" s="1"/>
      <c r="H11" t="s">
        <v>5300</v>
      </c>
    </row>
    <row r="12" spans="2:8" x14ac:dyDescent="0.25">
      <c r="H12" t="s">
        <v>5301</v>
      </c>
    </row>
    <row r="13" spans="2:8" x14ac:dyDescent="0.25">
      <c r="H13" t="s">
        <v>5302</v>
      </c>
    </row>
    <row r="14" spans="2:8" x14ac:dyDescent="0.25">
      <c r="B14" s="1"/>
      <c r="H14" t="s">
        <v>5303</v>
      </c>
    </row>
    <row r="15" spans="2:8" x14ac:dyDescent="0.25">
      <c r="H15" t="s">
        <v>5304</v>
      </c>
    </row>
    <row r="17" spans="2:8" x14ac:dyDescent="0.25">
      <c r="B17" s="1"/>
      <c r="H17" t="s">
        <v>5305</v>
      </c>
    </row>
    <row r="18" spans="2:8" x14ac:dyDescent="0.25">
      <c r="H18" t="s">
        <v>5306</v>
      </c>
    </row>
    <row r="19" spans="2:8" x14ac:dyDescent="0.25">
      <c r="H19" t="s">
        <v>5307</v>
      </c>
    </row>
    <row r="20" spans="2:8" x14ac:dyDescent="0.25">
      <c r="B20" s="1"/>
      <c r="H20" t="s">
        <v>5308</v>
      </c>
    </row>
    <row r="21" spans="2:8" x14ac:dyDescent="0.25">
      <c r="H21" t="s">
        <v>5309</v>
      </c>
    </row>
    <row r="22" spans="2:8" x14ac:dyDescent="0.25">
      <c r="H22" t="s">
        <v>5298</v>
      </c>
    </row>
    <row r="23" spans="2:8" x14ac:dyDescent="0.25">
      <c r="H23" t="s">
        <v>5310</v>
      </c>
    </row>
    <row r="24" spans="2:8" x14ac:dyDescent="0.25">
      <c r="H24" t="s">
        <v>5311</v>
      </c>
    </row>
    <row r="25" spans="2:8" x14ac:dyDescent="0.25">
      <c r="H25" t="s">
        <v>5312</v>
      </c>
    </row>
    <row r="26" spans="2:8" x14ac:dyDescent="0.25">
      <c r="H26" t="s">
        <v>5303</v>
      </c>
    </row>
    <row r="27" spans="2:8" x14ac:dyDescent="0.25">
      <c r="H27" t="s">
        <v>5313</v>
      </c>
    </row>
    <row r="29" spans="2:8" x14ac:dyDescent="0.25">
      <c r="H29" t="s">
        <v>5314</v>
      </c>
    </row>
    <row r="30" spans="2:8" x14ac:dyDescent="0.25">
      <c r="H30" t="s">
        <v>5315</v>
      </c>
    </row>
    <row r="31" spans="2:8" x14ac:dyDescent="0.25">
      <c r="H31" t="s">
        <v>5316</v>
      </c>
    </row>
    <row r="32" spans="2:8" x14ac:dyDescent="0.25">
      <c r="H32" t="s">
        <v>5317</v>
      </c>
    </row>
    <row r="34" spans="8:8" x14ac:dyDescent="0.25">
      <c r="H34" t="s">
        <v>5318</v>
      </c>
    </row>
    <row r="35" spans="8:8" x14ac:dyDescent="0.25">
      <c r="H35" t="s">
        <v>5319</v>
      </c>
    </row>
    <row r="36" spans="8:8" x14ac:dyDescent="0.25">
      <c r="H36" t="s">
        <v>5320</v>
      </c>
    </row>
    <row r="37" spans="8:8" x14ac:dyDescent="0.25">
      <c r="H37" t="s">
        <v>5307</v>
      </c>
    </row>
    <row r="38" spans="8:8" x14ac:dyDescent="0.25">
      <c r="H38" t="s">
        <v>5321</v>
      </c>
    </row>
    <row r="39" spans="8:8" x14ac:dyDescent="0.25">
      <c r="H39" t="s">
        <v>5322</v>
      </c>
    </row>
    <row r="40" spans="8:8" x14ac:dyDescent="0.25">
      <c r="H40" t="s">
        <v>5323</v>
      </c>
    </row>
    <row r="41" spans="8:8" x14ac:dyDescent="0.25">
      <c r="H41" t="s">
        <v>5324</v>
      </c>
    </row>
    <row r="42" spans="8:8" x14ac:dyDescent="0.25">
      <c r="H42" t="s">
        <v>5325</v>
      </c>
    </row>
    <row r="43" spans="8:8" x14ac:dyDescent="0.25">
      <c r="H43" t="s">
        <v>5326</v>
      </c>
    </row>
    <row r="44" spans="8:8" x14ac:dyDescent="0.25">
      <c r="H44" t="s">
        <v>5327</v>
      </c>
    </row>
    <row r="45" spans="8:8" x14ac:dyDescent="0.25">
      <c r="H45" t="s">
        <v>5328</v>
      </c>
    </row>
    <row r="46" spans="8:8" x14ac:dyDescent="0.25">
      <c r="H46" t="s">
        <v>5329</v>
      </c>
    </row>
    <row r="47" spans="8:8" x14ac:dyDescent="0.25">
      <c r="H47" t="s">
        <v>5330</v>
      </c>
    </row>
    <row r="48" spans="8:8" x14ac:dyDescent="0.25">
      <c r="H48" t="s">
        <v>5331</v>
      </c>
    </row>
    <row r="49" spans="8:8" x14ac:dyDescent="0.25">
      <c r="H49" t="s">
        <v>5332</v>
      </c>
    </row>
    <row r="50" spans="8:8" x14ac:dyDescent="0.25">
      <c r="H50" t="s">
        <v>5333</v>
      </c>
    </row>
    <row r="51" spans="8:8" x14ac:dyDescent="0.25">
      <c r="H51" t="s">
        <v>5334</v>
      </c>
    </row>
    <row r="52" spans="8:8" x14ac:dyDescent="0.25">
      <c r="H52" t="s">
        <v>5335</v>
      </c>
    </row>
    <row r="53" spans="8:8" x14ac:dyDescent="0.25">
      <c r="H53" t="s">
        <v>5336</v>
      </c>
    </row>
    <row r="54" spans="8:8" x14ac:dyDescent="0.25">
      <c r="H54" t="s">
        <v>5337</v>
      </c>
    </row>
    <row r="55" spans="8:8" x14ac:dyDescent="0.25">
      <c r="H55" t="s">
        <v>5338</v>
      </c>
    </row>
    <row r="56" spans="8:8" x14ac:dyDescent="0.25">
      <c r="H56" t="s">
        <v>5339</v>
      </c>
    </row>
    <row r="57" spans="8:8" x14ac:dyDescent="0.25">
      <c r="H57" t="s">
        <v>5340</v>
      </c>
    </row>
    <row r="58" spans="8:8" x14ac:dyDescent="0.25">
      <c r="H58" t="s">
        <v>5341</v>
      </c>
    </row>
    <row r="59" spans="8:8" x14ac:dyDescent="0.25">
      <c r="H59" t="s">
        <v>5342</v>
      </c>
    </row>
    <row r="60" spans="8:8" x14ac:dyDescent="0.25">
      <c r="H60" t="s">
        <v>5343</v>
      </c>
    </row>
    <row r="62" spans="8:8" x14ac:dyDescent="0.25">
      <c r="H62" t="s">
        <v>5344</v>
      </c>
    </row>
    <row r="63" spans="8:8" x14ac:dyDescent="0.25">
      <c r="H63" t="s">
        <v>5345</v>
      </c>
    </row>
    <row r="64" spans="8:8" x14ac:dyDescent="0.25">
      <c r="H64" t="s">
        <v>5346</v>
      </c>
    </row>
    <row r="65" spans="8:8" x14ac:dyDescent="0.25">
      <c r="H65" t="s">
        <v>5347</v>
      </c>
    </row>
    <row r="66" spans="8:8" x14ac:dyDescent="0.25">
      <c r="H66" t="s">
        <v>5348</v>
      </c>
    </row>
    <row r="67" spans="8:8" x14ac:dyDescent="0.25">
      <c r="H67" t="s">
        <v>5349</v>
      </c>
    </row>
    <row r="68" spans="8:8" x14ac:dyDescent="0.25">
      <c r="H68" t="s">
        <v>5350</v>
      </c>
    </row>
    <row r="70" spans="8:8" x14ac:dyDescent="0.25">
      <c r="H70" t="s">
        <v>5351</v>
      </c>
    </row>
    <row r="71" spans="8:8" x14ac:dyDescent="0.25">
      <c r="H71" t="s">
        <v>5352</v>
      </c>
    </row>
    <row r="72" spans="8:8" x14ac:dyDescent="0.25">
      <c r="H72" t="s">
        <v>5353</v>
      </c>
    </row>
    <row r="73" spans="8:8" x14ac:dyDescent="0.25">
      <c r="H73" t="s">
        <v>5354</v>
      </c>
    </row>
    <row r="74" spans="8:8" x14ac:dyDescent="0.25">
      <c r="H74" t="s">
        <v>5355</v>
      </c>
    </row>
    <row r="75" spans="8:8" x14ac:dyDescent="0.25">
      <c r="H75" t="s">
        <v>5348</v>
      </c>
    </row>
    <row r="76" spans="8:8" x14ac:dyDescent="0.25">
      <c r="H76" t="s">
        <v>5356</v>
      </c>
    </row>
    <row r="77" spans="8:8" x14ac:dyDescent="0.25">
      <c r="H77" t="s">
        <v>5357</v>
      </c>
    </row>
    <row r="78" spans="8:8" x14ac:dyDescent="0.25">
      <c r="H78" t="s">
        <v>5358</v>
      </c>
    </row>
    <row r="79" spans="8:8" x14ac:dyDescent="0.25">
      <c r="H79" t="s">
        <v>5359</v>
      </c>
    </row>
    <row r="80" spans="8:8" x14ac:dyDescent="0.25">
      <c r="H80" t="s">
        <v>5360</v>
      </c>
    </row>
    <row r="81" spans="8:8" x14ac:dyDescent="0.25">
      <c r="H81" t="s">
        <v>5361</v>
      </c>
    </row>
    <row r="83" spans="8:8" x14ac:dyDescent="0.25">
      <c r="H83" t="s">
        <v>5362</v>
      </c>
    </row>
    <row r="84" spans="8:8" x14ac:dyDescent="0.25">
      <c r="H84" t="s">
        <v>5363</v>
      </c>
    </row>
    <row r="85" spans="8:8" x14ac:dyDescent="0.25">
      <c r="H85" t="s">
        <v>5307</v>
      </c>
    </row>
    <row r="86" spans="8:8" x14ac:dyDescent="0.25">
      <c r="H86" t="s">
        <v>5364</v>
      </c>
    </row>
    <row r="87" spans="8:8" x14ac:dyDescent="0.25">
      <c r="H87" t="s">
        <v>5298</v>
      </c>
    </row>
    <row r="88" spans="8:8" x14ac:dyDescent="0.25">
      <c r="H88" t="s">
        <v>5365</v>
      </c>
    </row>
    <row r="89" spans="8:8" x14ac:dyDescent="0.25">
      <c r="H89" t="s">
        <v>5366</v>
      </c>
    </row>
    <row r="91" spans="8:8" x14ac:dyDescent="0.25">
      <c r="H91" t="s">
        <v>5367</v>
      </c>
    </row>
    <row r="92" spans="8:8" x14ac:dyDescent="0.25">
      <c r="H92" t="s">
        <v>5368</v>
      </c>
    </row>
    <row r="93" spans="8:8" x14ac:dyDescent="0.25">
      <c r="H93" t="s">
        <v>5307</v>
      </c>
    </row>
    <row r="94" spans="8:8" x14ac:dyDescent="0.25">
      <c r="H94" t="s">
        <v>5369</v>
      </c>
    </row>
    <row r="95" spans="8:8" x14ac:dyDescent="0.25">
      <c r="H95" t="s">
        <v>5370</v>
      </c>
    </row>
    <row r="96" spans="8:8" x14ac:dyDescent="0.25">
      <c r="H96" t="s">
        <v>5371</v>
      </c>
    </row>
    <row r="98" spans="8:8" x14ac:dyDescent="0.25">
      <c r="H98" t="s">
        <v>5372</v>
      </c>
    </row>
    <row r="99" spans="8:8" x14ac:dyDescent="0.25">
      <c r="H99" t="s">
        <v>5373</v>
      </c>
    </row>
    <row r="100" spans="8:8" x14ac:dyDescent="0.25">
      <c r="H100" t="s">
        <v>5374</v>
      </c>
    </row>
    <row r="101" spans="8:8" x14ac:dyDescent="0.25">
      <c r="H101" t="s">
        <v>5375</v>
      </c>
    </row>
    <row r="103" spans="8:8" x14ac:dyDescent="0.25">
      <c r="H103" t="s">
        <v>5376</v>
      </c>
    </row>
    <row r="104" spans="8:8" x14ac:dyDescent="0.25">
      <c r="H104" t="s">
        <v>5377</v>
      </c>
    </row>
    <row r="105" spans="8:8" x14ac:dyDescent="0.25">
      <c r="H105" t="s">
        <v>5378</v>
      </c>
    </row>
    <row r="106" spans="8:8" x14ac:dyDescent="0.25">
      <c r="H106" t="s">
        <v>5379</v>
      </c>
    </row>
    <row r="107" spans="8:8" x14ac:dyDescent="0.25">
      <c r="H107" t="s">
        <v>5380</v>
      </c>
    </row>
    <row r="108" spans="8:8" x14ac:dyDescent="0.25">
      <c r="H108" t="s">
        <v>5381</v>
      </c>
    </row>
    <row r="109" spans="8:8" x14ac:dyDescent="0.25">
      <c r="H109" t="s">
        <v>5382</v>
      </c>
    </row>
    <row r="111" spans="8:8" x14ac:dyDescent="0.25">
      <c r="H111" t="s">
        <v>5383</v>
      </c>
    </row>
    <row r="112" spans="8:8" x14ac:dyDescent="0.25">
      <c r="H112" t="s">
        <v>5384</v>
      </c>
    </row>
    <row r="113" spans="8:8" x14ac:dyDescent="0.25">
      <c r="H113" t="s">
        <v>5385</v>
      </c>
    </row>
    <row r="114" spans="8:8" x14ac:dyDescent="0.25">
      <c r="H114" t="s">
        <v>5386</v>
      </c>
    </row>
    <row r="115" spans="8:8" x14ac:dyDescent="0.25">
      <c r="H115" t="s">
        <v>5387</v>
      </c>
    </row>
    <row r="116" spans="8:8" x14ac:dyDescent="0.25">
      <c r="H116" t="s">
        <v>5388</v>
      </c>
    </row>
    <row r="117" spans="8:8" x14ac:dyDescent="0.25">
      <c r="H117" t="s">
        <v>5389</v>
      </c>
    </row>
    <row r="119" spans="8:8" x14ac:dyDescent="0.25">
      <c r="H119" t="s">
        <v>5390</v>
      </c>
    </row>
    <row r="120" spans="8:8" x14ac:dyDescent="0.25">
      <c r="H120" t="s">
        <v>5391</v>
      </c>
    </row>
    <row r="121" spans="8:8" x14ac:dyDescent="0.25">
      <c r="H121" t="s">
        <v>5392</v>
      </c>
    </row>
    <row r="122" spans="8:8" x14ac:dyDescent="0.25">
      <c r="H122" t="s">
        <v>5393</v>
      </c>
    </row>
    <row r="123" spans="8:8" x14ac:dyDescent="0.25">
      <c r="H123" t="s">
        <v>5394</v>
      </c>
    </row>
    <row r="125" spans="8:8" x14ac:dyDescent="0.25">
      <c r="H125" t="s">
        <v>5395</v>
      </c>
    </row>
    <row r="126" spans="8:8" x14ac:dyDescent="0.25">
      <c r="H126" t="s">
        <v>5396</v>
      </c>
    </row>
    <row r="127" spans="8:8" x14ac:dyDescent="0.25">
      <c r="H127" t="s">
        <v>5294</v>
      </c>
    </row>
    <row r="128" spans="8:8" x14ac:dyDescent="0.25">
      <c r="H128" t="s">
        <v>5397</v>
      </c>
    </row>
    <row r="129" spans="8:8" x14ac:dyDescent="0.25">
      <c r="H129" t="s">
        <v>5398</v>
      </c>
    </row>
    <row r="130" spans="8:8" x14ac:dyDescent="0.25">
      <c r="H130" t="s">
        <v>5399</v>
      </c>
    </row>
    <row r="131" spans="8:8" x14ac:dyDescent="0.25">
      <c r="H131" t="s">
        <v>5400</v>
      </c>
    </row>
    <row r="132" spans="8:8" x14ac:dyDescent="0.25">
      <c r="H132" t="s">
        <v>5401</v>
      </c>
    </row>
    <row r="133" spans="8:8" x14ac:dyDescent="0.25">
      <c r="H133" t="s">
        <v>5402</v>
      </c>
    </row>
    <row r="134" spans="8:8" x14ac:dyDescent="0.25">
      <c r="H134" t="s">
        <v>5327</v>
      </c>
    </row>
    <row r="135" spans="8:8" x14ac:dyDescent="0.25">
      <c r="H135" t="s">
        <v>5403</v>
      </c>
    </row>
    <row r="136" spans="8:8" x14ac:dyDescent="0.25">
      <c r="H136" t="s">
        <v>5404</v>
      </c>
    </row>
    <row r="137" spans="8:8" x14ac:dyDescent="0.25">
      <c r="H137" t="s">
        <v>5405</v>
      </c>
    </row>
    <row r="138" spans="8:8" x14ac:dyDescent="0.25">
      <c r="H138" t="s">
        <v>5406</v>
      </c>
    </row>
    <row r="139" spans="8:8" x14ac:dyDescent="0.25">
      <c r="H139" t="s">
        <v>5407</v>
      </c>
    </row>
    <row r="140" spans="8:8" x14ac:dyDescent="0.25">
      <c r="H140" t="s">
        <v>5408</v>
      </c>
    </row>
    <row r="141" spans="8:8" x14ac:dyDescent="0.25">
      <c r="H141" t="s">
        <v>5409</v>
      </c>
    </row>
    <row r="142" spans="8:8" x14ac:dyDescent="0.25">
      <c r="H142" t="s">
        <v>5410</v>
      </c>
    </row>
    <row r="144" spans="8:8" x14ac:dyDescent="0.25">
      <c r="H144" t="s">
        <v>5411</v>
      </c>
    </row>
    <row r="145" spans="8:8" x14ac:dyDescent="0.25">
      <c r="H145" t="s">
        <v>5412</v>
      </c>
    </row>
    <row r="146" spans="8:8" x14ac:dyDescent="0.25">
      <c r="H146" t="s">
        <v>5413</v>
      </c>
    </row>
    <row r="147" spans="8:8" x14ac:dyDescent="0.25">
      <c r="H147" t="s">
        <v>5414</v>
      </c>
    </row>
    <row r="148" spans="8:8" x14ac:dyDescent="0.25">
      <c r="H148" t="s">
        <v>5415</v>
      </c>
    </row>
    <row r="149" spans="8:8" x14ac:dyDescent="0.25">
      <c r="H149" t="s">
        <v>5416</v>
      </c>
    </row>
    <row r="150" spans="8:8" x14ac:dyDescent="0.25">
      <c r="H150" t="s">
        <v>5417</v>
      </c>
    </row>
    <row r="151" spans="8:8" x14ac:dyDescent="0.25">
      <c r="H151" t="s">
        <v>5418</v>
      </c>
    </row>
    <row r="152" spans="8:8" x14ac:dyDescent="0.25">
      <c r="H152" t="s">
        <v>5419</v>
      </c>
    </row>
    <row r="153" spans="8:8" x14ac:dyDescent="0.25">
      <c r="H153" t="s">
        <v>5420</v>
      </c>
    </row>
    <row r="154" spans="8:8" x14ac:dyDescent="0.25">
      <c r="H154" t="s">
        <v>5421</v>
      </c>
    </row>
    <row r="155" spans="8:8" x14ac:dyDescent="0.25">
      <c r="H155" t="s">
        <v>5422</v>
      </c>
    </row>
    <row r="156" spans="8:8" x14ac:dyDescent="0.25">
      <c r="H156" t="s">
        <v>5423</v>
      </c>
    </row>
    <row r="157" spans="8:8" x14ac:dyDescent="0.25">
      <c r="H157" t="s">
        <v>5424</v>
      </c>
    </row>
    <row r="158" spans="8:8" x14ac:dyDescent="0.25">
      <c r="H158" t="s">
        <v>5425</v>
      </c>
    </row>
    <row r="159" spans="8:8" x14ac:dyDescent="0.25">
      <c r="H159" t="s">
        <v>5426</v>
      </c>
    </row>
    <row r="160" spans="8:8" x14ac:dyDescent="0.25">
      <c r="H160" t="s">
        <v>5427</v>
      </c>
    </row>
    <row r="161" spans="8:8" x14ac:dyDescent="0.25">
      <c r="H161" t="s">
        <v>5428</v>
      </c>
    </row>
    <row r="162" spans="8:8" x14ac:dyDescent="0.25">
      <c r="H162" t="s">
        <v>5307</v>
      </c>
    </row>
    <row r="163" spans="8:8" x14ac:dyDescent="0.25">
      <c r="H163" t="s">
        <v>5429</v>
      </c>
    </row>
    <row r="164" spans="8:8" x14ac:dyDescent="0.25">
      <c r="H164" t="s">
        <v>5430</v>
      </c>
    </row>
    <row r="165" spans="8:8" x14ac:dyDescent="0.25">
      <c r="H165" t="s">
        <v>5431</v>
      </c>
    </row>
    <row r="166" spans="8:8" x14ac:dyDescent="0.25">
      <c r="H166" t="s">
        <v>5432</v>
      </c>
    </row>
    <row r="167" spans="8:8" x14ac:dyDescent="0.25">
      <c r="H167" t="s">
        <v>5327</v>
      </c>
    </row>
    <row r="168" spans="8:8" x14ac:dyDescent="0.25">
      <c r="H168" t="s">
        <v>5433</v>
      </c>
    </row>
    <row r="169" spans="8:8" x14ac:dyDescent="0.25">
      <c r="H169" t="s">
        <v>5434</v>
      </c>
    </row>
    <row r="170" spans="8:8" x14ac:dyDescent="0.25">
      <c r="H170" t="s">
        <v>5435</v>
      </c>
    </row>
    <row r="171" spans="8:8" x14ac:dyDescent="0.25">
      <c r="H171" t="s">
        <v>5436</v>
      </c>
    </row>
    <row r="172" spans="8:8" x14ac:dyDescent="0.25">
      <c r="H172" t="s">
        <v>5437</v>
      </c>
    </row>
    <row r="173" spans="8:8" x14ac:dyDescent="0.25">
      <c r="H173" t="s">
        <v>5438</v>
      </c>
    </row>
    <row r="174" spans="8:8" x14ac:dyDescent="0.25">
      <c r="H174" t="s">
        <v>5439</v>
      </c>
    </row>
    <row r="175" spans="8:8" x14ac:dyDescent="0.25">
      <c r="H175" t="s">
        <v>5440</v>
      </c>
    </row>
    <row r="176" spans="8:8" x14ac:dyDescent="0.25">
      <c r="H176" t="s">
        <v>5441</v>
      </c>
    </row>
    <row r="177" spans="8:8" x14ac:dyDescent="0.25">
      <c r="H177" t="s">
        <v>5442</v>
      </c>
    </row>
    <row r="179" spans="8:8" x14ac:dyDescent="0.25">
      <c r="H179" t="s">
        <v>5443</v>
      </c>
    </row>
    <row r="180" spans="8:8" x14ac:dyDescent="0.25">
      <c r="H180" t="s">
        <v>5444</v>
      </c>
    </row>
    <row r="181" spans="8:8" x14ac:dyDescent="0.25">
      <c r="H181" t="s">
        <v>5445</v>
      </c>
    </row>
    <row r="182" spans="8:8" x14ac:dyDescent="0.25">
      <c r="H182" t="s">
        <v>5446</v>
      </c>
    </row>
    <row r="183" spans="8:8" x14ac:dyDescent="0.25">
      <c r="H183" t="s">
        <v>5447</v>
      </c>
    </row>
    <row r="184" spans="8:8" x14ac:dyDescent="0.25">
      <c r="H184" t="s">
        <v>5448</v>
      </c>
    </row>
    <row r="185" spans="8:8" x14ac:dyDescent="0.25">
      <c r="H185" t="s">
        <v>5449</v>
      </c>
    </row>
    <row r="186" spans="8:8" x14ac:dyDescent="0.25">
      <c r="H186" t="s">
        <v>5450</v>
      </c>
    </row>
    <row r="187" spans="8:8" x14ac:dyDescent="0.25">
      <c r="H187" t="s">
        <v>5451</v>
      </c>
    </row>
    <row r="188" spans="8:8" x14ac:dyDescent="0.25">
      <c r="H188" t="s">
        <v>5452</v>
      </c>
    </row>
    <row r="189" spans="8:8" x14ac:dyDescent="0.25">
      <c r="H189" t="s">
        <v>5374</v>
      </c>
    </row>
    <row r="190" spans="8:8" x14ac:dyDescent="0.25">
      <c r="H190" t="s">
        <v>5453</v>
      </c>
    </row>
    <row r="192" spans="8:8" x14ac:dyDescent="0.25">
      <c r="H192" t="s">
        <v>5454</v>
      </c>
    </row>
    <row r="193" spans="8:8" x14ac:dyDescent="0.25">
      <c r="H193" t="s">
        <v>5455</v>
      </c>
    </row>
    <row r="194" spans="8:8" x14ac:dyDescent="0.25">
      <c r="H194" t="s">
        <v>5294</v>
      </c>
    </row>
    <row r="195" spans="8:8" x14ac:dyDescent="0.25">
      <c r="H195" t="s">
        <v>5397</v>
      </c>
    </row>
    <row r="196" spans="8:8" x14ac:dyDescent="0.25">
      <c r="H196" t="s">
        <v>5398</v>
      </c>
    </row>
    <row r="197" spans="8:8" x14ac:dyDescent="0.25">
      <c r="H197" t="s">
        <v>5399</v>
      </c>
    </row>
    <row r="198" spans="8:8" x14ac:dyDescent="0.25">
      <c r="H198" t="s">
        <v>5400</v>
      </c>
    </row>
    <row r="199" spans="8:8" x14ac:dyDescent="0.25">
      <c r="H199" t="s">
        <v>5401</v>
      </c>
    </row>
    <row r="200" spans="8:8" x14ac:dyDescent="0.25">
      <c r="H200" t="s">
        <v>5402</v>
      </c>
    </row>
    <row r="201" spans="8:8" x14ac:dyDescent="0.25">
      <c r="H201" t="s">
        <v>5327</v>
      </c>
    </row>
    <row r="202" spans="8:8" x14ac:dyDescent="0.25">
      <c r="H202" t="s">
        <v>5403</v>
      </c>
    </row>
    <row r="203" spans="8:8" x14ac:dyDescent="0.25">
      <c r="H203" t="s">
        <v>5404</v>
      </c>
    </row>
    <row r="204" spans="8:8" x14ac:dyDescent="0.25">
      <c r="H204" t="s">
        <v>5405</v>
      </c>
    </row>
    <row r="205" spans="8:8" x14ac:dyDescent="0.25">
      <c r="H205" t="s">
        <v>5406</v>
      </c>
    </row>
    <row r="206" spans="8:8" x14ac:dyDescent="0.25">
      <c r="H206" t="s">
        <v>5407</v>
      </c>
    </row>
    <row r="207" spans="8:8" x14ac:dyDescent="0.25">
      <c r="H207" t="s">
        <v>5408</v>
      </c>
    </row>
    <row r="208" spans="8:8" x14ac:dyDescent="0.25">
      <c r="H208" t="s">
        <v>5409</v>
      </c>
    </row>
    <row r="209" spans="8:8" x14ac:dyDescent="0.25">
      <c r="H209" t="s">
        <v>5456</v>
      </c>
    </row>
    <row r="211" spans="8:8" x14ac:dyDescent="0.25">
      <c r="H211" t="s">
        <v>5457</v>
      </c>
    </row>
    <row r="212" spans="8:8" x14ac:dyDescent="0.25">
      <c r="H212" t="s">
        <v>5458</v>
      </c>
    </row>
    <row r="213" spans="8:8" x14ac:dyDescent="0.25">
      <c r="H213" t="s">
        <v>5413</v>
      </c>
    </row>
    <row r="214" spans="8:8" x14ac:dyDescent="0.25">
      <c r="H214" t="s">
        <v>5414</v>
      </c>
    </row>
    <row r="215" spans="8:8" x14ac:dyDescent="0.25">
      <c r="H215" t="s">
        <v>5415</v>
      </c>
    </row>
    <row r="216" spans="8:8" x14ac:dyDescent="0.25">
      <c r="H216" t="s">
        <v>5416</v>
      </c>
    </row>
    <row r="217" spans="8:8" x14ac:dyDescent="0.25">
      <c r="H217" t="s">
        <v>5417</v>
      </c>
    </row>
    <row r="218" spans="8:8" x14ac:dyDescent="0.25">
      <c r="H218" t="s">
        <v>5418</v>
      </c>
    </row>
    <row r="219" spans="8:8" x14ac:dyDescent="0.25">
      <c r="H219" t="s">
        <v>5419</v>
      </c>
    </row>
    <row r="220" spans="8:8" x14ac:dyDescent="0.25">
      <c r="H220" t="s">
        <v>5420</v>
      </c>
    </row>
    <row r="221" spans="8:8" x14ac:dyDescent="0.25">
      <c r="H221" t="s">
        <v>5421</v>
      </c>
    </row>
    <row r="222" spans="8:8" x14ac:dyDescent="0.25">
      <c r="H222" t="s">
        <v>5422</v>
      </c>
    </row>
    <row r="223" spans="8:8" x14ac:dyDescent="0.25">
      <c r="H223" t="s">
        <v>5423</v>
      </c>
    </row>
    <row r="224" spans="8:8" x14ac:dyDescent="0.25">
      <c r="H224" t="s">
        <v>5424</v>
      </c>
    </row>
    <row r="225" spans="8:8" x14ac:dyDescent="0.25">
      <c r="H225" t="s">
        <v>5425</v>
      </c>
    </row>
    <row r="226" spans="8:8" x14ac:dyDescent="0.25">
      <c r="H226" t="s">
        <v>5426</v>
      </c>
    </row>
    <row r="227" spans="8:8" x14ac:dyDescent="0.25">
      <c r="H227" t="s">
        <v>5427</v>
      </c>
    </row>
    <row r="228" spans="8:8" x14ac:dyDescent="0.25">
      <c r="H228" t="s">
        <v>5428</v>
      </c>
    </row>
    <row r="229" spans="8:8" x14ac:dyDescent="0.25">
      <c r="H229" t="s">
        <v>5307</v>
      </c>
    </row>
    <row r="230" spans="8:8" x14ac:dyDescent="0.25">
      <c r="H230" t="s">
        <v>5429</v>
      </c>
    </row>
    <row r="231" spans="8:8" x14ac:dyDescent="0.25">
      <c r="H231" t="s">
        <v>5430</v>
      </c>
    </row>
    <row r="232" spans="8:8" x14ac:dyDescent="0.25">
      <c r="H232" t="s">
        <v>5431</v>
      </c>
    </row>
    <row r="233" spans="8:8" x14ac:dyDescent="0.25">
      <c r="H233" t="s">
        <v>5432</v>
      </c>
    </row>
    <row r="234" spans="8:8" x14ac:dyDescent="0.25">
      <c r="H234" t="s">
        <v>5327</v>
      </c>
    </row>
    <row r="235" spans="8:8" x14ac:dyDescent="0.25">
      <c r="H235" t="s">
        <v>5433</v>
      </c>
    </row>
    <row r="236" spans="8:8" x14ac:dyDescent="0.25">
      <c r="H236" t="s">
        <v>5434</v>
      </c>
    </row>
    <row r="237" spans="8:8" x14ac:dyDescent="0.25">
      <c r="H237" t="s">
        <v>5435</v>
      </c>
    </row>
    <row r="238" spans="8:8" x14ac:dyDescent="0.25">
      <c r="H238" t="s">
        <v>5436</v>
      </c>
    </row>
    <row r="239" spans="8:8" x14ac:dyDescent="0.25">
      <c r="H239" t="s">
        <v>5437</v>
      </c>
    </row>
    <row r="240" spans="8:8" x14ac:dyDescent="0.25">
      <c r="H240" t="s">
        <v>5438</v>
      </c>
    </row>
    <row r="241" spans="8:8" x14ac:dyDescent="0.25">
      <c r="H241" t="s">
        <v>5439</v>
      </c>
    </row>
    <row r="242" spans="8:8" x14ac:dyDescent="0.25">
      <c r="H242" t="s">
        <v>5440</v>
      </c>
    </row>
    <row r="243" spans="8:8" x14ac:dyDescent="0.25">
      <c r="H243" t="s">
        <v>5441</v>
      </c>
    </row>
    <row r="244" spans="8:8" x14ac:dyDescent="0.25">
      <c r="H244" t="s">
        <v>5459</v>
      </c>
    </row>
    <row r="246" spans="8:8" x14ac:dyDescent="0.25">
      <c r="H246" t="s">
        <v>5460</v>
      </c>
    </row>
    <row r="247" spans="8:8" x14ac:dyDescent="0.25">
      <c r="H247" t="s">
        <v>5461</v>
      </c>
    </row>
    <row r="248" spans="8:8" x14ac:dyDescent="0.25">
      <c r="H248" t="s">
        <v>5445</v>
      </c>
    </row>
    <row r="249" spans="8:8" x14ac:dyDescent="0.25">
      <c r="H249" t="s">
        <v>5446</v>
      </c>
    </row>
    <row r="250" spans="8:8" x14ac:dyDescent="0.25">
      <c r="H250" t="s">
        <v>5447</v>
      </c>
    </row>
    <row r="251" spans="8:8" x14ac:dyDescent="0.25">
      <c r="H251" t="s">
        <v>5448</v>
      </c>
    </row>
    <row r="252" spans="8:8" x14ac:dyDescent="0.25">
      <c r="H252" t="s">
        <v>5449</v>
      </c>
    </row>
    <row r="253" spans="8:8" x14ac:dyDescent="0.25">
      <c r="H253" t="s">
        <v>5450</v>
      </c>
    </row>
    <row r="254" spans="8:8" x14ac:dyDescent="0.25">
      <c r="H254" t="s">
        <v>5451</v>
      </c>
    </row>
    <row r="255" spans="8:8" x14ac:dyDescent="0.25">
      <c r="H255" t="s">
        <v>5452</v>
      </c>
    </row>
    <row r="256" spans="8:8" x14ac:dyDescent="0.25">
      <c r="H256" t="s">
        <v>5374</v>
      </c>
    </row>
    <row r="257" spans="8:8" x14ac:dyDescent="0.25">
      <c r="H257" t="s">
        <v>5462</v>
      </c>
    </row>
    <row r="259" spans="8:8" x14ac:dyDescent="0.25">
      <c r="H259" t="s">
        <v>5463</v>
      </c>
    </row>
    <row r="260" spans="8:8" x14ac:dyDescent="0.25">
      <c r="H260" t="s">
        <v>5464</v>
      </c>
    </row>
    <row r="261" spans="8:8" x14ac:dyDescent="0.25">
      <c r="H261" t="s">
        <v>5374</v>
      </c>
    </row>
    <row r="262" spans="8:8" x14ac:dyDescent="0.25">
      <c r="H262" t="s">
        <v>5465</v>
      </c>
    </row>
    <row r="264" spans="8:8" x14ac:dyDescent="0.25">
      <c r="H264" t="s">
        <v>5466</v>
      </c>
    </row>
    <row r="265" spans="8:8" x14ac:dyDescent="0.25">
      <c r="H265" t="s">
        <v>5467</v>
      </c>
    </row>
    <row r="266" spans="8:8" x14ac:dyDescent="0.25">
      <c r="H266" t="s">
        <v>5374</v>
      </c>
    </row>
    <row r="267" spans="8:8" x14ac:dyDescent="0.25">
      <c r="H267" t="s">
        <v>5468</v>
      </c>
    </row>
    <row r="269" spans="8:8" x14ac:dyDescent="0.25">
      <c r="H269" t="s">
        <v>5469</v>
      </c>
    </row>
    <row r="270" spans="8:8" x14ac:dyDescent="0.25">
      <c r="H270" t="s">
        <v>5470</v>
      </c>
    </row>
    <row r="271" spans="8:8" x14ac:dyDescent="0.25">
      <c r="H271" t="s">
        <v>5307</v>
      </c>
    </row>
    <row r="272" spans="8:8" x14ac:dyDescent="0.25">
      <c r="H272" t="s">
        <v>5471</v>
      </c>
    </row>
    <row r="273" spans="8:8" x14ac:dyDescent="0.25">
      <c r="H273" t="s">
        <v>5472</v>
      </c>
    </row>
    <row r="274" spans="8:8" x14ac:dyDescent="0.25">
      <c r="H274" t="s">
        <v>5473</v>
      </c>
    </row>
    <row r="275" spans="8:8" x14ac:dyDescent="0.25">
      <c r="H275" t="s">
        <v>5474</v>
      </c>
    </row>
    <row r="276" spans="8:8" x14ac:dyDescent="0.25">
      <c r="H276" t="s">
        <v>5475</v>
      </c>
    </row>
    <row r="277" spans="8:8" x14ac:dyDescent="0.25">
      <c r="H277" t="s">
        <v>5476</v>
      </c>
    </row>
    <row r="278" spans="8:8" x14ac:dyDescent="0.25">
      <c r="H278" t="s">
        <v>5477</v>
      </c>
    </row>
    <row r="279" spans="8:8" x14ac:dyDescent="0.25">
      <c r="H279" t="s">
        <v>5478</v>
      </c>
    </row>
    <row r="280" spans="8:8" x14ac:dyDescent="0.25">
      <c r="H280" t="s">
        <v>5479</v>
      </c>
    </row>
    <row r="281" spans="8:8" x14ac:dyDescent="0.25">
      <c r="H281" t="s">
        <v>5480</v>
      </c>
    </row>
    <row r="282" spans="8:8" x14ac:dyDescent="0.25">
      <c r="H282" t="s">
        <v>5481</v>
      </c>
    </row>
    <row r="283" spans="8:8" x14ac:dyDescent="0.25">
      <c r="H283" t="s">
        <v>5482</v>
      </c>
    </row>
    <row r="284" spans="8:8" x14ac:dyDescent="0.25">
      <c r="H284" t="s">
        <v>5483</v>
      </c>
    </row>
    <row r="285" spans="8:8" x14ac:dyDescent="0.25">
      <c r="H285" t="s">
        <v>5484</v>
      </c>
    </row>
    <row r="286" spans="8:8" x14ac:dyDescent="0.25">
      <c r="H286" t="s">
        <v>5485</v>
      </c>
    </row>
    <row r="287" spans="8:8" x14ac:dyDescent="0.25">
      <c r="H287" t="s">
        <v>5486</v>
      </c>
    </row>
    <row r="288" spans="8:8" x14ac:dyDescent="0.25">
      <c r="H288" t="s">
        <v>5487</v>
      </c>
    </row>
    <row r="289" spans="8:8" x14ac:dyDescent="0.25">
      <c r="H289" t="s">
        <v>5488</v>
      </c>
    </row>
    <row r="290" spans="8:8" x14ac:dyDescent="0.25">
      <c r="H290" t="s">
        <v>5489</v>
      </c>
    </row>
    <row r="291" spans="8:8" x14ac:dyDescent="0.25">
      <c r="H291" t="s">
        <v>5490</v>
      </c>
    </row>
    <row r="292" spans="8:8" x14ac:dyDescent="0.25">
      <c r="H292" t="s">
        <v>5491</v>
      </c>
    </row>
    <row r="293" spans="8:8" x14ac:dyDescent="0.25">
      <c r="H293" t="s">
        <v>5492</v>
      </c>
    </row>
    <row r="294" spans="8:8" x14ac:dyDescent="0.25">
      <c r="H294" t="s">
        <v>5327</v>
      </c>
    </row>
    <row r="295" spans="8:8" x14ac:dyDescent="0.25">
      <c r="H295" t="s">
        <v>5493</v>
      </c>
    </row>
    <row r="296" spans="8:8" x14ac:dyDescent="0.25">
      <c r="H296" t="s">
        <v>5494</v>
      </c>
    </row>
    <row r="298" spans="8:8" x14ac:dyDescent="0.25">
      <c r="H298" t="s">
        <v>5495</v>
      </c>
    </row>
    <row r="299" spans="8:8" x14ac:dyDescent="0.25">
      <c r="H299" t="s">
        <v>5496</v>
      </c>
    </row>
    <row r="300" spans="8:8" x14ac:dyDescent="0.25">
      <c r="H300" t="s">
        <v>5497</v>
      </c>
    </row>
    <row r="301" spans="8:8" x14ac:dyDescent="0.25">
      <c r="H301" t="s">
        <v>5498</v>
      </c>
    </row>
    <row r="302" spans="8:8" x14ac:dyDescent="0.25">
      <c r="H302" t="s">
        <v>5499</v>
      </c>
    </row>
    <row r="303" spans="8:8" x14ac:dyDescent="0.25">
      <c r="H303" t="s">
        <v>5500</v>
      </c>
    </row>
    <row r="304" spans="8:8" x14ac:dyDescent="0.25">
      <c r="H304" t="s">
        <v>5501</v>
      </c>
    </row>
    <row r="306" spans="8:8" x14ac:dyDescent="0.25">
      <c r="H306" t="s">
        <v>5502</v>
      </c>
    </row>
    <row r="307" spans="8:8" x14ac:dyDescent="0.25">
      <c r="H307" t="s">
        <v>5503</v>
      </c>
    </row>
    <row r="308" spans="8:8" x14ac:dyDescent="0.25">
      <c r="H308" t="s">
        <v>5504</v>
      </c>
    </row>
    <row r="309" spans="8:8" x14ac:dyDescent="0.25">
      <c r="H309" t="s">
        <v>5505</v>
      </c>
    </row>
    <row r="310" spans="8:8" x14ac:dyDescent="0.25">
      <c r="H310" t="s">
        <v>5506</v>
      </c>
    </row>
    <row r="311" spans="8:8" x14ac:dyDescent="0.25">
      <c r="H311" t="s">
        <v>5507</v>
      </c>
    </row>
    <row r="312" spans="8:8" x14ac:dyDescent="0.25">
      <c r="H312" t="s">
        <v>5508</v>
      </c>
    </row>
    <row r="314" spans="8:8" x14ac:dyDescent="0.25">
      <c r="H314" t="s">
        <v>5509</v>
      </c>
    </row>
    <row r="315" spans="8:8" x14ac:dyDescent="0.25">
      <c r="H315" t="s">
        <v>5510</v>
      </c>
    </row>
    <row r="316" spans="8:8" x14ac:dyDescent="0.25">
      <c r="H316" t="s">
        <v>5511</v>
      </c>
    </row>
    <row r="317" spans="8:8" x14ac:dyDescent="0.25">
      <c r="H317" t="s">
        <v>5512</v>
      </c>
    </row>
    <row r="318" spans="8:8" x14ac:dyDescent="0.25">
      <c r="H318" t="s">
        <v>5513</v>
      </c>
    </row>
    <row r="319" spans="8:8" x14ac:dyDescent="0.25">
      <c r="H319" t="s">
        <v>5514</v>
      </c>
    </row>
    <row r="320" spans="8:8" x14ac:dyDescent="0.25">
      <c r="H320" t="s">
        <v>5515</v>
      </c>
    </row>
    <row r="322" spans="8:8" x14ac:dyDescent="0.25">
      <c r="H322" t="s">
        <v>5516</v>
      </c>
    </row>
    <row r="323" spans="8:8" x14ac:dyDescent="0.25">
      <c r="H323" t="s">
        <v>5517</v>
      </c>
    </row>
    <row r="324" spans="8:8" x14ac:dyDescent="0.25">
      <c r="H324" t="s">
        <v>5518</v>
      </c>
    </row>
    <row r="325" spans="8:8" x14ac:dyDescent="0.25">
      <c r="H325" t="s">
        <v>5519</v>
      </c>
    </row>
    <row r="326" spans="8:8" x14ac:dyDescent="0.25">
      <c r="H326" t="s">
        <v>5520</v>
      </c>
    </row>
    <row r="327" spans="8:8" x14ac:dyDescent="0.25">
      <c r="H327" t="s">
        <v>5521</v>
      </c>
    </row>
    <row r="328" spans="8:8" x14ac:dyDescent="0.25">
      <c r="H328" t="s">
        <v>5522</v>
      </c>
    </row>
    <row r="329" spans="8:8" x14ac:dyDescent="0.25">
      <c r="H329" t="s">
        <v>5523</v>
      </c>
    </row>
    <row r="331" spans="8:8" x14ac:dyDescent="0.25">
      <c r="H331" t="s">
        <v>5524</v>
      </c>
    </row>
    <row r="332" spans="8:8" x14ac:dyDescent="0.25">
      <c r="H332" t="s">
        <v>5525</v>
      </c>
    </row>
    <row r="333" spans="8:8" x14ac:dyDescent="0.25">
      <c r="H333" t="s">
        <v>5526</v>
      </c>
    </row>
    <row r="334" spans="8:8" x14ac:dyDescent="0.25">
      <c r="H334" t="s">
        <v>5294</v>
      </c>
    </row>
    <row r="335" spans="8:8" x14ac:dyDescent="0.25">
      <c r="H335" t="s">
        <v>5527</v>
      </c>
    </row>
    <row r="336" spans="8:8" x14ac:dyDescent="0.25">
      <c r="H336" t="s">
        <v>5370</v>
      </c>
    </row>
    <row r="337" spans="8:8" x14ac:dyDescent="0.25">
      <c r="H337" t="s">
        <v>5528</v>
      </c>
    </row>
    <row r="339" spans="8:8" x14ac:dyDescent="0.25">
      <c r="H339" t="s">
        <v>5529</v>
      </c>
    </row>
    <row r="340" spans="8:8" x14ac:dyDescent="0.25">
      <c r="H340" t="s">
        <v>5530</v>
      </c>
    </row>
    <row r="341" spans="8:8" x14ac:dyDescent="0.25">
      <c r="H341" t="s">
        <v>5374</v>
      </c>
    </row>
    <row r="342" spans="8:8" x14ac:dyDescent="0.25">
      <c r="H342" t="s">
        <v>5531</v>
      </c>
    </row>
    <row r="344" spans="8:8" x14ac:dyDescent="0.25">
      <c r="H344" t="s">
        <v>5532</v>
      </c>
    </row>
    <row r="345" spans="8:8" x14ac:dyDescent="0.25">
      <c r="H345" t="s">
        <v>5533</v>
      </c>
    </row>
    <row r="346" spans="8:8" x14ac:dyDescent="0.25">
      <c r="H346" t="s">
        <v>5374</v>
      </c>
    </row>
    <row r="347" spans="8:8" x14ac:dyDescent="0.25">
      <c r="H347" t="s">
        <v>5534</v>
      </c>
    </row>
    <row r="349" spans="8:8" x14ac:dyDescent="0.25">
      <c r="H349" t="s">
        <v>5535</v>
      </c>
    </row>
    <row r="350" spans="8:8" x14ac:dyDescent="0.25">
      <c r="H350" t="s">
        <v>5536</v>
      </c>
    </row>
    <row r="351" spans="8:8" x14ac:dyDescent="0.25">
      <c r="H351" t="s">
        <v>5307</v>
      </c>
    </row>
    <row r="352" spans="8:8" x14ac:dyDescent="0.25">
      <c r="H352" t="s">
        <v>5537</v>
      </c>
    </row>
    <row r="353" spans="8:8" x14ac:dyDescent="0.25">
      <c r="H353" t="s">
        <v>5538</v>
      </c>
    </row>
    <row r="354" spans="8:8" x14ac:dyDescent="0.25">
      <c r="H354" t="s">
        <v>5327</v>
      </c>
    </row>
    <row r="355" spans="8:8" x14ac:dyDescent="0.25">
      <c r="H355" t="s">
        <v>5539</v>
      </c>
    </row>
    <row r="356" spans="8:8" x14ac:dyDescent="0.25">
      <c r="H356" t="s">
        <v>5540</v>
      </c>
    </row>
    <row r="358" spans="8:8" x14ac:dyDescent="0.25">
      <c r="H358" t="s">
        <v>5541</v>
      </c>
    </row>
    <row r="359" spans="8:8" x14ac:dyDescent="0.25">
      <c r="H359" t="s">
        <v>5542</v>
      </c>
    </row>
    <row r="360" spans="8:8" x14ac:dyDescent="0.25">
      <c r="H360" t="s">
        <v>5543</v>
      </c>
    </row>
    <row r="361" spans="8:8" x14ac:dyDescent="0.25">
      <c r="H361" t="s">
        <v>5294</v>
      </c>
    </row>
    <row r="362" spans="8:8" x14ac:dyDescent="0.25">
      <c r="H362" t="s">
        <v>5544</v>
      </c>
    </row>
    <row r="363" spans="8:8" x14ac:dyDescent="0.25">
      <c r="H363" t="s">
        <v>5545</v>
      </c>
    </row>
    <row r="364" spans="8:8" x14ac:dyDescent="0.25">
      <c r="H364" t="s">
        <v>5327</v>
      </c>
    </row>
    <row r="365" spans="8:8" x14ac:dyDescent="0.25">
      <c r="H365" t="s">
        <v>5546</v>
      </c>
    </row>
    <row r="366" spans="8:8" x14ac:dyDescent="0.25">
      <c r="H366" t="s">
        <v>5547</v>
      </c>
    </row>
    <row r="368" spans="8:8" x14ac:dyDescent="0.25">
      <c r="H368" t="s">
        <v>5548</v>
      </c>
    </row>
    <row r="369" spans="8:8" x14ac:dyDescent="0.25">
      <c r="H369" t="s">
        <v>5549</v>
      </c>
    </row>
    <row r="370" spans="8:8" x14ac:dyDescent="0.25">
      <c r="H370" t="s">
        <v>5550</v>
      </c>
    </row>
    <row r="371" spans="8:8" x14ac:dyDescent="0.25">
      <c r="H371" t="s">
        <v>5521</v>
      </c>
    </row>
    <row r="372" spans="8:8" x14ac:dyDescent="0.25">
      <c r="H372" t="s">
        <v>5551</v>
      </c>
    </row>
    <row r="373" spans="8:8" x14ac:dyDescent="0.25">
      <c r="H373" t="s">
        <v>5552</v>
      </c>
    </row>
    <row r="374" spans="8:8" x14ac:dyDescent="0.25">
      <c r="H374" t="s">
        <v>5553</v>
      </c>
    </row>
    <row r="376" spans="8:8" x14ac:dyDescent="0.25">
      <c r="H376" t="s">
        <v>5554</v>
      </c>
    </row>
    <row r="377" spans="8:8" x14ac:dyDescent="0.25">
      <c r="H377" t="s">
        <v>5555</v>
      </c>
    </row>
    <row r="378" spans="8:8" x14ac:dyDescent="0.25">
      <c r="H378" t="s">
        <v>5556</v>
      </c>
    </row>
    <row r="379" spans="8:8" x14ac:dyDescent="0.25">
      <c r="H379" t="s">
        <v>5557</v>
      </c>
    </row>
    <row r="380" spans="8:8" x14ac:dyDescent="0.25">
      <c r="H380" t="s">
        <v>5521</v>
      </c>
    </row>
    <row r="381" spans="8:8" x14ac:dyDescent="0.25">
      <c r="H381" t="s">
        <v>5558</v>
      </c>
    </row>
    <row r="382" spans="8:8" x14ac:dyDescent="0.25">
      <c r="H382" t="s">
        <v>5559</v>
      </c>
    </row>
    <row r="384" spans="8:8" x14ac:dyDescent="0.25">
      <c r="H384" t="s">
        <v>5560</v>
      </c>
    </row>
    <row r="385" spans="8:8" x14ac:dyDescent="0.25">
      <c r="H385" t="s">
        <v>5561</v>
      </c>
    </row>
    <row r="386" spans="8:8" x14ac:dyDescent="0.25">
      <c r="H386" t="s">
        <v>5307</v>
      </c>
    </row>
    <row r="387" spans="8:8" x14ac:dyDescent="0.25">
      <c r="H387" t="s">
        <v>5562</v>
      </c>
    </row>
    <row r="388" spans="8:8" x14ac:dyDescent="0.25">
      <c r="H388" t="s">
        <v>5298</v>
      </c>
    </row>
    <row r="389" spans="8:8" x14ac:dyDescent="0.25">
      <c r="H389" t="s">
        <v>5563</v>
      </c>
    </row>
    <row r="390" spans="8:8" x14ac:dyDescent="0.25">
      <c r="H390" t="s">
        <v>5564</v>
      </c>
    </row>
    <row r="392" spans="8:8" x14ac:dyDescent="0.25">
      <c r="H392" t="s">
        <v>5565</v>
      </c>
    </row>
    <row r="393" spans="8:8" x14ac:dyDescent="0.25">
      <c r="H393" t="s">
        <v>5566</v>
      </c>
    </row>
    <row r="394" spans="8:8" x14ac:dyDescent="0.25">
      <c r="H394" t="s">
        <v>5307</v>
      </c>
    </row>
    <row r="395" spans="8:8" x14ac:dyDescent="0.25">
      <c r="H395" t="s">
        <v>5567</v>
      </c>
    </row>
    <row r="396" spans="8:8" x14ac:dyDescent="0.25">
      <c r="H396" t="s">
        <v>5298</v>
      </c>
    </row>
    <row r="397" spans="8:8" x14ac:dyDescent="0.25">
      <c r="H397" t="s">
        <v>5568</v>
      </c>
    </row>
    <row r="398" spans="8:8" x14ac:dyDescent="0.25">
      <c r="H398" t="s">
        <v>5303</v>
      </c>
    </row>
    <row r="399" spans="8:8" x14ac:dyDescent="0.25">
      <c r="H399" t="s">
        <v>5569</v>
      </c>
    </row>
    <row r="401" spans="8:8" x14ac:dyDescent="0.25">
      <c r="H401" t="s">
        <v>5570</v>
      </c>
    </row>
    <row r="402" spans="8:8" x14ac:dyDescent="0.25">
      <c r="H402" t="s">
        <v>5571</v>
      </c>
    </row>
    <row r="403" spans="8:8" x14ac:dyDescent="0.25">
      <c r="H403" t="s">
        <v>5572</v>
      </c>
    </row>
    <row r="404" spans="8:8" x14ac:dyDescent="0.25">
      <c r="H404" t="s">
        <v>5573</v>
      </c>
    </row>
    <row r="405" spans="8:8" x14ac:dyDescent="0.25">
      <c r="H405" t="s">
        <v>5574</v>
      </c>
    </row>
    <row r="406" spans="8:8" x14ac:dyDescent="0.25">
      <c r="H406" t="s">
        <v>5575</v>
      </c>
    </row>
    <row r="407" spans="8:8" x14ac:dyDescent="0.25">
      <c r="H407" t="s">
        <v>5576</v>
      </c>
    </row>
    <row r="408" spans="8:8" x14ac:dyDescent="0.25">
      <c r="H408" t="s">
        <v>5577</v>
      </c>
    </row>
    <row r="409" spans="8:8" x14ac:dyDescent="0.25">
      <c r="H409" t="s">
        <v>5578</v>
      </c>
    </row>
    <row r="410" spans="8:8" x14ac:dyDescent="0.25">
      <c r="H410" t="s">
        <v>5579</v>
      </c>
    </row>
    <row r="411" spans="8:8" x14ac:dyDescent="0.25">
      <c r="H411" t="s">
        <v>5580</v>
      </c>
    </row>
    <row r="412" spans="8:8" x14ac:dyDescent="0.25">
      <c r="H412" t="s">
        <v>5581</v>
      </c>
    </row>
    <row r="413" spans="8:8" x14ac:dyDescent="0.25">
      <c r="H413" t="s">
        <v>5582</v>
      </c>
    </row>
    <row r="414" spans="8:8" x14ac:dyDescent="0.25">
      <c r="H414" t="s">
        <v>5301</v>
      </c>
    </row>
    <row r="415" spans="8:8" x14ac:dyDescent="0.25">
      <c r="H415" t="s">
        <v>5300</v>
      </c>
    </row>
    <row r="416" spans="8:8" x14ac:dyDescent="0.25">
      <c r="H416" t="s">
        <v>5583</v>
      </c>
    </row>
    <row r="417" spans="8:8" x14ac:dyDescent="0.25">
      <c r="H417" t="s">
        <v>5584</v>
      </c>
    </row>
    <row r="418" spans="8:8" x14ac:dyDescent="0.25">
      <c r="H418" t="s">
        <v>5585</v>
      </c>
    </row>
    <row r="420" spans="8:8" x14ac:dyDescent="0.25">
      <c r="H420" t="s">
        <v>5586</v>
      </c>
    </row>
    <row r="421" spans="8:8" x14ac:dyDescent="0.25">
      <c r="H421" t="s">
        <v>5587</v>
      </c>
    </row>
    <row r="422" spans="8:8" x14ac:dyDescent="0.25">
      <c r="H422" t="s">
        <v>5588</v>
      </c>
    </row>
    <row r="423" spans="8:8" x14ac:dyDescent="0.25">
      <c r="H423" t="s">
        <v>5589</v>
      </c>
    </row>
    <row r="425" spans="8:8" x14ac:dyDescent="0.25">
      <c r="H425" t="s">
        <v>5590</v>
      </c>
    </row>
    <row r="426" spans="8:8" x14ac:dyDescent="0.25">
      <c r="H426" t="s">
        <v>5591</v>
      </c>
    </row>
    <row r="427" spans="8:8" x14ac:dyDescent="0.25">
      <c r="H427" t="s">
        <v>5592</v>
      </c>
    </row>
    <row r="428" spans="8:8" x14ac:dyDescent="0.25">
      <c r="H428" t="s">
        <v>5593</v>
      </c>
    </row>
    <row r="430" spans="8:8" x14ac:dyDescent="0.25">
      <c r="H430" t="s">
        <v>5594</v>
      </c>
    </row>
    <row r="431" spans="8:8" x14ac:dyDescent="0.25">
      <c r="H431" t="s">
        <v>5595</v>
      </c>
    </row>
    <row r="432" spans="8:8" x14ac:dyDescent="0.25">
      <c r="H432" t="s">
        <v>5596</v>
      </c>
    </row>
    <row r="433" spans="8:8" x14ac:dyDescent="0.25">
      <c r="H433" t="s">
        <v>5597</v>
      </c>
    </row>
    <row r="434" spans="8:8" x14ac:dyDescent="0.25">
      <c r="H434" t="s">
        <v>5598</v>
      </c>
    </row>
    <row r="435" spans="8:8" x14ac:dyDescent="0.25">
      <c r="H435" t="s">
        <v>5599</v>
      </c>
    </row>
    <row r="436" spans="8:8" x14ac:dyDescent="0.25">
      <c r="H436" t="s">
        <v>5600</v>
      </c>
    </row>
    <row r="437" spans="8:8" x14ac:dyDescent="0.25">
      <c r="H437" t="s">
        <v>5601</v>
      </c>
    </row>
    <row r="439" spans="8:8" x14ac:dyDescent="0.25">
      <c r="H439" t="s">
        <v>5602</v>
      </c>
    </row>
    <row r="440" spans="8:8" x14ac:dyDescent="0.25">
      <c r="H440" t="s">
        <v>5603</v>
      </c>
    </row>
    <row r="441" spans="8:8" x14ac:dyDescent="0.25">
      <c r="H441" t="s">
        <v>5596</v>
      </c>
    </row>
    <row r="442" spans="8:8" x14ac:dyDescent="0.25">
      <c r="H442" t="s">
        <v>5597</v>
      </c>
    </row>
    <row r="443" spans="8:8" x14ac:dyDescent="0.25">
      <c r="H443" t="s">
        <v>5598</v>
      </c>
    </row>
    <row r="444" spans="8:8" x14ac:dyDescent="0.25">
      <c r="H444" t="s">
        <v>5599</v>
      </c>
    </row>
    <row r="445" spans="8:8" x14ac:dyDescent="0.25">
      <c r="H445" t="s">
        <v>5604</v>
      </c>
    </row>
    <row r="446" spans="8:8" x14ac:dyDescent="0.25">
      <c r="H446" t="s">
        <v>5605</v>
      </c>
    </row>
    <row r="448" spans="8:8" x14ac:dyDescent="0.25">
      <c r="H448" t="s">
        <v>5606</v>
      </c>
    </row>
    <row r="449" spans="8:8" x14ac:dyDescent="0.25">
      <c r="H449" t="s">
        <v>5607</v>
      </c>
    </row>
    <row r="450" spans="8:8" x14ac:dyDescent="0.25">
      <c r="H450" t="s">
        <v>5596</v>
      </c>
    </row>
    <row r="451" spans="8:8" x14ac:dyDescent="0.25">
      <c r="H451" t="s">
        <v>5597</v>
      </c>
    </row>
    <row r="452" spans="8:8" x14ac:dyDescent="0.25">
      <c r="H452" t="s">
        <v>5598</v>
      </c>
    </row>
    <row r="453" spans="8:8" x14ac:dyDescent="0.25">
      <c r="H453" t="s">
        <v>5599</v>
      </c>
    </row>
    <row r="454" spans="8:8" x14ac:dyDescent="0.25">
      <c r="H454" t="s">
        <v>5608</v>
      </c>
    </row>
    <row r="455" spans="8:8" x14ac:dyDescent="0.25">
      <c r="H455" t="s">
        <v>5609</v>
      </c>
    </row>
    <row r="457" spans="8:8" x14ac:dyDescent="0.25">
      <c r="H457" t="s">
        <v>5610</v>
      </c>
    </row>
    <row r="458" spans="8:8" x14ac:dyDescent="0.25">
      <c r="H458" t="s">
        <v>5611</v>
      </c>
    </row>
    <row r="459" spans="8:8" x14ac:dyDescent="0.25">
      <c r="H459" t="s">
        <v>5596</v>
      </c>
    </row>
    <row r="460" spans="8:8" x14ac:dyDescent="0.25">
      <c r="H460" t="s">
        <v>5597</v>
      </c>
    </row>
    <row r="461" spans="8:8" x14ac:dyDescent="0.25">
      <c r="H461" t="s">
        <v>5598</v>
      </c>
    </row>
    <row r="462" spans="8:8" x14ac:dyDescent="0.25">
      <c r="H462" t="s">
        <v>5599</v>
      </c>
    </row>
    <row r="463" spans="8:8" x14ac:dyDescent="0.25">
      <c r="H463" t="s">
        <v>5612</v>
      </c>
    </row>
    <row r="464" spans="8:8" x14ac:dyDescent="0.25">
      <c r="H464" t="s">
        <v>5613</v>
      </c>
    </row>
    <row r="466" spans="8:8" x14ac:dyDescent="0.25">
      <c r="H466" t="s">
        <v>5614</v>
      </c>
    </row>
    <row r="467" spans="8:8" x14ac:dyDescent="0.25">
      <c r="H467" t="s">
        <v>5615</v>
      </c>
    </row>
    <row r="468" spans="8:8" x14ac:dyDescent="0.25">
      <c r="H468" t="s">
        <v>5596</v>
      </c>
    </row>
    <row r="469" spans="8:8" x14ac:dyDescent="0.25">
      <c r="H469" t="s">
        <v>5597</v>
      </c>
    </row>
    <row r="470" spans="8:8" x14ac:dyDescent="0.25">
      <c r="H470" t="s">
        <v>5598</v>
      </c>
    </row>
    <row r="471" spans="8:8" x14ac:dyDescent="0.25">
      <c r="H471" t="s">
        <v>5599</v>
      </c>
    </row>
    <row r="472" spans="8:8" x14ac:dyDescent="0.25">
      <c r="H472" t="s">
        <v>5616</v>
      </c>
    </row>
    <row r="473" spans="8:8" x14ac:dyDescent="0.25">
      <c r="H473" t="s">
        <v>5617</v>
      </c>
    </row>
    <row r="475" spans="8:8" x14ac:dyDescent="0.25">
      <c r="H475" t="s">
        <v>5618</v>
      </c>
    </row>
    <row r="476" spans="8:8" x14ac:dyDescent="0.25">
      <c r="H476" t="s">
        <v>5619</v>
      </c>
    </row>
    <row r="477" spans="8:8" x14ac:dyDescent="0.25">
      <c r="H477" t="s">
        <v>5596</v>
      </c>
    </row>
    <row r="478" spans="8:8" x14ac:dyDescent="0.25">
      <c r="H478" t="s">
        <v>5597</v>
      </c>
    </row>
    <row r="479" spans="8:8" x14ac:dyDescent="0.25">
      <c r="H479" t="s">
        <v>5598</v>
      </c>
    </row>
    <row r="480" spans="8:8" x14ac:dyDescent="0.25">
      <c r="H480" t="s">
        <v>5599</v>
      </c>
    </row>
    <row r="481" spans="8:8" x14ac:dyDescent="0.25">
      <c r="H481" t="s">
        <v>5620</v>
      </c>
    </row>
    <row r="482" spans="8:8" x14ac:dyDescent="0.25">
      <c r="H482" t="s">
        <v>5621</v>
      </c>
    </row>
    <row r="484" spans="8:8" x14ac:dyDescent="0.25">
      <c r="H484" t="s">
        <v>5622</v>
      </c>
    </row>
    <row r="485" spans="8:8" x14ac:dyDescent="0.25">
      <c r="H485" t="s">
        <v>5623</v>
      </c>
    </row>
    <row r="486" spans="8:8" x14ac:dyDescent="0.25">
      <c r="H486" t="s">
        <v>5596</v>
      </c>
    </row>
    <row r="487" spans="8:8" x14ac:dyDescent="0.25">
      <c r="H487" t="s">
        <v>5597</v>
      </c>
    </row>
    <row r="488" spans="8:8" x14ac:dyDescent="0.25">
      <c r="H488" t="s">
        <v>5598</v>
      </c>
    </row>
    <row r="489" spans="8:8" x14ac:dyDescent="0.25">
      <c r="H489" t="s">
        <v>5599</v>
      </c>
    </row>
    <row r="490" spans="8:8" x14ac:dyDescent="0.25">
      <c r="H490" t="s">
        <v>5624</v>
      </c>
    </row>
    <row r="491" spans="8:8" x14ac:dyDescent="0.25">
      <c r="H491" t="s">
        <v>5625</v>
      </c>
    </row>
    <row r="493" spans="8:8" x14ac:dyDescent="0.25">
      <c r="H493" t="s">
        <v>5626</v>
      </c>
    </row>
    <row r="494" spans="8:8" x14ac:dyDescent="0.25">
      <c r="H494" t="s">
        <v>5627</v>
      </c>
    </row>
    <row r="495" spans="8:8" x14ac:dyDescent="0.25">
      <c r="H495" t="s">
        <v>5596</v>
      </c>
    </row>
    <row r="496" spans="8:8" x14ac:dyDescent="0.25">
      <c r="H496" t="s">
        <v>5597</v>
      </c>
    </row>
    <row r="497" spans="8:8" x14ac:dyDescent="0.25">
      <c r="H497" t="s">
        <v>5598</v>
      </c>
    </row>
    <row r="498" spans="8:8" x14ac:dyDescent="0.25">
      <c r="H498" t="s">
        <v>5599</v>
      </c>
    </row>
    <row r="499" spans="8:8" x14ac:dyDescent="0.25">
      <c r="H499" t="s">
        <v>5628</v>
      </c>
    </row>
    <row r="500" spans="8:8" x14ac:dyDescent="0.25">
      <c r="H500" t="s">
        <v>5629</v>
      </c>
    </row>
    <row r="502" spans="8:8" x14ac:dyDescent="0.25">
      <c r="H502" t="s">
        <v>5630</v>
      </c>
    </row>
    <row r="503" spans="8:8" x14ac:dyDescent="0.25">
      <c r="H503" t="s">
        <v>5631</v>
      </c>
    </row>
    <row r="504" spans="8:8" x14ac:dyDescent="0.25">
      <c r="H504" t="s">
        <v>5596</v>
      </c>
    </row>
    <row r="505" spans="8:8" x14ac:dyDescent="0.25">
      <c r="H505" t="s">
        <v>5597</v>
      </c>
    </row>
    <row r="506" spans="8:8" x14ac:dyDescent="0.25">
      <c r="H506" t="s">
        <v>5598</v>
      </c>
    </row>
    <row r="507" spans="8:8" x14ac:dyDescent="0.25">
      <c r="H507" t="s">
        <v>5599</v>
      </c>
    </row>
    <row r="508" spans="8:8" x14ac:dyDescent="0.25">
      <c r="H508" t="s">
        <v>5632</v>
      </c>
    </row>
    <row r="509" spans="8:8" x14ac:dyDescent="0.25">
      <c r="H509" t="s">
        <v>5633</v>
      </c>
    </row>
    <row r="511" spans="8:8" x14ac:dyDescent="0.25">
      <c r="H511" t="s">
        <v>5634</v>
      </c>
    </row>
    <row r="512" spans="8:8" x14ac:dyDescent="0.25">
      <c r="H512" t="s">
        <v>5635</v>
      </c>
    </row>
    <row r="513" spans="8:8" x14ac:dyDescent="0.25">
      <c r="H513" t="s">
        <v>5596</v>
      </c>
    </row>
    <row r="514" spans="8:8" x14ac:dyDescent="0.25">
      <c r="H514" t="s">
        <v>5597</v>
      </c>
    </row>
    <row r="515" spans="8:8" x14ac:dyDescent="0.25">
      <c r="H515" t="s">
        <v>5598</v>
      </c>
    </row>
    <row r="516" spans="8:8" x14ac:dyDescent="0.25">
      <c r="H516" t="s">
        <v>5599</v>
      </c>
    </row>
    <row r="517" spans="8:8" x14ac:dyDescent="0.25">
      <c r="H517" t="s">
        <v>5636</v>
      </c>
    </row>
    <row r="518" spans="8:8" x14ac:dyDescent="0.25">
      <c r="H518" t="s">
        <v>5637</v>
      </c>
    </row>
    <row r="520" spans="8:8" x14ac:dyDescent="0.25">
      <c r="H520" t="s">
        <v>5638</v>
      </c>
    </row>
    <row r="521" spans="8:8" x14ac:dyDescent="0.25">
      <c r="H521" t="s">
        <v>5639</v>
      </c>
    </row>
    <row r="522" spans="8:8" x14ac:dyDescent="0.25">
      <c r="H522" t="s">
        <v>5596</v>
      </c>
    </row>
    <row r="523" spans="8:8" x14ac:dyDescent="0.25">
      <c r="H523" t="s">
        <v>5597</v>
      </c>
    </row>
    <row r="524" spans="8:8" x14ac:dyDescent="0.25">
      <c r="H524" t="s">
        <v>5598</v>
      </c>
    </row>
    <row r="525" spans="8:8" x14ac:dyDescent="0.25">
      <c r="H525" t="s">
        <v>5599</v>
      </c>
    </row>
    <row r="526" spans="8:8" x14ac:dyDescent="0.25">
      <c r="H526" t="s">
        <v>5640</v>
      </c>
    </row>
    <row r="527" spans="8:8" x14ac:dyDescent="0.25">
      <c r="H527" t="s">
        <v>5641</v>
      </c>
    </row>
    <row r="529" spans="8:8" x14ac:dyDescent="0.25">
      <c r="H529" t="s">
        <v>5642</v>
      </c>
    </row>
    <row r="530" spans="8:8" x14ac:dyDescent="0.25">
      <c r="H530" t="s">
        <v>5643</v>
      </c>
    </row>
    <row r="531" spans="8:8" x14ac:dyDescent="0.25">
      <c r="H531" t="s">
        <v>5596</v>
      </c>
    </row>
    <row r="532" spans="8:8" x14ac:dyDescent="0.25">
      <c r="H532" t="s">
        <v>5597</v>
      </c>
    </row>
    <row r="533" spans="8:8" x14ac:dyDescent="0.25">
      <c r="H533" t="s">
        <v>5598</v>
      </c>
    </row>
    <row r="534" spans="8:8" x14ac:dyDescent="0.25">
      <c r="H534" t="s">
        <v>5599</v>
      </c>
    </row>
    <row r="535" spans="8:8" x14ac:dyDescent="0.25">
      <c r="H535" t="s">
        <v>5644</v>
      </c>
    </row>
    <row r="536" spans="8:8" x14ac:dyDescent="0.25">
      <c r="H536" t="s">
        <v>5645</v>
      </c>
    </row>
    <row r="538" spans="8:8" x14ac:dyDescent="0.25">
      <c r="H538" t="s">
        <v>5646</v>
      </c>
    </row>
    <row r="539" spans="8:8" x14ac:dyDescent="0.25">
      <c r="H539" t="s">
        <v>5647</v>
      </c>
    </row>
    <row r="540" spans="8:8" x14ac:dyDescent="0.25">
      <c r="H540" t="s">
        <v>5596</v>
      </c>
    </row>
    <row r="541" spans="8:8" x14ac:dyDescent="0.25">
      <c r="H541" t="s">
        <v>5597</v>
      </c>
    </row>
    <row r="542" spans="8:8" x14ac:dyDescent="0.25">
      <c r="H542" t="s">
        <v>5598</v>
      </c>
    </row>
    <row r="543" spans="8:8" x14ac:dyDescent="0.25">
      <c r="H543" t="s">
        <v>5599</v>
      </c>
    </row>
    <row r="544" spans="8:8" x14ac:dyDescent="0.25">
      <c r="H544" t="s">
        <v>5648</v>
      </c>
    </row>
    <row r="545" spans="8:8" x14ac:dyDescent="0.25">
      <c r="H545" t="s">
        <v>5649</v>
      </c>
    </row>
    <row r="547" spans="8:8" x14ac:dyDescent="0.25">
      <c r="H547" t="s">
        <v>5650</v>
      </c>
    </row>
    <row r="548" spans="8:8" x14ac:dyDescent="0.25">
      <c r="H548" t="s">
        <v>5651</v>
      </c>
    </row>
    <row r="549" spans="8:8" x14ac:dyDescent="0.25">
      <c r="H549" t="s">
        <v>5596</v>
      </c>
    </row>
    <row r="550" spans="8:8" x14ac:dyDescent="0.25">
      <c r="H550" t="s">
        <v>5597</v>
      </c>
    </row>
    <row r="551" spans="8:8" x14ac:dyDescent="0.25">
      <c r="H551" t="s">
        <v>5598</v>
      </c>
    </row>
    <row r="552" spans="8:8" x14ac:dyDescent="0.25">
      <c r="H552" t="s">
        <v>5599</v>
      </c>
    </row>
    <row r="553" spans="8:8" x14ac:dyDescent="0.25">
      <c r="H553" t="s">
        <v>5652</v>
      </c>
    </row>
    <row r="554" spans="8:8" x14ac:dyDescent="0.25">
      <c r="H554" t="s">
        <v>5653</v>
      </c>
    </row>
    <row r="556" spans="8:8" x14ac:dyDescent="0.25">
      <c r="H556" t="s">
        <v>5654</v>
      </c>
    </row>
    <row r="557" spans="8:8" x14ac:dyDescent="0.25">
      <c r="H557" t="s">
        <v>5655</v>
      </c>
    </row>
    <row r="558" spans="8:8" x14ac:dyDescent="0.25">
      <c r="H558" t="s">
        <v>5596</v>
      </c>
    </row>
    <row r="559" spans="8:8" x14ac:dyDescent="0.25">
      <c r="H559" t="s">
        <v>5597</v>
      </c>
    </row>
    <row r="560" spans="8:8" x14ac:dyDescent="0.25">
      <c r="H560" t="s">
        <v>5598</v>
      </c>
    </row>
    <row r="561" spans="8:8" x14ac:dyDescent="0.25">
      <c r="H561" t="s">
        <v>5599</v>
      </c>
    </row>
    <row r="562" spans="8:8" x14ac:dyDescent="0.25">
      <c r="H562" t="s">
        <v>5656</v>
      </c>
    </row>
    <row r="563" spans="8:8" x14ac:dyDescent="0.25">
      <c r="H563" t="s">
        <v>5657</v>
      </c>
    </row>
    <row r="565" spans="8:8" x14ac:dyDescent="0.25">
      <c r="H565" t="s">
        <v>5658</v>
      </c>
    </row>
    <row r="566" spans="8:8" x14ac:dyDescent="0.25">
      <c r="H566" t="s">
        <v>5659</v>
      </c>
    </row>
    <row r="567" spans="8:8" x14ac:dyDescent="0.25">
      <c r="H567" t="s">
        <v>5596</v>
      </c>
    </row>
    <row r="568" spans="8:8" x14ac:dyDescent="0.25">
      <c r="H568" t="s">
        <v>5597</v>
      </c>
    </row>
    <row r="569" spans="8:8" x14ac:dyDescent="0.25">
      <c r="H569" t="s">
        <v>5598</v>
      </c>
    </row>
    <row r="570" spans="8:8" x14ac:dyDescent="0.25">
      <c r="H570" t="s">
        <v>5599</v>
      </c>
    </row>
    <row r="571" spans="8:8" x14ac:dyDescent="0.25">
      <c r="H571" t="s">
        <v>5660</v>
      </c>
    </row>
    <row r="572" spans="8:8" x14ac:dyDescent="0.25">
      <c r="H572" t="s">
        <v>5661</v>
      </c>
    </row>
    <row r="574" spans="8:8" x14ac:dyDescent="0.25">
      <c r="H574" t="s">
        <v>5662</v>
      </c>
    </row>
    <row r="575" spans="8:8" x14ac:dyDescent="0.25">
      <c r="H575" t="s">
        <v>5663</v>
      </c>
    </row>
    <row r="576" spans="8:8" x14ac:dyDescent="0.25">
      <c r="H576" t="s">
        <v>5596</v>
      </c>
    </row>
    <row r="577" spans="8:8" x14ac:dyDescent="0.25">
      <c r="H577" t="s">
        <v>5597</v>
      </c>
    </row>
    <row r="578" spans="8:8" x14ac:dyDescent="0.25">
      <c r="H578" t="s">
        <v>5598</v>
      </c>
    </row>
    <row r="579" spans="8:8" x14ac:dyDescent="0.25">
      <c r="H579" t="s">
        <v>5599</v>
      </c>
    </row>
    <row r="580" spans="8:8" x14ac:dyDescent="0.25">
      <c r="H580" t="s">
        <v>5664</v>
      </c>
    </row>
    <row r="581" spans="8:8" x14ac:dyDescent="0.25">
      <c r="H581" t="s">
        <v>5665</v>
      </c>
    </row>
    <row r="583" spans="8:8" x14ac:dyDescent="0.25">
      <c r="H583" t="s">
        <v>5666</v>
      </c>
    </row>
    <row r="584" spans="8:8" x14ac:dyDescent="0.25">
      <c r="H584" t="s">
        <v>5667</v>
      </c>
    </row>
    <row r="585" spans="8:8" x14ac:dyDescent="0.25">
      <c r="H585" t="s">
        <v>5596</v>
      </c>
    </row>
    <row r="586" spans="8:8" x14ac:dyDescent="0.25">
      <c r="H586" t="s">
        <v>5597</v>
      </c>
    </row>
    <row r="587" spans="8:8" x14ac:dyDescent="0.25">
      <c r="H587" t="s">
        <v>5598</v>
      </c>
    </row>
    <row r="588" spans="8:8" x14ac:dyDescent="0.25">
      <c r="H588" t="s">
        <v>5599</v>
      </c>
    </row>
    <row r="589" spans="8:8" x14ac:dyDescent="0.25">
      <c r="H589" t="s">
        <v>5668</v>
      </c>
    </row>
    <row r="590" spans="8:8" x14ac:dyDescent="0.25">
      <c r="H590" t="s">
        <v>5669</v>
      </c>
    </row>
    <row r="592" spans="8:8" x14ac:dyDescent="0.25">
      <c r="H592" t="s">
        <v>5670</v>
      </c>
    </row>
    <row r="593" spans="8:8" x14ac:dyDescent="0.25">
      <c r="H593" t="s">
        <v>5671</v>
      </c>
    </row>
    <row r="594" spans="8:8" x14ac:dyDescent="0.25">
      <c r="H594" t="s">
        <v>5596</v>
      </c>
    </row>
    <row r="595" spans="8:8" x14ac:dyDescent="0.25">
      <c r="H595" t="s">
        <v>5597</v>
      </c>
    </row>
    <row r="596" spans="8:8" x14ac:dyDescent="0.25">
      <c r="H596" t="s">
        <v>5598</v>
      </c>
    </row>
    <row r="597" spans="8:8" x14ac:dyDescent="0.25">
      <c r="H597" t="s">
        <v>5599</v>
      </c>
    </row>
    <row r="598" spans="8:8" x14ac:dyDescent="0.25">
      <c r="H598" t="s">
        <v>5672</v>
      </c>
    </row>
    <row r="599" spans="8:8" x14ac:dyDescent="0.25">
      <c r="H599" t="s">
        <v>5673</v>
      </c>
    </row>
    <row r="601" spans="8:8" x14ac:dyDescent="0.25">
      <c r="H601" t="s">
        <v>5674</v>
      </c>
    </row>
    <row r="602" spans="8:8" x14ac:dyDescent="0.25">
      <c r="H602" t="s">
        <v>5675</v>
      </c>
    </row>
    <row r="603" spans="8:8" x14ac:dyDescent="0.25">
      <c r="H603" t="s">
        <v>5596</v>
      </c>
    </row>
    <row r="604" spans="8:8" x14ac:dyDescent="0.25">
      <c r="H604" t="s">
        <v>5597</v>
      </c>
    </row>
    <row r="605" spans="8:8" x14ac:dyDescent="0.25">
      <c r="H605" t="s">
        <v>5598</v>
      </c>
    </row>
    <row r="606" spans="8:8" x14ac:dyDescent="0.25">
      <c r="H606" t="s">
        <v>5599</v>
      </c>
    </row>
    <row r="607" spans="8:8" x14ac:dyDescent="0.25">
      <c r="H607" t="s">
        <v>5676</v>
      </c>
    </row>
    <row r="608" spans="8:8" x14ac:dyDescent="0.25">
      <c r="H608" t="s">
        <v>5677</v>
      </c>
    </row>
    <row r="610" spans="8:8" x14ac:dyDescent="0.25">
      <c r="H610" t="s">
        <v>5678</v>
      </c>
    </row>
    <row r="611" spans="8:8" x14ac:dyDescent="0.25">
      <c r="H611" t="s">
        <v>5679</v>
      </c>
    </row>
    <row r="612" spans="8:8" x14ac:dyDescent="0.25">
      <c r="H612" t="s">
        <v>5596</v>
      </c>
    </row>
    <row r="613" spans="8:8" x14ac:dyDescent="0.25">
      <c r="H613" t="s">
        <v>5597</v>
      </c>
    </row>
    <row r="614" spans="8:8" x14ac:dyDescent="0.25">
      <c r="H614" t="s">
        <v>5598</v>
      </c>
    </row>
    <row r="615" spans="8:8" x14ac:dyDescent="0.25">
      <c r="H615" t="s">
        <v>5599</v>
      </c>
    </row>
    <row r="616" spans="8:8" x14ac:dyDescent="0.25">
      <c r="H616" t="s">
        <v>5680</v>
      </c>
    </row>
    <row r="617" spans="8:8" x14ac:dyDescent="0.25">
      <c r="H617" t="s">
        <v>5681</v>
      </c>
    </row>
    <row r="619" spans="8:8" x14ac:dyDescent="0.25">
      <c r="H619" t="s">
        <v>5682</v>
      </c>
    </row>
    <row r="620" spans="8:8" x14ac:dyDescent="0.25">
      <c r="H620" t="s">
        <v>5683</v>
      </c>
    </row>
    <row r="621" spans="8:8" x14ac:dyDescent="0.25">
      <c r="H621" t="s">
        <v>5397</v>
      </c>
    </row>
    <row r="622" spans="8:8" x14ac:dyDescent="0.25">
      <c r="H622" t="s">
        <v>5398</v>
      </c>
    </row>
    <row r="623" spans="8:8" x14ac:dyDescent="0.25">
      <c r="H623" t="s">
        <v>5399</v>
      </c>
    </row>
    <row r="624" spans="8:8" x14ac:dyDescent="0.25">
      <c r="H624" t="s">
        <v>5400</v>
      </c>
    </row>
    <row r="625" spans="8:8" x14ac:dyDescent="0.25">
      <c r="H625" t="s">
        <v>5401</v>
      </c>
    </row>
    <row r="626" spans="8:8" x14ac:dyDescent="0.25">
      <c r="H626" t="s">
        <v>5402</v>
      </c>
    </row>
    <row r="627" spans="8:8" x14ac:dyDescent="0.25">
      <c r="H627" t="s">
        <v>5403</v>
      </c>
    </row>
    <row r="628" spans="8:8" x14ac:dyDescent="0.25">
      <c r="H628" t="s">
        <v>5684</v>
      </c>
    </row>
    <row r="629" spans="8:8" x14ac:dyDescent="0.25">
      <c r="H629" t="s">
        <v>5685</v>
      </c>
    </row>
    <row r="630" spans="8:8" x14ac:dyDescent="0.25">
      <c r="H630" t="s">
        <v>5686</v>
      </c>
    </row>
    <row r="631" spans="8:8" x14ac:dyDescent="0.25">
      <c r="H631" t="s">
        <v>5687</v>
      </c>
    </row>
    <row r="632" spans="8:8" x14ac:dyDescent="0.25">
      <c r="H632" t="s">
        <v>5688</v>
      </c>
    </row>
    <row r="633" spans="8:8" x14ac:dyDescent="0.25">
      <c r="H633" t="s">
        <v>5689</v>
      </c>
    </row>
    <row r="634" spans="8:8" x14ac:dyDescent="0.25">
      <c r="H634" t="s">
        <v>5690</v>
      </c>
    </row>
    <row r="635" spans="8:8" x14ac:dyDescent="0.25">
      <c r="H635" t="s">
        <v>5691</v>
      </c>
    </row>
    <row r="636" spans="8:8" x14ac:dyDescent="0.25">
      <c r="H636" t="s">
        <v>5692</v>
      </c>
    </row>
    <row r="637" spans="8:8" x14ac:dyDescent="0.25">
      <c r="H637" t="s">
        <v>5693</v>
      </c>
    </row>
    <row r="638" spans="8:8" x14ac:dyDescent="0.25">
      <c r="H638" t="s">
        <v>5694</v>
      </c>
    </row>
    <row r="639" spans="8:8" x14ac:dyDescent="0.25">
      <c r="H639" t="s">
        <v>5695</v>
      </c>
    </row>
    <row r="640" spans="8:8" x14ac:dyDescent="0.25">
      <c r="H640" t="s">
        <v>5696</v>
      </c>
    </row>
    <row r="641" spans="8:8" x14ac:dyDescent="0.25">
      <c r="H641" t="s">
        <v>5697</v>
      </c>
    </row>
    <row r="642" spans="8:8" x14ac:dyDescent="0.25">
      <c r="H642" t="s">
        <v>5698</v>
      </c>
    </row>
    <row r="643" spans="8:8" x14ac:dyDescent="0.25">
      <c r="H643" t="s">
        <v>5699</v>
      </c>
    </row>
    <row r="644" spans="8:8" x14ac:dyDescent="0.25">
      <c r="H644" t="s">
        <v>5700</v>
      </c>
    </row>
    <row r="645" spans="8:8" x14ac:dyDescent="0.25">
      <c r="H645" t="s">
        <v>5701</v>
      </c>
    </row>
    <row r="646" spans="8:8" x14ac:dyDescent="0.25">
      <c r="H646" t="s">
        <v>5702</v>
      </c>
    </row>
    <row r="647" spans="8:8" x14ac:dyDescent="0.25">
      <c r="H647" t="s">
        <v>5703</v>
      </c>
    </row>
    <row r="648" spans="8:8" x14ac:dyDescent="0.25">
      <c r="H648" t="s">
        <v>5704</v>
      </c>
    </row>
    <row r="649" spans="8:8" x14ac:dyDescent="0.25">
      <c r="H649" t="s">
        <v>5705</v>
      </c>
    </row>
    <row r="650" spans="8:8" x14ac:dyDescent="0.25">
      <c r="H650" t="s">
        <v>5706</v>
      </c>
    </row>
    <row r="651" spans="8:8" x14ac:dyDescent="0.25">
      <c r="H651" t="s">
        <v>5707</v>
      </c>
    </row>
    <row r="653" spans="8:8" x14ac:dyDescent="0.25">
      <c r="H653" t="s">
        <v>5708</v>
      </c>
    </row>
    <row r="654" spans="8:8" x14ac:dyDescent="0.25">
      <c r="H654" t="s">
        <v>5709</v>
      </c>
    </row>
    <row r="655" spans="8:8" x14ac:dyDescent="0.25">
      <c r="H655" t="s">
        <v>5413</v>
      </c>
    </row>
    <row r="656" spans="8:8" x14ac:dyDescent="0.25">
      <c r="H656" t="s">
        <v>5414</v>
      </c>
    </row>
    <row r="657" spans="8:8" x14ac:dyDescent="0.25">
      <c r="H657" t="s">
        <v>5415</v>
      </c>
    </row>
    <row r="658" spans="8:8" x14ac:dyDescent="0.25">
      <c r="H658" t="s">
        <v>5416</v>
      </c>
    </row>
    <row r="659" spans="8:8" x14ac:dyDescent="0.25">
      <c r="H659" t="s">
        <v>5417</v>
      </c>
    </row>
    <row r="660" spans="8:8" x14ac:dyDescent="0.25">
      <c r="H660" t="s">
        <v>5418</v>
      </c>
    </row>
    <row r="661" spans="8:8" x14ac:dyDescent="0.25">
      <c r="H661" t="s">
        <v>5419</v>
      </c>
    </row>
    <row r="662" spans="8:8" x14ac:dyDescent="0.25">
      <c r="H662" t="s">
        <v>5420</v>
      </c>
    </row>
    <row r="663" spans="8:8" x14ac:dyDescent="0.25">
      <c r="H663" t="s">
        <v>5421</v>
      </c>
    </row>
    <row r="664" spans="8:8" x14ac:dyDescent="0.25">
      <c r="H664" t="s">
        <v>5422</v>
      </c>
    </row>
    <row r="665" spans="8:8" x14ac:dyDescent="0.25">
      <c r="H665" t="s">
        <v>5423</v>
      </c>
    </row>
    <row r="666" spans="8:8" x14ac:dyDescent="0.25">
      <c r="H666" t="s">
        <v>5424</v>
      </c>
    </row>
    <row r="667" spans="8:8" x14ac:dyDescent="0.25">
      <c r="H667" t="s">
        <v>5425</v>
      </c>
    </row>
    <row r="668" spans="8:8" x14ac:dyDescent="0.25">
      <c r="H668" t="s">
        <v>5426</v>
      </c>
    </row>
    <row r="669" spans="8:8" x14ac:dyDescent="0.25">
      <c r="H669" t="s">
        <v>5427</v>
      </c>
    </row>
    <row r="670" spans="8:8" x14ac:dyDescent="0.25">
      <c r="H670" t="s">
        <v>5428</v>
      </c>
    </row>
    <row r="671" spans="8:8" x14ac:dyDescent="0.25">
      <c r="H671" t="s">
        <v>5429</v>
      </c>
    </row>
    <row r="672" spans="8:8" x14ac:dyDescent="0.25">
      <c r="H672" t="s">
        <v>5430</v>
      </c>
    </row>
    <row r="673" spans="8:8" x14ac:dyDescent="0.25">
      <c r="H673" t="s">
        <v>5431</v>
      </c>
    </row>
    <row r="674" spans="8:8" x14ac:dyDescent="0.25">
      <c r="H674" t="s">
        <v>5432</v>
      </c>
    </row>
    <row r="675" spans="8:8" x14ac:dyDescent="0.25">
      <c r="H675" t="s">
        <v>5433</v>
      </c>
    </row>
    <row r="676" spans="8:8" x14ac:dyDescent="0.25">
      <c r="H676" t="s">
        <v>5434</v>
      </c>
    </row>
    <row r="677" spans="8:8" x14ac:dyDescent="0.25">
      <c r="H677" t="s">
        <v>5435</v>
      </c>
    </row>
    <row r="678" spans="8:8" x14ac:dyDescent="0.25">
      <c r="H678" t="s">
        <v>5436</v>
      </c>
    </row>
    <row r="679" spans="8:8" x14ac:dyDescent="0.25">
      <c r="H679" t="s">
        <v>5437</v>
      </c>
    </row>
    <row r="680" spans="8:8" x14ac:dyDescent="0.25">
      <c r="H680" t="s">
        <v>5438</v>
      </c>
    </row>
    <row r="681" spans="8:8" x14ac:dyDescent="0.25">
      <c r="H681" t="s">
        <v>5439</v>
      </c>
    </row>
    <row r="682" spans="8:8" x14ac:dyDescent="0.25">
      <c r="H682" t="s">
        <v>5440</v>
      </c>
    </row>
    <row r="683" spans="8:8" x14ac:dyDescent="0.25">
      <c r="H683" t="s">
        <v>5441</v>
      </c>
    </row>
    <row r="684" spans="8:8" x14ac:dyDescent="0.25">
      <c r="H684" t="s">
        <v>5710</v>
      </c>
    </row>
    <row r="686" spans="8:8" x14ac:dyDescent="0.25">
      <c r="H686" t="s">
        <v>5711</v>
      </c>
    </row>
    <row r="687" spans="8:8" x14ac:dyDescent="0.25">
      <c r="H687" t="s">
        <v>5712</v>
      </c>
    </row>
    <row r="688" spans="8:8" x14ac:dyDescent="0.25">
      <c r="H688" t="s">
        <v>5445</v>
      </c>
    </row>
    <row r="689" spans="8:8" x14ac:dyDescent="0.25">
      <c r="H689" t="s">
        <v>5446</v>
      </c>
    </row>
    <row r="690" spans="8:8" x14ac:dyDescent="0.25">
      <c r="H690" t="s">
        <v>5447</v>
      </c>
    </row>
    <row r="691" spans="8:8" x14ac:dyDescent="0.25">
      <c r="H691" t="s">
        <v>5448</v>
      </c>
    </row>
    <row r="692" spans="8:8" x14ac:dyDescent="0.25">
      <c r="H692" t="s">
        <v>5449</v>
      </c>
    </row>
    <row r="693" spans="8:8" x14ac:dyDescent="0.25">
      <c r="H693" t="s">
        <v>5450</v>
      </c>
    </row>
    <row r="694" spans="8:8" x14ac:dyDescent="0.25">
      <c r="H694" t="s">
        <v>5451</v>
      </c>
    </row>
    <row r="695" spans="8:8" x14ac:dyDescent="0.25">
      <c r="H695" t="s">
        <v>5452</v>
      </c>
    </row>
    <row r="696" spans="8:8" x14ac:dyDescent="0.25">
      <c r="H696" t="s">
        <v>5713</v>
      </c>
    </row>
    <row r="698" spans="8:8" x14ac:dyDescent="0.25">
      <c r="H698" t="s">
        <v>5714</v>
      </c>
    </row>
    <row r="699" spans="8:8" x14ac:dyDescent="0.25">
      <c r="H699" t="s">
        <v>5715</v>
      </c>
    </row>
    <row r="700" spans="8:8" x14ac:dyDescent="0.25">
      <c r="H700" t="s">
        <v>5397</v>
      </c>
    </row>
    <row r="701" spans="8:8" x14ac:dyDescent="0.25">
      <c r="H701" t="s">
        <v>5398</v>
      </c>
    </row>
    <row r="702" spans="8:8" x14ac:dyDescent="0.25">
      <c r="H702" t="s">
        <v>5399</v>
      </c>
    </row>
    <row r="703" spans="8:8" x14ac:dyDescent="0.25">
      <c r="H703" t="s">
        <v>5400</v>
      </c>
    </row>
    <row r="704" spans="8:8" x14ac:dyDescent="0.25">
      <c r="H704" t="s">
        <v>5401</v>
      </c>
    </row>
    <row r="705" spans="8:8" x14ac:dyDescent="0.25">
      <c r="H705" t="s">
        <v>5402</v>
      </c>
    </row>
    <row r="706" spans="8:8" x14ac:dyDescent="0.25">
      <c r="H706" t="s">
        <v>5403</v>
      </c>
    </row>
    <row r="707" spans="8:8" x14ac:dyDescent="0.25">
      <c r="H707" t="s">
        <v>5684</v>
      </c>
    </row>
    <row r="708" spans="8:8" x14ac:dyDescent="0.25">
      <c r="H708" t="s">
        <v>5685</v>
      </c>
    </row>
    <row r="709" spans="8:8" x14ac:dyDescent="0.25">
      <c r="H709" t="s">
        <v>5686</v>
      </c>
    </row>
    <row r="710" spans="8:8" x14ac:dyDescent="0.25">
      <c r="H710" t="s">
        <v>5687</v>
      </c>
    </row>
    <row r="711" spans="8:8" x14ac:dyDescent="0.25">
      <c r="H711" t="s">
        <v>5688</v>
      </c>
    </row>
    <row r="712" spans="8:8" x14ac:dyDescent="0.25">
      <c r="H712" t="s">
        <v>5689</v>
      </c>
    </row>
    <row r="713" spans="8:8" x14ac:dyDescent="0.25">
      <c r="H713" t="s">
        <v>5690</v>
      </c>
    </row>
    <row r="714" spans="8:8" x14ac:dyDescent="0.25">
      <c r="H714" t="s">
        <v>5691</v>
      </c>
    </row>
    <row r="715" spans="8:8" x14ac:dyDescent="0.25">
      <c r="H715" t="s">
        <v>5692</v>
      </c>
    </row>
    <row r="716" spans="8:8" x14ac:dyDescent="0.25">
      <c r="H716" t="s">
        <v>5693</v>
      </c>
    </row>
    <row r="717" spans="8:8" x14ac:dyDescent="0.25">
      <c r="H717" t="s">
        <v>5694</v>
      </c>
    </row>
    <row r="718" spans="8:8" x14ac:dyDescent="0.25">
      <c r="H718" t="s">
        <v>5695</v>
      </c>
    </row>
    <row r="719" spans="8:8" x14ac:dyDescent="0.25">
      <c r="H719" t="s">
        <v>5696</v>
      </c>
    </row>
    <row r="720" spans="8:8" x14ac:dyDescent="0.25">
      <c r="H720" t="s">
        <v>5697</v>
      </c>
    </row>
    <row r="721" spans="8:8" x14ac:dyDescent="0.25">
      <c r="H721" t="s">
        <v>5698</v>
      </c>
    </row>
    <row r="722" spans="8:8" x14ac:dyDescent="0.25">
      <c r="H722" t="s">
        <v>5699</v>
      </c>
    </row>
    <row r="723" spans="8:8" x14ac:dyDescent="0.25">
      <c r="H723" t="s">
        <v>5700</v>
      </c>
    </row>
    <row r="724" spans="8:8" x14ac:dyDescent="0.25">
      <c r="H724" t="s">
        <v>5701</v>
      </c>
    </row>
    <row r="725" spans="8:8" x14ac:dyDescent="0.25">
      <c r="H725" t="s">
        <v>5702</v>
      </c>
    </row>
    <row r="726" spans="8:8" x14ac:dyDescent="0.25">
      <c r="H726" t="s">
        <v>5703</v>
      </c>
    </row>
    <row r="727" spans="8:8" x14ac:dyDescent="0.25">
      <c r="H727" t="s">
        <v>5704</v>
      </c>
    </row>
    <row r="728" spans="8:8" x14ac:dyDescent="0.25">
      <c r="H728" t="s">
        <v>5705</v>
      </c>
    </row>
    <row r="729" spans="8:8" x14ac:dyDescent="0.25">
      <c r="H729" t="s">
        <v>5706</v>
      </c>
    </row>
    <row r="730" spans="8:8" x14ac:dyDescent="0.25">
      <c r="H730" t="s">
        <v>5716</v>
      </c>
    </row>
    <row r="732" spans="8:8" x14ac:dyDescent="0.25">
      <c r="H732" t="s">
        <v>5717</v>
      </c>
    </row>
    <row r="733" spans="8:8" x14ac:dyDescent="0.25">
      <c r="H733" t="s">
        <v>5718</v>
      </c>
    </row>
    <row r="734" spans="8:8" x14ac:dyDescent="0.25">
      <c r="H734" t="s">
        <v>5413</v>
      </c>
    </row>
    <row r="735" spans="8:8" x14ac:dyDescent="0.25">
      <c r="H735" t="s">
        <v>5414</v>
      </c>
    </row>
    <row r="736" spans="8:8" x14ac:dyDescent="0.25">
      <c r="H736" t="s">
        <v>5415</v>
      </c>
    </row>
    <row r="737" spans="8:8" x14ac:dyDescent="0.25">
      <c r="H737" t="s">
        <v>5416</v>
      </c>
    </row>
    <row r="738" spans="8:8" x14ac:dyDescent="0.25">
      <c r="H738" t="s">
        <v>5417</v>
      </c>
    </row>
    <row r="739" spans="8:8" x14ac:dyDescent="0.25">
      <c r="H739" t="s">
        <v>5418</v>
      </c>
    </row>
    <row r="740" spans="8:8" x14ac:dyDescent="0.25">
      <c r="H740" t="s">
        <v>5419</v>
      </c>
    </row>
    <row r="741" spans="8:8" x14ac:dyDescent="0.25">
      <c r="H741" t="s">
        <v>5420</v>
      </c>
    </row>
    <row r="742" spans="8:8" x14ac:dyDescent="0.25">
      <c r="H742" t="s">
        <v>5421</v>
      </c>
    </row>
    <row r="743" spans="8:8" x14ac:dyDescent="0.25">
      <c r="H743" t="s">
        <v>5422</v>
      </c>
    </row>
    <row r="744" spans="8:8" x14ac:dyDescent="0.25">
      <c r="H744" t="s">
        <v>5423</v>
      </c>
    </row>
    <row r="745" spans="8:8" x14ac:dyDescent="0.25">
      <c r="H745" t="s">
        <v>5424</v>
      </c>
    </row>
    <row r="746" spans="8:8" x14ac:dyDescent="0.25">
      <c r="H746" t="s">
        <v>5425</v>
      </c>
    </row>
    <row r="747" spans="8:8" x14ac:dyDescent="0.25">
      <c r="H747" t="s">
        <v>5426</v>
      </c>
    </row>
    <row r="748" spans="8:8" x14ac:dyDescent="0.25">
      <c r="H748" t="s">
        <v>5427</v>
      </c>
    </row>
    <row r="749" spans="8:8" x14ac:dyDescent="0.25">
      <c r="H749" t="s">
        <v>5428</v>
      </c>
    </row>
    <row r="750" spans="8:8" x14ac:dyDescent="0.25">
      <c r="H750" t="s">
        <v>5429</v>
      </c>
    </row>
    <row r="751" spans="8:8" x14ac:dyDescent="0.25">
      <c r="H751" t="s">
        <v>5430</v>
      </c>
    </row>
    <row r="752" spans="8:8" x14ac:dyDescent="0.25">
      <c r="H752" t="s">
        <v>5431</v>
      </c>
    </row>
    <row r="753" spans="8:8" x14ac:dyDescent="0.25">
      <c r="H753" t="s">
        <v>5432</v>
      </c>
    </row>
    <row r="754" spans="8:8" x14ac:dyDescent="0.25">
      <c r="H754" t="s">
        <v>5433</v>
      </c>
    </row>
    <row r="755" spans="8:8" x14ac:dyDescent="0.25">
      <c r="H755" t="s">
        <v>5434</v>
      </c>
    </row>
    <row r="756" spans="8:8" x14ac:dyDescent="0.25">
      <c r="H756" t="s">
        <v>5435</v>
      </c>
    </row>
    <row r="757" spans="8:8" x14ac:dyDescent="0.25">
      <c r="H757" t="s">
        <v>5436</v>
      </c>
    </row>
    <row r="758" spans="8:8" x14ac:dyDescent="0.25">
      <c r="H758" t="s">
        <v>5437</v>
      </c>
    </row>
    <row r="759" spans="8:8" x14ac:dyDescent="0.25">
      <c r="H759" t="s">
        <v>5438</v>
      </c>
    </row>
    <row r="760" spans="8:8" x14ac:dyDescent="0.25">
      <c r="H760" t="s">
        <v>5439</v>
      </c>
    </row>
    <row r="761" spans="8:8" x14ac:dyDescent="0.25">
      <c r="H761" t="s">
        <v>5440</v>
      </c>
    </row>
    <row r="762" spans="8:8" x14ac:dyDescent="0.25">
      <c r="H762" t="s">
        <v>5441</v>
      </c>
    </row>
    <row r="763" spans="8:8" x14ac:dyDescent="0.25">
      <c r="H763" t="s">
        <v>5719</v>
      </c>
    </row>
    <row r="765" spans="8:8" x14ac:dyDescent="0.25">
      <c r="H765" t="s">
        <v>5720</v>
      </c>
    </row>
    <row r="766" spans="8:8" x14ac:dyDescent="0.25">
      <c r="H766" t="s">
        <v>5721</v>
      </c>
    </row>
    <row r="767" spans="8:8" x14ac:dyDescent="0.25">
      <c r="H767" t="s">
        <v>5445</v>
      </c>
    </row>
    <row r="768" spans="8:8" x14ac:dyDescent="0.25">
      <c r="H768" t="s">
        <v>5446</v>
      </c>
    </row>
    <row r="769" spans="8:8" x14ac:dyDescent="0.25">
      <c r="H769" t="s">
        <v>5447</v>
      </c>
    </row>
    <row r="770" spans="8:8" x14ac:dyDescent="0.25">
      <c r="H770" t="s">
        <v>5448</v>
      </c>
    </row>
    <row r="771" spans="8:8" x14ac:dyDescent="0.25">
      <c r="H771" t="s">
        <v>5449</v>
      </c>
    </row>
    <row r="772" spans="8:8" x14ac:dyDescent="0.25">
      <c r="H772" t="s">
        <v>5450</v>
      </c>
    </row>
    <row r="773" spans="8:8" x14ac:dyDescent="0.25">
      <c r="H773" t="s">
        <v>5451</v>
      </c>
    </row>
    <row r="774" spans="8:8" x14ac:dyDescent="0.25">
      <c r="H774" t="s">
        <v>5452</v>
      </c>
    </row>
    <row r="775" spans="8:8" x14ac:dyDescent="0.25">
      <c r="H775" t="s">
        <v>5722</v>
      </c>
    </row>
    <row r="777" spans="8:8" x14ac:dyDescent="0.25">
      <c r="H777" t="s">
        <v>5723</v>
      </c>
    </row>
    <row r="778" spans="8:8" x14ac:dyDescent="0.25">
      <c r="H778" t="s">
        <v>5724</v>
      </c>
    </row>
    <row r="779" spans="8:8" x14ac:dyDescent="0.25">
      <c r="H779" t="s">
        <v>5725</v>
      </c>
    </row>
    <row r="780" spans="8:8" x14ac:dyDescent="0.25">
      <c r="H780" t="s">
        <v>5726</v>
      </c>
    </row>
    <row r="781" spans="8:8" x14ac:dyDescent="0.25">
      <c r="H781" t="s">
        <v>5727</v>
      </c>
    </row>
    <row r="783" spans="8:8" x14ac:dyDescent="0.25">
      <c r="H783" t="s">
        <v>5728</v>
      </c>
    </row>
    <row r="784" spans="8:8" x14ac:dyDescent="0.25">
      <c r="H784" t="s">
        <v>5729</v>
      </c>
    </row>
    <row r="785" spans="8:8" x14ac:dyDescent="0.25">
      <c r="H785" t="s">
        <v>5730</v>
      </c>
    </row>
    <row r="786" spans="8:8" x14ac:dyDescent="0.25">
      <c r="H786" t="s">
        <v>5731</v>
      </c>
    </row>
    <row r="787" spans="8:8" x14ac:dyDescent="0.25">
      <c r="H787" t="s">
        <v>5732</v>
      </c>
    </row>
    <row r="789" spans="8:8" x14ac:dyDescent="0.25">
      <c r="H789" t="s">
        <v>5733</v>
      </c>
    </row>
    <row r="790" spans="8:8" x14ac:dyDescent="0.25">
      <c r="H790" t="s">
        <v>5734</v>
      </c>
    </row>
    <row r="791" spans="8:8" x14ac:dyDescent="0.25">
      <c r="H791" t="s">
        <v>5735</v>
      </c>
    </row>
    <row r="792" spans="8:8" x14ac:dyDescent="0.25">
      <c r="H792" t="s">
        <v>5736</v>
      </c>
    </row>
    <row r="793" spans="8:8" x14ac:dyDescent="0.25">
      <c r="H793" t="s">
        <v>5737</v>
      </c>
    </row>
    <row r="794" spans="8:8" x14ac:dyDescent="0.25">
      <c r="H794" t="s">
        <v>5738</v>
      </c>
    </row>
    <row r="796" spans="8:8" x14ac:dyDescent="0.25">
      <c r="H796" t="s">
        <v>121</v>
      </c>
    </row>
    <row r="797" spans="8:8" x14ac:dyDescent="0.25">
      <c r="H797" t="s">
        <v>5739</v>
      </c>
    </row>
    <row r="798" spans="8:8" x14ac:dyDescent="0.25">
      <c r="H798" t="s">
        <v>5740</v>
      </c>
    </row>
    <row r="799" spans="8:8" x14ac:dyDescent="0.25">
      <c r="H799" t="s">
        <v>5741</v>
      </c>
    </row>
    <row r="800" spans="8:8" x14ac:dyDescent="0.25">
      <c r="H800" t="s">
        <v>5742</v>
      </c>
    </row>
    <row r="801" spans="8:8" x14ac:dyDescent="0.25">
      <c r="H801" t="s">
        <v>5743</v>
      </c>
    </row>
    <row r="802" spans="8:8" x14ac:dyDescent="0.25">
      <c r="H802" t="s">
        <v>5744</v>
      </c>
    </row>
    <row r="803" spans="8:8" x14ac:dyDescent="0.25">
      <c r="H803" t="s">
        <v>5745</v>
      </c>
    </row>
    <row r="804" spans="8:8" x14ac:dyDescent="0.25">
      <c r="H804" t="s">
        <v>5746</v>
      </c>
    </row>
    <row r="805" spans="8:8" x14ac:dyDescent="0.25">
      <c r="H805" t="s">
        <v>5747</v>
      </c>
    </row>
    <row r="806" spans="8:8" x14ac:dyDescent="0.25">
      <c r="H806" t="s">
        <v>5748</v>
      </c>
    </row>
    <row r="807" spans="8:8" x14ac:dyDescent="0.25">
      <c r="H807" t="s">
        <v>5749</v>
      </c>
    </row>
    <row r="808" spans="8:8" x14ac:dyDescent="0.25">
      <c r="H808" t="s">
        <v>5750</v>
      </c>
    </row>
    <row r="809" spans="8:8" x14ac:dyDescent="0.25">
      <c r="H809" t="s">
        <v>5751</v>
      </c>
    </row>
    <row r="810" spans="8:8" x14ac:dyDescent="0.25">
      <c r="H810" t="s">
        <v>5752</v>
      </c>
    </row>
    <row r="812" spans="8:8" x14ac:dyDescent="0.25">
      <c r="H812" t="s">
        <v>121</v>
      </c>
    </row>
    <row r="813" spans="8:8" x14ac:dyDescent="0.25">
      <c r="H813" t="s">
        <v>5753</v>
      </c>
    </row>
    <row r="814" spans="8:8" x14ac:dyDescent="0.25">
      <c r="H814" t="s">
        <v>5754</v>
      </c>
    </row>
    <row r="815" spans="8:8" x14ac:dyDescent="0.25">
      <c r="H815" t="s">
        <v>5755</v>
      </c>
    </row>
    <row r="816" spans="8:8" x14ac:dyDescent="0.25">
      <c r="H816" t="s">
        <v>5756</v>
      </c>
    </row>
    <row r="817" spans="8:8" x14ac:dyDescent="0.25">
      <c r="H817" t="s">
        <v>5757</v>
      </c>
    </row>
    <row r="818" spans="8:8" x14ac:dyDescent="0.25">
      <c r="H818" t="s">
        <v>5758</v>
      </c>
    </row>
    <row r="819" spans="8:8" x14ac:dyDescent="0.25">
      <c r="H819" t="s">
        <v>5759</v>
      </c>
    </row>
    <row r="820" spans="8:8" x14ac:dyDescent="0.25">
      <c r="H820" t="s">
        <v>5760</v>
      </c>
    </row>
    <row r="821" spans="8:8" x14ac:dyDescent="0.25">
      <c r="H821" t="s">
        <v>5761</v>
      </c>
    </row>
    <row r="822" spans="8:8" x14ac:dyDescent="0.25">
      <c r="H822" t="s">
        <v>5762</v>
      </c>
    </row>
    <row r="823" spans="8:8" x14ac:dyDescent="0.25">
      <c r="H823" t="s">
        <v>5763</v>
      </c>
    </row>
    <row r="824" spans="8:8" x14ac:dyDescent="0.25">
      <c r="H824" t="s">
        <v>5764</v>
      </c>
    </row>
    <row r="825" spans="8:8" x14ac:dyDescent="0.25">
      <c r="H825" t="s">
        <v>5765</v>
      </c>
    </row>
    <row r="826" spans="8:8" x14ac:dyDescent="0.25">
      <c r="H826" t="s">
        <v>5766</v>
      </c>
    </row>
    <row r="827" spans="8:8" x14ac:dyDescent="0.25">
      <c r="H827" t="s">
        <v>5767</v>
      </c>
    </row>
    <row r="828" spans="8:8" x14ac:dyDescent="0.25">
      <c r="H828" t="s">
        <v>5768</v>
      </c>
    </row>
    <row r="829" spans="8:8" x14ac:dyDescent="0.25">
      <c r="H829" t="s">
        <v>5769</v>
      </c>
    </row>
    <row r="830" spans="8:8" x14ac:dyDescent="0.25">
      <c r="H830" t="s">
        <v>5770</v>
      </c>
    </row>
    <row r="831" spans="8:8" x14ac:dyDescent="0.25">
      <c r="H831" t="s">
        <v>5771</v>
      </c>
    </row>
    <row r="832" spans="8:8" x14ac:dyDescent="0.25">
      <c r="H832" t="s">
        <v>5772</v>
      </c>
    </row>
    <row r="833" spans="8:8" x14ac:dyDescent="0.25">
      <c r="H833" t="s">
        <v>5773</v>
      </c>
    </row>
    <row r="834" spans="8:8" x14ac:dyDescent="0.25">
      <c r="H834" t="s">
        <v>5774</v>
      </c>
    </row>
    <row r="835" spans="8:8" x14ac:dyDescent="0.25">
      <c r="H835" t="s">
        <v>5775</v>
      </c>
    </row>
    <row r="836" spans="8:8" x14ac:dyDescent="0.25">
      <c r="H836" t="s">
        <v>5776</v>
      </c>
    </row>
    <row r="838" spans="8:8" x14ac:dyDescent="0.25">
      <c r="H838" t="s">
        <v>121</v>
      </c>
    </row>
    <row r="839" spans="8:8" x14ac:dyDescent="0.25">
      <c r="H839" t="s">
        <v>5777</v>
      </c>
    </row>
    <row r="840" spans="8:8" x14ac:dyDescent="0.25">
      <c r="H840" t="s">
        <v>5778</v>
      </c>
    </row>
    <row r="841" spans="8:8" x14ac:dyDescent="0.25">
      <c r="H841" t="s">
        <v>5779</v>
      </c>
    </row>
    <row r="842" spans="8:8" x14ac:dyDescent="0.25">
      <c r="H842" t="s">
        <v>5780</v>
      </c>
    </row>
    <row r="843" spans="8:8" x14ac:dyDescent="0.25">
      <c r="H843" t="s">
        <v>5781</v>
      </c>
    </row>
    <row r="844" spans="8:8" x14ac:dyDescent="0.25">
      <c r="H844" t="s">
        <v>5782</v>
      </c>
    </row>
    <row r="845" spans="8:8" x14ac:dyDescent="0.25">
      <c r="H845" t="s">
        <v>5783</v>
      </c>
    </row>
    <row r="846" spans="8:8" x14ac:dyDescent="0.25">
      <c r="H846" t="s">
        <v>5784</v>
      </c>
    </row>
    <row r="847" spans="8:8" x14ac:dyDescent="0.25">
      <c r="H847" t="s">
        <v>5785</v>
      </c>
    </row>
    <row r="848" spans="8:8" x14ac:dyDescent="0.25">
      <c r="H848" t="s">
        <v>5786</v>
      </c>
    </row>
    <row r="849" spans="8:8" x14ac:dyDescent="0.25">
      <c r="H849" t="s">
        <v>5787</v>
      </c>
    </row>
    <row r="850" spans="8:8" x14ac:dyDescent="0.25">
      <c r="H850" t="s">
        <v>5788</v>
      </c>
    </row>
    <row r="851" spans="8:8" x14ac:dyDescent="0.25">
      <c r="H851" t="s">
        <v>5789</v>
      </c>
    </row>
    <row r="852" spans="8:8" x14ac:dyDescent="0.25">
      <c r="H852" t="s">
        <v>5790</v>
      </c>
    </row>
    <row r="853" spans="8:8" x14ac:dyDescent="0.25">
      <c r="H853" t="s">
        <v>5791</v>
      </c>
    </row>
    <row r="854" spans="8:8" x14ac:dyDescent="0.25">
      <c r="H854" t="s">
        <v>5792</v>
      </c>
    </row>
    <row r="855" spans="8:8" x14ac:dyDescent="0.25">
      <c r="H855" t="s">
        <v>5793</v>
      </c>
    </row>
    <row r="856" spans="8:8" x14ac:dyDescent="0.25">
      <c r="H856" t="s">
        <v>5794</v>
      </c>
    </row>
    <row r="857" spans="8:8" x14ac:dyDescent="0.25">
      <c r="H857" t="s">
        <v>5795</v>
      </c>
    </row>
    <row r="858" spans="8:8" x14ac:dyDescent="0.25">
      <c r="H858" t="s">
        <v>5796</v>
      </c>
    </row>
    <row r="859" spans="8:8" x14ac:dyDescent="0.25">
      <c r="H859" t="s">
        <v>5797</v>
      </c>
    </row>
    <row r="860" spans="8:8" x14ac:dyDescent="0.25">
      <c r="H860" t="s">
        <v>5798</v>
      </c>
    </row>
    <row r="861" spans="8:8" x14ac:dyDescent="0.25">
      <c r="H861" t="s">
        <v>5799</v>
      </c>
    </row>
    <row r="862" spans="8:8" x14ac:dyDescent="0.25">
      <c r="H862" t="s">
        <v>5800</v>
      </c>
    </row>
    <row r="863" spans="8:8" x14ac:dyDescent="0.25">
      <c r="H863" t="s">
        <v>5801</v>
      </c>
    </row>
    <row r="864" spans="8:8" x14ac:dyDescent="0.25">
      <c r="H864" t="s">
        <v>5802</v>
      </c>
    </row>
    <row r="865" spans="8:8" x14ac:dyDescent="0.25">
      <c r="H865" t="s">
        <v>5803</v>
      </c>
    </row>
    <row r="866" spans="8:8" x14ac:dyDescent="0.25">
      <c r="H866" t="s">
        <v>5804</v>
      </c>
    </row>
    <row r="867" spans="8:8" x14ac:dyDescent="0.25">
      <c r="H867" t="s">
        <v>5805</v>
      </c>
    </row>
    <row r="868" spans="8:8" x14ac:dyDescent="0.25">
      <c r="H868" t="s">
        <v>5806</v>
      </c>
    </row>
    <row r="869" spans="8:8" x14ac:dyDescent="0.25">
      <c r="H869" t="s">
        <v>5807</v>
      </c>
    </row>
    <row r="870" spans="8:8" x14ac:dyDescent="0.25">
      <c r="H870" t="s">
        <v>5808</v>
      </c>
    </row>
    <row r="871" spans="8:8" x14ac:dyDescent="0.25">
      <c r="H871" t="s">
        <v>5809</v>
      </c>
    </row>
    <row r="872" spans="8:8" x14ac:dyDescent="0.25">
      <c r="H872" t="s">
        <v>5810</v>
      </c>
    </row>
    <row r="873" spans="8:8" x14ac:dyDescent="0.25">
      <c r="H873" t="s">
        <v>5811</v>
      </c>
    </row>
    <row r="874" spans="8:8" x14ac:dyDescent="0.25">
      <c r="H874" s="6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528"/>
    </sheetView>
  </sheetViews>
  <sheetFormatPr defaultRowHeight="15" x14ac:dyDescent="0.25"/>
  <sheetData/>
  <sortState xmlns:xlrd2="http://schemas.microsoft.com/office/spreadsheetml/2017/richdata2" ref="B4:AH528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2020-06-26T18:54:52Z</dcterms:modified>
</cp:coreProperties>
</file>