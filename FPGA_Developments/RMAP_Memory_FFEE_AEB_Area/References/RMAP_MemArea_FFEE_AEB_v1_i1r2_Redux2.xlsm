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franca\Development\GitHub\SimuCam_Development_DLR\FPGA_Developments\RMAP_Memory_FFEE_AEB_Area\References\"/>
    </mc:Choice>
  </mc:AlternateContent>
  <xr:revisionPtr revIDLastSave="0" documentId="13_ncr:1_{BC0848C9-D1B5-47D6-AF4D-19BB1E3F6325}" xr6:coauthVersionLast="45" xr6:coauthVersionMax="45" xr10:uidLastSave="{00000000-0000-0000-0000-000000000000}"/>
  <bookViews>
    <workbookView xWindow="28680" yWindow="-120" windowWidth="29040" windowHeight="15840" xr2:uid="{00000000-000D-0000-FFFF-FFFF00000000}"/>
  </bookViews>
  <sheets>
    <sheet name="Main" sheetId="1" r:id="rId1"/>
    <sheet name="Tables" sheetId="5" r:id="rId2"/>
    <sheet name="Read Case" sheetId="2" r:id="rId3"/>
    <sheet name="Write Case" sheetId="4" r:id="rId4"/>
    <sheet name="Temp" sheetId="6" state="hidden" r:id="rId5"/>
  </sheets>
  <definedNames>
    <definedName name="_xlnm._FilterDatabase" localSheetId="0" hidden="1">Main!$B$3:$BT$110</definedName>
    <definedName name="tableMainColumns">Tables!$I$4:$J$25</definedName>
    <definedName name="tableMainColumnsColumn">Tables!$J$4:$J$25</definedName>
    <definedName name="tableMainColumnsName">Tables!$I$4:$I$25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V110" i="1" l="1"/>
  <c r="AU110" i="1"/>
  <c r="AT110" i="1"/>
  <c r="AS110" i="1"/>
  <c r="AR110" i="1"/>
  <c r="AQ110" i="1"/>
  <c r="AP110" i="1"/>
  <c r="AO110" i="1"/>
  <c r="AN110" i="1"/>
  <c r="AM110" i="1"/>
  <c r="AL110" i="1"/>
  <c r="AK110" i="1"/>
  <c r="AJ110" i="1"/>
  <c r="AI110" i="1"/>
  <c r="AH110" i="1"/>
  <c r="AG110" i="1"/>
  <c r="AF110" i="1"/>
  <c r="AE110" i="1"/>
  <c r="AD110" i="1"/>
  <c r="AC110" i="1"/>
  <c r="AB110" i="1"/>
  <c r="AA110" i="1"/>
  <c r="Z110" i="1"/>
  <c r="Y110" i="1"/>
  <c r="X110" i="1"/>
  <c r="W110" i="1"/>
  <c r="V110" i="1"/>
  <c r="U110" i="1"/>
  <c r="T110" i="1"/>
  <c r="S110" i="1"/>
  <c r="R110" i="1"/>
  <c r="Q110" i="1"/>
  <c r="AV109" i="1"/>
  <c r="AU109" i="1"/>
  <c r="AT109" i="1"/>
  <c r="AS109" i="1"/>
  <c r="AR109" i="1"/>
  <c r="AQ109" i="1"/>
  <c r="AP109" i="1"/>
  <c r="AO109" i="1"/>
  <c r="AZ109" i="1" s="1"/>
  <c r="AN109" i="1"/>
  <c r="AM109" i="1"/>
  <c r="AL109" i="1"/>
  <c r="AK109" i="1"/>
  <c r="AJ109" i="1"/>
  <c r="AI109" i="1"/>
  <c r="AH109" i="1"/>
  <c r="AG109" i="1"/>
  <c r="AF109" i="1"/>
  <c r="AE109" i="1"/>
  <c r="AD109" i="1"/>
  <c r="AC109" i="1"/>
  <c r="AB109" i="1"/>
  <c r="AA109" i="1"/>
  <c r="Z109" i="1"/>
  <c r="Y109" i="1"/>
  <c r="X109" i="1"/>
  <c r="W109" i="1"/>
  <c r="V109" i="1"/>
  <c r="U109" i="1"/>
  <c r="T109" i="1"/>
  <c r="S109" i="1"/>
  <c r="R109" i="1"/>
  <c r="Q109" i="1"/>
  <c r="AW109" i="1" s="1"/>
  <c r="AV108" i="1"/>
  <c r="AU108" i="1"/>
  <c r="AT108" i="1"/>
  <c r="AS108" i="1"/>
  <c r="AR108" i="1"/>
  <c r="AQ108" i="1"/>
  <c r="AP108" i="1"/>
  <c r="AO108" i="1"/>
  <c r="AN108" i="1"/>
  <c r="AM108" i="1"/>
  <c r="AL108" i="1"/>
  <c r="AK108" i="1"/>
  <c r="AJ108" i="1"/>
  <c r="AI108" i="1"/>
  <c r="AH108" i="1"/>
  <c r="AG108" i="1"/>
  <c r="AF108" i="1"/>
  <c r="AE108" i="1"/>
  <c r="AD108" i="1"/>
  <c r="AC108" i="1"/>
  <c r="AB108" i="1"/>
  <c r="AA108" i="1"/>
  <c r="Z108" i="1"/>
  <c r="Y108" i="1"/>
  <c r="X108" i="1"/>
  <c r="W108" i="1"/>
  <c r="V108" i="1"/>
  <c r="U108" i="1"/>
  <c r="T108" i="1"/>
  <c r="S108" i="1"/>
  <c r="R108" i="1"/>
  <c r="Q108" i="1"/>
  <c r="AV107" i="1"/>
  <c r="AU107" i="1"/>
  <c r="AT107" i="1"/>
  <c r="AS107" i="1"/>
  <c r="AR107" i="1"/>
  <c r="AQ107" i="1"/>
  <c r="AP107" i="1"/>
  <c r="AO107" i="1"/>
  <c r="AN107" i="1"/>
  <c r="AM107" i="1"/>
  <c r="AL107" i="1"/>
  <c r="AK107" i="1"/>
  <c r="AJ107" i="1"/>
  <c r="AI107" i="1"/>
  <c r="AH107" i="1"/>
  <c r="AG107" i="1"/>
  <c r="AF107" i="1"/>
  <c r="AE107" i="1"/>
  <c r="AD107" i="1"/>
  <c r="AC107" i="1"/>
  <c r="AB107" i="1"/>
  <c r="AA107" i="1"/>
  <c r="Z107" i="1"/>
  <c r="Y107" i="1"/>
  <c r="X107" i="1"/>
  <c r="W107" i="1"/>
  <c r="V107" i="1"/>
  <c r="U107" i="1"/>
  <c r="T107" i="1"/>
  <c r="S107" i="1"/>
  <c r="R107" i="1"/>
  <c r="Q107" i="1"/>
  <c r="AV106" i="1"/>
  <c r="AU106" i="1"/>
  <c r="AT106" i="1"/>
  <c r="AS106" i="1"/>
  <c r="AR106" i="1"/>
  <c r="AQ106" i="1"/>
  <c r="AP106" i="1"/>
  <c r="AO106" i="1"/>
  <c r="AN106" i="1"/>
  <c r="AM106" i="1"/>
  <c r="AL106" i="1"/>
  <c r="AK106" i="1"/>
  <c r="AJ106" i="1"/>
  <c r="AI106" i="1"/>
  <c r="AH106" i="1"/>
  <c r="AG106" i="1"/>
  <c r="AF106" i="1"/>
  <c r="AE106" i="1"/>
  <c r="AD106" i="1"/>
  <c r="AC106" i="1"/>
  <c r="AB106" i="1"/>
  <c r="AA106" i="1"/>
  <c r="Z106" i="1"/>
  <c r="Y106" i="1"/>
  <c r="X106" i="1"/>
  <c r="W106" i="1"/>
  <c r="V106" i="1"/>
  <c r="U106" i="1"/>
  <c r="T106" i="1"/>
  <c r="S106" i="1"/>
  <c r="R106" i="1"/>
  <c r="Q106" i="1"/>
  <c r="AV105" i="1"/>
  <c r="AU105" i="1"/>
  <c r="AT105" i="1"/>
  <c r="AS105" i="1"/>
  <c r="AR105" i="1"/>
  <c r="AQ105" i="1"/>
  <c r="AP105" i="1"/>
  <c r="AO105" i="1"/>
  <c r="AN105" i="1"/>
  <c r="AM105" i="1"/>
  <c r="AL105" i="1"/>
  <c r="AK105" i="1"/>
  <c r="AJ105" i="1"/>
  <c r="AI105" i="1"/>
  <c r="AH105" i="1"/>
  <c r="AG105" i="1"/>
  <c r="AF105" i="1"/>
  <c r="AE105" i="1"/>
  <c r="AD105" i="1"/>
  <c r="AC105" i="1"/>
  <c r="AB105" i="1"/>
  <c r="AA105" i="1"/>
  <c r="Z105" i="1"/>
  <c r="Y105" i="1"/>
  <c r="X105" i="1"/>
  <c r="W105" i="1"/>
  <c r="V105" i="1"/>
  <c r="U105" i="1"/>
  <c r="T105" i="1"/>
  <c r="S105" i="1"/>
  <c r="R105" i="1"/>
  <c r="Q105" i="1"/>
  <c r="AV104" i="1"/>
  <c r="AU104" i="1"/>
  <c r="AT104" i="1"/>
  <c r="AS104" i="1"/>
  <c r="AR104" i="1"/>
  <c r="AQ104" i="1"/>
  <c r="AP104" i="1"/>
  <c r="AO104" i="1"/>
  <c r="AN104" i="1"/>
  <c r="AM104" i="1"/>
  <c r="AL104" i="1"/>
  <c r="AK104" i="1"/>
  <c r="AJ104" i="1"/>
  <c r="AI104" i="1"/>
  <c r="AH104" i="1"/>
  <c r="AG104" i="1"/>
  <c r="AF104" i="1"/>
  <c r="AE104" i="1"/>
  <c r="AD104" i="1"/>
  <c r="AC104" i="1"/>
  <c r="AB104" i="1"/>
  <c r="AA104" i="1"/>
  <c r="Z104" i="1"/>
  <c r="Y104" i="1"/>
  <c r="X104" i="1"/>
  <c r="W104" i="1"/>
  <c r="V104" i="1"/>
  <c r="U104" i="1"/>
  <c r="T104" i="1"/>
  <c r="S104" i="1"/>
  <c r="R104" i="1"/>
  <c r="Q104" i="1"/>
  <c r="AV103" i="1"/>
  <c r="AU103" i="1"/>
  <c r="AT103" i="1"/>
  <c r="AS103" i="1"/>
  <c r="AR103" i="1"/>
  <c r="AQ103" i="1"/>
  <c r="AP103" i="1"/>
  <c r="AO103" i="1"/>
  <c r="AZ103" i="1" s="1"/>
  <c r="AN103" i="1"/>
  <c r="AM103" i="1"/>
  <c r="AL103" i="1"/>
  <c r="AK103" i="1"/>
  <c r="AJ103" i="1"/>
  <c r="AI103" i="1"/>
  <c r="AH103" i="1"/>
  <c r="AG103" i="1"/>
  <c r="AY103" i="1" s="1"/>
  <c r="AF103" i="1"/>
  <c r="AE103" i="1"/>
  <c r="AD103" i="1"/>
  <c r="AC103" i="1"/>
  <c r="AB103" i="1"/>
  <c r="AA103" i="1"/>
  <c r="Z103" i="1"/>
  <c r="Y103" i="1"/>
  <c r="AX103" i="1" s="1"/>
  <c r="X103" i="1"/>
  <c r="W103" i="1"/>
  <c r="V103" i="1"/>
  <c r="U103" i="1"/>
  <c r="T103" i="1"/>
  <c r="S103" i="1"/>
  <c r="R103" i="1"/>
  <c r="Q103" i="1"/>
  <c r="AV102" i="1"/>
  <c r="AU102" i="1"/>
  <c r="AT102" i="1"/>
  <c r="AS102" i="1"/>
  <c r="AR102" i="1"/>
  <c r="AQ102" i="1"/>
  <c r="AP102" i="1"/>
  <c r="AO102" i="1"/>
  <c r="AN102" i="1"/>
  <c r="AM102" i="1"/>
  <c r="AL102" i="1"/>
  <c r="AK102" i="1"/>
  <c r="AJ102" i="1"/>
  <c r="AI102" i="1"/>
  <c r="AH102" i="1"/>
  <c r="AG102" i="1"/>
  <c r="AF102" i="1"/>
  <c r="AE102" i="1"/>
  <c r="AD102" i="1"/>
  <c r="AC102" i="1"/>
  <c r="AB102" i="1"/>
  <c r="AA102" i="1"/>
  <c r="Z102" i="1"/>
  <c r="Y102" i="1"/>
  <c r="X102" i="1"/>
  <c r="W102" i="1"/>
  <c r="V102" i="1"/>
  <c r="U102" i="1"/>
  <c r="T102" i="1"/>
  <c r="S102" i="1"/>
  <c r="R102" i="1"/>
  <c r="Q102" i="1"/>
  <c r="AV101" i="1"/>
  <c r="AU101" i="1"/>
  <c r="AT101" i="1"/>
  <c r="AS101" i="1"/>
  <c r="AR101" i="1"/>
  <c r="AQ101" i="1"/>
  <c r="AP101" i="1"/>
  <c r="AO101" i="1"/>
  <c r="AN101" i="1"/>
  <c r="AM101" i="1"/>
  <c r="AL101" i="1"/>
  <c r="AK101" i="1"/>
  <c r="AJ101" i="1"/>
  <c r="AI101" i="1"/>
  <c r="AH101" i="1"/>
  <c r="AG101" i="1"/>
  <c r="AF101" i="1"/>
  <c r="AE101" i="1"/>
  <c r="AD101" i="1"/>
  <c r="AC101" i="1"/>
  <c r="AB101" i="1"/>
  <c r="AA101" i="1"/>
  <c r="Z101" i="1"/>
  <c r="Y101" i="1"/>
  <c r="X101" i="1"/>
  <c r="W101" i="1"/>
  <c r="V101" i="1"/>
  <c r="U101" i="1"/>
  <c r="T101" i="1"/>
  <c r="S101" i="1"/>
  <c r="R101" i="1"/>
  <c r="Q101" i="1"/>
  <c r="AV100" i="1"/>
  <c r="AU100" i="1"/>
  <c r="AT100" i="1"/>
  <c r="AS100" i="1"/>
  <c r="AR100" i="1"/>
  <c r="AQ100" i="1"/>
  <c r="AP100" i="1"/>
  <c r="AO100" i="1"/>
  <c r="AN100" i="1"/>
  <c r="AM100" i="1"/>
  <c r="AL100" i="1"/>
  <c r="AK100" i="1"/>
  <c r="AJ100" i="1"/>
  <c r="AI100" i="1"/>
  <c r="AH100" i="1"/>
  <c r="AG100" i="1"/>
  <c r="AF100" i="1"/>
  <c r="AE100" i="1"/>
  <c r="AD100" i="1"/>
  <c r="AC100" i="1"/>
  <c r="AB100" i="1"/>
  <c r="AA100" i="1"/>
  <c r="Z100" i="1"/>
  <c r="Y100" i="1"/>
  <c r="X100" i="1"/>
  <c r="W100" i="1"/>
  <c r="V100" i="1"/>
  <c r="U100" i="1"/>
  <c r="T100" i="1"/>
  <c r="S100" i="1"/>
  <c r="R100" i="1"/>
  <c r="Q100" i="1"/>
  <c r="AV99" i="1"/>
  <c r="AU99" i="1"/>
  <c r="AT99" i="1"/>
  <c r="AS99" i="1"/>
  <c r="AR99" i="1"/>
  <c r="AQ99" i="1"/>
  <c r="AP99" i="1"/>
  <c r="AO99" i="1"/>
  <c r="AN99" i="1"/>
  <c r="AM99" i="1"/>
  <c r="AL99" i="1"/>
  <c r="AK99" i="1"/>
  <c r="AJ99" i="1"/>
  <c r="AI99" i="1"/>
  <c r="AH99" i="1"/>
  <c r="AG99" i="1"/>
  <c r="AF99" i="1"/>
  <c r="AE99" i="1"/>
  <c r="AD99" i="1"/>
  <c r="AC99" i="1"/>
  <c r="AB99" i="1"/>
  <c r="AA99" i="1"/>
  <c r="Z99" i="1"/>
  <c r="Y99" i="1"/>
  <c r="X99" i="1"/>
  <c r="W99" i="1"/>
  <c r="V99" i="1"/>
  <c r="U99" i="1"/>
  <c r="T99" i="1"/>
  <c r="S99" i="1"/>
  <c r="R99" i="1"/>
  <c r="Q99" i="1"/>
  <c r="AV98" i="1"/>
  <c r="AU98" i="1"/>
  <c r="AT98" i="1"/>
  <c r="AS98" i="1"/>
  <c r="AR98" i="1"/>
  <c r="AQ98" i="1"/>
  <c r="AP98" i="1"/>
  <c r="AO98" i="1"/>
  <c r="AZ98" i="1" s="1"/>
  <c r="AN98" i="1"/>
  <c r="AM98" i="1"/>
  <c r="AL98" i="1"/>
  <c r="AK98" i="1"/>
  <c r="AJ98" i="1"/>
  <c r="AI98" i="1"/>
  <c r="AH98" i="1"/>
  <c r="AG98" i="1"/>
  <c r="AF98" i="1"/>
  <c r="AE98" i="1"/>
  <c r="AD98" i="1"/>
  <c r="AC98" i="1"/>
  <c r="AB98" i="1"/>
  <c r="AA98" i="1"/>
  <c r="Z98" i="1"/>
  <c r="Y98" i="1"/>
  <c r="X98" i="1"/>
  <c r="W98" i="1"/>
  <c r="V98" i="1"/>
  <c r="U98" i="1"/>
  <c r="T98" i="1"/>
  <c r="S98" i="1"/>
  <c r="R98" i="1"/>
  <c r="Q98" i="1"/>
  <c r="AV97" i="1"/>
  <c r="AU97" i="1"/>
  <c r="AT97" i="1"/>
  <c r="AS97" i="1"/>
  <c r="AR97" i="1"/>
  <c r="AQ97" i="1"/>
  <c r="AP97" i="1"/>
  <c r="AO97" i="1"/>
  <c r="AZ97" i="1" s="1"/>
  <c r="BD97" i="1" s="1"/>
  <c r="BH97" i="1" s="1"/>
  <c r="AN97" i="1"/>
  <c r="AM97" i="1"/>
  <c r="AL97" i="1"/>
  <c r="AK97" i="1"/>
  <c r="AJ97" i="1"/>
  <c r="AI97" i="1"/>
  <c r="AH97" i="1"/>
  <c r="AG97" i="1"/>
  <c r="AY97" i="1" s="1"/>
  <c r="AF97" i="1"/>
  <c r="AE97" i="1"/>
  <c r="AD97" i="1"/>
  <c r="AC97" i="1"/>
  <c r="AB97" i="1"/>
  <c r="AA97" i="1"/>
  <c r="Z97" i="1"/>
  <c r="Y97" i="1"/>
  <c r="X97" i="1"/>
  <c r="W97" i="1"/>
  <c r="V97" i="1"/>
  <c r="U97" i="1"/>
  <c r="T97" i="1"/>
  <c r="S97" i="1"/>
  <c r="R97" i="1"/>
  <c r="Q97" i="1"/>
  <c r="AV96" i="1"/>
  <c r="AU96" i="1"/>
  <c r="AT96" i="1"/>
  <c r="AS96" i="1"/>
  <c r="AR96" i="1"/>
  <c r="AQ96" i="1"/>
  <c r="AP96" i="1"/>
  <c r="AO96" i="1"/>
  <c r="AZ96" i="1" s="1"/>
  <c r="BP96" i="1" s="1"/>
  <c r="AN96" i="1"/>
  <c r="AM96" i="1"/>
  <c r="AL96" i="1"/>
  <c r="AK96" i="1"/>
  <c r="AJ96" i="1"/>
  <c r="AI96" i="1"/>
  <c r="AH96" i="1"/>
  <c r="AG96" i="1"/>
  <c r="AY96" i="1" s="1"/>
  <c r="AF96" i="1"/>
  <c r="AE96" i="1"/>
  <c r="AD96" i="1"/>
  <c r="AC96" i="1"/>
  <c r="AB96" i="1"/>
  <c r="AA96" i="1"/>
  <c r="Z96" i="1"/>
  <c r="Y96" i="1"/>
  <c r="AX96" i="1" s="1"/>
  <c r="BB96" i="1" s="1"/>
  <c r="BF96" i="1" s="1"/>
  <c r="X96" i="1"/>
  <c r="W96" i="1"/>
  <c r="V96" i="1"/>
  <c r="U96" i="1"/>
  <c r="T96" i="1"/>
  <c r="S96" i="1"/>
  <c r="R96" i="1"/>
  <c r="Q96" i="1"/>
  <c r="AW96" i="1" s="1"/>
  <c r="BI96" i="1" s="1"/>
  <c r="AV95" i="1"/>
  <c r="AU95" i="1"/>
  <c r="AT95" i="1"/>
  <c r="AS95" i="1"/>
  <c r="AR95" i="1"/>
  <c r="AQ95" i="1"/>
  <c r="AP95" i="1"/>
  <c r="AO95" i="1"/>
  <c r="AZ95" i="1" s="1"/>
  <c r="AN95" i="1"/>
  <c r="AM95" i="1"/>
  <c r="AL95" i="1"/>
  <c r="AK95" i="1"/>
  <c r="AJ95" i="1"/>
  <c r="AI95" i="1"/>
  <c r="AH95" i="1"/>
  <c r="AG95" i="1"/>
  <c r="AY95" i="1" s="1"/>
  <c r="AF95" i="1"/>
  <c r="AE95" i="1"/>
  <c r="AD95" i="1"/>
  <c r="AC95" i="1"/>
  <c r="AB95" i="1"/>
  <c r="AA95" i="1"/>
  <c r="Z95" i="1"/>
  <c r="Y95" i="1"/>
  <c r="AX95" i="1" s="1"/>
  <c r="BJ95" i="1" s="1"/>
  <c r="X95" i="1"/>
  <c r="W95" i="1"/>
  <c r="V95" i="1"/>
  <c r="U95" i="1"/>
  <c r="T95" i="1"/>
  <c r="S95" i="1"/>
  <c r="R95" i="1"/>
  <c r="Q95" i="1"/>
  <c r="AW95" i="1" s="1"/>
  <c r="AV94" i="1"/>
  <c r="AU94" i="1"/>
  <c r="AT94" i="1"/>
  <c r="AS94" i="1"/>
  <c r="AR94" i="1"/>
  <c r="AQ94" i="1"/>
  <c r="AP94" i="1"/>
  <c r="AO94" i="1"/>
  <c r="AZ94" i="1" s="1"/>
  <c r="AN94" i="1"/>
  <c r="AM94" i="1"/>
  <c r="AL94" i="1"/>
  <c r="AK94" i="1"/>
  <c r="AJ94" i="1"/>
  <c r="AI94" i="1"/>
  <c r="AH94" i="1"/>
  <c r="AG94" i="1"/>
  <c r="AF94" i="1"/>
  <c r="AE94" i="1"/>
  <c r="AD94" i="1"/>
  <c r="AC94" i="1"/>
  <c r="AB94" i="1"/>
  <c r="AA94" i="1"/>
  <c r="Z94" i="1"/>
  <c r="Y94" i="1"/>
  <c r="X94" i="1"/>
  <c r="W94" i="1"/>
  <c r="V94" i="1"/>
  <c r="U94" i="1"/>
  <c r="T94" i="1"/>
  <c r="S94" i="1"/>
  <c r="R94" i="1"/>
  <c r="Q94" i="1"/>
  <c r="AV93" i="1"/>
  <c r="AU93" i="1"/>
  <c r="AT93" i="1"/>
  <c r="AS93" i="1"/>
  <c r="AR93" i="1"/>
  <c r="AQ93" i="1"/>
  <c r="AP93" i="1"/>
  <c r="AO93" i="1"/>
  <c r="AN93" i="1"/>
  <c r="AM93" i="1"/>
  <c r="AL93" i="1"/>
  <c r="AK93" i="1"/>
  <c r="AJ93" i="1"/>
  <c r="AI93" i="1"/>
  <c r="AH93" i="1"/>
  <c r="AG93" i="1"/>
  <c r="AF93" i="1"/>
  <c r="AE93" i="1"/>
  <c r="AD93" i="1"/>
  <c r="AC93" i="1"/>
  <c r="AB93" i="1"/>
  <c r="AA93" i="1"/>
  <c r="Z93" i="1"/>
  <c r="Y93" i="1"/>
  <c r="X93" i="1"/>
  <c r="W93" i="1"/>
  <c r="V93" i="1"/>
  <c r="U93" i="1"/>
  <c r="T93" i="1"/>
  <c r="S93" i="1"/>
  <c r="R93" i="1"/>
  <c r="Q93" i="1"/>
  <c r="AV92" i="1"/>
  <c r="AU92" i="1"/>
  <c r="AT92" i="1"/>
  <c r="AS92" i="1"/>
  <c r="AR92" i="1"/>
  <c r="AQ92" i="1"/>
  <c r="AP92" i="1"/>
  <c r="AO92" i="1"/>
  <c r="AN92" i="1"/>
  <c r="AM92" i="1"/>
  <c r="AL92" i="1"/>
  <c r="AK92" i="1"/>
  <c r="AJ92" i="1"/>
  <c r="AI92" i="1"/>
  <c r="AH92" i="1"/>
  <c r="AG92" i="1"/>
  <c r="AF92" i="1"/>
  <c r="AE92" i="1"/>
  <c r="AD92" i="1"/>
  <c r="AC92" i="1"/>
  <c r="AB92" i="1"/>
  <c r="AA92" i="1"/>
  <c r="Z92" i="1"/>
  <c r="Y92" i="1"/>
  <c r="X92" i="1"/>
  <c r="W92" i="1"/>
  <c r="V92" i="1"/>
  <c r="U92" i="1"/>
  <c r="T92" i="1"/>
  <c r="S92" i="1"/>
  <c r="R92" i="1"/>
  <c r="Q92" i="1"/>
  <c r="AV91" i="1"/>
  <c r="AU91" i="1"/>
  <c r="AT91" i="1"/>
  <c r="AS91" i="1"/>
  <c r="AR91" i="1"/>
  <c r="AQ91" i="1"/>
  <c r="AP91" i="1"/>
  <c r="AO91" i="1"/>
  <c r="AN91" i="1"/>
  <c r="AM91" i="1"/>
  <c r="AL91" i="1"/>
  <c r="AK91" i="1"/>
  <c r="AJ91" i="1"/>
  <c r="AI91" i="1"/>
  <c r="AH91" i="1"/>
  <c r="AG91" i="1"/>
  <c r="AF91" i="1"/>
  <c r="AE91" i="1"/>
  <c r="AD91" i="1"/>
  <c r="AC91" i="1"/>
  <c r="AB91" i="1"/>
  <c r="AA91" i="1"/>
  <c r="Z91" i="1"/>
  <c r="Y91" i="1"/>
  <c r="X91" i="1"/>
  <c r="W91" i="1"/>
  <c r="V91" i="1"/>
  <c r="U91" i="1"/>
  <c r="T91" i="1"/>
  <c r="S91" i="1"/>
  <c r="R91" i="1"/>
  <c r="Q91" i="1"/>
  <c r="AV90" i="1"/>
  <c r="AU90" i="1"/>
  <c r="AT90" i="1"/>
  <c r="AS90" i="1"/>
  <c r="AR90" i="1"/>
  <c r="AQ90" i="1"/>
  <c r="AP90" i="1"/>
  <c r="AO90" i="1"/>
  <c r="AN90" i="1"/>
  <c r="AM90" i="1"/>
  <c r="AL90" i="1"/>
  <c r="AK90" i="1"/>
  <c r="AJ90" i="1"/>
  <c r="AI90" i="1"/>
  <c r="AH90" i="1"/>
  <c r="AG90" i="1"/>
  <c r="AF90" i="1"/>
  <c r="AE90" i="1"/>
  <c r="AD90" i="1"/>
  <c r="AC90" i="1"/>
  <c r="AB90" i="1"/>
  <c r="AA90" i="1"/>
  <c r="Z90" i="1"/>
  <c r="Y90" i="1"/>
  <c r="X90" i="1"/>
  <c r="W90" i="1"/>
  <c r="V90" i="1"/>
  <c r="U90" i="1"/>
  <c r="T90" i="1"/>
  <c r="S90" i="1"/>
  <c r="R90" i="1"/>
  <c r="Q90" i="1"/>
  <c r="AV89" i="1"/>
  <c r="AU89" i="1"/>
  <c r="AT89" i="1"/>
  <c r="AS89" i="1"/>
  <c r="AR89" i="1"/>
  <c r="AQ89" i="1"/>
  <c r="AP89" i="1"/>
  <c r="AO89" i="1"/>
  <c r="AN89" i="1"/>
  <c r="AM89" i="1"/>
  <c r="AL89" i="1"/>
  <c r="AK89" i="1"/>
  <c r="AJ89" i="1"/>
  <c r="AI89" i="1"/>
  <c r="AH89" i="1"/>
  <c r="AG89" i="1"/>
  <c r="AF89" i="1"/>
  <c r="AE89" i="1"/>
  <c r="AD89" i="1"/>
  <c r="AC89" i="1"/>
  <c r="AB89" i="1"/>
  <c r="AA89" i="1"/>
  <c r="Z89" i="1"/>
  <c r="Y89" i="1"/>
  <c r="X89" i="1"/>
  <c r="W89" i="1"/>
  <c r="V89" i="1"/>
  <c r="U89" i="1"/>
  <c r="T89" i="1"/>
  <c r="S89" i="1"/>
  <c r="R89" i="1"/>
  <c r="Q89" i="1"/>
  <c r="AV88" i="1"/>
  <c r="AU88" i="1"/>
  <c r="AT88" i="1"/>
  <c r="AS88" i="1"/>
  <c r="AR88" i="1"/>
  <c r="AQ88" i="1"/>
  <c r="AP88" i="1"/>
  <c r="AO88" i="1"/>
  <c r="AN88" i="1"/>
  <c r="AM88" i="1"/>
  <c r="AL88" i="1"/>
  <c r="AK88" i="1"/>
  <c r="AJ88" i="1"/>
  <c r="AI88" i="1"/>
  <c r="AH88" i="1"/>
  <c r="AG88" i="1"/>
  <c r="AF88" i="1"/>
  <c r="AE88" i="1"/>
  <c r="AD88" i="1"/>
  <c r="AC88" i="1"/>
  <c r="AB88" i="1"/>
  <c r="AA88" i="1"/>
  <c r="Z88" i="1"/>
  <c r="Y88" i="1"/>
  <c r="X88" i="1"/>
  <c r="W88" i="1"/>
  <c r="V88" i="1"/>
  <c r="U88" i="1"/>
  <c r="T88" i="1"/>
  <c r="S88" i="1"/>
  <c r="R88" i="1"/>
  <c r="Q88" i="1"/>
  <c r="AV87" i="1"/>
  <c r="AU87" i="1"/>
  <c r="AT87" i="1"/>
  <c r="AS87" i="1"/>
  <c r="AR87" i="1"/>
  <c r="AQ87" i="1"/>
  <c r="AP87" i="1"/>
  <c r="AO87" i="1"/>
  <c r="AZ87" i="1" s="1"/>
  <c r="AN87" i="1"/>
  <c r="AM87" i="1"/>
  <c r="AL87" i="1"/>
  <c r="AK87" i="1"/>
  <c r="AJ87" i="1"/>
  <c r="AI87" i="1"/>
  <c r="AH87" i="1"/>
  <c r="AG87" i="1"/>
  <c r="AY87" i="1" s="1"/>
  <c r="AF87" i="1"/>
  <c r="AE87" i="1"/>
  <c r="AD87" i="1"/>
  <c r="AC87" i="1"/>
  <c r="AB87" i="1"/>
  <c r="AA87" i="1"/>
  <c r="Z87" i="1"/>
  <c r="Y87" i="1"/>
  <c r="AX87" i="1" s="1"/>
  <c r="BB87" i="1" s="1"/>
  <c r="BF87" i="1" s="1"/>
  <c r="X87" i="1"/>
  <c r="W87" i="1"/>
  <c r="V87" i="1"/>
  <c r="U87" i="1"/>
  <c r="T87" i="1"/>
  <c r="S87" i="1"/>
  <c r="R87" i="1"/>
  <c r="Q87" i="1"/>
  <c r="AW87" i="1" s="1"/>
  <c r="BM87" i="1" s="1"/>
  <c r="AV86" i="1"/>
  <c r="AU86" i="1"/>
  <c r="AT86" i="1"/>
  <c r="AS86" i="1"/>
  <c r="AR86" i="1"/>
  <c r="AQ86" i="1"/>
  <c r="AP86" i="1"/>
  <c r="AO86" i="1"/>
  <c r="AN86" i="1"/>
  <c r="AM86" i="1"/>
  <c r="AL86" i="1"/>
  <c r="AK86" i="1"/>
  <c r="AJ86" i="1"/>
  <c r="AI86" i="1"/>
  <c r="AH86" i="1"/>
  <c r="AG86" i="1"/>
  <c r="AF86" i="1"/>
  <c r="AE86" i="1"/>
  <c r="AD86" i="1"/>
  <c r="AC86" i="1"/>
  <c r="AB86" i="1"/>
  <c r="AA86" i="1"/>
  <c r="Z86" i="1"/>
  <c r="Y86" i="1"/>
  <c r="X86" i="1"/>
  <c r="W86" i="1"/>
  <c r="V86" i="1"/>
  <c r="U86" i="1"/>
  <c r="T86" i="1"/>
  <c r="S86" i="1"/>
  <c r="R86" i="1"/>
  <c r="Q86" i="1"/>
  <c r="AV85" i="1"/>
  <c r="AU85" i="1"/>
  <c r="AT85" i="1"/>
  <c r="AS85" i="1"/>
  <c r="AR85" i="1"/>
  <c r="AQ85" i="1"/>
  <c r="AP85" i="1"/>
  <c r="AO85" i="1"/>
  <c r="AZ85" i="1" s="1"/>
  <c r="AN85" i="1"/>
  <c r="AM85" i="1"/>
  <c r="AL85" i="1"/>
  <c r="AK85" i="1"/>
  <c r="AJ85" i="1"/>
  <c r="AI85" i="1"/>
  <c r="AH85" i="1"/>
  <c r="AG85" i="1"/>
  <c r="AY85" i="1" s="1"/>
  <c r="AF85" i="1"/>
  <c r="AE85" i="1"/>
  <c r="AD85" i="1"/>
  <c r="AC85" i="1"/>
  <c r="AB85" i="1"/>
  <c r="AA85" i="1"/>
  <c r="Z85" i="1"/>
  <c r="Y85" i="1"/>
  <c r="AX85" i="1" s="1"/>
  <c r="X85" i="1"/>
  <c r="W85" i="1"/>
  <c r="V85" i="1"/>
  <c r="U85" i="1"/>
  <c r="T85" i="1"/>
  <c r="S85" i="1"/>
  <c r="R85" i="1"/>
  <c r="Q85" i="1"/>
  <c r="AW85" i="1" s="1"/>
  <c r="AV84" i="1"/>
  <c r="AU84" i="1"/>
  <c r="AT84" i="1"/>
  <c r="AS84" i="1"/>
  <c r="AR84" i="1"/>
  <c r="AQ84" i="1"/>
  <c r="AP84" i="1"/>
  <c r="AO84" i="1"/>
  <c r="AN84" i="1"/>
  <c r="AM84" i="1"/>
  <c r="AL84" i="1"/>
  <c r="AK84" i="1"/>
  <c r="AJ84" i="1"/>
  <c r="AI84" i="1"/>
  <c r="AH84" i="1"/>
  <c r="AG84" i="1"/>
  <c r="AY84" i="1" s="1"/>
  <c r="AF84" i="1"/>
  <c r="AE84" i="1"/>
  <c r="AD84" i="1"/>
  <c r="AC84" i="1"/>
  <c r="AB84" i="1"/>
  <c r="AA84" i="1"/>
  <c r="Z84" i="1"/>
  <c r="Y84" i="1"/>
  <c r="X84" i="1"/>
  <c r="W84" i="1"/>
  <c r="V84" i="1"/>
  <c r="U84" i="1"/>
  <c r="T84" i="1"/>
  <c r="S84" i="1"/>
  <c r="R84" i="1"/>
  <c r="Q84" i="1"/>
  <c r="AV83" i="1"/>
  <c r="AU83" i="1"/>
  <c r="AT83" i="1"/>
  <c r="AS83" i="1"/>
  <c r="AR83" i="1"/>
  <c r="AQ83" i="1"/>
  <c r="AP83" i="1"/>
  <c r="AO83" i="1"/>
  <c r="AN83" i="1"/>
  <c r="AM83" i="1"/>
  <c r="AL83" i="1"/>
  <c r="AK83" i="1"/>
  <c r="AJ83" i="1"/>
  <c r="AI83" i="1"/>
  <c r="AH83" i="1"/>
  <c r="AG83" i="1"/>
  <c r="AF83" i="1"/>
  <c r="AE83" i="1"/>
  <c r="AD83" i="1"/>
  <c r="AC83" i="1"/>
  <c r="AB83" i="1"/>
  <c r="AA83" i="1"/>
  <c r="Z83" i="1"/>
  <c r="Y83" i="1"/>
  <c r="X83" i="1"/>
  <c r="W83" i="1"/>
  <c r="V83" i="1"/>
  <c r="U83" i="1"/>
  <c r="T83" i="1"/>
  <c r="S83" i="1"/>
  <c r="R83" i="1"/>
  <c r="Q83" i="1"/>
  <c r="AV82" i="1"/>
  <c r="AU82" i="1"/>
  <c r="AT82" i="1"/>
  <c r="AS82" i="1"/>
  <c r="AR82" i="1"/>
  <c r="AQ82" i="1"/>
  <c r="AP82" i="1"/>
  <c r="AO82" i="1"/>
  <c r="AN82" i="1"/>
  <c r="AM82" i="1"/>
  <c r="AL82" i="1"/>
  <c r="AK82" i="1"/>
  <c r="AJ82" i="1"/>
  <c r="AI82" i="1"/>
  <c r="AH82" i="1"/>
  <c r="AG82" i="1"/>
  <c r="AF82" i="1"/>
  <c r="AE82" i="1"/>
  <c r="AD82" i="1"/>
  <c r="AC82" i="1"/>
  <c r="AB82" i="1"/>
  <c r="AA82" i="1"/>
  <c r="Z82" i="1"/>
  <c r="Y82" i="1"/>
  <c r="X82" i="1"/>
  <c r="W82" i="1"/>
  <c r="V82" i="1"/>
  <c r="U82" i="1"/>
  <c r="T82" i="1"/>
  <c r="S82" i="1"/>
  <c r="R82" i="1"/>
  <c r="Q82" i="1"/>
  <c r="AV81" i="1"/>
  <c r="AU81" i="1"/>
  <c r="AT81" i="1"/>
  <c r="AS81" i="1"/>
  <c r="AR81" i="1"/>
  <c r="AQ81" i="1"/>
  <c r="AP81" i="1"/>
  <c r="AO81" i="1"/>
  <c r="AN81" i="1"/>
  <c r="AM81" i="1"/>
  <c r="AL81" i="1"/>
  <c r="AK81" i="1"/>
  <c r="AJ81" i="1"/>
  <c r="AI81" i="1"/>
  <c r="AH81" i="1"/>
  <c r="AG81" i="1"/>
  <c r="AF81" i="1"/>
  <c r="AE81" i="1"/>
  <c r="AD81" i="1"/>
  <c r="AC81" i="1"/>
  <c r="AB81" i="1"/>
  <c r="AA81" i="1"/>
  <c r="Z81" i="1"/>
  <c r="Y81" i="1"/>
  <c r="X81" i="1"/>
  <c r="W81" i="1"/>
  <c r="V81" i="1"/>
  <c r="U81" i="1"/>
  <c r="T81" i="1"/>
  <c r="S81" i="1"/>
  <c r="R81" i="1"/>
  <c r="Q81" i="1"/>
  <c r="AV80" i="1"/>
  <c r="AU80" i="1"/>
  <c r="AT80" i="1"/>
  <c r="AS80" i="1"/>
  <c r="AR80" i="1"/>
  <c r="AQ80" i="1"/>
  <c r="AP80" i="1"/>
  <c r="AO80" i="1"/>
  <c r="AN80" i="1"/>
  <c r="AM80" i="1"/>
  <c r="AL80" i="1"/>
  <c r="AK80" i="1"/>
  <c r="AJ80" i="1"/>
  <c r="AI80" i="1"/>
  <c r="AH80" i="1"/>
  <c r="AG80" i="1"/>
  <c r="AF80" i="1"/>
  <c r="AE80" i="1"/>
  <c r="AD80" i="1"/>
  <c r="AC80" i="1"/>
  <c r="AB80" i="1"/>
  <c r="AA80" i="1"/>
  <c r="Z80" i="1"/>
  <c r="Y80" i="1"/>
  <c r="X80" i="1"/>
  <c r="W80" i="1"/>
  <c r="V80" i="1"/>
  <c r="U80" i="1"/>
  <c r="T80" i="1"/>
  <c r="S80" i="1"/>
  <c r="R80" i="1"/>
  <c r="Q80" i="1"/>
  <c r="AV79" i="1"/>
  <c r="AU79" i="1"/>
  <c r="AT79" i="1"/>
  <c r="AS79" i="1"/>
  <c r="AR79" i="1"/>
  <c r="AQ79" i="1"/>
  <c r="AP79" i="1"/>
  <c r="AO79" i="1"/>
  <c r="AN79" i="1"/>
  <c r="AM79" i="1"/>
  <c r="AL79" i="1"/>
  <c r="AK79" i="1"/>
  <c r="AJ79" i="1"/>
  <c r="AI79" i="1"/>
  <c r="AH79" i="1"/>
  <c r="AG79" i="1"/>
  <c r="AF79" i="1"/>
  <c r="AE79" i="1"/>
  <c r="AD79" i="1"/>
  <c r="AC79" i="1"/>
  <c r="AB79" i="1"/>
  <c r="AA79" i="1"/>
  <c r="Z79" i="1"/>
  <c r="Y79" i="1"/>
  <c r="X79" i="1"/>
  <c r="W79" i="1"/>
  <c r="V79" i="1"/>
  <c r="U79" i="1"/>
  <c r="T79" i="1"/>
  <c r="S79" i="1"/>
  <c r="R79" i="1"/>
  <c r="Q79" i="1"/>
  <c r="AV78" i="1"/>
  <c r="AU78" i="1"/>
  <c r="AT78" i="1"/>
  <c r="AS78" i="1"/>
  <c r="AR78" i="1"/>
  <c r="AQ78" i="1"/>
  <c r="AP78" i="1"/>
  <c r="AO78" i="1"/>
  <c r="AN78" i="1"/>
  <c r="AM78" i="1"/>
  <c r="AL78" i="1"/>
  <c r="AK78" i="1"/>
  <c r="AJ78" i="1"/>
  <c r="AI78" i="1"/>
  <c r="AH78" i="1"/>
  <c r="AG78" i="1"/>
  <c r="AF78" i="1"/>
  <c r="AE78" i="1"/>
  <c r="AD78" i="1"/>
  <c r="AC78" i="1"/>
  <c r="AB78" i="1"/>
  <c r="AA78" i="1"/>
  <c r="Z78" i="1"/>
  <c r="Y78" i="1"/>
  <c r="X78" i="1"/>
  <c r="W78" i="1"/>
  <c r="V78" i="1"/>
  <c r="U78" i="1"/>
  <c r="T78" i="1"/>
  <c r="S78" i="1"/>
  <c r="R78" i="1"/>
  <c r="Q78" i="1"/>
  <c r="AV77" i="1"/>
  <c r="AU77" i="1"/>
  <c r="AT77" i="1"/>
  <c r="AS77" i="1"/>
  <c r="AR77" i="1"/>
  <c r="AQ77" i="1"/>
  <c r="AP77" i="1"/>
  <c r="AO77" i="1"/>
  <c r="AN77" i="1"/>
  <c r="AM77" i="1"/>
  <c r="AL77" i="1"/>
  <c r="AK77" i="1"/>
  <c r="AJ77" i="1"/>
  <c r="AI77" i="1"/>
  <c r="AH77" i="1"/>
  <c r="AG77" i="1"/>
  <c r="AF77" i="1"/>
  <c r="AE77" i="1"/>
  <c r="AD77" i="1"/>
  <c r="AC77" i="1"/>
  <c r="AB77" i="1"/>
  <c r="AA77" i="1"/>
  <c r="Z77" i="1"/>
  <c r="Y77" i="1"/>
  <c r="X77" i="1"/>
  <c r="W77" i="1"/>
  <c r="V77" i="1"/>
  <c r="U77" i="1"/>
  <c r="T77" i="1"/>
  <c r="S77" i="1"/>
  <c r="R77" i="1"/>
  <c r="Q77" i="1"/>
  <c r="AV76" i="1"/>
  <c r="AU76" i="1"/>
  <c r="AT76" i="1"/>
  <c r="AS76" i="1"/>
  <c r="AR76" i="1"/>
  <c r="AQ76" i="1"/>
  <c r="AP76" i="1"/>
  <c r="AO76" i="1"/>
  <c r="AN76" i="1"/>
  <c r="AM76" i="1"/>
  <c r="AL76" i="1"/>
  <c r="AK76" i="1"/>
  <c r="AJ76" i="1"/>
  <c r="AI76" i="1"/>
  <c r="AH76" i="1"/>
  <c r="AG76" i="1"/>
  <c r="AF76" i="1"/>
  <c r="AE76" i="1"/>
  <c r="AD76" i="1"/>
  <c r="AC76" i="1"/>
  <c r="AB76" i="1"/>
  <c r="AA76" i="1"/>
  <c r="Z76" i="1"/>
  <c r="Y76" i="1"/>
  <c r="X76" i="1"/>
  <c r="W76" i="1"/>
  <c r="V76" i="1"/>
  <c r="U76" i="1"/>
  <c r="T76" i="1"/>
  <c r="S76" i="1"/>
  <c r="R76" i="1"/>
  <c r="Q76" i="1"/>
  <c r="AV75" i="1"/>
  <c r="AU75" i="1"/>
  <c r="AT75" i="1"/>
  <c r="AS75" i="1"/>
  <c r="AR75" i="1"/>
  <c r="AQ75" i="1"/>
  <c r="AP75" i="1"/>
  <c r="AO75" i="1"/>
  <c r="AN75" i="1"/>
  <c r="AM75" i="1"/>
  <c r="AL75" i="1"/>
  <c r="AK75" i="1"/>
  <c r="AJ75" i="1"/>
  <c r="AI75" i="1"/>
  <c r="AH75" i="1"/>
  <c r="AG75" i="1"/>
  <c r="AF75" i="1"/>
  <c r="AE75" i="1"/>
  <c r="AD75" i="1"/>
  <c r="AC75" i="1"/>
  <c r="AB75" i="1"/>
  <c r="AA75" i="1"/>
  <c r="Z75" i="1"/>
  <c r="Y75" i="1"/>
  <c r="X75" i="1"/>
  <c r="W75" i="1"/>
  <c r="V75" i="1"/>
  <c r="U75" i="1"/>
  <c r="T75" i="1"/>
  <c r="S75" i="1"/>
  <c r="R75" i="1"/>
  <c r="Q75" i="1"/>
  <c r="AV74" i="1"/>
  <c r="AU74" i="1"/>
  <c r="AT74" i="1"/>
  <c r="AS74" i="1"/>
  <c r="AR74" i="1"/>
  <c r="AQ74" i="1"/>
  <c r="AP74" i="1"/>
  <c r="AO74" i="1"/>
  <c r="AN74" i="1"/>
  <c r="AM74" i="1"/>
  <c r="AL74" i="1"/>
  <c r="AK74" i="1"/>
  <c r="AJ74" i="1"/>
  <c r="AI74" i="1"/>
  <c r="AH74" i="1"/>
  <c r="AG74" i="1"/>
  <c r="AY74" i="1" s="1"/>
  <c r="AF74" i="1"/>
  <c r="AE74" i="1"/>
  <c r="AD74" i="1"/>
  <c r="AC74" i="1"/>
  <c r="AB74" i="1"/>
  <c r="AA74" i="1"/>
  <c r="Z74" i="1"/>
  <c r="Y74" i="1"/>
  <c r="X74" i="1"/>
  <c r="W74" i="1"/>
  <c r="V74" i="1"/>
  <c r="U74" i="1"/>
  <c r="T74" i="1"/>
  <c r="S74" i="1"/>
  <c r="R74" i="1"/>
  <c r="Q74" i="1"/>
  <c r="AV73" i="1"/>
  <c r="AU73" i="1"/>
  <c r="AT73" i="1"/>
  <c r="AS73" i="1"/>
  <c r="AR73" i="1"/>
  <c r="AQ73" i="1"/>
  <c r="AP73" i="1"/>
  <c r="AO73" i="1"/>
  <c r="AN73" i="1"/>
  <c r="AM73" i="1"/>
  <c r="AL73" i="1"/>
  <c r="AK73" i="1"/>
  <c r="AJ73" i="1"/>
  <c r="AI73" i="1"/>
  <c r="AH73" i="1"/>
  <c r="AG73" i="1"/>
  <c r="AF73" i="1"/>
  <c r="AE73" i="1"/>
  <c r="AD73" i="1"/>
  <c r="AC73" i="1"/>
  <c r="AB73" i="1"/>
  <c r="AA73" i="1"/>
  <c r="Z73" i="1"/>
  <c r="Y73" i="1"/>
  <c r="X73" i="1"/>
  <c r="W73" i="1"/>
  <c r="V73" i="1"/>
  <c r="U73" i="1"/>
  <c r="T73" i="1"/>
  <c r="S73" i="1"/>
  <c r="R73" i="1"/>
  <c r="Q73" i="1"/>
  <c r="AV72" i="1"/>
  <c r="AU72" i="1"/>
  <c r="AT72" i="1"/>
  <c r="AS72" i="1"/>
  <c r="AR72" i="1"/>
  <c r="AQ72" i="1"/>
  <c r="AP72" i="1"/>
  <c r="AO72" i="1"/>
  <c r="AN72" i="1"/>
  <c r="AM72" i="1"/>
  <c r="AL72" i="1"/>
  <c r="AK72" i="1"/>
  <c r="AJ72" i="1"/>
  <c r="AI72" i="1"/>
  <c r="AH72" i="1"/>
  <c r="AG72" i="1"/>
  <c r="AF72" i="1"/>
  <c r="AE72" i="1"/>
  <c r="AD72" i="1"/>
  <c r="AC72" i="1"/>
  <c r="AB72" i="1"/>
  <c r="AA72" i="1"/>
  <c r="Z72" i="1"/>
  <c r="Y72" i="1"/>
  <c r="X72" i="1"/>
  <c r="W72" i="1"/>
  <c r="V72" i="1"/>
  <c r="U72" i="1"/>
  <c r="T72" i="1"/>
  <c r="S72" i="1"/>
  <c r="R72" i="1"/>
  <c r="Q72" i="1"/>
  <c r="AV71" i="1"/>
  <c r="AU71" i="1"/>
  <c r="AT71" i="1"/>
  <c r="AS71" i="1"/>
  <c r="AR71" i="1"/>
  <c r="AQ71" i="1"/>
  <c r="AP71" i="1"/>
  <c r="AO71" i="1"/>
  <c r="AZ71" i="1" s="1"/>
  <c r="AN71" i="1"/>
  <c r="AM71" i="1"/>
  <c r="AL71" i="1"/>
  <c r="AK71" i="1"/>
  <c r="AJ71" i="1"/>
  <c r="AI71" i="1"/>
  <c r="AH71" i="1"/>
  <c r="AG71" i="1"/>
  <c r="AF71" i="1"/>
  <c r="AE71" i="1"/>
  <c r="AD71" i="1"/>
  <c r="AC71" i="1"/>
  <c r="AB71" i="1"/>
  <c r="AA71" i="1"/>
  <c r="Z71" i="1"/>
  <c r="Y71" i="1"/>
  <c r="X71" i="1"/>
  <c r="W71" i="1"/>
  <c r="V71" i="1"/>
  <c r="U71" i="1"/>
  <c r="T71" i="1"/>
  <c r="S71" i="1"/>
  <c r="R71" i="1"/>
  <c r="Q71" i="1"/>
  <c r="AV70" i="1"/>
  <c r="AU70" i="1"/>
  <c r="AT70" i="1"/>
  <c r="AS70" i="1"/>
  <c r="AR70" i="1"/>
  <c r="AQ70" i="1"/>
  <c r="AP70" i="1"/>
  <c r="AO70" i="1"/>
  <c r="AN70" i="1"/>
  <c r="AM70" i="1"/>
  <c r="AL70" i="1"/>
  <c r="AK70" i="1"/>
  <c r="AJ70" i="1"/>
  <c r="AI70" i="1"/>
  <c r="AH70" i="1"/>
  <c r="AG70" i="1"/>
  <c r="AF70" i="1"/>
  <c r="AE70" i="1"/>
  <c r="AD70" i="1"/>
  <c r="AC70" i="1"/>
  <c r="AB70" i="1"/>
  <c r="AA70" i="1"/>
  <c r="Z70" i="1"/>
  <c r="Y70" i="1"/>
  <c r="X70" i="1"/>
  <c r="W70" i="1"/>
  <c r="V70" i="1"/>
  <c r="U70" i="1"/>
  <c r="T70" i="1"/>
  <c r="S70" i="1"/>
  <c r="R70" i="1"/>
  <c r="Q70" i="1"/>
  <c r="AV69" i="1"/>
  <c r="AU69" i="1"/>
  <c r="AT69" i="1"/>
  <c r="AS69" i="1"/>
  <c r="AR69" i="1"/>
  <c r="AQ69" i="1"/>
  <c r="AP69" i="1"/>
  <c r="AO69" i="1"/>
  <c r="AN69" i="1"/>
  <c r="AM69" i="1"/>
  <c r="AL69" i="1"/>
  <c r="AK69" i="1"/>
  <c r="AJ69" i="1"/>
  <c r="AI69" i="1"/>
  <c r="AH69" i="1"/>
  <c r="AG69" i="1"/>
  <c r="AF69" i="1"/>
  <c r="AE69" i="1"/>
  <c r="AD69" i="1"/>
  <c r="AC69" i="1"/>
  <c r="AB69" i="1"/>
  <c r="AA69" i="1"/>
  <c r="Z69" i="1"/>
  <c r="Y69" i="1"/>
  <c r="X69" i="1"/>
  <c r="W69" i="1"/>
  <c r="V69" i="1"/>
  <c r="U69" i="1"/>
  <c r="T69" i="1"/>
  <c r="S69" i="1"/>
  <c r="R69" i="1"/>
  <c r="Q69" i="1"/>
  <c r="AV68" i="1"/>
  <c r="AU68" i="1"/>
  <c r="AT68" i="1"/>
  <c r="AS68" i="1"/>
  <c r="AR68" i="1"/>
  <c r="AQ68" i="1"/>
  <c r="AP68" i="1"/>
  <c r="AO68" i="1"/>
  <c r="AN68" i="1"/>
  <c r="AM68" i="1"/>
  <c r="AL68" i="1"/>
  <c r="AK68" i="1"/>
  <c r="AJ68" i="1"/>
  <c r="AI68" i="1"/>
  <c r="AH68" i="1"/>
  <c r="AG68" i="1"/>
  <c r="AF68" i="1"/>
  <c r="AE68" i="1"/>
  <c r="AD68" i="1"/>
  <c r="AC68" i="1"/>
  <c r="AB68" i="1"/>
  <c r="AA68" i="1"/>
  <c r="Z68" i="1"/>
  <c r="Y68" i="1"/>
  <c r="X68" i="1"/>
  <c r="W68" i="1"/>
  <c r="V68" i="1"/>
  <c r="U68" i="1"/>
  <c r="T68" i="1"/>
  <c r="S68" i="1"/>
  <c r="R68" i="1"/>
  <c r="Q68" i="1"/>
  <c r="AV67" i="1"/>
  <c r="AU67" i="1"/>
  <c r="AT67" i="1"/>
  <c r="AS67" i="1"/>
  <c r="AR67" i="1"/>
  <c r="AQ67" i="1"/>
  <c r="AP67" i="1"/>
  <c r="AO67" i="1"/>
  <c r="AN67" i="1"/>
  <c r="AM67" i="1"/>
  <c r="AL67" i="1"/>
  <c r="AK67" i="1"/>
  <c r="AJ67" i="1"/>
  <c r="AI67" i="1"/>
  <c r="AH67" i="1"/>
  <c r="AG67" i="1"/>
  <c r="AF67" i="1"/>
  <c r="AE67" i="1"/>
  <c r="AD67" i="1"/>
  <c r="AC67" i="1"/>
  <c r="AB67" i="1"/>
  <c r="AA67" i="1"/>
  <c r="Z67" i="1"/>
  <c r="Y67" i="1"/>
  <c r="X67" i="1"/>
  <c r="W67" i="1"/>
  <c r="V67" i="1"/>
  <c r="U67" i="1"/>
  <c r="T67" i="1"/>
  <c r="S67" i="1"/>
  <c r="R67" i="1"/>
  <c r="Q67" i="1"/>
  <c r="AV66" i="1"/>
  <c r="AU66" i="1"/>
  <c r="AT66" i="1"/>
  <c r="AS66" i="1"/>
  <c r="AR66" i="1"/>
  <c r="AQ66" i="1"/>
  <c r="AP66" i="1"/>
  <c r="AO66" i="1"/>
  <c r="AZ66" i="1" s="1"/>
  <c r="AN66" i="1"/>
  <c r="AM66" i="1"/>
  <c r="AL66" i="1"/>
  <c r="AK66" i="1"/>
  <c r="AJ66" i="1"/>
  <c r="AI66" i="1"/>
  <c r="AH66" i="1"/>
  <c r="AG66" i="1"/>
  <c r="AF66" i="1"/>
  <c r="AE66" i="1"/>
  <c r="AD66" i="1"/>
  <c r="AC66" i="1"/>
  <c r="AB66" i="1"/>
  <c r="AA66" i="1"/>
  <c r="Z66" i="1"/>
  <c r="Y66" i="1"/>
  <c r="X66" i="1"/>
  <c r="W66" i="1"/>
  <c r="V66" i="1"/>
  <c r="U66" i="1"/>
  <c r="T66" i="1"/>
  <c r="S66" i="1"/>
  <c r="R66" i="1"/>
  <c r="Q66" i="1"/>
  <c r="AV65" i="1"/>
  <c r="AU65" i="1"/>
  <c r="AT65" i="1"/>
  <c r="AS65" i="1"/>
  <c r="AR65" i="1"/>
  <c r="AQ65" i="1"/>
  <c r="AP65" i="1"/>
  <c r="AO65" i="1"/>
  <c r="AN65" i="1"/>
  <c r="AM65" i="1"/>
  <c r="AL65" i="1"/>
  <c r="AK65" i="1"/>
  <c r="AJ65" i="1"/>
  <c r="AI65" i="1"/>
  <c r="AH65" i="1"/>
  <c r="AG65" i="1"/>
  <c r="AF65" i="1"/>
  <c r="AE65" i="1"/>
  <c r="AD65" i="1"/>
  <c r="AC65" i="1"/>
  <c r="AB65" i="1"/>
  <c r="AA65" i="1"/>
  <c r="Z65" i="1"/>
  <c r="Y65" i="1"/>
  <c r="X65" i="1"/>
  <c r="W65" i="1"/>
  <c r="V65" i="1"/>
  <c r="U65" i="1"/>
  <c r="T65" i="1"/>
  <c r="S65" i="1"/>
  <c r="R65" i="1"/>
  <c r="Q65" i="1"/>
  <c r="AV64" i="1"/>
  <c r="AU64" i="1"/>
  <c r="AT64" i="1"/>
  <c r="AS64" i="1"/>
  <c r="AR64" i="1"/>
  <c r="AQ64" i="1"/>
  <c r="AP64" i="1"/>
  <c r="AO64" i="1"/>
  <c r="AN64" i="1"/>
  <c r="AM64" i="1"/>
  <c r="AL64" i="1"/>
  <c r="AK64" i="1"/>
  <c r="AJ64" i="1"/>
  <c r="AI64" i="1"/>
  <c r="AH64" i="1"/>
  <c r="AG64" i="1"/>
  <c r="AF64" i="1"/>
  <c r="AE64" i="1"/>
  <c r="AD64" i="1"/>
  <c r="AC64" i="1"/>
  <c r="AB64" i="1"/>
  <c r="AA64" i="1"/>
  <c r="Z64" i="1"/>
  <c r="Y64" i="1"/>
  <c r="X64" i="1"/>
  <c r="W64" i="1"/>
  <c r="V64" i="1"/>
  <c r="U64" i="1"/>
  <c r="T64" i="1"/>
  <c r="S64" i="1"/>
  <c r="R64" i="1"/>
  <c r="Q64" i="1"/>
  <c r="AV63" i="1"/>
  <c r="AU63" i="1"/>
  <c r="AT63" i="1"/>
  <c r="AS63" i="1"/>
  <c r="AR63" i="1"/>
  <c r="AQ63" i="1"/>
  <c r="AP63" i="1"/>
  <c r="AO63" i="1"/>
  <c r="AN63" i="1"/>
  <c r="AM63" i="1"/>
  <c r="AL63" i="1"/>
  <c r="AK63" i="1"/>
  <c r="AJ63" i="1"/>
  <c r="AI63" i="1"/>
  <c r="AH63" i="1"/>
  <c r="AG63" i="1"/>
  <c r="AF63" i="1"/>
  <c r="AE63" i="1"/>
  <c r="AD63" i="1"/>
  <c r="AC63" i="1"/>
  <c r="AB63" i="1"/>
  <c r="AA63" i="1"/>
  <c r="Z63" i="1"/>
  <c r="Y63" i="1"/>
  <c r="X63" i="1"/>
  <c r="W63" i="1"/>
  <c r="V63" i="1"/>
  <c r="U63" i="1"/>
  <c r="T63" i="1"/>
  <c r="S63" i="1"/>
  <c r="R63" i="1"/>
  <c r="Q63" i="1"/>
  <c r="AV62" i="1"/>
  <c r="AU62" i="1"/>
  <c r="AT62" i="1"/>
  <c r="AS62" i="1"/>
  <c r="AR62" i="1"/>
  <c r="AQ62" i="1"/>
  <c r="AP62" i="1"/>
  <c r="AO62" i="1"/>
  <c r="AN62" i="1"/>
  <c r="AM62" i="1"/>
  <c r="AL62" i="1"/>
  <c r="AK62" i="1"/>
  <c r="AJ62" i="1"/>
  <c r="AI62" i="1"/>
  <c r="AH62" i="1"/>
  <c r="AG62" i="1"/>
  <c r="AF62" i="1"/>
  <c r="AE62" i="1"/>
  <c r="AD62" i="1"/>
  <c r="AC62" i="1"/>
  <c r="AB62" i="1"/>
  <c r="AA62" i="1"/>
  <c r="Z62" i="1"/>
  <c r="Y62" i="1"/>
  <c r="X62" i="1"/>
  <c r="W62" i="1"/>
  <c r="V62" i="1"/>
  <c r="U62" i="1"/>
  <c r="T62" i="1"/>
  <c r="S62" i="1"/>
  <c r="R62" i="1"/>
  <c r="Q62" i="1"/>
  <c r="AV61" i="1"/>
  <c r="AU61" i="1"/>
  <c r="AT61" i="1"/>
  <c r="AS61" i="1"/>
  <c r="AR61" i="1"/>
  <c r="AQ61" i="1"/>
  <c r="AP61" i="1"/>
  <c r="AO61" i="1"/>
  <c r="AZ61" i="1" s="1"/>
  <c r="AN61" i="1"/>
  <c r="AM61" i="1"/>
  <c r="AL61" i="1"/>
  <c r="AK61" i="1"/>
  <c r="AJ61" i="1"/>
  <c r="AI61" i="1"/>
  <c r="AH61" i="1"/>
  <c r="AG61" i="1"/>
  <c r="AF61" i="1"/>
  <c r="AE61" i="1"/>
  <c r="AD61" i="1"/>
  <c r="AC61" i="1"/>
  <c r="AB61" i="1"/>
  <c r="AA61" i="1"/>
  <c r="Z61" i="1"/>
  <c r="Y61" i="1"/>
  <c r="AX61" i="1" s="1"/>
  <c r="X61" i="1"/>
  <c r="W61" i="1"/>
  <c r="V61" i="1"/>
  <c r="U61" i="1"/>
  <c r="T61" i="1"/>
  <c r="S61" i="1"/>
  <c r="R61" i="1"/>
  <c r="Q61" i="1"/>
  <c r="AW61" i="1" s="1"/>
  <c r="AV60" i="1"/>
  <c r="AU60" i="1"/>
  <c r="AT60" i="1"/>
  <c r="AS60" i="1"/>
  <c r="AR60" i="1"/>
  <c r="AQ60" i="1"/>
  <c r="AP60" i="1"/>
  <c r="AO60" i="1"/>
  <c r="AN60" i="1"/>
  <c r="AM60" i="1"/>
  <c r="AL60" i="1"/>
  <c r="AK60" i="1"/>
  <c r="AJ60" i="1"/>
  <c r="AI60" i="1"/>
  <c r="AH60" i="1"/>
  <c r="AG60" i="1"/>
  <c r="AF60" i="1"/>
  <c r="AE60" i="1"/>
  <c r="AD60" i="1"/>
  <c r="AC60" i="1"/>
  <c r="AB60" i="1"/>
  <c r="AA60" i="1"/>
  <c r="Z60" i="1"/>
  <c r="Y60" i="1"/>
  <c r="X60" i="1"/>
  <c r="W60" i="1"/>
  <c r="V60" i="1"/>
  <c r="U60" i="1"/>
  <c r="T60" i="1"/>
  <c r="S60" i="1"/>
  <c r="R60" i="1"/>
  <c r="Q60" i="1"/>
  <c r="AW60" i="1" s="1"/>
  <c r="AV59" i="1"/>
  <c r="AU59" i="1"/>
  <c r="AT59" i="1"/>
  <c r="AS59" i="1"/>
  <c r="AR59" i="1"/>
  <c r="AQ59" i="1"/>
  <c r="AP59" i="1"/>
  <c r="AO59" i="1"/>
  <c r="AN59" i="1"/>
  <c r="AM59" i="1"/>
  <c r="AL59" i="1"/>
  <c r="AK59" i="1"/>
  <c r="AJ59" i="1"/>
  <c r="AI59" i="1"/>
  <c r="AH59" i="1"/>
  <c r="AG59" i="1"/>
  <c r="AF59" i="1"/>
  <c r="AE59" i="1"/>
  <c r="AD59" i="1"/>
  <c r="AC59" i="1"/>
  <c r="AB59" i="1"/>
  <c r="AA59" i="1"/>
  <c r="Z59" i="1"/>
  <c r="Y59" i="1"/>
  <c r="X59" i="1"/>
  <c r="W59" i="1"/>
  <c r="V59" i="1"/>
  <c r="U59" i="1"/>
  <c r="T59" i="1"/>
  <c r="S59" i="1"/>
  <c r="R59" i="1"/>
  <c r="Q59" i="1"/>
  <c r="AV58" i="1"/>
  <c r="AU58" i="1"/>
  <c r="AT58" i="1"/>
  <c r="AS58" i="1"/>
  <c r="AR58" i="1"/>
  <c r="AQ58" i="1"/>
  <c r="AP58" i="1"/>
  <c r="AO58" i="1"/>
  <c r="AN58" i="1"/>
  <c r="AM58" i="1"/>
  <c r="AL58" i="1"/>
  <c r="AK58" i="1"/>
  <c r="AJ58" i="1"/>
  <c r="AI58" i="1"/>
  <c r="AH58" i="1"/>
  <c r="AG58" i="1"/>
  <c r="AF58" i="1"/>
  <c r="AE58" i="1"/>
  <c r="AD58" i="1"/>
  <c r="AC58" i="1"/>
  <c r="AB58" i="1"/>
  <c r="AA58" i="1"/>
  <c r="Z58" i="1"/>
  <c r="Y58" i="1"/>
  <c r="X58" i="1"/>
  <c r="W58" i="1"/>
  <c r="V58" i="1"/>
  <c r="U58" i="1"/>
  <c r="T58" i="1"/>
  <c r="S58" i="1"/>
  <c r="R58" i="1"/>
  <c r="Q58" i="1"/>
  <c r="AV57" i="1"/>
  <c r="AU57" i="1"/>
  <c r="AT57" i="1"/>
  <c r="AS57" i="1"/>
  <c r="AR57" i="1"/>
  <c r="AQ57" i="1"/>
  <c r="AP57" i="1"/>
  <c r="AO57" i="1"/>
  <c r="AN57" i="1"/>
  <c r="AM57" i="1"/>
  <c r="AL57" i="1"/>
  <c r="AK57" i="1"/>
  <c r="AJ57" i="1"/>
  <c r="AI57" i="1"/>
  <c r="AH57" i="1"/>
  <c r="AG57" i="1"/>
  <c r="AF57" i="1"/>
  <c r="AE57" i="1"/>
  <c r="AD57" i="1"/>
  <c r="AC57" i="1"/>
  <c r="AB57" i="1"/>
  <c r="AA57" i="1"/>
  <c r="Z57" i="1"/>
  <c r="Y57" i="1"/>
  <c r="X57" i="1"/>
  <c r="W57" i="1"/>
  <c r="V57" i="1"/>
  <c r="U57" i="1"/>
  <c r="T57" i="1"/>
  <c r="S57" i="1"/>
  <c r="R57" i="1"/>
  <c r="Q57" i="1"/>
  <c r="AV56" i="1"/>
  <c r="AU56" i="1"/>
  <c r="AT56" i="1"/>
  <c r="AS56" i="1"/>
  <c r="AR56" i="1"/>
  <c r="AQ56" i="1"/>
  <c r="AP56" i="1"/>
  <c r="AO56" i="1"/>
  <c r="AN56" i="1"/>
  <c r="AM56" i="1"/>
  <c r="AL56" i="1"/>
  <c r="AK56" i="1"/>
  <c r="AJ56" i="1"/>
  <c r="AI56" i="1"/>
  <c r="AH56" i="1"/>
  <c r="AG56" i="1"/>
  <c r="AY56" i="1" s="1"/>
  <c r="AF56" i="1"/>
  <c r="AE56" i="1"/>
  <c r="AD56" i="1"/>
  <c r="AC56" i="1"/>
  <c r="AB56" i="1"/>
  <c r="AA56" i="1"/>
  <c r="Z56" i="1"/>
  <c r="Y56" i="1"/>
  <c r="X56" i="1"/>
  <c r="W56" i="1"/>
  <c r="V56" i="1"/>
  <c r="U56" i="1"/>
  <c r="T56" i="1"/>
  <c r="S56" i="1"/>
  <c r="R56" i="1"/>
  <c r="Q56" i="1"/>
  <c r="AV55" i="1"/>
  <c r="AU55" i="1"/>
  <c r="AT55" i="1"/>
  <c r="AS55" i="1"/>
  <c r="AR55" i="1"/>
  <c r="AQ55" i="1"/>
  <c r="AP55" i="1"/>
  <c r="AO55" i="1"/>
  <c r="AN55" i="1"/>
  <c r="AM55" i="1"/>
  <c r="AL55" i="1"/>
  <c r="AK55" i="1"/>
  <c r="AJ55" i="1"/>
  <c r="AI55" i="1"/>
  <c r="AH55" i="1"/>
  <c r="AG55" i="1"/>
  <c r="AF55" i="1"/>
  <c r="AE55" i="1"/>
  <c r="AD55" i="1"/>
  <c r="AC55" i="1"/>
  <c r="AB55" i="1"/>
  <c r="AA55" i="1"/>
  <c r="Z55" i="1"/>
  <c r="Y55" i="1"/>
  <c r="X55" i="1"/>
  <c r="W55" i="1"/>
  <c r="V55" i="1"/>
  <c r="U55" i="1"/>
  <c r="T55" i="1"/>
  <c r="S55" i="1"/>
  <c r="R55" i="1"/>
  <c r="Q55" i="1"/>
  <c r="AV54" i="1"/>
  <c r="AU54" i="1"/>
  <c r="AT54" i="1"/>
  <c r="AS54" i="1"/>
  <c r="AR54" i="1"/>
  <c r="AQ54" i="1"/>
  <c r="AP54" i="1"/>
  <c r="AO54" i="1"/>
  <c r="AN54" i="1"/>
  <c r="AM54" i="1"/>
  <c r="AL54" i="1"/>
  <c r="AK54" i="1"/>
  <c r="AJ54" i="1"/>
  <c r="AI54" i="1"/>
  <c r="AH54" i="1"/>
  <c r="AG54" i="1"/>
  <c r="AF54" i="1"/>
  <c r="AE54" i="1"/>
  <c r="AD54" i="1"/>
  <c r="AC54" i="1"/>
  <c r="AB54" i="1"/>
  <c r="AA54" i="1"/>
  <c r="Z54" i="1"/>
  <c r="Y54" i="1"/>
  <c r="X54" i="1"/>
  <c r="W54" i="1"/>
  <c r="V54" i="1"/>
  <c r="U54" i="1"/>
  <c r="T54" i="1"/>
  <c r="S54" i="1"/>
  <c r="R54" i="1"/>
  <c r="Q54" i="1"/>
  <c r="AV53" i="1"/>
  <c r="AU53" i="1"/>
  <c r="AT53" i="1"/>
  <c r="AS53" i="1"/>
  <c r="AR53" i="1"/>
  <c r="AQ53" i="1"/>
  <c r="AP53" i="1"/>
  <c r="AO53" i="1"/>
  <c r="AZ53" i="1" s="1"/>
  <c r="BP53" i="1" s="1"/>
  <c r="AN53" i="1"/>
  <c r="AM53" i="1"/>
  <c r="AL53" i="1"/>
  <c r="AK53" i="1"/>
  <c r="AJ53" i="1"/>
  <c r="AI53" i="1"/>
  <c r="AH53" i="1"/>
  <c r="AG53" i="1"/>
  <c r="AF53" i="1"/>
  <c r="AE53" i="1"/>
  <c r="AD53" i="1"/>
  <c r="AC53" i="1"/>
  <c r="AB53" i="1"/>
  <c r="AA53" i="1"/>
  <c r="Z53" i="1"/>
  <c r="Y53" i="1"/>
  <c r="X53" i="1"/>
  <c r="W53" i="1"/>
  <c r="V53" i="1"/>
  <c r="U53" i="1"/>
  <c r="T53" i="1"/>
  <c r="S53" i="1"/>
  <c r="R53" i="1"/>
  <c r="Q53" i="1"/>
  <c r="AV52" i="1"/>
  <c r="AU52" i="1"/>
  <c r="AT52" i="1"/>
  <c r="AS52" i="1"/>
  <c r="AR52" i="1"/>
  <c r="AQ52" i="1"/>
  <c r="AP52" i="1"/>
  <c r="AO52" i="1"/>
  <c r="AN52" i="1"/>
  <c r="AM52" i="1"/>
  <c r="AL52" i="1"/>
  <c r="AK52" i="1"/>
  <c r="AJ52" i="1"/>
  <c r="AI52" i="1"/>
  <c r="AH52" i="1"/>
  <c r="AG52" i="1"/>
  <c r="AF52" i="1"/>
  <c r="AE52" i="1"/>
  <c r="AD52" i="1"/>
  <c r="AC52" i="1"/>
  <c r="AB52" i="1"/>
  <c r="AA52" i="1"/>
  <c r="Z52" i="1"/>
  <c r="Y52" i="1"/>
  <c r="X52" i="1"/>
  <c r="W52" i="1"/>
  <c r="V52" i="1"/>
  <c r="U52" i="1"/>
  <c r="T52" i="1"/>
  <c r="S52" i="1"/>
  <c r="R52" i="1"/>
  <c r="Q52" i="1"/>
  <c r="AV51" i="1"/>
  <c r="AU51" i="1"/>
  <c r="AT51" i="1"/>
  <c r="AS51" i="1"/>
  <c r="AR51" i="1"/>
  <c r="AQ51" i="1"/>
  <c r="AP51" i="1"/>
  <c r="AO51" i="1"/>
  <c r="AZ51" i="1" s="1"/>
  <c r="AN51" i="1"/>
  <c r="AM51" i="1"/>
  <c r="AL51" i="1"/>
  <c r="AK51" i="1"/>
  <c r="AJ51" i="1"/>
  <c r="AI51" i="1"/>
  <c r="AH51" i="1"/>
  <c r="AG51" i="1"/>
  <c r="AF51" i="1"/>
  <c r="AE51" i="1"/>
  <c r="AD51" i="1"/>
  <c r="AC51" i="1"/>
  <c r="AB51" i="1"/>
  <c r="AA51" i="1"/>
  <c r="Z51" i="1"/>
  <c r="Y51" i="1"/>
  <c r="X51" i="1"/>
  <c r="W51" i="1"/>
  <c r="V51" i="1"/>
  <c r="U51" i="1"/>
  <c r="T51" i="1"/>
  <c r="S51" i="1"/>
  <c r="R51" i="1"/>
  <c r="Q51" i="1"/>
  <c r="AV50" i="1"/>
  <c r="AU50" i="1"/>
  <c r="AT50" i="1"/>
  <c r="AS50" i="1"/>
  <c r="AR50" i="1"/>
  <c r="AQ50" i="1"/>
  <c r="AP50" i="1"/>
  <c r="AO50" i="1"/>
  <c r="AZ50" i="1" s="1"/>
  <c r="AN50" i="1"/>
  <c r="AM50" i="1"/>
  <c r="AL50" i="1"/>
  <c r="AK50" i="1"/>
  <c r="AJ50" i="1"/>
  <c r="AI50" i="1"/>
  <c r="AH50" i="1"/>
  <c r="AG50" i="1"/>
  <c r="AY50" i="1" s="1"/>
  <c r="BC50" i="1" s="1"/>
  <c r="BG50" i="1" s="1"/>
  <c r="AF50" i="1"/>
  <c r="AE50" i="1"/>
  <c r="AD50" i="1"/>
  <c r="AC50" i="1"/>
  <c r="AB50" i="1"/>
  <c r="AA50" i="1"/>
  <c r="Z50" i="1"/>
  <c r="Y50" i="1"/>
  <c r="AX50" i="1" s="1"/>
  <c r="X50" i="1"/>
  <c r="W50" i="1"/>
  <c r="V50" i="1"/>
  <c r="U50" i="1"/>
  <c r="T50" i="1"/>
  <c r="S50" i="1"/>
  <c r="R50" i="1"/>
  <c r="Q50" i="1"/>
  <c r="AW50" i="1" s="1"/>
  <c r="AV49" i="1"/>
  <c r="AU49" i="1"/>
  <c r="AT49" i="1"/>
  <c r="AS49" i="1"/>
  <c r="AR49" i="1"/>
  <c r="AQ49" i="1"/>
  <c r="AP49" i="1"/>
  <c r="AO49" i="1"/>
  <c r="AN49" i="1"/>
  <c r="AM49" i="1"/>
  <c r="AL49" i="1"/>
  <c r="AK49" i="1"/>
  <c r="AJ49" i="1"/>
  <c r="AI49" i="1"/>
  <c r="AH49" i="1"/>
  <c r="AG49" i="1"/>
  <c r="AF49" i="1"/>
  <c r="AE49" i="1"/>
  <c r="AD49" i="1"/>
  <c r="AC49" i="1"/>
  <c r="AB49" i="1"/>
  <c r="AA49" i="1"/>
  <c r="Z49" i="1"/>
  <c r="Y49" i="1"/>
  <c r="X49" i="1"/>
  <c r="W49" i="1"/>
  <c r="V49" i="1"/>
  <c r="U49" i="1"/>
  <c r="T49" i="1"/>
  <c r="S49" i="1"/>
  <c r="R49" i="1"/>
  <c r="Q49" i="1"/>
  <c r="AV48" i="1"/>
  <c r="AU48" i="1"/>
  <c r="AT48" i="1"/>
  <c r="AS48" i="1"/>
  <c r="AR48" i="1"/>
  <c r="AQ48" i="1"/>
  <c r="AP48" i="1"/>
  <c r="AO48" i="1"/>
  <c r="AN48" i="1"/>
  <c r="AM48" i="1"/>
  <c r="AL48" i="1"/>
  <c r="AK48" i="1"/>
  <c r="AJ48" i="1"/>
  <c r="AI48" i="1"/>
  <c r="AH48" i="1"/>
  <c r="AG48" i="1"/>
  <c r="AF48" i="1"/>
  <c r="AE48" i="1"/>
  <c r="AD48" i="1"/>
  <c r="AC48" i="1"/>
  <c r="AB48" i="1"/>
  <c r="AA48" i="1"/>
  <c r="Z48" i="1"/>
  <c r="Y48" i="1"/>
  <c r="X48" i="1"/>
  <c r="W48" i="1"/>
  <c r="V48" i="1"/>
  <c r="U48" i="1"/>
  <c r="T48" i="1"/>
  <c r="S48" i="1"/>
  <c r="R48" i="1"/>
  <c r="Q48" i="1"/>
  <c r="AV47" i="1"/>
  <c r="AU47" i="1"/>
  <c r="AT47" i="1"/>
  <c r="AS47" i="1"/>
  <c r="AR47" i="1"/>
  <c r="AQ47" i="1"/>
  <c r="AP47" i="1"/>
  <c r="AO47" i="1"/>
  <c r="AN47" i="1"/>
  <c r="AM47" i="1"/>
  <c r="AL47" i="1"/>
  <c r="AK47" i="1"/>
  <c r="AJ47" i="1"/>
  <c r="AI47" i="1"/>
  <c r="AH47" i="1"/>
  <c r="AG47" i="1"/>
  <c r="AF47" i="1"/>
  <c r="AE47" i="1"/>
  <c r="AD47" i="1"/>
  <c r="AC47" i="1"/>
  <c r="AB47" i="1"/>
  <c r="AA47" i="1"/>
  <c r="Z47" i="1"/>
  <c r="Y47" i="1"/>
  <c r="X47" i="1"/>
  <c r="W47" i="1"/>
  <c r="V47" i="1"/>
  <c r="U47" i="1"/>
  <c r="T47" i="1"/>
  <c r="S47" i="1"/>
  <c r="R47" i="1"/>
  <c r="Q47" i="1"/>
  <c r="AV46" i="1"/>
  <c r="AU46" i="1"/>
  <c r="AT46" i="1"/>
  <c r="AS46" i="1"/>
  <c r="AR46" i="1"/>
  <c r="AQ46" i="1"/>
  <c r="AP46" i="1"/>
  <c r="AO46" i="1"/>
  <c r="AN46" i="1"/>
  <c r="AM46" i="1"/>
  <c r="AL46" i="1"/>
  <c r="AK46" i="1"/>
  <c r="AJ46" i="1"/>
  <c r="AI46" i="1"/>
  <c r="AH46" i="1"/>
  <c r="AG46" i="1"/>
  <c r="AY46" i="1" s="1"/>
  <c r="BS46" i="1" s="1"/>
  <c r="AF46" i="1"/>
  <c r="AE46" i="1"/>
  <c r="AD46" i="1"/>
  <c r="AC46" i="1"/>
  <c r="AB46" i="1"/>
  <c r="AA46" i="1"/>
  <c r="Z46" i="1"/>
  <c r="Y46" i="1"/>
  <c r="X46" i="1"/>
  <c r="W46" i="1"/>
  <c r="V46" i="1"/>
  <c r="U46" i="1"/>
  <c r="T46" i="1"/>
  <c r="S46" i="1"/>
  <c r="R46" i="1"/>
  <c r="Q46" i="1"/>
  <c r="AV45" i="1"/>
  <c r="AU45" i="1"/>
  <c r="AT45" i="1"/>
  <c r="AS45" i="1"/>
  <c r="AR45" i="1"/>
  <c r="AQ45" i="1"/>
  <c r="AP45" i="1"/>
  <c r="AO45" i="1"/>
  <c r="AN45" i="1"/>
  <c r="AM45" i="1"/>
  <c r="AL45" i="1"/>
  <c r="AK45" i="1"/>
  <c r="AJ45" i="1"/>
  <c r="AI45" i="1"/>
  <c r="AH45" i="1"/>
  <c r="AG45" i="1"/>
  <c r="AF45" i="1"/>
  <c r="AE45" i="1"/>
  <c r="AD45" i="1"/>
  <c r="AC45" i="1"/>
  <c r="AB45" i="1"/>
  <c r="AA45" i="1"/>
  <c r="Z45" i="1"/>
  <c r="Y45" i="1"/>
  <c r="X45" i="1"/>
  <c r="W45" i="1"/>
  <c r="V45" i="1"/>
  <c r="U45" i="1"/>
  <c r="T45" i="1"/>
  <c r="S45" i="1"/>
  <c r="R45" i="1"/>
  <c r="Q45" i="1"/>
  <c r="AV44" i="1"/>
  <c r="AU44" i="1"/>
  <c r="AT44" i="1"/>
  <c r="AS44" i="1"/>
  <c r="AR44" i="1"/>
  <c r="AQ44" i="1"/>
  <c r="AP44" i="1"/>
  <c r="AO44" i="1"/>
  <c r="AN44" i="1"/>
  <c r="AM44" i="1"/>
  <c r="AL44" i="1"/>
  <c r="AK44" i="1"/>
  <c r="AJ44" i="1"/>
  <c r="AI44" i="1"/>
  <c r="AH44" i="1"/>
  <c r="AG44" i="1"/>
  <c r="AF44" i="1"/>
  <c r="AE44" i="1"/>
  <c r="AD44" i="1"/>
  <c r="AC44" i="1"/>
  <c r="AB44" i="1"/>
  <c r="AA44" i="1"/>
  <c r="Z44" i="1"/>
  <c r="Y44" i="1"/>
  <c r="X44" i="1"/>
  <c r="W44" i="1"/>
  <c r="V44" i="1"/>
  <c r="U44" i="1"/>
  <c r="T44" i="1"/>
  <c r="S44" i="1"/>
  <c r="R44" i="1"/>
  <c r="Q44" i="1"/>
  <c r="AV43" i="1"/>
  <c r="AU43" i="1"/>
  <c r="AT43" i="1"/>
  <c r="AS43" i="1"/>
  <c r="AR43" i="1"/>
  <c r="AQ43" i="1"/>
  <c r="AP43" i="1"/>
  <c r="AO43" i="1"/>
  <c r="AN43" i="1"/>
  <c r="AM43" i="1"/>
  <c r="AL43" i="1"/>
  <c r="AK43" i="1"/>
  <c r="AJ43" i="1"/>
  <c r="AI43" i="1"/>
  <c r="AH43" i="1"/>
  <c r="AG43" i="1"/>
  <c r="AF43" i="1"/>
  <c r="AE43" i="1"/>
  <c r="AD43" i="1"/>
  <c r="AC43" i="1"/>
  <c r="AB43" i="1"/>
  <c r="AA43" i="1"/>
  <c r="Z43" i="1"/>
  <c r="Y43" i="1"/>
  <c r="X43" i="1"/>
  <c r="W43" i="1"/>
  <c r="V43" i="1"/>
  <c r="U43" i="1"/>
  <c r="T43" i="1"/>
  <c r="S43" i="1"/>
  <c r="R43" i="1"/>
  <c r="Q43" i="1"/>
  <c r="AV42" i="1"/>
  <c r="AU42" i="1"/>
  <c r="AT42" i="1"/>
  <c r="AS42" i="1"/>
  <c r="AR42" i="1"/>
  <c r="AQ42" i="1"/>
  <c r="AP42" i="1"/>
  <c r="AO42" i="1"/>
  <c r="AN42" i="1"/>
  <c r="AM42" i="1"/>
  <c r="AL42" i="1"/>
  <c r="AK42" i="1"/>
  <c r="AJ42" i="1"/>
  <c r="AI42" i="1"/>
  <c r="AH42" i="1"/>
  <c r="AG42" i="1"/>
  <c r="AF42" i="1"/>
  <c r="AE42" i="1"/>
  <c r="AD42" i="1"/>
  <c r="AC42" i="1"/>
  <c r="AB42" i="1"/>
  <c r="AA42" i="1"/>
  <c r="Z42" i="1"/>
  <c r="Y42" i="1"/>
  <c r="X42" i="1"/>
  <c r="W42" i="1"/>
  <c r="V42" i="1"/>
  <c r="U42" i="1"/>
  <c r="T42" i="1"/>
  <c r="S42" i="1"/>
  <c r="R42" i="1"/>
  <c r="Q42" i="1"/>
  <c r="AV41" i="1"/>
  <c r="AU41" i="1"/>
  <c r="AT41" i="1"/>
  <c r="AS41" i="1"/>
  <c r="AR41" i="1"/>
  <c r="AQ41" i="1"/>
  <c r="AP41" i="1"/>
  <c r="AO41" i="1"/>
  <c r="AZ41" i="1" s="1"/>
  <c r="AN41" i="1"/>
  <c r="AM41" i="1"/>
  <c r="AL41" i="1"/>
  <c r="AK41" i="1"/>
  <c r="AJ41" i="1"/>
  <c r="AI41" i="1"/>
  <c r="AH41" i="1"/>
  <c r="AG41" i="1"/>
  <c r="AY41" i="1" s="1"/>
  <c r="BK41" i="1" s="1"/>
  <c r="AF41" i="1"/>
  <c r="AE41" i="1"/>
  <c r="AD41" i="1"/>
  <c r="AC41" i="1"/>
  <c r="AB41" i="1"/>
  <c r="AA41" i="1"/>
  <c r="Z41" i="1"/>
  <c r="Y41" i="1"/>
  <c r="X41" i="1"/>
  <c r="W41" i="1"/>
  <c r="V41" i="1"/>
  <c r="U41" i="1"/>
  <c r="T41" i="1"/>
  <c r="S41" i="1"/>
  <c r="R41" i="1"/>
  <c r="Q41" i="1"/>
  <c r="AW41" i="1" s="1"/>
  <c r="AV40" i="1"/>
  <c r="AU40" i="1"/>
  <c r="AT40" i="1"/>
  <c r="AS40" i="1"/>
  <c r="AR40" i="1"/>
  <c r="AQ40" i="1"/>
  <c r="AP40" i="1"/>
  <c r="AO40" i="1"/>
  <c r="AN40" i="1"/>
  <c r="AM40" i="1"/>
  <c r="AL40" i="1"/>
  <c r="AK40" i="1"/>
  <c r="AJ40" i="1"/>
  <c r="AI40" i="1"/>
  <c r="AH40" i="1"/>
  <c r="AG40" i="1"/>
  <c r="AF40" i="1"/>
  <c r="AE40" i="1"/>
  <c r="AD40" i="1"/>
  <c r="AC40" i="1"/>
  <c r="AB40" i="1"/>
  <c r="AA40" i="1"/>
  <c r="Z40" i="1"/>
  <c r="Y40" i="1"/>
  <c r="X40" i="1"/>
  <c r="W40" i="1"/>
  <c r="V40" i="1"/>
  <c r="U40" i="1"/>
  <c r="T40" i="1"/>
  <c r="S40" i="1"/>
  <c r="R40" i="1"/>
  <c r="Q40" i="1"/>
  <c r="AV39" i="1"/>
  <c r="AU39" i="1"/>
  <c r="AT39" i="1"/>
  <c r="AS39" i="1"/>
  <c r="AR39" i="1"/>
  <c r="AQ39" i="1"/>
  <c r="AP39" i="1"/>
  <c r="AO39" i="1"/>
  <c r="AN39" i="1"/>
  <c r="AM39" i="1"/>
  <c r="AL39" i="1"/>
  <c r="AK39" i="1"/>
  <c r="AJ39" i="1"/>
  <c r="AI39" i="1"/>
  <c r="AH39" i="1"/>
  <c r="AG39" i="1"/>
  <c r="AF39" i="1"/>
  <c r="AE39" i="1"/>
  <c r="AD39" i="1"/>
  <c r="AC39" i="1"/>
  <c r="AB39" i="1"/>
  <c r="AA39" i="1"/>
  <c r="Z39" i="1"/>
  <c r="Y39" i="1"/>
  <c r="X39" i="1"/>
  <c r="W39" i="1"/>
  <c r="V39" i="1"/>
  <c r="U39" i="1"/>
  <c r="T39" i="1"/>
  <c r="S39" i="1"/>
  <c r="R39" i="1"/>
  <c r="Q39" i="1"/>
  <c r="AV38" i="1"/>
  <c r="AU38" i="1"/>
  <c r="AT38" i="1"/>
  <c r="AS38" i="1"/>
  <c r="AR38" i="1"/>
  <c r="AQ38" i="1"/>
  <c r="AP38" i="1"/>
  <c r="AO38" i="1"/>
  <c r="AN38" i="1"/>
  <c r="AM38" i="1"/>
  <c r="AL38" i="1"/>
  <c r="AK38" i="1"/>
  <c r="AJ38" i="1"/>
  <c r="AI38" i="1"/>
  <c r="AH38" i="1"/>
  <c r="AG38" i="1"/>
  <c r="AF38" i="1"/>
  <c r="AE38" i="1"/>
  <c r="AD38" i="1"/>
  <c r="AC38" i="1"/>
  <c r="AB38" i="1"/>
  <c r="AA38" i="1"/>
  <c r="Z38" i="1"/>
  <c r="Y38" i="1"/>
  <c r="X38" i="1"/>
  <c r="W38" i="1"/>
  <c r="V38" i="1"/>
  <c r="U38" i="1"/>
  <c r="T38" i="1"/>
  <c r="S38" i="1"/>
  <c r="R38" i="1"/>
  <c r="Q38" i="1"/>
  <c r="AV37" i="1"/>
  <c r="AU37" i="1"/>
  <c r="AT37" i="1"/>
  <c r="AS37" i="1"/>
  <c r="AR37" i="1"/>
  <c r="AQ37" i="1"/>
  <c r="AP37" i="1"/>
  <c r="AO37" i="1"/>
  <c r="AN37" i="1"/>
  <c r="AM37" i="1"/>
  <c r="AL37" i="1"/>
  <c r="AK37" i="1"/>
  <c r="AJ37" i="1"/>
  <c r="AI37" i="1"/>
  <c r="AH37" i="1"/>
  <c r="AG37" i="1"/>
  <c r="AF37" i="1"/>
  <c r="AE37" i="1"/>
  <c r="AD37" i="1"/>
  <c r="AC37" i="1"/>
  <c r="AB37" i="1"/>
  <c r="AA37" i="1"/>
  <c r="Z37" i="1"/>
  <c r="Y37" i="1"/>
  <c r="X37" i="1"/>
  <c r="W37" i="1"/>
  <c r="V37" i="1"/>
  <c r="U37" i="1"/>
  <c r="T37" i="1"/>
  <c r="S37" i="1"/>
  <c r="R37" i="1"/>
  <c r="Q37" i="1"/>
  <c r="AV36" i="1"/>
  <c r="AU36" i="1"/>
  <c r="AT36" i="1"/>
  <c r="AS36" i="1"/>
  <c r="AR36" i="1"/>
  <c r="AQ36" i="1"/>
  <c r="AP36" i="1"/>
  <c r="AO36" i="1"/>
  <c r="AN36" i="1"/>
  <c r="AM36" i="1"/>
  <c r="AL36" i="1"/>
  <c r="AK36" i="1"/>
  <c r="AJ36" i="1"/>
  <c r="AI36" i="1"/>
  <c r="AH36" i="1"/>
  <c r="AG36" i="1"/>
  <c r="AF36" i="1"/>
  <c r="AE36" i="1"/>
  <c r="AD36" i="1"/>
  <c r="AC36" i="1"/>
  <c r="AB36" i="1"/>
  <c r="AA36" i="1"/>
  <c r="Z36" i="1"/>
  <c r="Y36" i="1"/>
  <c r="X36" i="1"/>
  <c r="W36" i="1"/>
  <c r="V36" i="1"/>
  <c r="U36" i="1"/>
  <c r="T36" i="1"/>
  <c r="S36" i="1"/>
  <c r="R36" i="1"/>
  <c r="Q36" i="1"/>
  <c r="AV35" i="1"/>
  <c r="AU35" i="1"/>
  <c r="AT35" i="1"/>
  <c r="AS35" i="1"/>
  <c r="AR35" i="1"/>
  <c r="AQ35" i="1"/>
  <c r="AP35" i="1"/>
  <c r="AO35" i="1"/>
  <c r="AN35" i="1"/>
  <c r="AM35" i="1"/>
  <c r="AL35" i="1"/>
  <c r="AK35" i="1"/>
  <c r="AJ35" i="1"/>
  <c r="AI35" i="1"/>
  <c r="AH35" i="1"/>
  <c r="AG35" i="1"/>
  <c r="AF35" i="1"/>
  <c r="AE35" i="1"/>
  <c r="AD35" i="1"/>
  <c r="AC35" i="1"/>
  <c r="AB35" i="1"/>
  <c r="AA35" i="1"/>
  <c r="Z35" i="1"/>
  <c r="Y35" i="1"/>
  <c r="X35" i="1"/>
  <c r="W35" i="1"/>
  <c r="V35" i="1"/>
  <c r="U35" i="1"/>
  <c r="T35" i="1"/>
  <c r="S35" i="1"/>
  <c r="R35" i="1"/>
  <c r="Q35" i="1"/>
  <c r="AV34" i="1"/>
  <c r="AU34" i="1"/>
  <c r="AT34" i="1"/>
  <c r="AS34" i="1"/>
  <c r="AR34" i="1"/>
  <c r="AQ34" i="1"/>
  <c r="AP34" i="1"/>
  <c r="AO34" i="1"/>
  <c r="AN34" i="1"/>
  <c r="AM34" i="1"/>
  <c r="AL34" i="1"/>
  <c r="AK34" i="1"/>
  <c r="AJ34" i="1"/>
  <c r="AI34" i="1"/>
  <c r="AH34" i="1"/>
  <c r="AG34" i="1"/>
  <c r="AF34" i="1"/>
  <c r="AE34" i="1"/>
  <c r="AD34" i="1"/>
  <c r="AC34" i="1"/>
  <c r="AB34" i="1"/>
  <c r="AA34" i="1"/>
  <c r="Z34" i="1"/>
  <c r="Y34" i="1"/>
  <c r="X34" i="1"/>
  <c r="W34" i="1"/>
  <c r="V34" i="1"/>
  <c r="U34" i="1"/>
  <c r="T34" i="1"/>
  <c r="S34" i="1"/>
  <c r="R34" i="1"/>
  <c r="Q34" i="1"/>
  <c r="AV33" i="1"/>
  <c r="AU33" i="1"/>
  <c r="AT33" i="1"/>
  <c r="AS33" i="1"/>
  <c r="AR33" i="1"/>
  <c r="AQ33" i="1"/>
  <c r="AP33" i="1"/>
  <c r="AO33" i="1"/>
  <c r="AN33" i="1"/>
  <c r="AM33" i="1"/>
  <c r="AL33" i="1"/>
  <c r="AK33" i="1"/>
  <c r="AJ33" i="1"/>
  <c r="AI33" i="1"/>
  <c r="AH33" i="1"/>
  <c r="AG33" i="1"/>
  <c r="AY33" i="1" s="1"/>
  <c r="BC33" i="1" s="1"/>
  <c r="BG33" i="1" s="1"/>
  <c r="AF33" i="1"/>
  <c r="AE33" i="1"/>
  <c r="AD33" i="1"/>
  <c r="AC33" i="1"/>
  <c r="AB33" i="1"/>
  <c r="AA33" i="1"/>
  <c r="Z33" i="1"/>
  <c r="Y33" i="1"/>
  <c r="X33" i="1"/>
  <c r="W33" i="1"/>
  <c r="V33" i="1"/>
  <c r="U33" i="1"/>
  <c r="T33" i="1"/>
  <c r="S33" i="1"/>
  <c r="R33" i="1"/>
  <c r="Q33" i="1"/>
  <c r="AV32" i="1"/>
  <c r="AU32" i="1"/>
  <c r="AT32" i="1"/>
  <c r="AS32" i="1"/>
  <c r="AR32" i="1"/>
  <c r="AQ32" i="1"/>
  <c r="AP32" i="1"/>
  <c r="AO32" i="1"/>
  <c r="AN32" i="1"/>
  <c r="AM32" i="1"/>
  <c r="AL32" i="1"/>
  <c r="AK32" i="1"/>
  <c r="AJ32" i="1"/>
  <c r="AI32" i="1"/>
  <c r="AH32" i="1"/>
  <c r="AG32" i="1"/>
  <c r="AF32" i="1"/>
  <c r="AE32" i="1"/>
  <c r="AD32" i="1"/>
  <c r="AC32" i="1"/>
  <c r="AB32" i="1"/>
  <c r="AA32" i="1"/>
  <c r="Z32" i="1"/>
  <c r="Y32" i="1"/>
  <c r="X32" i="1"/>
  <c r="W32" i="1"/>
  <c r="V32" i="1"/>
  <c r="U32" i="1"/>
  <c r="T32" i="1"/>
  <c r="S32" i="1"/>
  <c r="R32" i="1"/>
  <c r="Q32" i="1"/>
  <c r="AV31" i="1"/>
  <c r="AU31" i="1"/>
  <c r="AT31" i="1"/>
  <c r="AS31" i="1"/>
  <c r="AR31" i="1"/>
  <c r="AQ31" i="1"/>
  <c r="AP31" i="1"/>
  <c r="AO31" i="1"/>
  <c r="AN31" i="1"/>
  <c r="AM31" i="1"/>
  <c r="AL31" i="1"/>
  <c r="AK31" i="1"/>
  <c r="AJ31" i="1"/>
  <c r="AI31" i="1"/>
  <c r="AH31" i="1"/>
  <c r="AG31" i="1"/>
  <c r="AY31" i="1" s="1"/>
  <c r="BC31" i="1" s="1"/>
  <c r="BG31" i="1" s="1"/>
  <c r="AF31" i="1"/>
  <c r="AE31" i="1"/>
  <c r="AD31" i="1"/>
  <c r="AC31" i="1"/>
  <c r="AB31" i="1"/>
  <c r="AA31" i="1"/>
  <c r="Z31" i="1"/>
  <c r="Y31" i="1"/>
  <c r="X31" i="1"/>
  <c r="W31" i="1"/>
  <c r="V31" i="1"/>
  <c r="U31" i="1"/>
  <c r="T31" i="1"/>
  <c r="S31" i="1"/>
  <c r="R31" i="1"/>
  <c r="Q31" i="1"/>
  <c r="AV30" i="1"/>
  <c r="AU30" i="1"/>
  <c r="AT30" i="1"/>
  <c r="AS30" i="1"/>
  <c r="AR30" i="1"/>
  <c r="AQ30" i="1"/>
  <c r="AP30" i="1"/>
  <c r="AO30" i="1"/>
  <c r="AN30" i="1"/>
  <c r="AM30" i="1"/>
  <c r="AL30" i="1"/>
  <c r="AK30" i="1"/>
  <c r="AJ30" i="1"/>
  <c r="AI30" i="1"/>
  <c r="AH30" i="1"/>
  <c r="AG30" i="1"/>
  <c r="AF30" i="1"/>
  <c r="AE30" i="1"/>
  <c r="AD30" i="1"/>
  <c r="AC30" i="1"/>
  <c r="AB30" i="1"/>
  <c r="AA30" i="1"/>
  <c r="Z30" i="1"/>
  <c r="Y30" i="1"/>
  <c r="X30" i="1"/>
  <c r="W30" i="1"/>
  <c r="V30" i="1"/>
  <c r="U30" i="1"/>
  <c r="T30" i="1"/>
  <c r="S30" i="1"/>
  <c r="R30" i="1"/>
  <c r="Q30" i="1"/>
  <c r="AV29" i="1"/>
  <c r="AU29" i="1"/>
  <c r="AT29" i="1"/>
  <c r="AS29" i="1"/>
  <c r="AR29" i="1"/>
  <c r="AQ29" i="1"/>
  <c r="AP29" i="1"/>
  <c r="AO29" i="1"/>
  <c r="AN29" i="1"/>
  <c r="AM29" i="1"/>
  <c r="AL29" i="1"/>
  <c r="AK29" i="1"/>
  <c r="AJ29" i="1"/>
  <c r="AI29" i="1"/>
  <c r="AH29" i="1"/>
  <c r="AG29" i="1"/>
  <c r="AF29" i="1"/>
  <c r="AE29" i="1"/>
  <c r="AD29" i="1"/>
  <c r="AC29" i="1"/>
  <c r="AB29" i="1"/>
  <c r="AA29" i="1"/>
  <c r="Z29" i="1"/>
  <c r="Y29" i="1"/>
  <c r="X29" i="1"/>
  <c r="W29" i="1"/>
  <c r="V29" i="1"/>
  <c r="U29" i="1"/>
  <c r="T29" i="1"/>
  <c r="S29" i="1"/>
  <c r="R29" i="1"/>
  <c r="Q29" i="1"/>
  <c r="AV28" i="1"/>
  <c r="AU28" i="1"/>
  <c r="AT28" i="1"/>
  <c r="AS28" i="1"/>
  <c r="AR28" i="1"/>
  <c r="AQ28" i="1"/>
  <c r="AP28" i="1"/>
  <c r="AO28" i="1"/>
  <c r="AN28" i="1"/>
  <c r="AM28" i="1"/>
  <c r="AL28" i="1"/>
  <c r="AK28" i="1"/>
  <c r="AJ28" i="1"/>
  <c r="AI28" i="1"/>
  <c r="AH28" i="1"/>
  <c r="AG28" i="1"/>
  <c r="AF28" i="1"/>
  <c r="AE28" i="1"/>
  <c r="AD28" i="1"/>
  <c r="AC28" i="1"/>
  <c r="AB28" i="1"/>
  <c r="AA28" i="1"/>
  <c r="Z28" i="1"/>
  <c r="Y28" i="1"/>
  <c r="X28" i="1"/>
  <c r="W28" i="1"/>
  <c r="V28" i="1"/>
  <c r="U28" i="1"/>
  <c r="T28" i="1"/>
  <c r="S28" i="1"/>
  <c r="R28" i="1"/>
  <c r="Q28" i="1"/>
  <c r="AV27" i="1"/>
  <c r="AU27" i="1"/>
  <c r="AT27" i="1"/>
  <c r="AS27" i="1"/>
  <c r="AR27" i="1"/>
  <c r="AQ27" i="1"/>
  <c r="AP27" i="1"/>
  <c r="AO27" i="1"/>
  <c r="AN27" i="1"/>
  <c r="AM27" i="1"/>
  <c r="AL27" i="1"/>
  <c r="AK27" i="1"/>
  <c r="AJ27" i="1"/>
  <c r="AI27" i="1"/>
  <c r="AH27" i="1"/>
  <c r="AG27" i="1"/>
  <c r="AY27" i="1" s="1"/>
  <c r="BO27" i="1" s="1"/>
  <c r="AF27" i="1"/>
  <c r="AE27" i="1"/>
  <c r="AD27" i="1"/>
  <c r="AC27" i="1"/>
  <c r="AB27" i="1"/>
  <c r="AA27" i="1"/>
  <c r="Z27" i="1"/>
  <c r="Y27" i="1"/>
  <c r="X27" i="1"/>
  <c r="W27" i="1"/>
  <c r="V27" i="1"/>
  <c r="U27" i="1"/>
  <c r="T27" i="1"/>
  <c r="S27" i="1"/>
  <c r="R27" i="1"/>
  <c r="Q27" i="1"/>
  <c r="AV26" i="1"/>
  <c r="AU26" i="1"/>
  <c r="AT26" i="1"/>
  <c r="AS26" i="1"/>
  <c r="AR26" i="1"/>
  <c r="AQ26" i="1"/>
  <c r="AP26" i="1"/>
  <c r="AO26" i="1"/>
  <c r="AN26" i="1"/>
  <c r="AM26" i="1"/>
  <c r="AL26" i="1"/>
  <c r="AK26" i="1"/>
  <c r="AJ26" i="1"/>
  <c r="AI26" i="1"/>
  <c r="AH26" i="1"/>
  <c r="AG26" i="1"/>
  <c r="AF26" i="1"/>
  <c r="AE26" i="1"/>
  <c r="AD26" i="1"/>
  <c r="AC26" i="1"/>
  <c r="AB26" i="1"/>
  <c r="AA26" i="1"/>
  <c r="Z26" i="1"/>
  <c r="Y26" i="1"/>
  <c r="X26" i="1"/>
  <c r="W26" i="1"/>
  <c r="V26" i="1"/>
  <c r="U26" i="1"/>
  <c r="T26" i="1"/>
  <c r="S26" i="1"/>
  <c r="R26" i="1"/>
  <c r="Q26" i="1"/>
  <c r="AV25" i="1"/>
  <c r="AU25" i="1"/>
  <c r="AT25" i="1"/>
  <c r="AS25" i="1"/>
  <c r="AR25" i="1"/>
  <c r="AQ25" i="1"/>
  <c r="AP25" i="1"/>
  <c r="AO25" i="1"/>
  <c r="AN25" i="1"/>
  <c r="AM25" i="1"/>
  <c r="AL25" i="1"/>
  <c r="AK25" i="1"/>
  <c r="AJ25" i="1"/>
  <c r="AI25" i="1"/>
  <c r="AH25" i="1"/>
  <c r="AG25" i="1"/>
  <c r="AY25" i="1" s="1"/>
  <c r="AF25" i="1"/>
  <c r="AE25" i="1"/>
  <c r="AD25" i="1"/>
  <c r="AC25" i="1"/>
  <c r="AB25" i="1"/>
  <c r="AA25" i="1"/>
  <c r="Z25" i="1"/>
  <c r="Y25" i="1"/>
  <c r="AX25" i="1" s="1"/>
  <c r="X25" i="1"/>
  <c r="W25" i="1"/>
  <c r="V25" i="1"/>
  <c r="U25" i="1"/>
  <c r="T25" i="1"/>
  <c r="S25" i="1"/>
  <c r="R25" i="1"/>
  <c r="Q25" i="1"/>
  <c r="AW25" i="1" s="1"/>
  <c r="AV24" i="1"/>
  <c r="AU24" i="1"/>
  <c r="AT24" i="1"/>
  <c r="AS24" i="1"/>
  <c r="AR24" i="1"/>
  <c r="AQ24" i="1"/>
  <c r="AP24" i="1"/>
  <c r="AO24" i="1"/>
  <c r="AN24" i="1"/>
  <c r="AM24" i="1"/>
  <c r="AL24" i="1"/>
  <c r="AK24" i="1"/>
  <c r="AJ24" i="1"/>
  <c r="AI24" i="1"/>
  <c r="AH24" i="1"/>
  <c r="AG24" i="1"/>
  <c r="AF24" i="1"/>
  <c r="AE24" i="1"/>
  <c r="AD24" i="1"/>
  <c r="AC24" i="1"/>
  <c r="AB24" i="1"/>
  <c r="AA24" i="1"/>
  <c r="Z24" i="1"/>
  <c r="Y24" i="1"/>
  <c r="X24" i="1"/>
  <c r="W24" i="1"/>
  <c r="V24" i="1"/>
  <c r="U24" i="1"/>
  <c r="T24" i="1"/>
  <c r="S24" i="1"/>
  <c r="R24" i="1"/>
  <c r="Q24" i="1"/>
  <c r="AV23" i="1"/>
  <c r="AU23" i="1"/>
  <c r="AT23" i="1"/>
  <c r="AS23" i="1"/>
  <c r="AR23" i="1"/>
  <c r="AQ23" i="1"/>
  <c r="AP23" i="1"/>
  <c r="AO23" i="1"/>
  <c r="AN23" i="1"/>
  <c r="AM23" i="1"/>
  <c r="AL23" i="1"/>
  <c r="AK23" i="1"/>
  <c r="AJ23" i="1"/>
  <c r="AI23" i="1"/>
  <c r="AH23" i="1"/>
  <c r="AG23" i="1"/>
  <c r="AF23" i="1"/>
  <c r="AE23" i="1"/>
  <c r="AD23" i="1"/>
  <c r="AC23" i="1"/>
  <c r="AB23" i="1"/>
  <c r="AA23" i="1"/>
  <c r="Z23" i="1"/>
  <c r="Y23" i="1"/>
  <c r="X23" i="1"/>
  <c r="W23" i="1"/>
  <c r="V23" i="1"/>
  <c r="U23" i="1"/>
  <c r="T23" i="1"/>
  <c r="S23" i="1"/>
  <c r="R23" i="1"/>
  <c r="Q23" i="1"/>
  <c r="AV22" i="1"/>
  <c r="AU22" i="1"/>
  <c r="AT22" i="1"/>
  <c r="AS22" i="1"/>
  <c r="AR22" i="1"/>
  <c r="AQ22" i="1"/>
  <c r="AP22" i="1"/>
  <c r="AO22" i="1"/>
  <c r="AN22" i="1"/>
  <c r="AM22" i="1"/>
  <c r="AL22" i="1"/>
  <c r="AK22" i="1"/>
  <c r="AJ22" i="1"/>
  <c r="AI22" i="1"/>
  <c r="AH22" i="1"/>
  <c r="AG22" i="1"/>
  <c r="AF22" i="1"/>
  <c r="AE22" i="1"/>
  <c r="AD22" i="1"/>
  <c r="AC22" i="1"/>
  <c r="AB22" i="1"/>
  <c r="AA22" i="1"/>
  <c r="Z22" i="1"/>
  <c r="Y22" i="1"/>
  <c r="X22" i="1"/>
  <c r="W22" i="1"/>
  <c r="V22" i="1"/>
  <c r="U22" i="1"/>
  <c r="T22" i="1"/>
  <c r="S22" i="1"/>
  <c r="R22" i="1"/>
  <c r="Q22" i="1"/>
  <c r="AV21" i="1"/>
  <c r="AU21" i="1"/>
  <c r="AT21" i="1"/>
  <c r="AS21" i="1"/>
  <c r="AR21" i="1"/>
  <c r="AQ21" i="1"/>
  <c r="AP21" i="1"/>
  <c r="AO21" i="1"/>
  <c r="AN21" i="1"/>
  <c r="AM21" i="1"/>
  <c r="AL21" i="1"/>
  <c r="AK21" i="1"/>
  <c r="AJ21" i="1"/>
  <c r="AI21" i="1"/>
  <c r="AH21" i="1"/>
  <c r="AG21" i="1"/>
  <c r="AY21" i="1" s="1"/>
  <c r="AF21" i="1"/>
  <c r="AE21" i="1"/>
  <c r="AD21" i="1"/>
  <c r="AC21" i="1"/>
  <c r="AB21" i="1"/>
  <c r="AA21" i="1"/>
  <c r="Z21" i="1"/>
  <c r="Y21" i="1"/>
  <c r="X21" i="1"/>
  <c r="W21" i="1"/>
  <c r="V21" i="1"/>
  <c r="U21" i="1"/>
  <c r="T21" i="1"/>
  <c r="S21" i="1"/>
  <c r="R21" i="1"/>
  <c r="Q21" i="1"/>
  <c r="AV20" i="1"/>
  <c r="AU20" i="1"/>
  <c r="AT20" i="1"/>
  <c r="AS20" i="1"/>
  <c r="AR20" i="1"/>
  <c r="AQ20" i="1"/>
  <c r="AP20" i="1"/>
  <c r="AO20" i="1"/>
  <c r="AN20" i="1"/>
  <c r="AM20" i="1"/>
  <c r="AL20" i="1"/>
  <c r="AK20" i="1"/>
  <c r="AJ20" i="1"/>
  <c r="AI20" i="1"/>
  <c r="AH20" i="1"/>
  <c r="AG20" i="1"/>
  <c r="AF20" i="1"/>
  <c r="AE20" i="1"/>
  <c r="AD20" i="1"/>
  <c r="AC20" i="1"/>
  <c r="AB20" i="1"/>
  <c r="AA20" i="1"/>
  <c r="Z20" i="1"/>
  <c r="Y20" i="1"/>
  <c r="X20" i="1"/>
  <c r="W20" i="1"/>
  <c r="V20" i="1"/>
  <c r="U20" i="1"/>
  <c r="T20" i="1"/>
  <c r="S20" i="1"/>
  <c r="R20" i="1"/>
  <c r="Q20" i="1"/>
  <c r="AV19" i="1"/>
  <c r="AU19" i="1"/>
  <c r="AT19" i="1"/>
  <c r="AS19" i="1"/>
  <c r="AR19" i="1"/>
  <c r="AQ19" i="1"/>
  <c r="AP19" i="1"/>
  <c r="AO19" i="1"/>
  <c r="AN19" i="1"/>
  <c r="AM19" i="1"/>
  <c r="AL19" i="1"/>
  <c r="AK19" i="1"/>
  <c r="AJ19" i="1"/>
  <c r="AI19" i="1"/>
  <c r="AH19" i="1"/>
  <c r="AG19" i="1"/>
  <c r="AY19" i="1" s="1"/>
  <c r="BC19" i="1" s="1"/>
  <c r="BG19" i="1" s="1"/>
  <c r="AF19" i="1"/>
  <c r="AE19" i="1"/>
  <c r="AD19" i="1"/>
  <c r="AC19" i="1"/>
  <c r="AB19" i="1"/>
  <c r="AA19" i="1"/>
  <c r="Z19" i="1"/>
  <c r="Y19" i="1"/>
  <c r="AX19" i="1" s="1"/>
  <c r="X19" i="1"/>
  <c r="W19" i="1"/>
  <c r="V19" i="1"/>
  <c r="U19" i="1"/>
  <c r="T19" i="1"/>
  <c r="S19" i="1"/>
  <c r="R19" i="1"/>
  <c r="Q19" i="1"/>
  <c r="AW19" i="1" s="1"/>
  <c r="AV18" i="1"/>
  <c r="AU18" i="1"/>
  <c r="AT18" i="1"/>
  <c r="AS18" i="1"/>
  <c r="AR18" i="1"/>
  <c r="AQ18" i="1"/>
  <c r="AP18" i="1"/>
  <c r="AO18" i="1"/>
  <c r="AN18" i="1"/>
  <c r="AM18" i="1"/>
  <c r="AL18" i="1"/>
  <c r="AK18" i="1"/>
  <c r="AJ18" i="1"/>
  <c r="AI18" i="1"/>
  <c r="AH18" i="1"/>
  <c r="AG18" i="1"/>
  <c r="AF18" i="1"/>
  <c r="AE18" i="1"/>
  <c r="AD18" i="1"/>
  <c r="AC18" i="1"/>
  <c r="AB18" i="1"/>
  <c r="AA18" i="1"/>
  <c r="Z18" i="1"/>
  <c r="Y18" i="1"/>
  <c r="X18" i="1"/>
  <c r="W18" i="1"/>
  <c r="V18" i="1"/>
  <c r="U18" i="1"/>
  <c r="T18" i="1"/>
  <c r="S18" i="1"/>
  <c r="R18" i="1"/>
  <c r="Q18" i="1"/>
  <c r="AV17" i="1"/>
  <c r="AU17" i="1"/>
  <c r="AT17" i="1"/>
  <c r="AS17" i="1"/>
  <c r="AR17" i="1"/>
  <c r="AQ17" i="1"/>
  <c r="AP17" i="1"/>
  <c r="AO17" i="1"/>
  <c r="AN17" i="1"/>
  <c r="AM17" i="1"/>
  <c r="AL17" i="1"/>
  <c r="AK17" i="1"/>
  <c r="AJ17" i="1"/>
  <c r="AI17" i="1"/>
  <c r="AH17" i="1"/>
  <c r="AG17" i="1"/>
  <c r="AF17" i="1"/>
  <c r="AE17" i="1"/>
  <c r="AD17" i="1"/>
  <c r="AC17" i="1"/>
  <c r="AB17" i="1"/>
  <c r="AA17" i="1"/>
  <c r="Z17" i="1"/>
  <c r="Y17" i="1"/>
  <c r="X17" i="1"/>
  <c r="W17" i="1"/>
  <c r="V17" i="1"/>
  <c r="U17" i="1"/>
  <c r="T17" i="1"/>
  <c r="S17" i="1"/>
  <c r="R17" i="1"/>
  <c r="Q17" i="1"/>
  <c r="AV16" i="1"/>
  <c r="AU16" i="1"/>
  <c r="AT16" i="1"/>
  <c r="AS16" i="1"/>
  <c r="AR16" i="1"/>
  <c r="AQ16" i="1"/>
  <c r="AP16" i="1"/>
  <c r="AO16" i="1"/>
  <c r="AN16" i="1"/>
  <c r="AM16" i="1"/>
  <c r="AL16" i="1"/>
  <c r="AK16" i="1"/>
  <c r="AJ16" i="1"/>
  <c r="AI16" i="1"/>
  <c r="AH16" i="1"/>
  <c r="AG16" i="1"/>
  <c r="AF16" i="1"/>
  <c r="AE16" i="1"/>
  <c r="AD16" i="1"/>
  <c r="AC16" i="1"/>
  <c r="AB16" i="1"/>
  <c r="AA16" i="1"/>
  <c r="Z16" i="1"/>
  <c r="Y16" i="1"/>
  <c r="X16" i="1"/>
  <c r="W16" i="1"/>
  <c r="V16" i="1"/>
  <c r="U16" i="1"/>
  <c r="T16" i="1"/>
  <c r="S16" i="1"/>
  <c r="R16" i="1"/>
  <c r="Q16" i="1"/>
  <c r="AV15" i="1"/>
  <c r="AU15" i="1"/>
  <c r="AT15" i="1"/>
  <c r="AS15" i="1"/>
  <c r="AR15" i="1"/>
  <c r="AQ15" i="1"/>
  <c r="AP15" i="1"/>
  <c r="AO15" i="1"/>
  <c r="AN15" i="1"/>
  <c r="AM15" i="1"/>
  <c r="AL15" i="1"/>
  <c r="AK15" i="1"/>
  <c r="AJ15" i="1"/>
  <c r="AI15" i="1"/>
  <c r="AH15" i="1"/>
  <c r="AG15" i="1"/>
  <c r="AY15" i="1" s="1"/>
  <c r="BK15" i="1" s="1"/>
  <c r="AF15" i="1"/>
  <c r="AE15" i="1"/>
  <c r="AD15" i="1"/>
  <c r="AC15" i="1"/>
  <c r="AB15" i="1"/>
  <c r="AA15" i="1"/>
  <c r="Z15" i="1"/>
  <c r="Y15" i="1"/>
  <c r="X15" i="1"/>
  <c r="W15" i="1"/>
  <c r="V15" i="1"/>
  <c r="U15" i="1"/>
  <c r="T15" i="1"/>
  <c r="S15" i="1"/>
  <c r="R15" i="1"/>
  <c r="Q15" i="1"/>
  <c r="AV14" i="1"/>
  <c r="AU14" i="1"/>
  <c r="AT14" i="1"/>
  <c r="AS14" i="1"/>
  <c r="AR14" i="1"/>
  <c r="AQ14" i="1"/>
  <c r="AP14" i="1"/>
  <c r="AO14" i="1"/>
  <c r="AN14" i="1"/>
  <c r="AM14" i="1"/>
  <c r="AL14" i="1"/>
  <c r="AK14" i="1"/>
  <c r="AJ14" i="1"/>
  <c r="AI14" i="1"/>
  <c r="AH14" i="1"/>
  <c r="AG14" i="1"/>
  <c r="AF14" i="1"/>
  <c r="AE14" i="1"/>
  <c r="AD14" i="1"/>
  <c r="AC14" i="1"/>
  <c r="AB14" i="1"/>
  <c r="AA14" i="1"/>
  <c r="Z14" i="1"/>
  <c r="Y14" i="1"/>
  <c r="X14" i="1"/>
  <c r="W14" i="1"/>
  <c r="V14" i="1"/>
  <c r="U14" i="1"/>
  <c r="T14" i="1"/>
  <c r="S14" i="1"/>
  <c r="R14" i="1"/>
  <c r="Q14" i="1"/>
  <c r="AV13" i="1"/>
  <c r="AU13" i="1"/>
  <c r="AT13" i="1"/>
  <c r="AS13" i="1"/>
  <c r="AR13" i="1"/>
  <c r="AQ13" i="1"/>
  <c r="AP13" i="1"/>
  <c r="AO13" i="1"/>
  <c r="AN13" i="1"/>
  <c r="AM13" i="1"/>
  <c r="AL13" i="1"/>
  <c r="AK13" i="1"/>
  <c r="AJ13" i="1"/>
  <c r="AI13" i="1"/>
  <c r="AH13" i="1"/>
  <c r="AG13" i="1"/>
  <c r="AY13" i="1" s="1"/>
  <c r="BK13" i="1" s="1"/>
  <c r="AF13" i="1"/>
  <c r="AE13" i="1"/>
  <c r="AD13" i="1"/>
  <c r="AC13" i="1"/>
  <c r="AB13" i="1"/>
  <c r="AA13" i="1"/>
  <c r="Z13" i="1"/>
  <c r="Y13" i="1"/>
  <c r="X13" i="1"/>
  <c r="W13" i="1"/>
  <c r="V13" i="1"/>
  <c r="U13" i="1"/>
  <c r="T13" i="1"/>
  <c r="S13" i="1"/>
  <c r="R13" i="1"/>
  <c r="Q13" i="1"/>
  <c r="AW13" i="1" s="1"/>
  <c r="AV12" i="1"/>
  <c r="AU12" i="1"/>
  <c r="AT12" i="1"/>
  <c r="AS12" i="1"/>
  <c r="AR12" i="1"/>
  <c r="AQ12" i="1"/>
  <c r="AP12" i="1"/>
  <c r="AO12" i="1"/>
  <c r="AN12" i="1"/>
  <c r="AM12" i="1"/>
  <c r="AL12" i="1"/>
  <c r="AK12" i="1"/>
  <c r="AJ12" i="1"/>
  <c r="AI12" i="1"/>
  <c r="AH12" i="1"/>
  <c r="AG12" i="1"/>
  <c r="AF12" i="1"/>
  <c r="AE12" i="1"/>
  <c r="AD12" i="1"/>
  <c r="AC12" i="1"/>
  <c r="AB12" i="1"/>
  <c r="AA12" i="1"/>
  <c r="Z12" i="1"/>
  <c r="Y12" i="1"/>
  <c r="X12" i="1"/>
  <c r="W12" i="1"/>
  <c r="V12" i="1"/>
  <c r="U12" i="1"/>
  <c r="T12" i="1"/>
  <c r="S12" i="1"/>
  <c r="R12" i="1"/>
  <c r="Q12" i="1"/>
  <c r="AV11" i="1"/>
  <c r="AU11" i="1"/>
  <c r="AT11" i="1"/>
  <c r="AS11" i="1"/>
  <c r="AR11" i="1"/>
  <c r="AQ11" i="1"/>
  <c r="AP11" i="1"/>
  <c r="AO11" i="1"/>
  <c r="AN11" i="1"/>
  <c r="AM11" i="1"/>
  <c r="AL11" i="1"/>
  <c r="AK11" i="1"/>
  <c r="AJ11" i="1"/>
  <c r="AI11" i="1"/>
  <c r="AH11" i="1"/>
  <c r="AG11" i="1"/>
  <c r="AY11" i="1" s="1"/>
  <c r="AF11" i="1"/>
  <c r="AE11" i="1"/>
  <c r="AD11" i="1"/>
  <c r="AC11" i="1"/>
  <c r="AB11" i="1"/>
  <c r="AA11" i="1"/>
  <c r="Z11" i="1"/>
  <c r="Y11" i="1"/>
  <c r="X11" i="1"/>
  <c r="W11" i="1"/>
  <c r="V11" i="1"/>
  <c r="U11" i="1"/>
  <c r="T11" i="1"/>
  <c r="S11" i="1"/>
  <c r="R11" i="1"/>
  <c r="Q11" i="1"/>
  <c r="AV10" i="1"/>
  <c r="AU10" i="1"/>
  <c r="AT10" i="1"/>
  <c r="AS10" i="1"/>
  <c r="AR10" i="1"/>
  <c r="AQ10" i="1"/>
  <c r="AP10" i="1"/>
  <c r="AO10" i="1"/>
  <c r="AN10" i="1"/>
  <c r="AM10" i="1"/>
  <c r="AL10" i="1"/>
  <c r="AK10" i="1"/>
  <c r="AJ10" i="1"/>
  <c r="AI10" i="1"/>
  <c r="AH10" i="1"/>
  <c r="AG10" i="1"/>
  <c r="AF10" i="1"/>
  <c r="AE10" i="1"/>
  <c r="AD10" i="1"/>
  <c r="AC10" i="1"/>
  <c r="AB10" i="1"/>
  <c r="AA10" i="1"/>
  <c r="Z10" i="1"/>
  <c r="Y10" i="1"/>
  <c r="X10" i="1"/>
  <c r="W10" i="1"/>
  <c r="V10" i="1"/>
  <c r="U10" i="1"/>
  <c r="T10" i="1"/>
  <c r="S10" i="1"/>
  <c r="R10" i="1"/>
  <c r="Q10" i="1"/>
  <c r="AV9" i="1"/>
  <c r="AU9" i="1"/>
  <c r="AT9" i="1"/>
  <c r="AS9" i="1"/>
  <c r="AR9" i="1"/>
  <c r="AQ9" i="1"/>
  <c r="AP9" i="1"/>
  <c r="AO9" i="1"/>
  <c r="AN9" i="1"/>
  <c r="AM9" i="1"/>
  <c r="AL9" i="1"/>
  <c r="AK9" i="1"/>
  <c r="AJ9" i="1"/>
  <c r="AI9" i="1"/>
  <c r="AH9" i="1"/>
  <c r="AG9" i="1"/>
  <c r="AF9" i="1"/>
  <c r="AE9" i="1"/>
  <c r="AD9" i="1"/>
  <c r="AC9" i="1"/>
  <c r="AB9" i="1"/>
  <c r="AA9" i="1"/>
  <c r="Z9" i="1"/>
  <c r="Y9" i="1"/>
  <c r="X9" i="1"/>
  <c r="W9" i="1"/>
  <c r="V9" i="1"/>
  <c r="U9" i="1"/>
  <c r="T9" i="1"/>
  <c r="S9" i="1"/>
  <c r="R9" i="1"/>
  <c r="Q9" i="1"/>
  <c r="AV8" i="1"/>
  <c r="AU8" i="1"/>
  <c r="AT8" i="1"/>
  <c r="AS8" i="1"/>
  <c r="AR8" i="1"/>
  <c r="AQ8" i="1"/>
  <c r="AP8" i="1"/>
  <c r="AO8" i="1"/>
  <c r="AN8" i="1"/>
  <c r="AM8" i="1"/>
  <c r="AL8" i="1"/>
  <c r="AK8" i="1"/>
  <c r="AJ8" i="1"/>
  <c r="AI8" i="1"/>
  <c r="AH8" i="1"/>
  <c r="AG8" i="1"/>
  <c r="AF8" i="1"/>
  <c r="AE8" i="1"/>
  <c r="AD8" i="1"/>
  <c r="AC8" i="1"/>
  <c r="AB8" i="1"/>
  <c r="AA8" i="1"/>
  <c r="Z8" i="1"/>
  <c r="Y8" i="1"/>
  <c r="X8" i="1"/>
  <c r="W8" i="1"/>
  <c r="V8" i="1"/>
  <c r="U8" i="1"/>
  <c r="T8" i="1"/>
  <c r="S8" i="1"/>
  <c r="R8" i="1"/>
  <c r="Q8" i="1"/>
  <c r="N110" i="1"/>
  <c r="N109" i="1"/>
  <c r="N108" i="1"/>
  <c r="N107" i="1"/>
  <c r="N106" i="1"/>
  <c r="N105" i="1"/>
  <c r="N104" i="1"/>
  <c r="N103" i="1"/>
  <c r="N102" i="1"/>
  <c r="N101" i="1"/>
  <c r="N100" i="1"/>
  <c r="N99" i="1"/>
  <c r="N98" i="1"/>
  <c r="N97" i="1"/>
  <c r="N94" i="1"/>
  <c r="N95" i="1"/>
  <c r="N96" i="1"/>
  <c r="N93" i="1"/>
  <c r="N92" i="1"/>
  <c r="N91" i="1"/>
  <c r="N90" i="1"/>
  <c r="N89" i="1"/>
  <c r="N88" i="1"/>
  <c r="N87" i="1"/>
  <c r="N86" i="1"/>
  <c r="N85" i="1"/>
  <c r="N84" i="1"/>
  <c r="N83" i="1"/>
  <c r="N82" i="1"/>
  <c r="N81" i="1"/>
  <c r="N80" i="1"/>
  <c r="N79" i="1"/>
  <c r="N78" i="1"/>
  <c r="N77" i="1"/>
  <c r="N76" i="1"/>
  <c r="N75" i="1"/>
  <c r="N71" i="1"/>
  <c r="N72" i="1"/>
  <c r="N69" i="1"/>
  <c r="N42" i="1"/>
  <c r="N43" i="1"/>
  <c r="N41" i="1"/>
  <c r="N40" i="1"/>
  <c r="N39" i="1"/>
  <c r="N38" i="1"/>
  <c r="N35" i="1"/>
  <c r="N34" i="1"/>
  <c r="N33" i="1"/>
  <c r="N32" i="1"/>
  <c r="N31" i="1"/>
  <c r="N30" i="1"/>
  <c r="N18" i="1"/>
  <c r="N17" i="1"/>
  <c r="N16" i="1"/>
  <c r="N11" i="1"/>
  <c r="N9" i="1"/>
  <c r="N8" i="1"/>
  <c r="AY61" i="1" l="1"/>
  <c r="BO61" i="1" s="1"/>
  <c r="AY23" i="1"/>
  <c r="AX13" i="1"/>
  <c r="BB13" i="1" s="1"/>
  <c r="BF13" i="1" s="1"/>
  <c r="AZ67" i="1"/>
  <c r="BT67" i="1" s="1"/>
  <c r="AW103" i="1"/>
  <c r="BM103" i="1" s="1"/>
  <c r="BN103" i="1" s="1"/>
  <c r="BO103" i="1" s="1"/>
  <c r="BP103" i="1" s="1"/>
  <c r="AY35" i="1"/>
  <c r="BC35" i="1" s="1"/>
  <c r="BG35" i="1" s="1"/>
  <c r="AY16" i="1"/>
  <c r="BC16" i="1" s="1"/>
  <c r="BG16" i="1" s="1"/>
  <c r="AZ16" i="1"/>
  <c r="BD16" i="1" s="1"/>
  <c r="BH16" i="1" s="1"/>
  <c r="AZ17" i="1"/>
  <c r="BL17" i="1" s="1"/>
  <c r="AY20" i="1"/>
  <c r="BK20" i="1" s="1"/>
  <c r="AZ20" i="1"/>
  <c r="BP20" i="1" s="1"/>
  <c r="AZ21" i="1"/>
  <c r="BL21" i="1" s="1"/>
  <c r="AY28" i="1"/>
  <c r="BC28" i="1" s="1"/>
  <c r="BG28" i="1" s="1"/>
  <c r="AZ28" i="1"/>
  <c r="BT28" i="1" s="1"/>
  <c r="AZ29" i="1"/>
  <c r="BD29" i="1" s="1"/>
  <c r="BH29" i="1" s="1"/>
  <c r="AY36" i="1"/>
  <c r="BC36" i="1" s="1"/>
  <c r="BG36" i="1" s="1"/>
  <c r="AZ36" i="1"/>
  <c r="BL36" i="1" s="1"/>
  <c r="AZ57" i="1"/>
  <c r="BD57" i="1" s="1"/>
  <c r="BH57" i="1" s="1"/>
  <c r="AY58" i="1"/>
  <c r="BS58" i="1" s="1"/>
  <c r="AZ58" i="1"/>
  <c r="BT58" i="1" s="1"/>
  <c r="AX84" i="1"/>
  <c r="BJ84" i="1" s="1"/>
  <c r="AX92" i="1"/>
  <c r="BB92" i="1" s="1"/>
  <c r="BF92" i="1" s="1"/>
  <c r="AX94" i="1"/>
  <c r="BJ94" i="1" s="1"/>
  <c r="AZ68" i="1"/>
  <c r="BT66" i="1"/>
  <c r="BL66" i="1"/>
  <c r="BO23" i="1"/>
  <c r="BS23" i="1"/>
  <c r="BC23" i="1"/>
  <c r="BG23" i="1" s="1"/>
  <c r="BO25" i="1"/>
  <c r="BS25" i="1"/>
  <c r="BC25" i="1"/>
  <c r="BG25" i="1" s="1"/>
  <c r="BO21" i="1"/>
  <c r="BC21" i="1"/>
  <c r="BG21" i="1" s="1"/>
  <c r="BS21" i="1"/>
  <c r="BK46" i="1"/>
  <c r="AX15" i="1"/>
  <c r="BB15" i="1" s="1"/>
  <c r="BF15" i="1" s="1"/>
  <c r="AW23" i="1"/>
  <c r="BQ23" i="1" s="1"/>
  <c r="AX23" i="1"/>
  <c r="BR23" i="1" s="1"/>
  <c r="BS27" i="1"/>
  <c r="AW35" i="1"/>
  <c r="BM35" i="1" s="1"/>
  <c r="AX35" i="1"/>
  <c r="BJ35" i="1" s="1"/>
  <c r="AW54" i="1"/>
  <c r="BA54" i="1" s="1"/>
  <c r="BE54" i="1" s="1"/>
  <c r="AX54" i="1"/>
  <c r="BR54" i="1" s="1"/>
  <c r="AY54" i="1"/>
  <c r="BK54" i="1" s="1"/>
  <c r="AZ54" i="1"/>
  <c r="BT54" i="1" s="1"/>
  <c r="AW55" i="1"/>
  <c r="BI55" i="1" s="1"/>
  <c r="AW56" i="1"/>
  <c r="BQ56" i="1" s="1"/>
  <c r="AX56" i="1"/>
  <c r="BB56" i="1" s="1"/>
  <c r="BF56" i="1" s="1"/>
  <c r="AZ56" i="1"/>
  <c r="BD56" i="1" s="1"/>
  <c r="BH56" i="1" s="1"/>
  <c r="AZ69" i="1"/>
  <c r="BD69" i="1" s="1"/>
  <c r="BH69" i="1" s="1"/>
  <c r="BP71" i="1"/>
  <c r="BT71" i="1"/>
  <c r="BD71" i="1"/>
  <c r="BH71" i="1" s="1"/>
  <c r="AY17" i="1"/>
  <c r="BK17" i="1" s="1"/>
  <c r="AY26" i="1"/>
  <c r="BK26" i="1" s="1"/>
  <c r="AZ26" i="1"/>
  <c r="BP26" i="1" s="1"/>
  <c r="AZ32" i="1"/>
  <c r="BL32" i="1" s="1"/>
  <c r="AX40" i="1"/>
  <c r="BJ40" i="1" s="1"/>
  <c r="AY48" i="1"/>
  <c r="BK48" i="1" s="1"/>
  <c r="AY53" i="1"/>
  <c r="BO53" i="1" s="1"/>
  <c r="AZ73" i="1"/>
  <c r="BD73" i="1" s="1"/>
  <c r="BH73" i="1" s="1"/>
  <c r="BC27" i="1"/>
  <c r="BG27" i="1" s="1"/>
  <c r="BP67" i="1"/>
  <c r="AZ11" i="1"/>
  <c r="BD11" i="1" s="1"/>
  <c r="BH11" i="1" s="1"/>
  <c r="AW15" i="1"/>
  <c r="BQ15" i="1" s="1"/>
  <c r="AZ27" i="1"/>
  <c r="BD27" i="1" s="1"/>
  <c r="BH27" i="1" s="1"/>
  <c r="AY29" i="1"/>
  <c r="AY32" i="1"/>
  <c r="BC32" i="1" s="1"/>
  <c r="BG32" i="1" s="1"/>
  <c r="AZ33" i="1"/>
  <c r="BL33" i="1" s="1"/>
  <c r="AX41" i="1"/>
  <c r="BJ41" i="1" s="1"/>
  <c r="AW11" i="1"/>
  <c r="BM11" i="1" s="1"/>
  <c r="AX11" i="1"/>
  <c r="AY14" i="1"/>
  <c r="BC14" i="1" s="1"/>
  <c r="BG14" i="1" s="1"/>
  <c r="AZ14" i="1"/>
  <c r="BL14" i="1" s="1"/>
  <c r="AZ15" i="1"/>
  <c r="BL15" i="1" s="1"/>
  <c r="AW31" i="1"/>
  <c r="BM31" i="1" s="1"/>
  <c r="AX31" i="1"/>
  <c r="BB31" i="1" s="1"/>
  <c r="BF31" i="1" s="1"/>
  <c r="AX38" i="1"/>
  <c r="BJ38" i="1" s="1"/>
  <c r="AY38" i="1"/>
  <c r="BC38" i="1" s="1"/>
  <c r="BG38" i="1" s="1"/>
  <c r="AY40" i="1"/>
  <c r="BC40" i="1" s="1"/>
  <c r="BG40" i="1" s="1"/>
  <c r="AW43" i="1"/>
  <c r="BA43" i="1" s="1"/>
  <c r="BE43" i="1" s="1"/>
  <c r="AX43" i="1"/>
  <c r="BJ43" i="1" s="1"/>
  <c r="AY43" i="1"/>
  <c r="BK43" i="1" s="1"/>
  <c r="AZ43" i="1"/>
  <c r="BL43" i="1" s="1"/>
  <c r="AW51" i="1"/>
  <c r="BI51" i="1" s="1"/>
  <c r="AW62" i="1"/>
  <c r="BM62" i="1" s="1"/>
  <c r="AX62" i="1"/>
  <c r="BR62" i="1" s="1"/>
  <c r="AY64" i="1"/>
  <c r="BC64" i="1" s="1"/>
  <c r="BG64" i="1" s="1"/>
  <c r="AX101" i="1"/>
  <c r="BR101" i="1" s="1"/>
  <c r="AY62" i="1"/>
  <c r="BC62" i="1" s="1"/>
  <c r="BG62" i="1" s="1"/>
  <c r="AZ62" i="1"/>
  <c r="BD62" i="1" s="1"/>
  <c r="BH62" i="1" s="1"/>
  <c r="AW63" i="1"/>
  <c r="BA63" i="1" s="1"/>
  <c r="BE63" i="1" s="1"/>
  <c r="AW64" i="1"/>
  <c r="BM64" i="1" s="1"/>
  <c r="AX64" i="1"/>
  <c r="BR64" i="1" s="1"/>
  <c r="AZ64" i="1"/>
  <c r="BL64" i="1" s="1"/>
  <c r="AZ65" i="1"/>
  <c r="BP65" i="1" s="1"/>
  <c r="AZ72" i="1"/>
  <c r="BD72" i="1" s="1"/>
  <c r="BH72" i="1" s="1"/>
  <c r="AX74" i="1"/>
  <c r="BJ74" i="1" s="1"/>
  <c r="AX80" i="1"/>
  <c r="BJ80" i="1" s="1"/>
  <c r="AY80" i="1"/>
  <c r="BK80" i="1" s="1"/>
  <c r="AW81" i="1"/>
  <c r="BM81" i="1" s="1"/>
  <c r="AX81" i="1"/>
  <c r="BB81" i="1" s="1"/>
  <c r="BF81" i="1" s="1"/>
  <c r="AY81" i="1"/>
  <c r="BC81" i="1" s="1"/>
  <c r="BG81" i="1" s="1"/>
  <c r="AZ81" i="1"/>
  <c r="BL81" i="1" s="1"/>
  <c r="AW83" i="1"/>
  <c r="BM83" i="1" s="1"/>
  <c r="AX83" i="1"/>
  <c r="BB83" i="1" s="1"/>
  <c r="BF83" i="1" s="1"/>
  <c r="AY83" i="1"/>
  <c r="BK83" i="1" s="1"/>
  <c r="AZ83" i="1"/>
  <c r="BD83" i="1" s="1"/>
  <c r="BH83" i="1" s="1"/>
  <c r="AX86" i="1"/>
  <c r="BB86" i="1" s="1"/>
  <c r="BF86" i="1" s="1"/>
  <c r="AY86" i="1"/>
  <c r="BC86" i="1" s="1"/>
  <c r="BG86" i="1" s="1"/>
  <c r="AW98" i="1"/>
  <c r="BI98" i="1" s="1"/>
  <c r="AW104" i="1"/>
  <c r="BM104" i="1" s="1"/>
  <c r="AX104" i="1"/>
  <c r="BJ104" i="1" s="1"/>
  <c r="AY104" i="1"/>
  <c r="BO104" i="1" s="1"/>
  <c r="AZ104" i="1"/>
  <c r="BL104" i="1" s="1"/>
  <c r="AY18" i="1"/>
  <c r="BC18" i="1" s="1"/>
  <c r="BG18" i="1" s="1"/>
  <c r="AZ18" i="1"/>
  <c r="BL18" i="1" s="1"/>
  <c r="AZ19" i="1"/>
  <c r="BL19" i="1" s="1"/>
  <c r="AW21" i="1"/>
  <c r="BQ21" i="1" s="1"/>
  <c r="AX21" i="1"/>
  <c r="BJ21" i="1" s="1"/>
  <c r="AY24" i="1"/>
  <c r="BK24" i="1" s="1"/>
  <c r="AZ24" i="1"/>
  <c r="BD24" i="1" s="1"/>
  <c r="BH24" i="1" s="1"/>
  <c r="AZ25" i="1"/>
  <c r="BT25" i="1" s="1"/>
  <c r="AW29" i="1"/>
  <c r="BM29" i="1" s="1"/>
  <c r="AX29" i="1"/>
  <c r="BJ29" i="1" s="1"/>
  <c r="AX42" i="1"/>
  <c r="BB42" i="1" s="1"/>
  <c r="BF42" i="1" s="1"/>
  <c r="AY42" i="1"/>
  <c r="BC42" i="1" s="1"/>
  <c r="BG42" i="1" s="1"/>
  <c r="AW45" i="1"/>
  <c r="BM45" i="1" s="1"/>
  <c r="AX45" i="1"/>
  <c r="BB45" i="1" s="1"/>
  <c r="BF45" i="1" s="1"/>
  <c r="AY45" i="1"/>
  <c r="BK45" i="1" s="1"/>
  <c r="AZ45" i="1"/>
  <c r="BL45" i="1" s="1"/>
  <c r="AW48" i="1"/>
  <c r="BA48" i="1" s="1"/>
  <c r="BE48" i="1" s="1"/>
  <c r="AX48" i="1"/>
  <c r="BJ48" i="1" s="1"/>
  <c r="AZ48" i="1"/>
  <c r="BP48" i="1" s="1"/>
  <c r="AZ49" i="1"/>
  <c r="BP49" i="1" s="1"/>
  <c r="AW52" i="1"/>
  <c r="BI52" i="1" s="1"/>
  <c r="AX52" i="1"/>
  <c r="BN52" i="1" s="1"/>
  <c r="AY52" i="1"/>
  <c r="BS52" i="1" s="1"/>
  <c r="AZ52" i="1"/>
  <c r="BD52" i="1" s="1"/>
  <c r="BH52" i="1" s="1"/>
  <c r="AW57" i="1"/>
  <c r="BM57" i="1" s="1"/>
  <c r="AW59" i="1"/>
  <c r="BA59" i="1" s="1"/>
  <c r="BE59" i="1" s="1"/>
  <c r="AX59" i="1"/>
  <c r="BJ59" i="1" s="1"/>
  <c r="AY59" i="1"/>
  <c r="BS59" i="1" s="1"/>
  <c r="AZ59" i="1"/>
  <c r="BL59" i="1" s="1"/>
  <c r="AY60" i="1"/>
  <c r="BK60" i="1" s="1"/>
  <c r="AZ60" i="1"/>
  <c r="BL60" i="1" s="1"/>
  <c r="AZ70" i="1"/>
  <c r="BD70" i="1" s="1"/>
  <c r="BH70" i="1" s="1"/>
  <c r="AW75" i="1"/>
  <c r="BA75" i="1" s="1"/>
  <c r="BE75" i="1" s="1"/>
  <c r="AX75" i="1"/>
  <c r="BJ75" i="1" s="1"/>
  <c r="AY75" i="1"/>
  <c r="BC75" i="1" s="1"/>
  <c r="BG75" i="1" s="1"/>
  <c r="AZ75" i="1"/>
  <c r="BL75" i="1" s="1"/>
  <c r="AW77" i="1"/>
  <c r="BA77" i="1" s="1"/>
  <c r="BE77" i="1" s="1"/>
  <c r="AX77" i="1"/>
  <c r="BB77" i="1" s="1"/>
  <c r="BF77" i="1" s="1"/>
  <c r="AY77" i="1"/>
  <c r="BK77" i="1" s="1"/>
  <c r="AZ77" i="1"/>
  <c r="BD77" i="1" s="1"/>
  <c r="BH77" i="1" s="1"/>
  <c r="AW79" i="1"/>
  <c r="BM79" i="1" s="1"/>
  <c r="AX79" i="1"/>
  <c r="BB79" i="1" s="1"/>
  <c r="BF79" i="1" s="1"/>
  <c r="AY79" i="1"/>
  <c r="BC79" i="1" s="1"/>
  <c r="BG79" i="1" s="1"/>
  <c r="AZ79" i="1"/>
  <c r="BL79" i="1" s="1"/>
  <c r="AX82" i="1"/>
  <c r="BJ82" i="1" s="1"/>
  <c r="AY82" i="1"/>
  <c r="BK82" i="1" s="1"/>
  <c r="AW89" i="1"/>
  <c r="BI89" i="1" s="1"/>
  <c r="AX89" i="1"/>
  <c r="BB89" i="1" s="1"/>
  <c r="BF89" i="1" s="1"/>
  <c r="AY89" i="1"/>
  <c r="BC89" i="1" s="1"/>
  <c r="BG89" i="1" s="1"/>
  <c r="AZ89" i="1"/>
  <c r="BL89" i="1" s="1"/>
  <c r="AW91" i="1"/>
  <c r="BM91" i="1" s="1"/>
  <c r="AX91" i="1"/>
  <c r="BB91" i="1" s="1"/>
  <c r="BF91" i="1" s="1"/>
  <c r="AY91" i="1"/>
  <c r="BC91" i="1" s="1"/>
  <c r="BG91" i="1" s="1"/>
  <c r="AZ91" i="1"/>
  <c r="BL91" i="1" s="1"/>
  <c r="AW99" i="1"/>
  <c r="BA99" i="1" s="1"/>
  <c r="BE99" i="1" s="1"/>
  <c r="AX99" i="1"/>
  <c r="BR99" i="1" s="1"/>
  <c r="AY99" i="1"/>
  <c r="BC99" i="1" s="1"/>
  <c r="BG99" i="1" s="1"/>
  <c r="AZ99" i="1"/>
  <c r="BT99" i="1" s="1"/>
  <c r="AW100" i="1"/>
  <c r="BI100" i="1" s="1"/>
  <c r="AZ100" i="1"/>
  <c r="BL100" i="1" s="1"/>
  <c r="AW101" i="1"/>
  <c r="BA101" i="1" s="1"/>
  <c r="BE101" i="1" s="1"/>
  <c r="AW105" i="1"/>
  <c r="BQ105" i="1" s="1"/>
  <c r="AZ105" i="1"/>
  <c r="BL105" i="1" s="1"/>
  <c r="AW107" i="1"/>
  <c r="BM107" i="1" s="1"/>
  <c r="AZ107" i="1"/>
  <c r="BP107" i="1" s="1"/>
  <c r="AY8" i="1"/>
  <c r="BK8" i="1" s="1"/>
  <c r="AZ8" i="1"/>
  <c r="BL8" i="1" s="1"/>
  <c r="AY9" i="1"/>
  <c r="BC9" i="1" s="1"/>
  <c r="BG9" i="1" s="1"/>
  <c r="AZ9" i="1"/>
  <c r="BL9" i="1" s="1"/>
  <c r="AY10" i="1"/>
  <c r="BK10" i="1" s="1"/>
  <c r="AZ10" i="1"/>
  <c r="BL10" i="1" s="1"/>
  <c r="AY12" i="1"/>
  <c r="BK12" i="1" s="1"/>
  <c r="AZ12" i="1"/>
  <c r="BT12" i="1" s="1"/>
  <c r="AZ13" i="1"/>
  <c r="BL13" i="1" s="1"/>
  <c r="AW17" i="1"/>
  <c r="BM17" i="1" s="1"/>
  <c r="AX17" i="1"/>
  <c r="BB17" i="1" s="1"/>
  <c r="BF17" i="1" s="1"/>
  <c r="AY22" i="1"/>
  <c r="BC22" i="1" s="1"/>
  <c r="BG22" i="1" s="1"/>
  <c r="AZ22" i="1"/>
  <c r="BL22" i="1" s="1"/>
  <c r="AZ23" i="1"/>
  <c r="AW27" i="1"/>
  <c r="BM27" i="1" s="1"/>
  <c r="AX27" i="1"/>
  <c r="BN27" i="1" s="1"/>
  <c r="AY30" i="1"/>
  <c r="BC30" i="1" s="1"/>
  <c r="BG30" i="1" s="1"/>
  <c r="AZ30" i="1"/>
  <c r="BL30" i="1" s="1"/>
  <c r="AZ31" i="1"/>
  <c r="BD31" i="1" s="1"/>
  <c r="BH31" i="1" s="1"/>
  <c r="AW33" i="1"/>
  <c r="BM33" i="1" s="1"/>
  <c r="AX33" i="1"/>
  <c r="BJ33" i="1" s="1"/>
  <c r="AY34" i="1"/>
  <c r="BC34" i="1" s="1"/>
  <c r="BG34" i="1" s="1"/>
  <c r="AZ34" i="1"/>
  <c r="BL34" i="1" s="1"/>
  <c r="AZ35" i="1"/>
  <c r="BD35" i="1" s="1"/>
  <c r="BH35" i="1" s="1"/>
  <c r="AW37" i="1"/>
  <c r="BI37" i="1" s="1"/>
  <c r="AX37" i="1"/>
  <c r="AY37" i="1"/>
  <c r="BK37" i="1" s="1"/>
  <c r="AZ37" i="1"/>
  <c r="BL37" i="1" s="1"/>
  <c r="AW39" i="1"/>
  <c r="BM39" i="1" s="1"/>
  <c r="AX39" i="1"/>
  <c r="BJ39" i="1" s="1"/>
  <c r="AY39" i="1"/>
  <c r="BC39" i="1" s="1"/>
  <c r="BG39" i="1" s="1"/>
  <c r="AZ39" i="1"/>
  <c r="BD39" i="1" s="1"/>
  <c r="BH39" i="1" s="1"/>
  <c r="AW40" i="1"/>
  <c r="BM40" i="1" s="1"/>
  <c r="BN40" i="1" s="1"/>
  <c r="AX44" i="1"/>
  <c r="BB44" i="1" s="1"/>
  <c r="BF44" i="1" s="1"/>
  <c r="AY44" i="1"/>
  <c r="BC44" i="1" s="1"/>
  <c r="BG44" i="1" s="1"/>
  <c r="AW46" i="1"/>
  <c r="BM46" i="1" s="1"/>
  <c r="AX46" i="1"/>
  <c r="BN46" i="1" s="1"/>
  <c r="AZ46" i="1"/>
  <c r="BL46" i="1" s="1"/>
  <c r="AY47" i="1"/>
  <c r="BK47" i="1" s="1"/>
  <c r="AY51" i="1"/>
  <c r="BC51" i="1" s="1"/>
  <c r="BG51" i="1" s="1"/>
  <c r="AW53" i="1"/>
  <c r="BM53" i="1" s="1"/>
  <c r="AZ55" i="1"/>
  <c r="BL55" i="1" s="1"/>
  <c r="AZ63" i="1"/>
  <c r="BL63" i="1" s="1"/>
  <c r="AX76" i="1"/>
  <c r="BB76" i="1" s="1"/>
  <c r="BF76" i="1" s="1"/>
  <c r="AY76" i="1"/>
  <c r="BK76" i="1" s="1"/>
  <c r="AX78" i="1"/>
  <c r="BB78" i="1" s="1"/>
  <c r="BF78" i="1" s="1"/>
  <c r="AY78" i="1"/>
  <c r="BK78" i="1" s="1"/>
  <c r="AX88" i="1"/>
  <c r="BB88" i="1" s="1"/>
  <c r="BF88" i="1" s="1"/>
  <c r="AY88" i="1"/>
  <c r="BK88" i="1" s="1"/>
  <c r="AX90" i="1"/>
  <c r="BB90" i="1" s="1"/>
  <c r="BF90" i="1" s="1"/>
  <c r="AY90" i="1"/>
  <c r="BC90" i="1" s="1"/>
  <c r="BG90" i="1" s="1"/>
  <c r="AW92" i="1"/>
  <c r="BM92" i="1" s="1"/>
  <c r="AZ101" i="1"/>
  <c r="BT101" i="1" s="1"/>
  <c r="BB38" i="1"/>
  <c r="BF38" i="1" s="1"/>
  <c r="BC24" i="1"/>
  <c r="BG24" i="1" s="1"/>
  <c r="BA52" i="1"/>
  <c r="BE52" i="1" s="1"/>
  <c r="BC20" i="1"/>
  <c r="BG20" i="1" s="1"/>
  <c r="BS28" i="1"/>
  <c r="BK9" i="1"/>
  <c r="BO12" i="1"/>
  <c r="BK22" i="1"/>
  <c r="BM13" i="1"/>
  <c r="BI13" i="1"/>
  <c r="BA13" i="1"/>
  <c r="BE13" i="1" s="1"/>
  <c r="BJ15" i="1"/>
  <c r="AW8" i="1"/>
  <c r="AX9" i="1"/>
  <c r="AW10" i="1"/>
  <c r="BC11" i="1"/>
  <c r="BG11" i="1" s="1"/>
  <c r="BS13" i="1"/>
  <c r="BC15" i="1"/>
  <c r="BG15" i="1" s="1"/>
  <c r="BC17" i="1"/>
  <c r="BG17" i="1" s="1"/>
  <c r="BK56" i="1"/>
  <c r="BC56" i="1"/>
  <c r="BG56" i="1" s="1"/>
  <c r="BL58" i="1"/>
  <c r="BL11" i="1"/>
  <c r="AW14" i="1"/>
  <c r="AW16" i="1"/>
  <c r="BD17" i="1"/>
  <c r="BH17" i="1" s="1"/>
  <c r="AW18" i="1"/>
  <c r="AW20" i="1"/>
  <c r="BT21" i="1"/>
  <c r="AW22" i="1"/>
  <c r="AX22" i="1"/>
  <c r="AW24" i="1"/>
  <c r="AX24" i="1"/>
  <c r="BL25" i="1"/>
  <c r="AW26" i="1"/>
  <c r="AX26" i="1"/>
  <c r="AW28" i="1"/>
  <c r="AX28" i="1"/>
  <c r="BP29" i="1"/>
  <c r="AW30" i="1"/>
  <c r="AX30" i="1"/>
  <c r="BL31" i="1"/>
  <c r="AW32" i="1"/>
  <c r="AX32" i="1"/>
  <c r="AW34" i="1"/>
  <c r="AX34" i="1"/>
  <c r="AW36" i="1"/>
  <c r="AX36" i="1"/>
  <c r="BI41" i="1"/>
  <c r="BM41" i="1"/>
  <c r="BC41" i="1"/>
  <c r="BG41" i="1" s="1"/>
  <c r="BA41" i="1"/>
  <c r="BE41" i="1" s="1"/>
  <c r="AW42" i="1"/>
  <c r="BQ50" i="1"/>
  <c r="BA50" i="1"/>
  <c r="BE50" i="1" s="1"/>
  <c r="BI50" i="1"/>
  <c r="BM50" i="1"/>
  <c r="BA57" i="1"/>
  <c r="BE57" i="1" s="1"/>
  <c r="BI11" i="1"/>
  <c r="BD12" i="1"/>
  <c r="BH12" i="1" s="1"/>
  <c r="BO13" i="1"/>
  <c r="BA15" i="1"/>
  <c r="BE15" i="1" s="1"/>
  <c r="AX8" i="1"/>
  <c r="AW9" i="1"/>
  <c r="AX10" i="1"/>
  <c r="BC13" i="1"/>
  <c r="BG13" i="1" s="1"/>
  <c r="BK38" i="1"/>
  <c r="BI39" i="1"/>
  <c r="BB40" i="1"/>
  <c r="BF40" i="1" s="1"/>
  <c r="BQ63" i="1"/>
  <c r="BI104" i="1"/>
  <c r="AW12" i="1"/>
  <c r="AX12" i="1"/>
  <c r="BT13" i="1"/>
  <c r="AX14" i="1"/>
  <c r="AX16" i="1"/>
  <c r="AX18" i="1"/>
  <c r="AX20" i="1"/>
  <c r="BK11" i="1"/>
  <c r="BK19" i="1"/>
  <c r="BK21" i="1"/>
  <c r="BK23" i="1"/>
  <c r="BK25" i="1"/>
  <c r="BK27" i="1"/>
  <c r="BK29" i="1"/>
  <c r="BK31" i="1"/>
  <c r="BK33" i="1"/>
  <c r="BK42" i="1"/>
  <c r="AW44" i="1"/>
  <c r="BO47" i="1"/>
  <c r="BL49" i="1"/>
  <c r="BT51" i="1"/>
  <c r="BD51" i="1"/>
  <c r="BH51" i="1" s="1"/>
  <c r="BL51" i="1"/>
  <c r="BP51" i="1"/>
  <c r="BB11" i="1"/>
  <c r="BF11" i="1" s="1"/>
  <c r="BL16" i="1"/>
  <c r="BJ17" i="1"/>
  <c r="BD18" i="1"/>
  <c r="BH18" i="1" s="1"/>
  <c r="BM19" i="1"/>
  <c r="BN19" i="1" s="1"/>
  <c r="BO19" i="1" s="1"/>
  <c r="BI19" i="1"/>
  <c r="BA19" i="1"/>
  <c r="BE19" i="1" s="1"/>
  <c r="BJ19" i="1"/>
  <c r="BB19" i="1"/>
  <c r="BF19" i="1" s="1"/>
  <c r="BL20" i="1"/>
  <c r="BA21" i="1"/>
  <c r="BE21" i="1" s="1"/>
  <c r="BB21" i="1"/>
  <c r="BF21" i="1" s="1"/>
  <c r="BT22" i="1"/>
  <c r="BA23" i="1"/>
  <c r="BE23" i="1" s="1"/>
  <c r="BB23" i="1"/>
  <c r="BF23" i="1" s="1"/>
  <c r="BQ25" i="1"/>
  <c r="BM25" i="1"/>
  <c r="BN25" i="1" s="1"/>
  <c r="BI25" i="1"/>
  <c r="BA25" i="1"/>
  <c r="BE25" i="1" s="1"/>
  <c r="BJ25" i="1"/>
  <c r="BB25" i="1"/>
  <c r="BF25" i="1" s="1"/>
  <c r="BT26" i="1"/>
  <c r="BQ27" i="1"/>
  <c r="BR27" i="1"/>
  <c r="BB29" i="1"/>
  <c r="BF29" i="1" s="1"/>
  <c r="BD32" i="1"/>
  <c r="BH32" i="1" s="1"/>
  <c r="BD34" i="1"/>
  <c r="BH34" i="1" s="1"/>
  <c r="BB35" i="1"/>
  <c r="BF35" i="1" s="1"/>
  <c r="BM37" i="1"/>
  <c r="BC37" i="1"/>
  <c r="BG37" i="1" s="1"/>
  <c r="AW38" i="1"/>
  <c r="BA45" i="1"/>
  <c r="BE45" i="1" s="1"/>
  <c r="BR52" i="1"/>
  <c r="BT52" i="1"/>
  <c r="BQ54" i="1"/>
  <c r="BI59" i="1"/>
  <c r="BC60" i="1"/>
  <c r="BG60" i="1" s="1"/>
  <c r="BB62" i="1"/>
  <c r="BF62" i="1" s="1"/>
  <c r="BT62" i="1"/>
  <c r="BB75" i="1"/>
  <c r="BF75" i="1" s="1"/>
  <c r="BL41" i="1"/>
  <c r="BD41" i="1"/>
  <c r="BH41" i="1" s="1"/>
  <c r="BD43" i="1"/>
  <c r="BH43" i="1" s="1"/>
  <c r="BJ45" i="1"/>
  <c r="BD45" i="1"/>
  <c r="BH45" i="1" s="1"/>
  <c r="BR46" i="1"/>
  <c r="BO46" i="1"/>
  <c r="BN48" i="1"/>
  <c r="BI53" i="1"/>
  <c r="BT53" i="1"/>
  <c r="BD53" i="1"/>
  <c r="BH53" i="1" s="1"/>
  <c r="BL53" i="1"/>
  <c r="BP54" i="1"/>
  <c r="BA55" i="1"/>
  <c r="BE55" i="1" s="1"/>
  <c r="BO58" i="1"/>
  <c r="BI61" i="1"/>
  <c r="BA61" i="1"/>
  <c r="BE61" i="1" s="1"/>
  <c r="BT61" i="1"/>
  <c r="BD61" i="1"/>
  <c r="BH61" i="1" s="1"/>
  <c r="BL61" i="1"/>
  <c r="BP61" i="1"/>
  <c r="BL65" i="1"/>
  <c r="BJ77" i="1"/>
  <c r="BC77" i="1"/>
  <c r="BG77" i="1" s="1"/>
  <c r="BL77" i="1"/>
  <c r="BK84" i="1"/>
  <c r="BC84" i="1"/>
  <c r="BG84" i="1" s="1"/>
  <c r="BA89" i="1"/>
  <c r="BE89" i="1" s="1"/>
  <c r="BL39" i="1"/>
  <c r="BC46" i="1"/>
  <c r="BG46" i="1" s="1"/>
  <c r="BT57" i="1"/>
  <c r="BO59" i="1"/>
  <c r="BT59" i="1"/>
  <c r="BQ60" i="1"/>
  <c r="BA60" i="1"/>
  <c r="BE60" i="1" s="1"/>
  <c r="BM60" i="1"/>
  <c r="BD63" i="1"/>
  <c r="BH63" i="1" s="1"/>
  <c r="BD68" i="1"/>
  <c r="BH68" i="1" s="1"/>
  <c r="BT70" i="1"/>
  <c r="BT72" i="1"/>
  <c r="BK74" i="1"/>
  <c r="BC74" i="1"/>
  <c r="BG74" i="1" s="1"/>
  <c r="BI81" i="1"/>
  <c r="BI85" i="1"/>
  <c r="BM85" i="1"/>
  <c r="BN85" i="1" s="1"/>
  <c r="BO85" i="1" s="1"/>
  <c r="BA85" i="1"/>
  <c r="BE85" i="1" s="1"/>
  <c r="AZ38" i="1"/>
  <c r="AZ40" i="1"/>
  <c r="AZ42" i="1"/>
  <c r="AZ44" i="1"/>
  <c r="AW47" i="1"/>
  <c r="AX47" i="1"/>
  <c r="AZ47" i="1"/>
  <c r="AW49" i="1"/>
  <c r="AY49" i="1"/>
  <c r="BR50" i="1"/>
  <c r="BN50" i="1"/>
  <c r="BJ50" i="1"/>
  <c r="BB50" i="1"/>
  <c r="BF50" i="1" s="1"/>
  <c r="BK50" i="1"/>
  <c r="BO50" i="1"/>
  <c r="BP50" i="1" s="1"/>
  <c r="BL50" i="1"/>
  <c r="BD50" i="1"/>
  <c r="BH50" i="1" s="1"/>
  <c r="BK53" i="1"/>
  <c r="AW58" i="1"/>
  <c r="BI60" i="1"/>
  <c r="BM61" i="1"/>
  <c r="BA64" i="1"/>
  <c r="BE64" i="1" s="1"/>
  <c r="BD64" i="1"/>
  <c r="BH64" i="1" s="1"/>
  <c r="BK64" i="1"/>
  <c r="AW65" i="1"/>
  <c r="BL68" i="1"/>
  <c r="BL70" i="1"/>
  <c r="BL72" i="1"/>
  <c r="BC78" i="1"/>
  <c r="BG78" i="1" s="1"/>
  <c r="AX57" i="1"/>
  <c r="AY57" i="1"/>
  <c r="AX60" i="1"/>
  <c r="AX65" i="1"/>
  <c r="AY65" i="1"/>
  <c r="AY66" i="1"/>
  <c r="BD66" i="1"/>
  <c r="BH66" i="1" s="1"/>
  <c r="BP66" i="1"/>
  <c r="AY67" i="1"/>
  <c r="AY69" i="1"/>
  <c r="AY71" i="1"/>
  <c r="AY73" i="1"/>
  <c r="BC82" i="1"/>
  <c r="BG82" i="1" s="1"/>
  <c r="BB84" i="1"/>
  <c r="BF84" i="1" s="1"/>
  <c r="BL94" i="1"/>
  <c r="BD94" i="1"/>
  <c r="BH94" i="1" s="1"/>
  <c r="AX49" i="1"/>
  <c r="AX51" i="1"/>
  <c r="AX53" i="1"/>
  <c r="AX55" i="1"/>
  <c r="AY55" i="1"/>
  <c r="AX58" i="1"/>
  <c r="BC61" i="1"/>
  <c r="BG61" i="1" s="1"/>
  <c r="BK61" i="1"/>
  <c r="AX63" i="1"/>
  <c r="AY63" i="1"/>
  <c r="BL69" i="1"/>
  <c r="BL71" i="1"/>
  <c r="BJ85" i="1"/>
  <c r="BB85" i="1"/>
  <c r="BF85" i="1" s="1"/>
  <c r="BC85" i="1"/>
  <c r="BG85" i="1" s="1"/>
  <c r="BK85" i="1"/>
  <c r="BL85" i="1"/>
  <c r="BD85" i="1"/>
  <c r="BH85" i="1" s="1"/>
  <c r="BJ86" i="1"/>
  <c r="BK86" i="1"/>
  <c r="BB94" i="1"/>
  <c r="BF94" i="1" s="1"/>
  <c r="BJ56" i="1"/>
  <c r="BN61" i="1"/>
  <c r="BJ61" i="1"/>
  <c r="BB61" i="1"/>
  <c r="BF61" i="1" s="1"/>
  <c r="BS61" i="1"/>
  <c r="AY68" i="1"/>
  <c r="AY70" i="1"/>
  <c r="AY72" i="1"/>
  <c r="BI87" i="1"/>
  <c r="BA87" i="1"/>
  <c r="BE87" i="1" s="1"/>
  <c r="BJ89" i="1"/>
  <c r="BD89" i="1"/>
  <c r="BH89" i="1" s="1"/>
  <c r="BK90" i="1"/>
  <c r="BI95" i="1"/>
  <c r="BA95" i="1"/>
  <c r="BE95" i="1" s="1"/>
  <c r="BM95" i="1"/>
  <c r="BN95" i="1" s="1"/>
  <c r="BO95" i="1" s="1"/>
  <c r="BP95" i="1" s="1"/>
  <c r="AW74" i="1"/>
  <c r="AW78" i="1"/>
  <c r="AW82" i="1"/>
  <c r="AW86" i="1"/>
  <c r="AW90" i="1"/>
  <c r="AY92" i="1"/>
  <c r="AZ92" i="1"/>
  <c r="AW93" i="1"/>
  <c r="AZ93" i="1"/>
  <c r="BA96" i="1"/>
  <c r="BE96" i="1" s="1"/>
  <c r="BM96" i="1"/>
  <c r="BR96" i="1"/>
  <c r="BJ96" i="1"/>
  <c r="BT96" i="1"/>
  <c r="BL96" i="1"/>
  <c r="BD96" i="1"/>
  <c r="BH96" i="1" s="1"/>
  <c r="BN96" i="1"/>
  <c r="AW102" i="1"/>
  <c r="BD75" i="1"/>
  <c r="BH75" i="1" s="1"/>
  <c r="BN79" i="1"/>
  <c r="BC83" i="1"/>
  <c r="BG83" i="1" s="1"/>
  <c r="BL83" i="1"/>
  <c r="BJ87" i="1"/>
  <c r="BN87" i="1"/>
  <c r="BO87" i="1" s="1"/>
  <c r="BC87" i="1"/>
  <c r="BG87" i="1" s="1"/>
  <c r="BL87" i="1"/>
  <c r="BD87" i="1"/>
  <c r="BH87" i="1" s="1"/>
  <c r="BK91" i="1"/>
  <c r="BD91" i="1"/>
  <c r="BH91" i="1" s="1"/>
  <c r="BK95" i="1"/>
  <c r="BC95" i="1"/>
  <c r="BG95" i="1" s="1"/>
  <c r="BD95" i="1"/>
  <c r="BH95" i="1" s="1"/>
  <c r="BL95" i="1"/>
  <c r="BN99" i="1"/>
  <c r="BP99" i="1"/>
  <c r="BA103" i="1"/>
  <c r="BE103" i="1" s="1"/>
  <c r="BJ103" i="1"/>
  <c r="BB103" i="1"/>
  <c r="BF103" i="1" s="1"/>
  <c r="BL103" i="1"/>
  <c r="BD103" i="1"/>
  <c r="BH103" i="1" s="1"/>
  <c r="BA105" i="1"/>
  <c r="BE105" i="1" s="1"/>
  <c r="AW66" i="1"/>
  <c r="AX66" i="1"/>
  <c r="AW67" i="1"/>
  <c r="AX67" i="1"/>
  <c r="AW68" i="1"/>
  <c r="AX68" i="1"/>
  <c r="AW69" i="1"/>
  <c r="AX69" i="1"/>
  <c r="AW70" i="1"/>
  <c r="AX70" i="1"/>
  <c r="AW71" i="1"/>
  <c r="AX71" i="1"/>
  <c r="AW72" i="1"/>
  <c r="AX72" i="1"/>
  <c r="AW73" i="1"/>
  <c r="AX73" i="1"/>
  <c r="AW76" i="1"/>
  <c r="AW80" i="1"/>
  <c r="AW84" i="1"/>
  <c r="BK87" i="1"/>
  <c r="AW88" i="1"/>
  <c r="AW94" i="1"/>
  <c r="BB95" i="1"/>
  <c r="BF95" i="1" s="1"/>
  <c r="AW97" i="1"/>
  <c r="BP101" i="1"/>
  <c r="BM109" i="1"/>
  <c r="BI109" i="1"/>
  <c r="BL109" i="1"/>
  <c r="BD109" i="1"/>
  <c r="BH109" i="1" s="1"/>
  <c r="BA109" i="1"/>
  <c r="BE109" i="1" s="1"/>
  <c r="AX102" i="1"/>
  <c r="AY102" i="1"/>
  <c r="AZ102" i="1"/>
  <c r="AX93" i="1"/>
  <c r="AY93" i="1"/>
  <c r="BS96" i="1"/>
  <c r="BO96" i="1"/>
  <c r="BK96" i="1"/>
  <c r="BC96" i="1"/>
  <c r="BG96" i="1" s="1"/>
  <c r="BT98" i="1"/>
  <c r="BD98" i="1"/>
  <c r="BH98" i="1" s="1"/>
  <c r="BL98" i="1"/>
  <c r="BI101" i="1"/>
  <c r="BM101" i="1"/>
  <c r="BT104" i="1"/>
  <c r="AZ74" i="1"/>
  <c r="AZ76" i="1"/>
  <c r="AZ78" i="1"/>
  <c r="AZ80" i="1"/>
  <c r="AZ82" i="1"/>
  <c r="AZ84" i="1"/>
  <c r="AZ86" i="1"/>
  <c r="AZ88" i="1"/>
  <c r="AZ90" i="1"/>
  <c r="AY94" i="1"/>
  <c r="AX97" i="1"/>
  <c r="BK97" i="1"/>
  <c r="BC97" i="1"/>
  <c r="BG97" i="1" s="1"/>
  <c r="BL97" i="1"/>
  <c r="BP98" i="1"/>
  <c r="AX105" i="1"/>
  <c r="AY105" i="1"/>
  <c r="AX100" i="1"/>
  <c r="AY100" i="1"/>
  <c r="BK103" i="1"/>
  <c r="BC103" i="1"/>
  <c r="BG103" i="1" s="1"/>
  <c r="AW106" i="1"/>
  <c r="AZ106" i="1"/>
  <c r="AW108" i="1"/>
  <c r="AZ108" i="1"/>
  <c r="AW110" i="1"/>
  <c r="AX98" i="1"/>
  <c r="AY98" i="1"/>
  <c r="AY101" i="1"/>
  <c r="AX106" i="1"/>
  <c r="AY106" i="1"/>
  <c r="AX107" i="1"/>
  <c r="AY107" i="1"/>
  <c r="AX108" i="1"/>
  <c r="AY108" i="1"/>
  <c r="AX109" i="1"/>
  <c r="AY109" i="1"/>
  <c r="AX110" i="1"/>
  <c r="AY110" i="1"/>
  <c r="AZ110" i="1"/>
  <c r="AV7" i="1"/>
  <c r="AU7" i="1"/>
  <c r="AT7" i="1"/>
  <c r="AS7" i="1"/>
  <c r="AR7" i="1"/>
  <c r="AQ7" i="1"/>
  <c r="AP7" i="1"/>
  <c r="AO7" i="1"/>
  <c r="AN7" i="1"/>
  <c r="AM7" i="1"/>
  <c r="AL7" i="1"/>
  <c r="AK7" i="1"/>
  <c r="AJ7" i="1"/>
  <c r="AI7" i="1"/>
  <c r="AH7" i="1"/>
  <c r="AG7" i="1"/>
  <c r="AF7" i="1"/>
  <c r="AE7" i="1"/>
  <c r="AD7" i="1"/>
  <c r="AC7" i="1"/>
  <c r="AB7" i="1"/>
  <c r="AA7" i="1"/>
  <c r="Z7" i="1"/>
  <c r="Y7" i="1"/>
  <c r="X7" i="1"/>
  <c r="W7" i="1"/>
  <c r="V7" i="1"/>
  <c r="U7" i="1"/>
  <c r="T7" i="1"/>
  <c r="S7" i="1"/>
  <c r="R7" i="1"/>
  <c r="Q7" i="1"/>
  <c r="N7" i="1"/>
  <c r="N6" i="1"/>
  <c r="N5" i="1"/>
  <c r="N4" i="1"/>
  <c r="BA91" i="1" l="1"/>
  <c r="BE91" i="1" s="1"/>
  <c r="BJ90" i="1"/>
  <c r="BI62" i="1"/>
  <c r="BD67" i="1"/>
  <c r="BH67" i="1" s="1"/>
  <c r="BA107" i="1"/>
  <c r="BE107" i="1" s="1"/>
  <c r="BD104" i="1"/>
  <c r="BH104" i="1" s="1"/>
  <c r="BQ103" i="1"/>
  <c r="BB99" i="1"/>
  <c r="BF99" i="1" s="1"/>
  <c r="BJ91" i="1"/>
  <c r="BD79" i="1"/>
  <c r="BH79" i="1" s="1"/>
  <c r="BN56" i="1"/>
  <c r="BT63" i="1"/>
  <c r="BC54" i="1"/>
  <c r="BG54" i="1" s="1"/>
  <c r="BP62" i="1"/>
  <c r="BJ62" i="1"/>
  <c r="BI21" i="1"/>
  <c r="BK39" i="1"/>
  <c r="BA11" i="1"/>
  <c r="BE11" i="1" s="1"/>
  <c r="BC12" i="1"/>
  <c r="BG12" i="1" s="1"/>
  <c r="BO28" i="1"/>
  <c r="BD105" i="1"/>
  <c r="BH105" i="1" s="1"/>
  <c r="BA98" i="1"/>
  <c r="BE98" i="1" s="1"/>
  <c r="BI107" i="1"/>
  <c r="BP104" i="1"/>
  <c r="BM98" i="1"/>
  <c r="BJ99" i="1"/>
  <c r="BI103" i="1"/>
  <c r="BB64" i="1"/>
  <c r="BF64" i="1" s="1"/>
  <c r="BR56" i="1"/>
  <c r="BL67" i="1"/>
  <c r="BK81" i="1"/>
  <c r="BJ78" i="1"/>
  <c r="BD55" i="1"/>
  <c r="BH55" i="1" s="1"/>
  <c r="BS53" i="1"/>
  <c r="BB80" i="1"/>
  <c r="BF80" i="1" s="1"/>
  <c r="BP70" i="1"/>
  <c r="BP63" i="1"/>
  <c r="BC59" i="1"/>
  <c r="BG59" i="1" s="1"/>
  <c r="BB54" i="1"/>
  <c r="BF54" i="1" s="1"/>
  <c r="BP46" i="1"/>
  <c r="BQ46" i="1" s="1"/>
  <c r="BL62" i="1"/>
  <c r="BN62" i="1"/>
  <c r="BL52" i="1"/>
  <c r="BK44" i="1"/>
  <c r="BD36" i="1"/>
  <c r="BH36" i="1" s="1"/>
  <c r="BI35" i="1"/>
  <c r="BI27" i="1"/>
  <c r="BD26" i="1"/>
  <c r="BH26" i="1" s="1"/>
  <c r="BM21" i="1"/>
  <c r="BN21" i="1" s="1"/>
  <c r="BT49" i="1"/>
  <c r="BC43" i="1"/>
  <c r="BG43" i="1" s="1"/>
  <c r="BD15" i="1"/>
  <c r="BH15" i="1" s="1"/>
  <c r="BD100" i="1"/>
  <c r="BH100" i="1" s="1"/>
  <c r="BP27" i="1"/>
  <c r="BP25" i="1"/>
  <c r="BR15" i="1"/>
  <c r="BS12" i="1"/>
  <c r="BK28" i="1"/>
  <c r="BC53" i="1"/>
  <c r="BG53" i="1" s="1"/>
  <c r="BP52" i="1"/>
  <c r="BA35" i="1"/>
  <c r="BE35" i="1" s="1"/>
  <c r="BA27" i="1"/>
  <c r="BE27" i="1" s="1"/>
  <c r="BL26" i="1"/>
  <c r="BD49" i="1"/>
  <c r="BH49" i="1" s="1"/>
  <c r="BD25" i="1"/>
  <c r="BH25" i="1" s="1"/>
  <c r="BN15" i="1"/>
  <c r="BO15" i="1" s="1"/>
  <c r="BP15" i="1" s="1"/>
  <c r="BN17" i="1"/>
  <c r="BS104" i="1"/>
  <c r="BK79" i="1"/>
  <c r="BK59" i="1"/>
  <c r="BL48" i="1"/>
  <c r="BK62" i="1"/>
  <c r="BP24" i="1"/>
  <c r="BQ99" i="1"/>
  <c r="BB101" i="1"/>
  <c r="BF101" i="1" s="1"/>
  <c r="BD101" i="1"/>
  <c r="BH101" i="1" s="1"/>
  <c r="BM105" i="1"/>
  <c r="BJ79" i="1"/>
  <c r="BA83" i="1"/>
  <c r="BE83" i="1" s="1"/>
  <c r="BC88" i="1"/>
  <c r="BG88" i="1" s="1"/>
  <c r="BC58" i="1"/>
  <c r="BG58" i="1" s="1"/>
  <c r="BQ55" i="1"/>
  <c r="BR48" i="1"/>
  <c r="BJ23" i="1"/>
  <c r="BP22" i="1"/>
  <c r="BT20" i="1"/>
  <c r="BM43" i="1"/>
  <c r="BN43" i="1" s="1"/>
  <c r="BO43" i="1" s="1"/>
  <c r="BP43" i="1" s="1"/>
  <c r="BA39" i="1"/>
  <c r="BE39" i="1" s="1"/>
  <c r="BD33" i="1"/>
  <c r="BH33" i="1" s="1"/>
  <c r="BN13" i="1"/>
  <c r="BC10" i="1"/>
  <c r="BG10" i="1" s="1"/>
  <c r="BS24" i="1"/>
  <c r="BK16" i="1"/>
  <c r="BN33" i="1"/>
  <c r="BO33" i="1" s="1"/>
  <c r="BP33" i="1" s="1"/>
  <c r="BN101" i="1"/>
  <c r="BB104" i="1"/>
  <c r="BF104" i="1" s="1"/>
  <c r="BJ101" i="1"/>
  <c r="BL101" i="1"/>
  <c r="BI105" i="1"/>
  <c r="BD99" i="1"/>
  <c r="BH99" i="1" s="1"/>
  <c r="BK99" i="1"/>
  <c r="BK89" i="1"/>
  <c r="BI92" i="1"/>
  <c r="BI83" i="1"/>
  <c r="BB82" i="1"/>
  <c r="BF82" i="1" s="1"/>
  <c r="BA81" i="1"/>
  <c r="BE81" i="1" s="1"/>
  <c r="BC76" i="1"/>
  <c r="BG76" i="1" s="1"/>
  <c r="BP72" i="1"/>
  <c r="BS51" i="1"/>
  <c r="BK58" i="1"/>
  <c r="BM55" i="1"/>
  <c r="BA53" i="1"/>
  <c r="BE53" i="1" s="1"/>
  <c r="BB48" i="1"/>
  <c r="BF48" i="1" s="1"/>
  <c r="BI48" i="1"/>
  <c r="BJ46" i="1"/>
  <c r="BI75" i="1"/>
  <c r="BM59" i="1"/>
  <c r="BN59" i="1" s="1"/>
  <c r="BI54" i="1"/>
  <c r="BJ52" i="1"/>
  <c r="BA37" i="1"/>
  <c r="BE37" i="1" s="1"/>
  <c r="BB33" i="1"/>
  <c r="BF33" i="1" s="1"/>
  <c r="BJ31" i="1"/>
  <c r="BQ29" i="1"/>
  <c r="BN23" i="1"/>
  <c r="BT23" i="1" s="1"/>
  <c r="BD22" i="1"/>
  <c r="BH22" i="1" s="1"/>
  <c r="BD20" i="1"/>
  <c r="BH20" i="1" s="1"/>
  <c r="BM51" i="1"/>
  <c r="BI43" i="1"/>
  <c r="BP13" i="1"/>
  <c r="BL56" i="1"/>
  <c r="BM15" i="1"/>
  <c r="BT15" i="1" s="1"/>
  <c r="BL35" i="1"/>
  <c r="BT29" i="1"/>
  <c r="BM77" i="1"/>
  <c r="BN77" i="1" s="1"/>
  <c r="BO77" i="1" s="1"/>
  <c r="BA40" i="1"/>
  <c r="BE40" i="1" s="1"/>
  <c r="BK30" i="1"/>
  <c r="BC8" i="1"/>
  <c r="BG8" i="1" s="1"/>
  <c r="BO24" i="1"/>
  <c r="BK14" i="1"/>
  <c r="BJ13" i="1"/>
  <c r="BL99" i="1"/>
  <c r="BQ64" i="1"/>
  <c r="BB46" i="1"/>
  <c r="BF46" i="1" s="1"/>
  <c r="BM54" i="1"/>
  <c r="BB52" i="1"/>
  <c r="BF52" i="1" s="1"/>
  <c r="BA51" i="1"/>
  <c r="BE51" i="1" s="1"/>
  <c r="BI40" i="1"/>
  <c r="BD13" i="1"/>
  <c r="BH13" i="1" s="1"/>
  <c r="BI15" i="1"/>
  <c r="BL29" i="1"/>
  <c r="BN45" i="1"/>
  <c r="BO45" i="1" s="1"/>
  <c r="BP45" i="1" s="1"/>
  <c r="BN104" i="1"/>
  <c r="BN31" i="1"/>
  <c r="BO31" i="1" s="1"/>
  <c r="BP31" i="1" s="1"/>
  <c r="BN11" i="1"/>
  <c r="BO11" i="1" s="1"/>
  <c r="BL73" i="1"/>
  <c r="BI64" i="1"/>
  <c r="BN35" i="1"/>
  <c r="BO35" i="1" s="1"/>
  <c r="BP35" i="1" s="1"/>
  <c r="BA31" i="1"/>
  <c r="BE31" i="1" s="1"/>
  <c r="BD28" i="1"/>
  <c r="BH28" i="1" s="1"/>
  <c r="BK40" i="1"/>
  <c r="BD9" i="1"/>
  <c r="BH9" i="1" s="1"/>
  <c r="BP23" i="1"/>
  <c r="BO17" i="1"/>
  <c r="BP17" i="1" s="1"/>
  <c r="BS17" i="1" s="1"/>
  <c r="BJ92" i="1"/>
  <c r="BA92" i="1"/>
  <c r="BE92" i="1" s="1"/>
  <c r="BD81" i="1"/>
  <c r="BH81" i="1" s="1"/>
  <c r="BA79" i="1"/>
  <c r="BE79" i="1" s="1"/>
  <c r="BD65" i="1"/>
  <c r="BH65" i="1" s="1"/>
  <c r="BC80" i="1"/>
  <c r="BG80" i="1" s="1"/>
  <c r="BL57" i="1"/>
  <c r="BD54" i="1"/>
  <c r="BH54" i="1" s="1"/>
  <c r="BO51" i="1"/>
  <c r="BD37" i="1"/>
  <c r="BH37" i="1" s="1"/>
  <c r="BL54" i="1"/>
  <c r="BM48" i="1"/>
  <c r="BA46" i="1"/>
  <c r="BE46" i="1" s="1"/>
  <c r="BI45" i="1"/>
  <c r="BA33" i="1"/>
  <c r="BE33" i="1" s="1"/>
  <c r="BI31" i="1"/>
  <c r="BA29" i="1"/>
  <c r="BE29" i="1" s="1"/>
  <c r="BL28" i="1"/>
  <c r="BB27" i="1"/>
  <c r="BF27" i="1" s="1"/>
  <c r="BI23" i="1"/>
  <c r="BJ11" i="1"/>
  <c r="BK35" i="1"/>
  <c r="BM63" i="1"/>
  <c r="BL12" i="1"/>
  <c r="BI57" i="1"/>
  <c r="BA104" i="1"/>
  <c r="BE104" i="1" s="1"/>
  <c r="BI77" i="1"/>
  <c r="BK34" i="1"/>
  <c r="BS20" i="1"/>
  <c r="BK18" i="1"/>
  <c r="BL107" i="1"/>
  <c r="BO99" i="1"/>
  <c r="BJ76" i="1"/>
  <c r="BJ88" i="1"/>
  <c r="BI79" i="1"/>
  <c r="BP59" i="1"/>
  <c r="BP57" i="1"/>
  <c r="BK51" i="1"/>
  <c r="BQ48" i="1"/>
  <c r="BI46" i="1"/>
  <c r="BM75" i="1"/>
  <c r="BN75" i="1" s="1"/>
  <c r="BO75" i="1" s="1"/>
  <c r="BP75" i="1" s="1"/>
  <c r="BT75" i="1" s="1"/>
  <c r="BI33" i="1"/>
  <c r="BI29" i="1"/>
  <c r="BP28" i="1"/>
  <c r="BJ27" i="1"/>
  <c r="BM23" i="1"/>
  <c r="BI63" i="1"/>
  <c r="BP12" i="1"/>
  <c r="BO20" i="1"/>
  <c r="BM52" i="1"/>
  <c r="BK32" i="1"/>
  <c r="BN37" i="1"/>
  <c r="BO37" i="1" s="1"/>
  <c r="BP37" i="1" s="1"/>
  <c r="BD59" i="1"/>
  <c r="BH59" i="1" s="1"/>
  <c r="BT65" i="1"/>
  <c r="BN91" i="1"/>
  <c r="BO91" i="1" s="1"/>
  <c r="BP91" i="1" s="1"/>
  <c r="BQ96" i="1"/>
  <c r="BP105" i="1"/>
  <c r="BC104" i="1"/>
  <c r="BG104" i="1" s="1"/>
  <c r="BB74" i="1"/>
  <c r="BF74" i="1" s="1"/>
  <c r="BN81" i="1"/>
  <c r="BO81" i="1" s="1"/>
  <c r="BP81" i="1" s="1"/>
  <c r="BM89" i="1"/>
  <c r="BN89" i="1" s="1"/>
  <c r="BO89" i="1" s="1"/>
  <c r="BP89" i="1" s="1"/>
  <c r="BJ54" i="1"/>
  <c r="BT48" i="1"/>
  <c r="BT46" i="1"/>
  <c r="BC52" i="1"/>
  <c r="BG52" i="1" s="1"/>
  <c r="BB37" i="1"/>
  <c r="BF37" i="1" s="1"/>
  <c r="BL24" i="1"/>
  <c r="BP14" i="1"/>
  <c r="BD19" i="1"/>
  <c r="BH19" i="1" s="1"/>
  <c r="BQ13" i="1"/>
  <c r="BD21" i="1"/>
  <c r="BH21" i="1" s="1"/>
  <c r="BQ100" i="1"/>
  <c r="BP58" i="1"/>
  <c r="BK36" i="1"/>
  <c r="BC26" i="1"/>
  <c r="BG26" i="1" s="1"/>
  <c r="BO62" i="1"/>
  <c r="BS62" i="1" s="1"/>
  <c r="BJ64" i="1"/>
  <c r="BT55" i="1"/>
  <c r="BK104" i="1"/>
  <c r="BK75" i="1"/>
  <c r="BJ83" i="1"/>
  <c r="BN64" i="1"/>
  <c r="BO64" i="1" s="1"/>
  <c r="BP64" i="1" s="1"/>
  <c r="BJ81" i="1"/>
  <c r="BP55" i="1"/>
  <c r="BI91" i="1"/>
  <c r="BB59" i="1"/>
  <c r="BF59" i="1" s="1"/>
  <c r="BC48" i="1"/>
  <c r="BG48" i="1" s="1"/>
  <c r="BN54" i="1"/>
  <c r="BO54" i="1" s="1"/>
  <c r="BO48" i="1"/>
  <c r="BD60" i="1"/>
  <c r="BH60" i="1" s="1"/>
  <c r="BO52" i="1"/>
  <c r="BJ37" i="1"/>
  <c r="BD30" i="1"/>
  <c r="BH30" i="1" s="1"/>
  <c r="BT24" i="1"/>
  <c r="BP19" i="1"/>
  <c r="BR19" i="1" s="1"/>
  <c r="BT14" i="1"/>
  <c r="BB43" i="1"/>
  <c r="BF43" i="1" s="1"/>
  <c r="BN41" i="1"/>
  <c r="BO41" i="1" s="1"/>
  <c r="BP41" i="1" s="1"/>
  <c r="BS41" i="1" s="1"/>
  <c r="BP21" i="1"/>
  <c r="BR21" i="1" s="1"/>
  <c r="BD58" i="1"/>
  <c r="BH58" i="1" s="1"/>
  <c r="BN83" i="1"/>
  <c r="BO83" i="1" s="1"/>
  <c r="BP83" i="1" s="1"/>
  <c r="BT105" i="1"/>
  <c r="BR61" i="1"/>
  <c r="BD48" i="1"/>
  <c r="BH48" i="1" s="1"/>
  <c r="BD46" i="1"/>
  <c r="BH46" i="1" s="1"/>
  <c r="BC45" i="1"/>
  <c r="BG45" i="1" s="1"/>
  <c r="BB41" i="1"/>
  <c r="BF41" i="1" s="1"/>
  <c r="BM56" i="1"/>
  <c r="BP87" i="1"/>
  <c r="BT87" i="1" s="1"/>
  <c r="BS50" i="1"/>
  <c r="BT50" i="1"/>
  <c r="BQ91" i="1"/>
  <c r="BT27" i="1"/>
  <c r="BR13" i="1"/>
  <c r="BK52" i="1"/>
  <c r="BN29" i="1"/>
  <c r="BD14" i="1"/>
  <c r="BH14" i="1" s="1"/>
  <c r="BM99" i="1"/>
  <c r="BI17" i="1"/>
  <c r="BD23" i="1"/>
  <c r="BH23" i="1" s="1"/>
  <c r="BM100" i="1"/>
  <c r="BI56" i="1"/>
  <c r="BJ42" i="1"/>
  <c r="BA62" i="1"/>
  <c r="BE62" i="1" s="1"/>
  <c r="BA100" i="1"/>
  <c r="BE100" i="1" s="1"/>
  <c r="BI99" i="1"/>
  <c r="BA17" i="1"/>
  <c r="BE17" i="1" s="1"/>
  <c r="BL27" i="1"/>
  <c r="BL23" i="1"/>
  <c r="BA56" i="1"/>
  <c r="BE56" i="1" s="1"/>
  <c r="BB39" i="1"/>
  <c r="BF39" i="1" s="1"/>
  <c r="BJ44" i="1"/>
  <c r="BD10" i="1"/>
  <c r="BH10" i="1" s="1"/>
  <c r="BD8" i="1"/>
  <c r="BH8" i="1" s="1"/>
  <c r="BQ62" i="1"/>
  <c r="BT107" i="1"/>
  <c r="BD107" i="1"/>
  <c r="BH107" i="1" s="1"/>
  <c r="BQ87" i="1"/>
  <c r="BS91" i="1"/>
  <c r="BO79" i="1"/>
  <c r="BQ61" i="1"/>
  <c r="BR25" i="1"/>
  <c r="BS47" i="1"/>
  <c r="BC47" i="1"/>
  <c r="BG47" i="1" s="1"/>
  <c r="BO29" i="1"/>
  <c r="BC29" i="1"/>
  <c r="BG29" i="1" s="1"/>
  <c r="BS29" i="1"/>
  <c r="BS103" i="1"/>
  <c r="BR103" i="1"/>
  <c r="BT103" i="1"/>
  <c r="BP11" i="1"/>
  <c r="BT11" i="1" s="1"/>
  <c r="BP85" i="1"/>
  <c r="BS85" i="1" s="1"/>
  <c r="BJ108" i="1"/>
  <c r="BB108" i="1"/>
  <c r="BF108" i="1" s="1"/>
  <c r="BM106" i="1"/>
  <c r="BQ106" i="1"/>
  <c r="BA106" i="1"/>
  <c r="BE106" i="1" s="1"/>
  <c r="BI106" i="1"/>
  <c r="BM84" i="1"/>
  <c r="BA84" i="1"/>
  <c r="BE84" i="1" s="1"/>
  <c r="BI84" i="1"/>
  <c r="BR70" i="1"/>
  <c r="BN70" i="1"/>
  <c r="BJ70" i="1"/>
  <c r="BB70" i="1"/>
  <c r="BF70" i="1" s="1"/>
  <c r="BI102" i="1"/>
  <c r="BA102" i="1"/>
  <c r="BE102" i="1" s="1"/>
  <c r="BM102" i="1"/>
  <c r="BM82" i="1"/>
  <c r="BA82" i="1"/>
  <c r="BE82" i="1" s="1"/>
  <c r="BI82" i="1"/>
  <c r="BJ47" i="1"/>
  <c r="BB47" i="1"/>
  <c r="BF47" i="1" s="1"/>
  <c r="BJ18" i="1"/>
  <c r="BB18" i="1"/>
  <c r="BF18" i="1" s="1"/>
  <c r="BM28" i="1"/>
  <c r="BI28" i="1"/>
  <c r="BA28" i="1"/>
  <c r="BE28" i="1" s="1"/>
  <c r="BA18" i="1"/>
  <c r="BE18" i="1" s="1"/>
  <c r="BM18" i="1"/>
  <c r="BI18" i="1"/>
  <c r="BK109" i="1"/>
  <c r="BC109" i="1"/>
  <c r="BG109" i="1" s="1"/>
  <c r="BS101" i="1"/>
  <c r="BO101" i="1"/>
  <c r="BQ101" i="1" s="1"/>
  <c r="BK101" i="1"/>
  <c r="BC101" i="1"/>
  <c r="BG101" i="1" s="1"/>
  <c r="BK100" i="1"/>
  <c r="BC100" i="1"/>
  <c r="BG100" i="1" s="1"/>
  <c r="BL80" i="1"/>
  <c r="BD80" i="1"/>
  <c r="BH80" i="1" s="1"/>
  <c r="BA94" i="1"/>
  <c r="BE94" i="1" s="1"/>
  <c r="BI94" i="1"/>
  <c r="BM94" i="1"/>
  <c r="BQ72" i="1"/>
  <c r="BM72" i="1"/>
  <c r="BN72" i="1" s="1"/>
  <c r="BO72" i="1" s="1"/>
  <c r="BI72" i="1"/>
  <c r="BA72" i="1"/>
  <c r="BE72" i="1" s="1"/>
  <c r="BM70" i="1"/>
  <c r="BI70" i="1"/>
  <c r="BA70" i="1"/>
  <c r="BE70" i="1" s="1"/>
  <c r="BQ68" i="1"/>
  <c r="BM68" i="1"/>
  <c r="BI68" i="1"/>
  <c r="BA68" i="1"/>
  <c r="BE68" i="1" s="1"/>
  <c r="BM66" i="1"/>
  <c r="BN66" i="1" s="1"/>
  <c r="BI66" i="1"/>
  <c r="BA66" i="1"/>
  <c r="BE66" i="1" s="1"/>
  <c r="BK92" i="1"/>
  <c r="BC92" i="1"/>
  <c r="BG92" i="1" s="1"/>
  <c r="BM78" i="1"/>
  <c r="BA78" i="1"/>
  <c r="BE78" i="1" s="1"/>
  <c r="BI78" i="1"/>
  <c r="BN92" i="1"/>
  <c r="BO70" i="1"/>
  <c r="BS70" i="1"/>
  <c r="BK70" i="1"/>
  <c r="BC70" i="1"/>
  <c r="BG70" i="1" s="1"/>
  <c r="BK63" i="1"/>
  <c r="BC63" i="1"/>
  <c r="BG63" i="1" s="1"/>
  <c r="BR58" i="1"/>
  <c r="BN58" i="1"/>
  <c r="BJ58" i="1"/>
  <c r="BB58" i="1"/>
  <c r="BF58" i="1" s="1"/>
  <c r="BR51" i="1"/>
  <c r="BN51" i="1"/>
  <c r="BQ51" i="1" s="1"/>
  <c r="BJ51" i="1"/>
  <c r="BB51" i="1"/>
  <c r="BF51" i="1" s="1"/>
  <c r="BO71" i="1"/>
  <c r="BS71" i="1"/>
  <c r="BK71" i="1"/>
  <c r="BC71" i="1"/>
  <c r="BG71" i="1" s="1"/>
  <c r="BR60" i="1"/>
  <c r="BN60" i="1"/>
  <c r="BJ60" i="1"/>
  <c r="BB60" i="1"/>
  <c r="BF60" i="1" s="1"/>
  <c r="BC49" i="1"/>
  <c r="BG49" i="1" s="1"/>
  <c r="BK49" i="1"/>
  <c r="BM47" i="1"/>
  <c r="BI47" i="1"/>
  <c r="BA47" i="1"/>
  <c r="BE47" i="1" s="1"/>
  <c r="BL38" i="1"/>
  <c r="BD38" i="1"/>
  <c r="BH38" i="1" s="1"/>
  <c r="BQ89" i="1"/>
  <c r="BM38" i="1"/>
  <c r="BA38" i="1"/>
  <c r="BE38" i="1" s="1"/>
  <c r="BI38" i="1"/>
  <c r="BJ16" i="1"/>
  <c r="BB16" i="1"/>
  <c r="BF16" i="1" s="1"/>
  <c r="BJ10" i="1"/>
  <c r="BB10" i="1"/>
  <c r="BF10" i="1" s="1"/>
  <c r="BM42" i="1"/>
  <c r="BA42" i="1"/>
  <c r="BE42" i="1" s="1"/>
  <c r="BI42" i="1"/>
  <c r="BO40" i="1"/>
  <c r="BJ34" i="1"/>
  <c r="BB34" i="1"/>
  <c r="BF34" i="1" s="1"/>
  <c r="BJ30" i="1"/>
  <c r="BB30" i="1"/>
  <c r="BF30" i="1" s="1"/>
  <c r="BR26" i="1"/>
  <c r="BN26" i="1"/>
  <c r="BO26" i="1" s="1"/>
  <c r="BJ26" i="1"/>
  <c r="BB26" i="1"/>
  <c r="BF26" i="1" s="1"/>
  <c r="BR22" i="1"/>
  <c r="BN22" i="1"/>
  <c r="BO22" i="1" s="1"/>
  <c r="BJ22" i="1"/>
  <c r="BB22" i="1"/>
  <c r="BF22" i="1" s="1"/>
  <c r="BI16" i="1"/>
  <c r="BA16" i="1"/>
  <c r="BE16" i="1" s="1"/>
  <c r="BM16" i="1"/>
  <c r="BO56" i="1"/>
  <c r="BJ9" i="1"/>
  <c r="BB9" i="1"/>
  <c r="BF9" i="1" s="1"/>
  <c r="BJ110" i="1"/>
  <c r="BB110" i="1"/>
  <c r="BF110" i="1" s="1"/>
  <c r="BA110" i="1"/>
  <c r="BE110" i="1" s="1"/>
  <c r="BM110" i="1"/>
  <c r="BI110" i="1"/>
  <c r="BR105" i="1"/>
  <c r="BN105" i="1"/>
  <c r="BO105" i="1" s="1"/>
  <c r="BJ105" i="1"/>
  <c r="BB105" i="1"/>
  <c r="BF105" i="1" s="1"/>
  <c r="BL82" i="1"/>
  <c r="BD82" i="1"/>
  <c r="BH82" i="1" s="1"/>
  <c r="BT102" i="1"/>
  <c r="BD102" i="1"/>
  <c r="BH102" i="1" s="1"/>
  <c r="BP102" i="1"/>
  <c r="BL102" i="1"/>
  <c r="BM76" i="1"/>
  <c r="BA76" i="1"/>
  <c r="BE76" i="1" s="1"/>
  <c r="BI76" i="1"/>
  <c r="BJ66" i="1"/>
  <c r="BB66" i="1"/>
  <c r="BF66" i="1" s="1"/>
  <c r="BR95" i="1"/>
  <c r="BK72" i="1"/>
  <c r="BC72" i="1"/>
  <c r="BG72" i="1" s="1"/>
  <c r="BN53" i="1"/>
  <c r="BQ53" i="1" s="1"/>
  <c r="BJ53" i="1"/>
  <c r="BB53" i="1"/>
  <c r="BF53" i="1" s="1"/>
  <c r="BR65" i="1"/>
  <c r="BN65" i="1"/>
  <c r="BJ65" i="1"/>
  <c r="BB65" i="1"/>
  <c r="BF65" i="1" s="1"/>
  <c r="BA58" i="1"/>
  <c r="BE58" i="1" s="1"/>
  <c r="BM58" i="1"/>
  <c r="BI58" i="1"/>
  <c r="BM12" i="1"/>
  <c r="BI12" i="1"/>
  <c r="BA12" i="1"/>
  <c r="BE12" i="1" s="1"/>
  <c r="BM36" i="1"/>
  <c r="BN36" i="1" s="1"/>
  <c r="BO36" i="1" s="1"/>
  <c r="BP36" i="1" s="1"/>
  <c r="BI36" i="1"/>
  <c r="BA36" i="1"/>
  <c r="BE36" i="1" s="1"/>
  <c r="BM32" i="1"/>
  <c r="BI32" i="1"/>
  <c r="BA32" i="1"/>
  <c r="BE32" i="1" s="1"/>
  <c r="BM24" i="1"/>
  <c r="BI24" i="1"/>
  <c r="BA24" i="1"/>
  <c r="BE24" i="1" s="1"/>
  <c r="BS107" i="1"/>
  <c r="BO107" i="1"/>
  <c r="BK107" i="1"/>
  <c r="BC107" i="1"/>
  <c r="BG107" i="1" s="1"/>
  <c r="BP108" i="1"/>
  <c r="BT108" i="1"/>
  <c r="BD108" i="1"/>
  <c r="BH108" i="1" s="1"/>
  <c r="BL108" i="1"/>
  <c r="BS102" i="1"/>
  <c r="BO102" i="1"/>
  <c r="BK102" i="1"/>
  <c r="BC102" i="1"/>
  <c r="BG102" i="1" s="1"/>
  <c r="BL110" i="1"/>
  <c r="BD110" i="1"/>
  <c r="BH110" i="1" s="1"/>
  <c r="BR107" i="1"/>
  <c r="BN107" i="1"/>
  <c r="BJ107" i="1"/>
  <c r="BB107" i="1"/>
  <c r="BF107" i="1" s="1"/>
  <c r="BL86" i="1"/>
  <c r="BD86" i="1"/>
  <c r="BH86" i="1" s="1"/>
  <c r="BK93" i="1"/>
  <c r="BC93" i="1"/>
  <c r="BG93" i="1" s="1"/>
  <c r="BN102" i="1"/>
  <c r="BR102" i="1"/>
  <c r="BB102" i="1"/>
  <c r="BF102" i="1" s="1"/>
  <c r="BJ102" i="1"/>
  <c r="BM88" i="1"/>
  <c r="BA88" i="1"/>
  <c r="BE88" i="1" s="1"/>
  <c r="BI88" i="1"/>
  <c r="BM80" i="1"/>
  <c r="BA80" i="1"/>
  <c r="BE80" i="1" s="1"/>
  <c r="BI80" i="1"/>
  <c r="BJ73" i="1"/>
  <c r="BB73" i="1"/>
  <c r="BF73" i="1" s="1"/>
  <c r="BJ71" i="1"/>
  <c r="BB71" i="1"/>
  <c r="BF71" i="1" s="1"/>
  <c r="BJ69" i="1"/>
  <c r="BB69" i="1"/>
  <c r="BF69" i="1" s="1"/>
  <c r="BR67" i="1"/>
  <c r="BN67" i="1"/>
  <c r="BO67" i="1" s="1"/>
  <c r="BJ67" i="1"/>
  <c r="BB67" i="1"/>
  <c r="BF67" i="1" s="1"/>
  <c r="BD93" i="1"/>
  <c r="BH93" i="1" s="1"/>
  <c r="BL93" i="1"/>
  <c r="BM90" i="1"/>
  <c r="BA90" i="1"/>
  <c r="BE90" i="1" s="1"/>
  <c r="BI90" i="1"/>
  <c r="BM74" i="1"/>
  <c r="BA74" i="1"/>
  <c r="BE74" i="1" s="1"/>
  <c r="BI74" i="1"/>
  <c r="BK68" i="1"/>
  <c r="BC68" i="1"/>
  <c r="BG68" i="1" s="1"/>
  <c r="BR63" i="1"/>
  <c r="BN63" i="1"/>
  <c r="BO63" i="1" s="1"/>
  <c r="BJ63" i="1"/>
  <c r="BB63" i="1"/>
  <c r="BF63" i="1" s="1"/>
  <c r="BK55" i="1"/>
  <c r="BC55" i="1"/>
  <c r="BG55" i="1" s="1"/>
  <c r="BR49" i="1"/>
  <c r="BN49" i="1"/>
  <c r="BO49" i="1" s="1"/>
  <c r="BJ49" i="1"/>
  <c r="BB49" i="1"/>
  <c r="BF49" i="1" s="1"/>
  <c r="BT81" i="1"/>
  <c r="BK69" i="1"/>
  <c r="BC69" i="1"/>
  <c r="BG69" i="1" s="1"/>
  <c r="BO66" i="1"/>
  <c r="BS66" i="1"/>
  <c r="BK66" i="1"/>
  <c r="BC66" i="1"/>
  <c r="BG66" i="1" s="1"/>
  <c r="BO57" i="1"/>
  <c r="BS57" i="1"/>
  <c r="BK57" i="1"/>
  <c r="BC57" i="1"/>
  <c r="BG57" i="1" s="1"/>
  <c r="BI49" i="1"/>
  <c r="BM49" i="1"/>
  <c r="BQ49" i="1"/>
  <c r="BA49" i="1"/>
  <c r="BE49" i="1" s="1"/>
  <c r="BL44" i="1"/>
  <c r="BD44" i="1"/>
  <c r="BH44" i="1" s="1"/>
  <c r="BR14" i="1"/>
  <c r="BN14" i="1"/>
  <c r="BO14" i="1" s="1"/>
  <c r="BJ14" i="1"/>
  <c r="BB14" i="1"/>
  <c r="BF14" i="1" s="1"/>
  <c r="BM9" i="1"/>
  <c r="BA9" i="1"/>
  <c r="BE9" i="1" s="1"/>
  <c r="BI9" i="1"/>
  <c r="BQ41" i="1"/>
  <c r="BM34" i="1"/>
  <c r="BI34" i="1"/>
  <c r="BA34" i="1"/>
  <c r="BE34" i="1" s="1"/>
  <c r="BT33" i="1"/>
  <c r="BM30" i="1"/>
  <c r="BN30" i="1" s="1"/>
  <c r="BO30" i="1" s="1"/>
  <c r="BP30" i="1" s="1"/>
  <c r="BI30" i="1"/>
  <c r="BA30" i="1"/>
  <c r="BE30" i="1" s="1"/>
  <c r="BQ26" i="1"/>
  <c r="BM26" i="1"/>
  <c r="BI26" i="1"/>
  <c r="BA26" i="1"/>
  <c r="BE26" i="1" s="1"/>
  <c r="BQ22" i="1"/>
  <c r="BM22" i="1"/>
  <c r="BI22" i="1"/>
  <c r="BA22" i="1"/>
  <c r="BE22" i="1" s="1"/>
  <c r="BI14" i="1"/>
  <c r="BA14" i="1"/>
  <c r="BE14" i="1" s="1"/>
  <c r="BQ14" i="1"/>
  <c r="BM14" i="1"/>
  <c r="BN39" i="1"/>
  <c r="BQ8" i="1"/>
  <c r="BM8" i="1"/>
  <c r="BN8" i="1" s="1"/>
  <c r="BO8" i="1" s="1"/>
  <c r="BP8" i="1" s="1"/>
  <c r="BA8" i="1"/>
  <c r="BE8" i="1" s="1"/>
  <c r="BI8" i="1"/>
  <c r="BR106" i="1"/>
  <c r="BN106" i="1"/>
  <c r="BO106" i="1" s="1"/>
  <c r="BP106" i="1" s="1"/>
  <c r="BT106" i="1" s="1"/>
  <c r="BJ106" i="1"/>
  <c r="BB106" i="1"/>
  <c r="BF106" i="1" s="1"/>
  <c r="BL90" i="1"/>
  <c r="BD90" i="1"/>
  <c r="BH90" i="1" s="1"/>
  <c r="BL74" i="1"/>
  <c r="BD74" i="1"/>
  <c r="BH74" i="1" s="1"/>
  <c r="BJ72" i="1"/>
  <c r="BB72" i="1"/>
  <c r="BF72" i="1" s="1"/>
  <c r="BR68" i="1"/>
  <c r="BN68" i="1"/>
  <c r="BO68" i="1" s="1"/>
  <c r="BP68" i="1" s="1"/>
  <c r="BJ68" i="1"/>
  <c r="BB68" i="1"/>
  <c r="BF68" i="1" s="1"/>
  <c r="BL92" i="1"/>
  <c r="BD92" i="1"/>
  <c r="BH92" i="1" s="1"/>
  <c r="BK73" i="1"/>
  <c r="BC73" i="1"/>
  <c r="BG73" i="1" s="1"/>
  <c r="BL40" i="1"/>
  <c r="BD40" i="1"/>
  <c r="BH40" i="1" s="1"/>
  <c r="BM44" i="1"/>
  <c r="BA44" i="1"/>
  <c r="BE44" i="1" s="1"/>
  <c r="BI44" i="1"/>
  <c r="BI10" i="1"/>
  <c r="BM10" i="1"/>
  <c r="BN10" i="1" s="1"/>
  <c r="BO10" i="1" s="1"/>
  <c r="BP10" i="1" s="1"/>
  <c r="BA10" i="1"/>
  <c r="BE10" i="1" s="1"/>
  <c r="BL88" i="1"/>
  <c r="BD88" i="1"/>
  <c r="BH88" i="1" s="1"/>
  <c r="BN109" i="1"/>
  <c r="BO109" i="1" s="1"/>
  <c r="BJ109" i="1"/>
  <c r="BB109" i="1"/>
  <c r="BF109" i="1" s="1"/>
  <c r="BS98" i="1"/>
  <c r="BO98" i="1"/>
  <c r="BK98" i="1"/>
  <c r="BC98" i="1"/>
  <c r="BG98" i="1" s="1"/>
  <c r="BM108" i="1"/>
  <c r="BA108" i="1"/>
  <c r="BE108" i="1" s="1"/>
  <c r="BI108" i="1"/>
  <c r="BN100" i="1"/>
  <c r="BO100" i="1" s="1"/>
  <c r="BP100" i="1" s="1"/>
  <c r="BR100" i="1"/>
  <c r="BJ100" i="1"/>
  <c r="BB100" i="1"/>
  <c r="BF100" i="1" s="1"/>
  <c r="BJ97" i="1"/>
  <c r="BB97" i="1"/>
  <c r="BF97" i="1" s="1"/>
  <c r="BL78" i="1"/>
  <c r="BD78" i="1"/>
  <c r="BH78" i="1" s="1"/>
  <c r="BK110" i="1"/>
  <c r="BC110" i="1"/>
  <c r="BG110" i="1" s="1"/>
  <c r="BS108" i="1"/>
  <c r="BO108" i="1"/>
  <c r="BK108" i="1"/>
  <c r="BC108" i="1"/>
  <c r="BG108" i="1" s="1"/>
  <c r="BK106" i="1"/>
  <c r="BC106" i="1"/>
  <c r="BG106" i="1" s="1"/>
  <c r="BN98" i="1"/>
  <c r="BJ98" i="1"/>
  <c r="BB98" i="1"/>
  <c r="BF98" i="1" s="1"/>
  <c r="BD106" i="1"/>
  <c r="BH106" i="1" s="1"/>
  <c r="BL106" i="1"/>
  <c r="BK105" i="1"/>
  <c r="BC105" i="1"/>
  <c r="BG105" i="1" s="1"/>
  <c r="BK94" i="1"/>
  <c r="BC94" i="1"/>
  <c r="BG94" i="1" s="1"/>
  <c r="BL84" i="1"/>
  <c r="BD84" i="1"/>
  <c r="BH84" i="1" s="1"/>
  <c r="BL76" i="1"/>
  <c r="BD76" i="1"/>
  <c r="BH76" i="1" s="1"/>
  <c r="BB93" i="1"/>
  <c r="BF93" i="1" s="1"/>
  <c r="BJ93" i="1"/>
  <c r="BQ97" i="1"/>
  <c r="BA97" i="1"/>
  <c r="BE97" i="1" s="1"/>
  <c r="BM97" i="1"/>
  <c r="BN97" i="1" s="1"/>
  <c r="BO97" i="1" s="1"/>
  <c r="BP97" i="1" s="1"/>
  <c r="BI97" i="1"/>
  <c r="BI73" i="1"/>
  <c r="BA73" i="1"/>
  <c r="BE73" i="1" s="1"/>
  <c r="BM73" i="1"/>
  <c r="BQ71" i="1"/>
  <c r="BM71" i="1"/>
  <c r="BN71" i="1" s="1"/>
  <c r="BI71" i="1"/>
  <c r="BA71" i="1"/>
  <c r="BE71" i="1" s="1"/>
  <c r="BM69" i="1"/>
  <c r="BN69" i="1" s="1"/>
  <c r="BO69" i="1" s="1"/>
  <c r="BI69" i="1"/>
  <c r="BA69" i="1"/>
  <c r="BE69" i="1" s="1"/>
  <c r="BQ67" i="1"/>
  <c r="BM67" i="1"/>
  <c r="BI67" i="1"/>
  <c r="BA67" i="1"/>
  <c r="BE67" i="1" s="1"/>
  <c r="BT95" i="1"/>
  <c r="BS95" i="1"/>
  <c r="BT91" i="1"/>
  <c r="BR87" i="1"/>
  <c r="BS83" i="1"/>
  <c r="BI93" i="1"/>
  <c r="BM93" i="1"/>
  <c r="BN93" i="1" s="1"/>
  <c r="BO93" i="1" s="1"/>
  <c r="BA93" i="1"/>
  <c r="BE93" i="1" s="1"/>
  <c r="BM86" i="1"/>
  <c r="BA86" i="1"/>
  <c r="BE86" i="1" s="1"/>
  <c r="BI86" i="1"/>
  <c r="BQ95" i="1"/>
  <c r="BR55" i="1"/>
  <c r="BN55" i="1"/>
  <c r="BO55" i="1" s="1"/>
  <c r="BJ55" i="1"/>
  <c r="BB55" i="1"/>
  <c r="BF55" i="1" s="1"/>
  <c r="BK67" i="1"/>
  <c r="BC67" i="1"/>
  <c r="BG67" i="1" s="1"/>
  <c r="BO65" i="1"/>
  <c r="BC65" i="1"/>
  <c r="BG65" i="1" s="1"/>
  <c r="BK65" i="1"/>
  <c r="BS65" i="1"/>
  <c r="BR57" i="1"/>
  <c r="BN57" i="1"/>
  <c r="BJ57" i="1"/>
  <c r="BB57" i="1"/>
  <c r="BF57" i="1" s="1"/>
  <c r="BM65" i="1"/>
  <c r="BI65" i="1"/>
  <c r="BA65" i="1"/>
  <c r="BE65" i="1" s="1"/>
  <c r="BT47" i="1"/>
  <c r="BP47" i="1"/>
  <c r="BL47" i="1"/>
  <c r="BD47" i="1"/>
  <c r="BH47" i="1" s="1"/>
  <c r="BL42" i="1"/>
  <c r="BD42" i="1"/>
  <c r="BH42" i="1" s="1"/>
  <c r="BQ33" i="1"/>
  <c r="BR11" i="1"/>
  <c r="BR20" i="1"/>
  <c r="BN20" i="1"/>
  <c r="BJ20" i="1"/>
  <c r="BB20" i="1"/>
  <c r="BF20" i="1" s="1"/>
  <c r="BR12" i="1"/>
  <c r="BN12" i="1"/>
  <c r="BJ12" i="1"/>
  <c r="BB12" i="1"/>
  <c r="BF12" i="1" s="1"/>
  <c r="BJ8" i="1"/>
  <c r="BB8" i="1"/>
  <c r="BF8" i="1" s="1"/>
  <c r="BJ36" i="1"/>
  <c r="BB36" i="1"/>
  <c r="BF36" i="1" s="1"/>
  <c r="BT35" i="1"/>
  <c r="BJ32" i="1"/>
  <c r="BB32" i="1"/>
  <c r="BF32" i="1" s="1"/>
  <c r="BR28" i="1"/>
  <c r="BN28" i="1"/>
  <c r="BJ28" i="1"/>
  <c r="BB28" i="1"/>
  <c r="BF28" i="1" s="1"/>
  <c r="BR24" i="1"/>
  <c r="BN24" i="1"/>
  <c r="BJ24" i="1"/>
  <c r="BB24" i="1"/>
  <c r="BF24" i="1" s="1"/>
  <c r="BM20" i="1"/>
  <c r="BI20" i="1"/>
  <c r="BA20" i="1"/>
  <c r="BE20" i="1" s="1"/>
  <c r="AY7" i="1"/>
  <c r="BK7" i="1" s="1"/>
  <c r="AW7" i="1"/>
  <c r="BA7" i="1" s="1"/>
  <c r="BE7" i="1" s="1"/>
  <c r="AX7" i="1"/>
  <c r="BB7" i="1" s="1"/>
  <c r="BF7" i="1" s="1"/>
  <c r="AZ7" i="1"/>
  <c r="BQ104" i="1" l="1"/>
  <c r="BQ20" i="1"/>
  <c r="BQ83" i="1"/>
  <c r="BS19" i="1"/>
  <c r="BR72" i="1"/>
  <c r="BS15" i="1"/>
  <c r="BS99" i="1"/>
  <c r="BQ52" i="1"/>
  <c r="BR85" i="1"/>
  <c r="BQ81" i="1"/>
  <c r="BR104" i="1"/>
  <c r="BR33" i="1"/>
  <c r="BS31" i="1"/>
  <c r="BT64" i="1"/>
  <c r="BT41" i="1"/>
  <c r="BT31" i="1"/>
  <c r="BQ65" i="1"/>
  <c r="BQ31" i="1"/>
  <c r="BQ35" i="1"/>
  <c r="BS33" i="1"/>
  <c r="BT83" i="1"/>
  <c r="BQ37" i="1"/>
  <c r="BR59" i="1"/>
  <c r="BS48" i="1"/>
  <c r="BR31" i="1"/>
  <c r="BR35" i="1"/>
  <c r="BS35" i="1"/>
  <c r="BR83" i="1"/>
  <c r="BR41" i="1"/>
  <c r="BS64" i="1"/>
  <c r="BR81" i="1"/>
  <c r="BS54" i="1"/>
  <c r="BR66" i="1"/>
  <c r="BS81" i="1"/>
  <c r="BQ11" i="1"/>
  <c r="BQ59" i="1"/>
  <c r="BS11" i="1"/>
  <c r="BQ19" i="1"/>
  <c r="BT19" i="1"/>
  <c r="BQ28" i="1"/>
  <c r="BS43" i="1"/>
  <c r="BR43" i="1"/>
  <c r="BR29" i="1"/>
  <c r="BT85" i="1"/>
  <c r="BQ58" i="1"/>
  <c r="BQ70" i="1"/>
  <c r="BQ75" i="1"/>
  <c r="BQ85" i="1"/>
  <c r="BR75" i="1"/>
  <c r="BS105" i="1"/>
  <c r="BT89" i="1"/>
  <c r="BR89" i="1"/>
  <c r="BM7" i="1"/>
  <c r="BR98" i="1"/>
  <c r="BS75" i="1"/>
  <c r="BQ107" i="1"/>
  <c r="BS89" i="1"/>
  <c r="BS87" i="1"/>
  <c r="BR91" i="1"/>
  <c r="BI7" i="1"/>
  <c r="BQ57" i="1"/>
  <c r="BR71" i="1"/>
  <c r="BS22" i="1"/>
  <c r="BS26" i="1"/>
  <c r="BS67" i="1"/>
  <c r="BQ102" i="1"/>
  <c r="BQ24" i="1"/>
  <c r="BQ66" i="1"/>
  <c r="BQ45" i="1"/>
  <c r="BT17" i="1"/>
  <c r="BP79" i="1"/>
  <c r="BR79" i="1" s="1"/>
  <c r="BR17" i="1"/>
  <c r="BQ12" i="1"/>
  <c r="BQ17" i="1"/>
  <c r="BQ43" i="1"/>
  <c r="BR10" i="1"/>
  <c r="BR97" i="1"/>
  <c r="BS14" i="1"/>
  <c r="BQ36" i="1"/>
  <c r="BS49" i="1"/>
  <c r="BP93" i="1"/>
  <c r="BQ93" i="1" s="1"/>
  <c r="BP109" i="1"/>
  <c r="BR109" i="1" s="1"/>
  <c r="BP69" i="1"/>
  <c r="BR69" i="1" s="1"/>
  <c r="BS106" i="1"/>
  <c r="BP77" i="1"/>
  <c r="BT77" i="1" s="1"/>
  <c r="BN74" i="1"/>
  <c r="BN38" i="1"/>
  <c r="BO38" i="1" s="1"/>
  <c r="BP38" i="1" s="1"/>
  <c r="BN78" i="1"/>
  <c r="BR36" i="1"/>
  <c r="BR8" i="1"/>
  <c r="BO39" i="1"/>
  <c r="BP39" i="1" s="1"/>
  <c r="BQ30" i="1"/>
  <c r="BS55" i="1"/>
  <c r="BN80" i="1"/>
  <c r="BN88" i="1"/>
  <c r="BS72" i="1"/>
  <c r="BT37" i="1"/>
  <c r="BS63" i="1"/>
  <c r="BT68" i="1"/>
  <c r="BS37" i="1"/>
  <c r="BT43" i="1"/>
  <c r="BN44" i="1"/>
  <c r="BO44" i="1" s="1"/>
  <c r="BP44" i="1" s="1"/>
  <c r="BN42" i="1"/>
  <c r="BO60" i="1"/>
  <c r="BP60" i="1" s="1"/>
  <c r="BN86" i="1"/>
  <c r="BO86" i="1" s="1"/>
  <c r="BP86" i="1" s="1"/>
  <c r="BS97" i="1"/>
  <c r="BT97" i="1"/>
  <c r="BS10" i="1"/>
  <c r="BT10" i="1"/>
  <c r="BS68" i="1"/>
  <c r="BR53" i="1"/>
  <c r="BN110" i="1"/>
  <c r="BP56" i="1"/>
  <c r="BS56" i="1" s="1"/>
  <c r="BN34" i="1"/>
  <c r="BN16" i="1"/>
  <c r="BO16" i="1" s="1"/>
  <c r="BP16" i="1" s="1"/>
  <c r="BR45" i="1"/>
  <c r="BN18" i="1"/>
  <c r="BO18" i="1" s="1"/>
  <c r="BP18" i="1" s="1"/>
  <c r="BN47" i="1"/>
  <c r="BR47" i="1" s="1"/>
  <c r="BN108" i="1"/>
  <c r="BR108" i="1" s="1"/>
  <c r="BQ98" i="1"/>
  <c r="BR37" i="1"/>
  <c r="BT100" i="1"/>
  <c r="BS30" i="1"/>
  <c r="BT30" i="1"/>
  <c r="BN90" i="1"/>
  <c r="BT36" i="1"/>
  <c r="BS36" i="1"/>
  <c r="BS7" i="1"/>
  <c r="BN32" i="1"/>
  <c r="BT109" i="1"/>
  <c r="BQ10" i="1"/>
  <c r="BP40" i="1"/>
  <c r="BT40" i="1" s="1"/>
  <c r="BS8" i="1"/>
  <c r="BT8" i="1"/>
  <c r="BN73" i="1"/>
  <c r="BN76" i="1"/>
  <c r="BN9" i="1"/>
  <c r="BR30" i="1"/>
  <c r="BT45" i="1"/>
  <c r="BO92" i="1"/>
  <c r="BP92" i="1" s="1"/>
  <c r="BN94" i="1"/>
  <c r="BS100" i="1"/>
  <c r="BS109" i="1"/>
  <c r="BN82" i="1"/>
  <c r="BN84" i="1"/>
  <c r="BS45" i="1"/>
  <c r="BS39" i="1"/>
  <c r="BC7" i="1"/>
  <c r="BG7" i="1" s="1"/>
  <c r="BO7" i="1"/>
  <c r="BJ7" i="1"/>
  <c r="BN7" i="1"/>
  <c r="BR7" i="1"/>
  <c r="BT7" i="1"/>
  <c r="BP7" i="1"/>
  <c r="BL7" i="1"/>
  <c r="BD7" i="1"/>
  <c r="BH7" i="1" s="1"/>
  <c r="BQ38" i="1" l="1"/>
  <c r="BQ109" i="1"/>
  <c r="BR38" i="1"/>
  <c r="BR93" i="1"/>
  <c r="BQ77" i="1"/>
  <c r="BT93" i="1"/>
  <c r="BR77" i="1"/>
  <c r="BS93" i="1"/>
  <c r="BS86" i="1"/>
  <c r="BT79" i="1"/>
  <c r="BQ44" i="1"/>
  <c r="BT69" i="1"/>
  <c r="BQ40" i="1"/>
  <c r="BR44" i="1"/>
  <c r="BR39" i="1"/>
  <c r="BS44" i="1"/>
  <c r="BT16" i="1"/>
  <c r="BS77" i="1"/>
  <c r="BQ79" i="1"/>
  <c r="BQ47" i="1"/>
  <c r="BT56" i="1"/>
  <c r="BQ86" i="1"/>
  <c r="BR40" i="1"/>
  <c r="BR16" i="1"/>
  <c r="BQ108" i="1"/>
  <c r="BS60" i="1"/>
  <c r="BT38" i="1"/>
  <c r="BS38" i="1"/>
  <c r="BQ69" i="1"/>
  <c r="BS79" i="1"/>
  <c r="BO34" i="1"/>
  <c r="BP34" i="1" s="1"/>
  <c r="BR18" i="1"/>
  <c r="BO73" i="1"/>
  <c r="BP73" i="1" s="1"/>
  <c r="BR73" i="1" s="1"/>
  <c r="BO90" i="1"/>
  <c r="BQ18" i="1"/>
  <c r="BT18" i="1"/>
  <c r="BO74" i="1"/>
  <c r="BP74" i="1" s="1"/>
  <c r="BQ74" i="1" s="1"/>
  <c r="BO76" i="1"/>
  <c r="BO32" i="1"/>
  <c r="BP32" i="1" s="1"/>
  <c r="BT60" i="1"/>
  <c r="BS18" i="1"/>
  <c r="BO88" i="1"/>
  <c r="BQ39" i="1"/>
  <c r="BT86" i="1"/>
  <c r="BO94" i="1"/>
  <c r="BP94" i="1" s="1"/>
  <c r="BO42" i="1"/>
  <c r="BO80" i="1"/>
  <c r="BO78" i="1"/>
  <c r="BO82" i="1"/>
  <c r="BS40" i="1"/>
  <c r="BO110" i="1"/>
  <c r="BR86" i="1"/>
  <c r="BQ92" i="1"/>
  <c r="BT92" i="1"/>
  <c r="BS32" i="1"/>
  <c r="BO84" i="1"/>
  <c r="BP84" i="1" s="1"/>
  <c r="BO9" i="1"/>
  <c r="BP9" i="1" s="1"/>
  <c r="BQ16" i="1"/>
  <c r="BT39" i="1"/>
  <c r="BS92" i="1"/>
  <c r="BR92" i="1"/>
  <c r="BS16" i="1"/>
  <c r="BS69" i="1"/>
  <c r="BT44" i="1"/>
  <c r="BQ7" i="1"/>
  <c r="BQ9" i="1" l="1"/>
  <c r="BT73" i="1"/>
  <c r="BQ32" i="1"/>
  <c r="BR32" i="1"/>
  <c r="BS73" i="1"/>
  <c r="BQ73" i="1"/>
  <c r="BP90" i="1"/>
  <c r="BR84" i="1"/>
  <c r="BS84" i="1"/>
  <c r="BP82" i="1"/>
  <c r="BS82" i="1" s="1"/>
  <c r="BP80" i="1"/>
  <c r="BS80" i="1" s="1"/>
  <c r="BP88" i="1"/>
  <c r="BS88" i="1" s="1"/>
  <c r="BT34" i="1"/>
  <c r="BP76" i="1"/>
  <c r="BS76" i="1" s="1"/>
  <c r="BS34" i="1"/>
  <c r="BR94" i="1"/>
  <c r="BS9" i="1"/>
  <c r="BT84" i="1"/>
  <c r="BQ94" i="1"/>
  <c r="BP110" i="1"/>
  <c r="BQ110" i="1" s="1"/>
  <c r="BT94" i="1"/>
  <c r="BP78" i="1"/>
  <c r="BQ78" i="1" s="1"/>
  <c r="BP42" i="1"/>
  <c r="BR42" i="1" s="1"/>
  <c r="BS74" i="1"/>
  <c r="BR34" i="1"/>
  <c r="BR9" i="1"/>
  <c r="BQ84" i="1"/>
  <c r="BR74" i="1"/>
  <c r="BS94" i="1"/>
  <c r="BT32" i="1"/>
  <c r="BT74" i="1"/>
  <c r="BQ34" i="1"/>
  <c r="BT9" i="1"/>
  <c r="AV6" i="1"/>
  <c r="AU6" i="1"/>
  <c r="AT6" i="1"/>
  <c r="AS6" i="1"/>
  <c r="AR6" i="1"/>
  <c r="AQ6" i="1"/>
  <c r="AP6" i="1"/>
  <c r="AO6" i="1"/>
  <c r="AN6" i="1"/>
  <c r="AM6" i="1"/>
  <c r="AL6" i="1"/>
  <c r="AK6" i="1"/>
  <c r="AJ6" i="1"/>
  <c r="AI6" i="1"/>
  <c r="AH6" i="1"/>
  <c r="AG6" i="1"/>
  <c r="AF6" i="1"/>
  <c r="AE6" i="1"/>
  <c r="AD6" i="1"/>
  <c r="AC6" i="1"/>
  <c r="AB6" i="1"/>
  <c r="AA6" i="1"/>
  <c r="Z6" i="1"/>
  <c r="Y6" i="1"/>
  <c r="X6" i="1"/>
  <c r="W6" i="1"/>
  <c r="V6" i="1"/>
  <c r="U6" i="1"/>
  <c r="T6" i="1"/>
  <c r="S6" i="1"/>
  <c r="R6" i="1"/>
  <c r="Q6" i="1"/>
  <c r="AV5" i="1"/>
  <c r="AU5" i="1"/>
  <c r="AT5" i="1"/>
  <c r="AS5" i="1"/>
  <c r="AR5" i="1"/>
  <c r="AQ5" i="1"/>
  <c r="AP5" i="1"/>
  <c r="AO5" i="1"/>
  <c r="AN5" i="1"/>
  <c r="AM5" i="1"/>
  <c r="AL5" i="1"/>
  <c r="AK5" i="1"/>
  <c r="AJ5" i="1"/>
  <c r="AI5" i="1"/>
  <c r="AH5" i="1"/>
  <c r="AG5" i="1"/>
  <c r="AF5" i="1"/>
  <c r="AE5" i="1"/>
  <c r="AD5" i="1"/>
  <c r="AC5" i="1"/>
  <c r="AB5" i="1"/>
  <c r="AA5" i="1"/>
  <c r="Z5" i="1"/>
  <c r="Y5" i="1"/>
  <c r="X5" i="1"/>
  <c r="W5" i="1"/>
  <c r="V5" i="1"/>
  <c r="U5" i="1"/>
  <c r="T5" i="1"/>
  <c r="S5" i="1"/>
  <c r="R5" i="1"/>
  <c r="Q5" i="1"/>
  <c r="N74" i="1"/>
  <c r="N73" i="1"/>
  <c r="N70" i="1"/>
  <c r="N68" i="1"/>
  <c r="N67" i="1"/>
  <c r="N66" i="1"/>
  <c r="N65" i="1"/>
  <c r="N64" i="1"/>
  <c r="N63" i="1"/>
  <c r="N62" i="1"/>
  <c r="N61" i="1"/>
  <c r="N60" i="1"/>
  <c r="N59" i="1"/>
  <c r="N58" i="1"/>
  <c r="N57" i="1"/>
  <c r="N56" i="1"/>
  <c r="N55" i="1"/>
  <c r="N54" i="1"/>
  <c r="N53" i="1"/>
  <c r="N52" i="1"/>
  <c r="N51" i="1"/>
  <c r="N50" i="1"/>
  <c r="N49" i="1"/>
  <c r="N48" i="1"/>
  <c r="N47" i="1"/>
  <c r="N46" i="1"/>
  <c r="N45" i="1"/>
  <c r="N44" i="1"/>
  <c r="N37" i="1"/>
  <c r="N36" i="1"/>
  <c r="N29" i="1"/>
  <c r="N28" i="1"/>
  <c r="N27" i="1"/>
  <c r="N26" i="1"/>
  <c r="N25" i="1"/>
  <c r="N24" i="1"/>
  <c r="N23" i="1"/>
  <c r="N22" i="1"/>
  <c r="N21" i="1"/>
  <c r="N20" i="1"/>
  <c r="N19" i="1"/>
  <c r="N15" i="1"/>
  <c r="N14" i="1"/>
  <c r="N13" i="1"/>
  <c r="N12" i="1"/>
  <c r="N10" i="1"/>
  <c r="BR88" i="1" l="1"/>
  <c r="BQ88" i="1"/>
  <c r="BT88" i="1"/>
  <c r="BQ80" i="1"/>
  <c r="BQ42" i="1"/>
  <c r="BT80" i="1"/>
  <c r="BQ90" i="1"/>
  <c r="BR90" i="1"/>
  <c r="BT90" i="1"/>
  <c r="BT82" i="1"/>
  <c r="BR78" i="1"/>
  <c r="BT78" i="1"/>
  <c r="BS78" i="1"/>
  <c r="BQ82" i="1"/>
  <c r="BS42" i="1"/>
  <c r="BT42" i="1"/>
  <c r="BR76" i="1"/>
  <c r="BQ76" i="1"/>
  <c r="BT76" i="1"/>
  <c r="BR82" i="1"/>
  <c r="BS90" i="1"/>
  <c r="BR110" i="1"/>
  <c r="BT110" i="1"/>
  <c r="BS110" i="1"/>
  <c r="BR80" i="1"/>
  <c r="AW5" i="1"/>
  <c r="BA5" i="1" s="1"/>
  <c r="BE5" i="1" s="1"/>
  <c r="AX5" i="1"/>
  <c r="BB5" i="1" s="1"/>
  <c r="BF5" i="1" s="1"/>
  <c r="AY5" i="1"/>
  <c r="BS5" i="1" s="1"/>
  <c r="AZ5" i="1"/>
  <c r="BL5" i="1" s="1"/>
  <c r="AW6" i="1"/>
  <c r="BI6" i="1" s="1"/>
  <c r="AX6" i="1"/>
  <c r="BJ6" i="1" s="1"/>
  <c r="AY6" i="1"/>
  <c r="BO6" i="1" s="1"/>
  <c r="AZ6" i="1"/>
  <c r="BD6" i="1" s="1"/>
  <c r="BH6" i="1" s="1"/>
  <c r="BH3" i="1"/>
  <c r="BG3" i="1"/>
  <c r="BF3" i="1"/>
  <c r="BE3" i="1"/>
  <c r="BM5" i="1" l="1"/>
  <c r="BP5" i="1"/>
  <c r="BJ5" i="1"/>
  <c r="BD5" i="1"/>
  <c r="BH5" i="1" s="1"/>
  <c r="BI5" i="1"/>
  <c r="BL6" i="1"/>
  <c r="BR6" i="1"/>
  <c r="BA6" i="1"/>
  <c r="BE6" i="1" s="1"/>
  <c r="BB6" i="1"/>
  <c r="BF6" i="1" s="1"/>
  <c r="BM6" i="1"/>
  <c r="BR5" i="1"/>
  <c r="BT6" i="1"/>
  <c r="BK5" i="1"/>
  <c r="BN6" i="1"/>
  <c r="BN5" i="1"/>
  <c r="BP6" i="1"/>
  <c r="BT5" i="1"/>
  <c r="BS6" i="1"/>
  <c r="BK6" i="1"/>
  <c r="BC6" i="1"/>
  <c r="BG6" i="1" s="1"/>
  <c r="BO5" i="1"/>
  <c r="BC5" i="1"/>
  <c r="BG5" i="1" s="1"/>
  <c r="J4" i="5"/>
  <c r="BQ6" i="1" l="1"/>
  <c r="BQ5" i="1"/>
  <c r="AV4" i="1"/>
  <c r="AU4" i="1"/>
  <c r="AT4" i="1"/>
  <c r="AS4" i="1"/>
  <c r="AR4" i="1"/>
  <c r="AQ4" i="1"/>
  <c r="AP4" i="1"/>
  <c r="AO4" i="1"/>
  <c r="AN4" i="1"/>
  <c r="AM4" i="1"/>
  <c r="AL4" i="1"/>
  <c r="AK4" i="1"/>
  <c r="AJ4" i="1"/>
  <c r="AI4" i="1"/>
  <c r="AH4" i="1"/>
  <c r="AG4" i="1"/>
  <c r="AF4" i="1"/>
  <c r="AE4" i="1"/>
  <c r="AD4" i="1"/>
  <c r="AC4" i="1"/>
  <c r="AB4" i="1"/>
  <c r="AA4" i="1"/>
  <c r="Z4" i="1"/>
  <c r="Y4" i="1"/>
  <c r="X4" i="1"/>
  <c r="W4" i="1"/>
  <c r="V4" i="1"/>
  <c r="U4" i="1"/>
  <c r="T4" i="1"/>
  <c r="S4" i="1"/>
  <c r="R4" i="1"/>
  <c r="Q4" i="1"/>
  <c r="AW4" i="1" l="1"/>
  <c r="AX4" i="1"/>
  <c r="AZ4" i="1"/>
  <c r="AY4" i="1"/>
  <c r="BI4" i="1" l="1"/>
  <c r="BK4" i="1"/>
  <c r="BL4" i="1"/>
  <c r="BJ4" i="1"/>
  <c r="BR4" i="1"/>
  <c r="BD4" i="1"/>
  <c r="BH4" i="1" s="1"/>
  <c r="BM4" i="1"/>
  <c r="BA4" i="1"/>
  <c r="BE4" i="1" s="1"/>
  <c r="BC4" i="1"/>
  <c r="BG4" i="1" s="1"/>
  <c r="BN4" i="1"/>
  <c r="BO4" i="1" s="1"/>
  <c r="BB4" i="1"/>
  <c r="BF4" i="1" s="1"/>
  <c r="BP4" i="1" l="1"/>
  <c r="BT4" i="1" s="1"/>
  <c r="BQ4" i="1" l="1"/>
  <c r="BS4" i="1"/>
  <c r="J25" i="5"/>
  <c r="J24" i="5"/>
  <c r="J23" i="5"/>
  <c r="J22" i="5"/>
  <c r="J21" i="5"/>
  <c r="J20" i="5"/>
  <c r="J19" i="5"/>
  <c r="J18" i="5"/>
  <c r="J16" i="5"/>
  <c r="J17" i="5"/>
  <c r="J15" i="5"/>
  <c r="J14" i="5"/>
  <c r="J13" i="5"/>
  <c r="J12" i="5"/>
  <c r="J11" i="5"/>
  <c r="J10" i="5"/>
  <c r="J9" i="5"/>
  <c r="J8" i="5"/>
  <c r="J7" i="5"/>
  <c r="J6" i="5"/>
  <c r="J5" i="5"/>
  <c r="D28" i="5" l="1"/>
  <c r="D27" i="5"/>
  <c r="D26" i="5"/>
  <c r="D25" i="5"/>
  <c r="D24" i="5"/>
  <c r="D23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</calcChain>
</file>

<file path=xl/sharedStrings.xml><?xml version="1.0" encoding="utf-8"?>
<sst xmlns="http://schemas.openxmlformats.org/spreadsheetml/2006/main" count="3768" uniqueCount="2082">
  <si>
    <t>R</t>
  </si>
  <si>
    <t>R/W</t>
  </si>
  <si>
    <t>Register Name</t>
  </si>
  <si>
    <t>Field Name</t>
  </si>
  <si>
    <t>Register Type</t>
  </si>
  <si>
    <t>bool</t>
  </si>
  <si>
    <t>uint8_t</t>
  </si>
  <si>
    <t>uint32_t</t>
  </si>
  <si>
    <t>Read Data Name</t>
  </si>
  <si>
    <t>Output Read Case</t>
  </si>
  <si>
    <t>Case Signal Name</t>
  </si>
  <si>
    <t>Write Registers Name</t>
  </si>
  <si>
    <t>Read Registers Name</t>
  </si>
  <si>
    <t>Field Range</t>
  </si>
  <si>
    <t>(7 downto 0)</t>
  </si>
  <si>
    <t xml:space="preserve">  when others =&gt;</t>
  </si>
  <si>
    <t>end case;</t>
  </si>
  <si>
    <t>Register Comment</t>
  </si>
  <si>
    <t>Field Comment</t>
  </si>
  <si>
    <t>Field Size</t>
  </si>
  <si>
    <t>Write Data Name</t>
  </si>
  <si>
    <t xml:space="preserve">    null;</t>
  </si>
  <si>
    <t>Output Write Case</t>
  </si>
  <si>
    <t>-</t>
  </si>
  <si>
    <t>std_logic</t>
  </si>
  <si>
    <t>Field Type</t>
  </si>
  <si>
    <t>General Register Type</t>
  </si>
  <si>
    <t>alt_u8</t>
  </si>
  <si>
    <t>alt_u32</t>
  </si>
  <si>
    <t>alt_u16</t>
  </si>
  <si>
    <t>API Type Size Table</t>
  </si>
  <si>
    <t>Type</t>
  </si>
  <si>
    <t>Size [bits]</t>
  </si>
  <si>
    <t>Size [bytes]</t>
  </si>
  <si>
    <t>char</t>
  </si>
  <si>
    <t>int8_t</t>
  </si>
  <si>
    <t>alt_8</t>
  </si>
  <si>
    <t>unsigned char</t>
  </si>
  <si>
    <t>short</t>
  </si>
  <si>
    <t>int16_t</t>
  </si>
  <si>
    <t>alt_16</t>
  </si>
  <si>
    <t>unsigned short</t>
  </si>
  <si>
    <t>uint16_t</t>
  </si>
  <si>
    <t>long</t>
  </si>
  <si>
    <t>int32_t</t>
  </si>
  <si>
    <t>alt_32</t>
  </si>
  <si>
    <t>unsigned long</t>
  </si>
  <si>
    <t>long long</t>
  </si>
  <si>
    <t>int64_t</t>
  </si>
  <si>
    <t>alt_64</t>
  </si>
  <si>
    <t>unsigned long long</t>
  </si>
  <si>
    <t>uint64_t</t>
  </si>
  <si>
    <t>alt_u64</t>
  </si>
  <si>
    <t>Dword Addr [dec]</t>
  </si>
  <si>
    <t>Byte Addr [dec]</t>
  </si>
  <si>
    <t>Field Default</t>
  </si>
  <si>
    <t>Field Trigger</t>
  </si>
  <si>
    <t>'1'</t>
  </si>
  <si>
    <t>'0'</t>
  </si>
  <si>
    <t>EoT</t>
  </si>
  <si>
    <t>-- EoT --</t>
  </si>
  <si>
    <t>Main Columns Table</t>
  </si>
  <si>
    <t>Name</t>
  </si>
  <si>
    <t>Column</t>
  </si>
  <si>
    <t>API Type Nomenclature Table</t>
  </si>
  <si>
    <t>Nomenclature</t>
  </si>
  <si>
    <t>c</t>
  </si>
  <si>
    <t>uc</t>
  </si>
  <si>
    <t>usi</t>
  </si>
  <si>
    <t>si</t>
  </si>
  <si>
    <t>li</t>
  </si>
  <si>
    <t>uli</t>
  </si>
  <si>
    <t>b</t>
  </si>
  <si>
    <t>lli</t>
  </si>
  <si>
    <t>ulli</t>
  </si>
  <si>
    <t>Register Bits (High)</t>
  </si>
  <si>
    <t>Register Bits (Low)</t>
  </si>
  <si>
    <t>Byte Addr [Hex]</t>
  </si>
  <si>
    <t>Field Index</t>
  </si>
  <si>
    <t>Register Bit Occupation</t>
  </si>
  <si>
    <t>Register Byte Ocuppation</t>
  </si>
  <si>
    <t>Dword Addr [hex]</t>
  </si>
  <si>
    <t>Byte 3</t>
  </si>
  <si>
    <t>Byte 2</t>
  </si>
  <si>
    <t>Byte 1</t>
  </si>
  <si>
    <t>Byte 0</t>
  </si>
  <si>
    <t>Byte Range</t>
  </si>
  <si>
    <t>wr_addr_i(31 downto 0)</t>
  </si>
  <si>
    <t>case (wr_addr_i(31 downto 0)) is</t>
  </si>
  <si>
    <t>-- MemArea Write Data</t>
  </si>
  <si>
    <t xml:space="preserve">  -- Case for access to all memory area</t>
  </si>
  <si>
    <t xml:space="preserve">  when (x"00000003") =&gt;</t>
  </si>
  <si>
    <t xml:space="preserve">  when (x"00000006") =&gt;</t>
  </si>
  <si>
    <t xml:space="preserve">  when (x"00000007") =&gt;</t>
  </si>
  <si>
    <t xml:space="preserve">  when (x"00000004") =&gt;</t>
  </si>
  <si>
    <t xml:space="preserve">  when (x"00000005") =&gt;</t>
  </si>
  <si>
    <t xml:space="preserve">  when (x"0000000A") =&gt;</t>
  </si>
  <si>
    <t xml:space="preserve">  when (x"0000000B") =&gt;</t>
  </si>
  <si>
    <t xml:space="preserve">  when (x"00000009") =&gt;</t>
  </si>
  <si>
    <t xml:space="preserve">  when (x"00000008") =&gt;</t>
  </si>
  <si>
    <t xml:space="preserve">  when (x"0000000E") =&gt;</t>
  </si>
  <si>
    <t xml:space="preserve">  when (x"0000000F") =&gt;</t>
  </si>
  <si>
    <t xml:space="preserve">  when (x"0000000C") =&gt;</t>
  </si>
  <si>
    <t xml:space="preserve">  when (x"0000000D") =&gt;</t>
  </si>
  <si>
    <t xml:space="preserve">  when (x"00000012") =&gt;</t>
  </si>
  <si>
    <t xml:space="preserve">  when (x"00000013") =&gt;</t>
  </si>
  <si>
    <t xml:space="preserve">  when (x"00000010") =&gt;</t>
  </si>
  <si>
    <t xml:space="preserve">  when (x"00000011") =&gt;</t>
  </si>
  <si>
    <t xml:space="preserve">  when (x"00000017") =&gt;</t>
  </si>
  <si>
    <t xml:space="preserve">  when (x"0000001B") =&gt;</t>
  </si>
  <si>
    <t>rd_addr_i(31 downto 0)</t>
  </si>
  <si>
    <t>case (rd_addr_i(31 downto 0)) is</t>
  </si>
  <si>
    <t>-- MemArea Data Read</t>
  </si>
  <si>
    <t>rmap_registers_wr_o</t>
  </si>
  <si>
    <t>rmap_registers_wr_i</t>
  </si>
  <si>
    <t>t_rmap_memory_wr_area</t>
  </si>
  <si>
    <t>fee_rmap_i.writedata</t>
  </si>
  <si>
    <t>fee_rmap_o.readdata</t>
  </si>
  <si>
    <t xml:space="preserve">    fee_rmap_o.readdata &lt;= (others =&gt; '0');</t>
  </si>
  <si>
    <t>(others =&gt; '0')</t>
  </si>
  <si>
    <t>"00"</t>
  </si>
  <si>
    <t>"RESERVED" Field</t>
  </si>
  <si>
    <t>reserved</t>
  </si>
  <si>
    <t xml:space="preserve">  when (x"00000104") =&gt;</t>
  </si>
  <si>
    <t xml:space="preserve">  when (x"00000105") =&gt;</t>
  </si>
  <si>
    <t xml:space="preserve">  when (x"00000106") =&gt;</t>
  </si>
  <si>
    <t xml:space="preserve">  when (x"00000107") =&gt;</t>
  </si>
  <si>
    <t xml:space="preserve">  when (x"00000108") =&gt;</t>
  </si>
  <si>
    <t xml:space="preserve">  when (x"00000109") =&gt;</t>
  </si>
  <si>
    <t xml:space="preserve">  when (x"0000010A") =&gt;</t>
  </si>
  <si>
    <t xml:space="preserve">  when (x"0000010B") =&gt;</t>
  </si>
  <si>
    <t xml:space="preserve">  when (x"0000010E") =&gt;</t>
  </si>
  <si>
    <t xml:space="preserve">  when (x"0000010F") =&gt;</t>
  </si>
  <si>
    <t xml:space="preserve">  when (x"00000110") =&gt;</t>
  </si>
  <si>
    <t xml:space="preserve">  when (x"00000111") =&gt;</t>
  </si>
  <si>
    <t xml:space="preserve">  when (x"00000112") =&gt;</t>
  </si>
  <si>
    <t xml:space="preserve">  when (x"00000113") =&gt;</t>
  </si>
  <si>
    <t xml:space="preserve">  when (x"00000114") =&gt;</t>
  </si>
  <si>
    <t xml:space="preserve">  when (x"00000115") =&gt;</t>
  </si>
  <si>
    <t xml:space="preserve">  when (x"00000116") =&gt;</t>
  </si>
  <si>
    <t xml:space="preserve">  when (x"00000117") =&gt;</t>
  </si>
  <si>
    <t xml:space="preserve">  when (x"00000118") =&gt;</t>
  </si>
  <si>
    <t xml:space="preserve">  when (x"00000119") =&gt;</t>
  </si>
  <si>
    <t xml:space="preserve">  when (x"0000011A") =&gt;</t>
  </si>
  <si>
    <t xml:space="preserve">  when (x"0000011B") =&gt;</t>
  </si>
  <si>
    <t xml:space="preserve">  when (x"0000011C") =&gt;</t>
  </si>
  <si>
    <t xml:space="preserve">  when (x"0000011D") =&gt;</t>
  </si>
  <si>
    <t xml:space="preserve">  when (x"0000011E") =&gt;</t>
  </si>
  <si>
    <t xml:space="preserve">  when (x"0000011F") =&gt;</t>
  </si>
  <si>
    <t xml:space="preserve">  when (x"00000123") =&gt;</t>
  </si>
  <si>
    <t xml:space="preserve">  when (x"00000124") =&gt;</t>
  </si>
  <si>
    <t xml:space="preserve">  when (x"00000125") =&gt;</t>
  </si>
  <si>
    <t xml:space="preserve">  when (x"00000126") =&gt;</t>
  </si>
  <si>
    <t xml:space="preserve">  when (x"00000127") =&gt;</t>
  </si>
  <si>
    <t xml:space="preserve">  when (x"0000012B") =&gt;</t>
  </si>
  <si>
    <t xml:space="preserve">  when (x"0000012F") =&gt;</t>
  </si>
  <si>
    <t xml:space="preserve">  when (x"00000132") =&gt;</t>
  </si>
  <si>
    <t xml:space="preserve">  when (x"00000133") =&gt;</t>
  </si>
  <si>
    <t xml:space="preserve">  when (x"00000137") =&gt;</t>
  </si>
  <si>
    <t xml:space="preserve">  when (x"00000139") =&gt;</t>
  </si>
  <si>
    <t xml:space="preserve">  when (x"0000013A") =&gt;</t>
  </si>
  <si>
    <t xml:space="preserve">  when (x"0000013D") =&gt;</t>
  </si>
  <si>
    <t xml:space="preserve">  when (x"0000013E") =&gt;</t>
  </si>
  <si>
    <t xml:space="preserve">  when (x"0000013F") =&gt;</t>
  </si>
  <si>
    <t xml:space="preserve">  when (x"00000140") =&gt;</t>
  </si>
  <si>
    <t xml:space="preserve">  when (x"00000141") =&gt;</t>
  </si>
  <si>
    <t xml:space="preserve">  when (x"00000142") =&gt;</t>
  </si>
  <si>
    <t xml:space="preserve">  when (x"00000143") =&gt;</t>
  </si>
  <si>
    <t xml:space="preserve">  when (x"00000147") =&gt;</t>
  </si>
  <si>
    <t xml:space="preserve">  when (x"00001000") =&gt;</t>
  </si>
  <si>
    <t xml:space="preserve">  when (x"00001001") =&gt;</t>
  </si>
  <si>
    <t xml:space="preserve">  when (x"00001002") =&gt;</t>
  </si>
  <si>
    <t xml:space="preserve">  when (x"00001008") =&gt;</t>
  </si>
  <si>
    <t xml:space="preserve">  when (x"00001009") =&gt;</t>
  </si>
  <si>
    <t xml:space="preserve">  when (x"0000100A") =&gt;</t>
  </si>
  <si>
    <t xml:space="preserve">  when (x"0000100B") =&gt;</t>
  </si>
  <si>
    <t xml:space="preserve">  when (x"0000100C") =&gt;</t>
  </si>
  <si>
    <t xml:space="preserve">  when (x"0000100D") =&gt;</t>
  </si>
  <si>
    <t xml:space="preserve">  when (x"0000100E") =&gt;</t>
  </si>
  <si>
    <t xml:space="preserve">  when (x"0000100F") =&gt;</t>
  </si>
  <si>
    <t xml:space="preserve">  when (x"00001010") =&gt;</t>
  </si>
  <si>
    <t xml:space="preserve">  when (x"00001011") =&gt;</t>
  </si>
  <si>
    <t xml:space="preserve">  when (x"00001012") =&gt;</t>
  </si>
  <si>
    <t xml:space="preserve">  when (x"00001013") =&gt;</t>
  </si>
  <si>
    <t xml:space="preserve">  when (x"00001016") =&gt;</t>
  </si>
  <si>
    <t xml:space="preserve">  when (x"00001017") =&gt;</t>
  </si>
  <si>
    <t>"RESERVED_0" Field</t>
  </si>
  <si>
    <t>reserved_0</t>
  </si>
  <si>
    <t>"NEW_STATE" Field</t>
  </si>
  <si>
    <t>new_state</t>
  </si>
  <si>
    <t>"0000"</t>
  </si>
  <si>
    <t>"SET_STATE" Field</t>
  </si>
  <si>
    <t>set_state</t>
  </si>
  <si>
    <t>"AEB_RESET" Field</t>
  </si>
  <si>
    <t>aeb_reset</t>
  </si>
  <si>
    <t>"RESERVED_1" Field</t>
  </si>
  <si>
    <t>reserved_1</t>
  </si>
  <si>
    <t>"KEY" Field</t>
  </si>
  <si>
    <t>key</t>
  </si>
  <si>
    <t>"PATTERN_CCDID" Field</t>
  </si>
  <si>
    <t>pattern_ccdid</t>
  </si>
  <si>
    <t>"PATTERN_COLS" Field</t>
  </si>
  <si>
    <t>pattern_cols</t>
  </si>
  <si>
    <t>std_logic_vector(to_unsigned(32, 14))</t>
  </si>
  <si>
    <t>"PATTERN_ROWS" Field</t>
  </si>
  <si>
    <t>pattern_rows</t>
  </si>
  <si>
    <t>"TIME_VCCD_ON" Field</t>
  </si>
  <si>
    <t>time_vccd_on</t>
  </si>
  <si>
    <t>x"00"</t>
  </si>
  <si>
    <t>"TIME_VCLK_ON" Field</t>
  </si>
  <si>
    <t>time_vclk_on</t>
  </si>
  <si>
    <t>x"63"</t>
  </si>
  <si>
    <t>"TIME_VAN1_ON" Field</t>
  </si>
  <si>
    <t>time_van1_on</t>
  </si>
  <si>
    <t>x"C8"</t>
  </si>
  <si>
    <t>"TIME_VAN2_ON" Field</t>
  </si>
  <si>
    <t>time_van2_on</t>
  </si>
  <si>
    <t>"TIME_VAN3_ON" Field</t>
  </si>
  <si>
    <t>time_van3_on</t>
  </si>
  <si>
    <t>"TIME_VCCD_OFF" Field</t>
  </si>
  <si>
    <t>time_vccd_off</t>
  </si>
  <si>
    <t>"TIME_VCLK_OFF" Field</t>
  </si>
  <si>
    <t>time_vclk_off</t>
  </si>
  <si>
    <t>"TIME_VAN1_OFF" Field</t>
  </si>
  <si>
    <t>time_van1_off</t>
  </si>
  <si>
    <t>"TIME_VAN2_OFF" Field</t>
  </si>
  <si>
    <t>time_van2_off</t>
  </si>
  <si>
    <t>"TIME_VAN3_OFF" Field</t>
  </si>
  <si>
    <t>time_van3_off</t>
  </si>
  <si>
    <t>"FT_LOOP_CNT" Field</t>
  </si>
  <si>
    <t>ft_loop_cnt</t>
  </si>
  <si>
    <t>"00100011000101"</t>
  </si>
  <si>
    <t>"LT0_ENABLED" Field</t>
  </si>
  <si>
    <t>lt0_enabled</t>
  </si>
  <si>
    <t>"LT0_LOOP_CNT" Field</t>
  </si>
  <si>
    <t>lt0_loop_cnt</t>
  </si>
  <si>
    <t>"LT1_ENABLED" Field</t>
  </si>
  <si>
    <t>lt1_enabled</t>
  </si>
  <si>
    <t>"LT1_LOOP_CNT" Field</t>
  </si>
  <si>
    <t>lt1_loop_cnt</t>
  </si>
  <si>
    <t>"LT2_ENABLED" Field</t>
  </si>
  <si>
    <t>lt2_enabled</t>
  </si>
  <si>
    <t>"LT2_LOOP_CNT" Field</t>
  </si>
  <si>
    <t>lt2_loop_cnt</t>
  </si>
  <si>
    <t>"LT3_ENABLED" Field</t>
  </si>
  <si>
    <t>lt3_enabled</t>
  </si>
  <si>
    <t>"LT3_LOOP_CNT" Field</t>
  </si>
  <si>
    <t>lt3_loop_cnt</t>
  </si>
  <si>
    <t>"00101000000000"</t>
  </si>
  <si>
    <t>"PIX_LOOP_CNT_WORD_1" Field</t>
  </si>
  <si>
    <t>pix_loop_cnt_word_1</t>
  </si>
  <si>
    <t>x"0000"</t>
  </si>
  <si>
    <t>"PIX_LOOP_CNT_WORD_0" Field</t>
  </si>
  <si>
    <t>pix_loop_cnt_word_0</t>
  </si>
  <si>
    <t>x"08C5"</t>
  </si>
  <si>
    <t>"PC_ENABLED" Field</t>
  </si>
  <si>
    <t>pc_enabled</t>
  </si>
  <si>
    <t>"PC_LOOP_CNT" Field</t>
  </si>
  <si>
    <t>pc_loop_cnt</t>
  </si>
  <si>
    <t>"01000110001010"</t>
  </si>
  <si>
    <t>"INT1_LOOP_CNT" Field</t>
  </si>
  <si>
    <t>int1_loop_cnt</t>
  </si>
  <si>
    <t>"INT2_LOOP_CNT" Field</t>
  </si>
  <si>
    <t>int2_loop_cnt</t>
  </si>
  <si>
    <t>"AEB_STATUS" Field</t>
  </si>
  <si>
    <t>aeb_status</t>
  </si>
  <si>
    <t>"TIMESTAMP_DWORD_1" Field</t>
  </si>
  <si>
    <t>timestamp_dword_1</t>
  </si>
  <si>
    <t>"TIMESTAMP_DWORD_0" Field</t>
  </si>
  <si>
    <t>timestamp_dword_0</t>
  </si>
  <si>
    <t>AEB Critical Configuration Area Register "AEB_CONTROL"</t>
  </si>
  <si>
    <t>AEB Critical Configuration Area Register "AEB_CONFIG"</t>
  </si>
  <si>
    <t>AEB Critical Configuration Area Register "AEB_CONFIG_KEY"</t>
  </si>
  <si>
    <t>AEB Critical Configuration Area Register "AEB_CONFIG_AIT"</t>
  </si>
  <si>
    <t>AEB Critical Configuration Area Register "AEB_CONFIG_PATTERN"</t>
  </si>
  <si>
    <t>AEB Critical Configuration Area Register "VASP_I2C_CONTROL"</t>
  </si>
  <si>
    <t>AEB Critical Configuration Area Register "DAC_CONFIG_1"</t>
  </si>
  <si>
    <t>AEB Critical Configuration Area Register "DAC_CONFIG_2"</t>
  </si>
  <si>
    <t>AEB Critical Configuration Area Register "RESERVED_20"</t>
  </si>
  <si>
    <t>AEB Critical Configuration Area Register "PWR_CONFIG1"</t>
  </si>
  <si>
    <t>AEB Critical Configuration Area Register "PWR_CONFIG2"</t>
  </si>
  <si>
    <t>AEB Critical Configuration Area Register "PWR_CONFIG3"</t>
  </si>
  <si>
    <t>AEB General Configuration Area Register "ADC1_CONFIG_1"</t>
  </si>
  <si>
    <t>AEB General Configuration Area Register "ADC1_CONFIG_2"</t>
  </si>
  <si>
    <t>AEB General Configuration Area Register "ADC1_CONFIG_3"</t>
  </si>
  <si>
    <t>AEB General Configuration Area Register "ADC2_CONFIG_1"</t>
  </si>
  <si>
    <t>AEB General Configuration Area Register "ADC2_CONFIG_2"</t>
  </si>
  <si>
    <t>AEB General Configuration Area Register "ADC2_CONFIG_3"</t>
  </si>
  <si>
    <t>AEB General Configuration Area Register "RESERVED_118"</t>
  </si>
  <si>
    <t>AEB General Configuration Area Register "RESERVED_11C"</t>
  </si>
  <si>
    <t>AEB General Configuration Area Register "SEQ_CONFIG_1"</t>
  </si>
  <si>
    <t>AEB General Configuration Area Register "SEQ_CONFIG_2"</t>
  </si>
  <si>
    <t>AEB General Configuration Area Register "SEQ_CONFIG_3"</t>
  </si>
  <si>
    <t>AEB General Configuration Area Register "SEQ_CONFIG_4"</t>
  </si>
  <si>
    <t>AEB General Configuration Area Register "SEQ_CONFIG_5"</t>
  </si>
  <si>
    <t>AEB General Configuration Area Register "SEQ_CONFIG_6"</t>
  </si>
  <si>
    <t>AEB General Configuration Area Register "SEQ_CONFIG_7"</t>
  </si>
  <si>
    <t>AEB General Configuration Area Register "SEQ_CONFIG_8"</t>
  </si>
  <si>
    <t>AEB General Configuration Area Register "SEQ_CONFIG_9"</t>
  </si>
  <si>
    <t>AEB General Configuration Area Register "SEQ_CONFIG_10"</t>
  </si>
  <si>
    <t>AEB General Configuration Area Register "SEQ_CONFIG_11"</t>
  </si>
  <si>
    <t>AEB General Configuration Area Register "SEQ_CONFIG_12"</t>
  </si>
  <si>
    <t>AEB General Configuration Area Register "SEQ_CONFIG_13"</t>
  </si>
  <si>
    <t>AEB General Configuration Area Register "SEQ_CONFIG_14"</t>
  </si>
  <si>
    <t>AEB Housekeeping Area Register "AEB_STATUS"</t>
  </si>
  <si>
    <t>AEB Housekeeping Area Register "TIMESTAMP_1"</t>
  </si>
  <si>
    <t>AEB Housekeeping Area Register "TIMESTAMP_2"</t>
  </si>
  <si>
    <t>AEB Housekeeping Area Register "ADC_RD_DATA_T_VASP_L"</t>
  </si>
  <si>
    <t>AEB Housekeeping Area Register "ADC_RD_DATA_T_VASP_R"</t>
  </si>
  <si>
    <t>AEB Housekeeping Area Register "ADC_RD_DATA_T_BIAS_P"</t>
  </si>
  <si>
    <t>AEB Housekeeping Area Register "ADC_RD_DATA_T_HK_P"</t>
  </si>
  <si>
    <t>AEB Housekeeping Area Register "ADC_RD_DATA_T_TOU_1_P"</t>
  </si>
  <si>
    <t>AEB Housekeeping Area Register "ADC_RD_DATA_T_TOU_2_P"</t>
  </si>
  <si>
    <t>AEB Housekeeping Area Register "ADC_RD_DATA_HK_VODE"</t>
  </si>
  <si>
    <t>AEB Housekeeping Area Register "ADC_RD_DATA_HK_VODF"</t>
  </si>
  <si>
    <t>AEB Housekeeping Area Register "ADC_RD_DATA_HK_VRD"</t>
  </si>
  <si>
    <t>AEB Housekeeping Area Register "ADC_RD_DATA_HK_VOG"</t>
  </si>
  <si>
    <t>AEB Housekeeping Area Register "ADC_RD_DATA_T_CCD"</t>
  </si>
  <si>
    <t>AEB Housekeeping Area Register "ADC_RD_DATA_T_REF1K_MEA"</t>
  </si>
  <si>
    <t>AEB Housekeeping Area Register "ADC_RD_DATA_T_REF649R_MEA"</t>
  </si>
  <si>
    <t>AEB Housekeeping Area Register "ADC_RD_DATA_HK_ANA_N5V"</t>
  </si>
  <si>
    <t>AEB Housekeeping Area Register "ADC_RD_DATA_S_REF"</t>
  </si>
  <si>
    <t>AEB Housekeeping Area Register "ADC_RD_DATA_HK_CCD_P31V"</t>
  </si>
  <si>
    <t>AEB Housekeeping Area Register "ADC_RD_DATA_HK_CLK_P15V"</t>
  </si>
  <si>
    <t>AEB Housekeeping Area Register "ADC_RD_DATA_HK_ANA_P5V"</t>
  </si>
  <si>
    <t>AEB Housekeeping Area Register "ADC_RD_DATA_HK_ANA_P3V3"</t>
  </si>
  <si>
    <t>AEB Housekeeping Area Register "ADC_RD_DATA_HK_DIG_P3V3"</t>
  </si>
  <si>
    <t>AEB Housekeeping Area Register "ADC_RD_DATA_ADC_REF_BUF_2"</t>
  </si>
  <si>
    <t>AEB Housekeeping Area Register "ADC1_RD_CONFIG_1"</t>
  </si>
  <si>
    <t>AEB Housekeeping Area Register "ADC1_RD_CONFIG_2"</t>
  </si>
  <si>
    <t>AEB Housekeeping Area Register "ADC1_RD_CONFIG_3"</t>
  </si>
  <si>
    <t>AEB Housekeeping Area Register "ADC2_RD_CONFIG_1"</t>
  </si>
  <si>
    <t>AEB Housekeeping Area Register "ADC2_RD_CONFIG_2"</t>
  </si>
  <si>
    <t>AEB Housekeeping Area Register "ADC2_RD_CONFIG_3"</t>
  </si>
  <si>
    <t>AEB Housekeeping Area Register "VASP_RD_CONFIG"</t>
  </si>
  <si>
    <t>AEB Housekeeping Area Register "REVISION_ID_1"</t>
  </si>
  <si>
    <t>AEB Housekeeping Area Register "REVISION_ID_2"</t>
  </si>
  <si>
    <t>aeb_crit_cfg_aeb_control</t>
  </si>
  <si>
    <t>aeb_crit_cfg_aeb_config</t>
  </si>
  <si>
    <t>aeb_crit_cfg_aeb_config_key</t>
  </si>
  <si>
    <t>aeb_crit_cfg_aeb_config_ait</t>
  </si>
  <si>
    <t>aeb_crit_cfg_aeb_config_pattern</t>
  </si>
  <si>
    <t>aeb_crit_cfg_vasp_i2c_control</t>
  </si>
  <si>
    <t>aeb_crit_cfg_dac_config_1</t>
  </si>
  <si>
    <t>aeb_crit_cfg_dac_config_2</t>
  </si>
  <si>
    <t>aeb_crit_cfg_reserved_20</t>
  </si>
  <si>
    <t>aeb_crit_cfg_pwr_config1</t>
  </si>
  <si>
    <t>aeb_crit_cfg_pwr_config2</t>
  </si>
  <si>
    <t>aeb_crit_cfg_pwr_config3</t>
  </si>
  <si>
    <t>aeb_gen_cfg_adc1_config_1</t>
  </si>
  <si>
    <t>aeb_gen_cfg_adc1_config_2</t>
  </si>
  <si>
    <t>aeb_gen_cfg_adc1_config_3</t>
  </si>
  <si>
    <t>aeb_gen_cfg_adc2_config_1</t>
  </si>
  <si>
    <t>aeb_gen_cfg_adc2_config_2</t>
  </si>
  <si>
    <t>aeb_gen_cfg_adc2_config_3</t>
  </si>
  <si>
    <t>aeb_gen_cfg_reserved_118</t>
  </si>
  <si>
    <t>aeb_gen_cfg_reserved_11c</t>
  </si>
  <si>
    <t>aeb_gen_cfg_seq_config_1</t>
  </si>
  <si>
    <t>aeb_gen_cfg_seq_config_2</t>
  </si>
  <si>
    <t>aeb_gen_cfg_seq_config_3</t>
  </si>
  <si>
    <t>aeb_gen_cfg_seq_config_4</t>
  </si>
  <si>
    <t>aeb_gen_cfg_seq_config_5</t>
  </si>
  <si>
    <t>aeb_gen_cfg_seq_config_6</t>
  </si>
  <si>
    <t>aeb_gen_cfg_seq_config_7</t>
  </si>
  <si>
    <t>aeb_gen_cfg_seq_config_8</t>
  </si>
  <si>
    <t>aeb_gen_cfg_seq_config_9</t>
  </si>
  <si>
    <t>aeb_gen_cfg_seq_config_10</t>
  </si>
  <si>
    <t>aeb_gen_cfg_seq_config_11</t>
  </si>
  <si>
    <t>aeb_gen_cfg_seq_config_12</t>
  </si>
  <si>
    <t>aeb_gen_cfg_seq_config_13</t>
  </si>
  <si>
    <t>aeb_gen_cfg_seq_config_14</t>
  </si>
  <si>
    <t>aeb_hk_aeb_status</t>
  </si>
  <si>
    <t>aeb_hk_timestamp_1</t>
  </si>
  <si>
    <t>aeb_hk_timestamp_2</t>
  </si>
  <si>
    <t>aeb_hk_adc_rd_data_t_vasp_l</t>
  </si>
  <si>
    <t>aeb_hk_adc_rd_data_t_vasp_r</t>
  </si>
  <si>
    <t>aeb_hk_adc_rd_data_t_bias_p</t>
  </si>
  <si>
    <t>aeb_hk_adc_rd_data_t_hk_p</t>
  </si>
  <si>
    <t>aeb_hk_adc_rd_data_t_tou_1_p</t>
  </si>
  <si>
    <t>aeb_hk_adc_rd_data_t_tou_2_p</t>
  </si>
  <si>
    <t>aeb_hk_adc_rd_data_hk_vode</t>
  </si>
  <si>
    <t>aeb_hk_adc_rd_data_hk_vodf</t>
  </si>
  <si>
    <t>aeb_hk_adc_rd_data_hk_vrd</t>
  </si>
  <si>
    <t>aeb_hk_adc_rd_data_hk_vog</t>
  </si>
  <si>
    <t>aeb_hk_adc_rd_data_t_ccd</t>
  </si>
  <si>
    <t>aeb_hk_adc_rd_data_t_ref1k_mea</t>
  </si>
  <si>
    <t>aeb_hk_adc_rd_data_t_ref649r_mea</t>
  </si>
  <si>
    <t>aeb_hk_adc_rd_data_hk_ana_n5v</t>
  </si>
  <si>
    <t>aeb_hk_adc_rd_data_s_ref</t>
  </si>
  <si>
    <t>aeb_hk_adc_rd_data_hk_ccd_p31v</t>
  </si>
  <si>
    <t>aeb_hk_adc_rd_data_hk_clk_p15v</t>
  </si>
  <si>
    <t>aeb_hk_adc_rd_data_hk_ana_p5v</t>
  </si>
  <si>
    <t>aeb_hk_adc_rd_data_hk_ana_p3v3</t>
  </si>
  <si>
    <t>aeb_hk_adc_rd_data_hk_dig_p3v3</t>
  </si>
  <si>
    <t>aeb_hk_adc_rd_data_adc_ref_buf_2</t>
  </si>
  <si>
    <t>aeb_hk_adc1_rd_config_1</t>
  </si>
  <si>
    <t>aeb_hk_adc1_rd_config_2</t>
  </si>
  <si>
    <t>aeb_hk_adc1_rd_config_3</t>
  </si>
  <si>
    <t>aeb_hk_adc2_rd_config_1</t>
  </si>
  <si>
    <t>aeb_hk_adc2_rd_config_2</t>
  </si>
  <si>
    <t>aeb_hk_adc2_rd_config_3</t>
  </si>
  <si>
    <t>aeb_hk_vasp_rd_config</t>
  </si>
  <si>
    <t>aeb_hk_revision_id_1</t>
  </si>
  <si>
    <t>aeb_hk_revision_id_2</t>
  </si>
  <si>
    <t>t_aeb_crit_cfg_aeb_control_wr_reg</t>
  </si>
  <si>
    <t>t_aeb_crit_cfg_aeb_config_wr_reg</t>
  </si>
  <si>
    <t>t_aeb_crit_cfg_aeb_config_key_wr_reg</t>
  </si>
  <si>
    <t>t_aeb_crit_cfg_aeb_config_ait_wr_reg</t>
  </si>
  <si>
    <t>t_aeb_crit_cfg_aeb_config_pattern_wr_reg</t>
  </si>
  <si>
    <t>t_aeb_crit_cfg_vasp_i2c_control_wr_reg</t>
  </si>
  <si>
    <t>t_aeb_crit_cfg_dac_config_1_wr_reg</t>
  </si>
  <si>
    <t>t_aeb_crit_cfg_dac_config_2_wr_reg</t>
  </si>
  <si>
    <t>t_aeb_crit_cfg_reserved_20_wr_reg</t>
  </si>
  <si>
    <t>t_aeb_crit_cfg_pwr_config1_wr_reg</t>
  </si>
  <si>
    <t>t_aeb_crit_cfg_pwr_config2_wr_reg</t>
  </si>
  <si>
    <t>t_aeb_crit_cfg_pwr_config3_wr_reg</t>
  </si>
  <si>
    <t>t_aeb_gen_cfg_adc1_config_1_wr_reg</t>
  </si>
  <si>
    <t>t_aeb_gen_cfg_adc1_config_2_wr_reg</t>
  </si>
  <si>
    <t>t_aeb_gen_cfg_adc1_config_3_wr_reg</t>
  </si>
  <si>
    <t>t_aeb_gen_cfg_adc2_config_1_wr_reg</t>
  </si>
  <si>
    <t>t_aeb_gen_cfg_adc2_config_2_wr_reg</t>
  </si>
  <si>
    <t>t_aeb_gen_cfg_adc2_config_3_wr_reg</t>
  </si>
  <si>
    <t>t_aeb_gen_cfg_reserved_118_wr_reg</t>
  </si>
  <si>
    <t>t_aeb_gen_cfg_reserved_11c_wr_reg</t>
  </si>
  <si>
    <t>t_aeb_gen_cfg_seq_config_1_wr_reg</t>
  </si>
  <si>
    <t>t_aeb_gen_cfg_seq_config_2_wr_reg</t>
  </si>
  <si>
    <t>t_aeb_gen_cfg_seq_config_3_wr_reg</t>
  </si>
  <si>
    <t>t_aeb_gen_cfg_seq_config_4_wr_reg</t>
  </si>
  <si>
    <t>t_aeb_gen_cfg_seq_config_5_wr_reg</t>
  </si>
  <si>
    <t>t_aeb_gen_cfg_seq_config_6_wr_reg</t>
  </si>
  <si>
    <t>t_aeb_gen_cfg_seq_config_7_wr_reg</t>
  </si>
  <si>
    <t>t_aeb_gen_cfg_seq_config_8_wr_reg</t>
  </si>
  <si>
    <t>t_aeb_gen_cfg_seq_config_9_wr_reg</t>
  </si>
  <si>
    <t>t_aeb_gen_cfg_seq_config_10_wr_reg</t>
  </si>
  <si>
    <t>t_aeb_gen_cfg_seq_config_11_wr_reg</t>
  </si>
  <si>
    <t>t_aeb_gen_cfg_seq_config_12_wr_reg</t>
  </si>
  <si>
    <t>t_aeb_gen_cfg_seq_config_13_wr_reg</t>
  </si>
  <si>
    <t>t_aeb_gen_cfg_seq_config_14_wr_reg</t>
  </si>
  <si>
    <t>t_aeb_hk_aeb_status_wr_reg</t>
  </si>
  <si>
    <t>t_aeb_hk_timestamp_1_wr_reg</t>
  </si>
  <si>
    <t>t_aeb_hk_timestamp_2_wr_reg</t>
  </si>
  <si>
    <t>t_aeb_hk_adc_rd_data_t_vasp_l_wr_reg</t>
  </si>
  <si>
    <t>t_aeb_hk_adc_rd_data_t_vasp_r_wr_reg</t>
  </si>
  <si>
    <t>t_aeb_hk_adc_rd_data_t_bias_p_wr_reg</t>
  </si>
  <si>
    <t>t_aeb_hk_adc_rd_data_t_hk_p_wr_reg</t>
  </si>
  <si>
    <t>t_aeb_hk_adc_rd_data_t_tou_1_p_wr_reg</t>
  </si>
  <si>
    <t>t_aeb_hk_adc_rd_data_t_tou_2_p_wr_reg</t>
  </si>
  <si>
    <t>t_aeb_hk_adc_rd_data_hk_vode_wr_reg</t>
  </si>
  <si>
    <t>t_aeb_hk_adc_rd_data_hk_vodf_wr_reg</t>
  </si>
  <si>
    <t>t_aeb_hk_adc_rd_data_hk_vrd_wr_reg</t>
  </si>
  <si>
    <t>t_aeb_hk_adc_rd_data_hk_vog_wr_reg</t>
  </si>
  <si>
    <t>t_aeb_hk_adc_rd_data_t_ccd_wr_reg</t>
  </si>
  <si>
    <t>t_aeb_hk_adc_rd_data_t_ref1k_mea_wr_reg</t>
  </si>
  <si>
    <t>t_aeb_hk_adc_rd_data_t_ref649r_mea_wr_reg</t>
  </si>
  <si>
    <t>t_aeb_hk_adc_rd_data_hk_ana_n5v_wr_reg</t>
  </si>
  <si>
    <t>t_aeb_hk_adc_rd_data_s_ref_wr_reg</t>
  </si>
  <si>
    <t>t_aeb_hk_adc_rd_data_hk_ccd_p31v_wr_reg</t>
  </si>
  <si>
    <t>t_aeb_hk_adc_rd_data_hk_clk_p15v_wr_reg</t>
  </si>
  <si>
    <t>t_aeb_hk_adc_rd_data_hk_ana_p5v_wr_reg</t>
  </si>
  <si>
    <t>t_aeb_hk_adc_rd_data_hk_ana_p3v3_wr_reg</t>
  </si>
  <si>
    <t>t_aeb_hk_adc_rd_data_hk_dig_p3v3_wr_reg</t>
  </si>
  <si>
    <t>t_aeb_hk_adc_rd_data_adc_ref_buf_2_wr_reg</t>
  </si>
  <si>
    <t>t_aeb_hk_vasp_rd_config_wr_reg</t>
  </si>
  <si>
    <t>t_aeb_hk_revision_id_1_wr_reg</t>
  </si>
  <si>
    <t>t_aeb_hk_revision_id_2_wr_reg</t>
  </si>
  <si>
    <t xml:space="preserve">  when (x"00000000") =&gt;</t>
  </si>
  <si>
    <t xml:space="preserve">      -- AEB Critical Configuration Area Register "AEB_CONTROL" : "AEB_RESET" Field</t>
  </si>
  <si>
    <t xml:space="preserve">      fee_rmap_o.readdata(0) &lt;= rmap_registers_wr_i.aeb_crit_cfg_aeb_control.aeb_reset;</t>
  </si>
  <si>
    <t xml:space="preserve">      -- AEB Critical Configuration Area Register "AEB_CONTROL" : "SET_STATE" Field</t>
  </si>
  <si>
    <t xml:space="preserve">      fee_rmap_o.readdata(1) &lt;= rmap_registers_wr_i.aeb_crit_cfg_aeb_control.set_state;</t>
  </si>
  <si>
    <t xml:space="preserve">      -- AEB Critical Configuration Area Register "AEB_CONTROL" : "NEW_STATE" Field</t>
  </si>
  <si>
    <t xml:space="preserve">      fee_rmap_o.readdata(5 downto 2) &lt;= rmap_registers_wr_i.aeb_crit_cfg_aeb_control.new_state;</t>
  </si>
  <si>
    <t xml:space="preserve">  when (x"00000001") =&gt;</t>
  </si>
  <si>
    <t xml:space="preserve">  when (x"00000002") =&gt;</t>
  </si>
  <si>
    <t xml:space="preserve">      -- AEB Critical Configuration Area Register "AEB_CONFIG_KEY" : "KEY" Field</t>
  </si>
  <si>
    <t xml:space="preserve">      fee_rmap_o.readdata &lt;= rmap_registers_wr_i.aeb_crit_cfg_aeb_config_key.key(31 downto 24);</t>
  </si>
  <si>
    <t xml:space="preserve">      fee_rmap_o.readdata &lt;= rmap_registers_wr_i.aeb_crit_cfg_aeb_config_key.key(23 downto 16);</t>
  </si>
  <si>
    <t xml:space="preserve">      fee_rmap_o.readdata &lt;= rmap_registers_wr_i.aeb_crit_cfg_aeb_config_key.key(15 downto 8);</t>
  </si>
  <si>
    <t xml:space="preserve">      fee_rmap_o.readdata &lt;= rmap_registers_wr_i.aeb_crit_cfg_aeb_config_key.key(7 downto 0);</t>
  </si>
  <si>
    <t xml:space="preserve">      -- AEB Critical Configuration Area Register "AEB_CONFIG_PATTERN" : "PATTERN_COLS" Field</t>
  </si>
  <si>
    <t xml:space="preserve">      fee_rmap_o.readdata(5 downto 0) &lt;= rmap_registers_wr_i.aeb_crit_cfg_aeb_config_pattern.pattern_cols(13 downto 8);</t>
  </si>
  <si>
    <t xml:space="preserve">      -- AEB Critical Configuration Area Register "AEB_CONFIG_PATTERN" : "PATTERN_CCDID" Field</t>
  </si>
  <si>
    <t xml:space="preserve">      fee_rmap_o.readdata(7 downto 6) &lt;= rmap_registers_wr_i.aeb_crit_cfg_aeb_config_pattern.pattern_ccdid;</t>
  </si>
  <si>
    <t xml:space="preserve">      fee_rmap_o.readdata &lt;= rmap_registers_wr_i.aeb_crit_cfg_aeb_config_pattern.pattern_cols(7 downto 0);</t>
  </si>
  <si>
    <t xml:space="preserve">      -- AEB Critical Configuration Area Register "AEB_CONFIG_PATTERN" : "PATTERN_ROWS" Field</t>
  </si>
  <si>
    <t xml:space="preserve">      fee_rmap_o.readdata(5 downto 0) &lt;= rmap_registers_wr_i.aeb_crit_cfg_aeb_config_pattern.pattern_rows(13 downto 8);</t>
  </si>
  <si>
    <t xml:space="preserve">      -- AEB Critical Configuration Area Register "AEB_CONFIG_PATTERN" : "RESERVED" Field</t>
  </si>
  <si>
    <t xml:space="preserve">      fee_rmap_o.readdata(7 downto 6) &lt;= rmap_registers_wr_i.aeb_crit_cfg_aeb_config_pattern.reserved;</t>
  </si>
  <si>
    <t xml:space="preserve">      fee_rmap_o.readdata &lt;= rmap_registers_wr_i.aeb_crit_cfg_aeb_config_pattern.pattern_rows(7 downto 0);</t>
  </si>
  <si>
    <t xml:space="preserve">  when (x"00000014") =&gt;</t>
  </si>
  <si>
    <t xml:space="preserve">  when (x"00000015") =&gt;</t>
  </si>
  <si>
    <t xml:space="preserve">  when (x"00000016") =&gt;</t>
  </si>
  <si>
    <t xml:space="preserve">  when (x"00000018") =&gt;</t>
  </si>
  <si>
    <t xml:space="preserve">  when (x"00000019") =&gt;</t>
  </si>
  <si>
    <t xml:space="preserve">  when (x"0000001A") =&gt;</t>
  </si>
  <si>
    <t xml:space="preserve">  when (x"0000001C") =&gt;</t>
  </si>
  <si>
    <t xml:space="preserve">  when (x"0000001D") =&gt;</t>
  </si>
  <si>
    <t xml:space="preserve">  when (x"0000001E") =&gt;</t>
  </si>
  <si>
    <t xml:space="preserve">  when (x"0000001F") =&gt;</t>
  </si>
  <si>
    <t xml:space="preserve">  when (x"00000020") =&gt;</t>
  </si>
  <si>
    <t xml:space="preserve">      -- AEB Critical Configuration Area Register "RESERVED_20" : "RESERVED" Field</t>
  </si>
  <si>
    <t xml:space="preserve">      fee_rmap_o.readdata &lt;= rmap_registers_wr_i.aeb_crit_cfg_reserved_20.reserved(31 downto 24);</t>
  </si>
  <si>
    <t xml:space="preserve">  when (x"00000021") =&gt;</t>
  </si>
  <si>
    <t xml:space="preserve">      fee_rmap_o.readdata &lt;= rmap_registers_wr_i.aeb_crit_cfg_reserved_20.reserved(23 downto 16);</t>
  </si>
  <si>
    <t xml:space="preserve">  when (x"00000022") =&gt;</t>
  </si>
  <si>
    <t xml:space="preserve">      fee_rmap_o.readdata &lt;= rmap_registers_wr_i.aeb_crit_cfg_reserved_20.reserved(15 downto 8);</t>
  </si>
  <si>
    <t xml:space="preserve">  when (x"00000023") =&gt;</t>
  </si>
  <si>
    <t xml:space="preserve">      fee_rmap_o.readdata &lt;= rmap_registers_wr_i.aeb_crit_cfg_reserved_20.reserved(7 downto 0);</t>
  </si>
  <si>
    <t xml:space="preserve">  when (x"00000024") =&gt;</t>
  </si>
  <si>
    <t xml:space="preserve">      -- AEB Critical Configuration Area Register "PWR_CONFIG1" : "TIME_VCCD_ON" Field</t>
  </si>
  <si>
    <t xml:space="preserve">      fee_rmap_o.readdata &lt;= rmap_registers_wr_i.aeb_crit_cfg_pwr_config1.time_vccd_on;</t>
  </si>
  <si>
    <t xml:space="preserve">  when (x"00000025") =&gt;</t>
  </si>
  <si>
    <t xml:space="preserve">      -- AEB Critical Configuration Area Register "PWR_CONFIG1" : "TIME_VCLK_ON" Field</t>
  </si>
  <si>
    <t xml:space="preserve">      fee_rmap_o.readdata &lt;= rmap_registers_wr_i.aeb_crit_cfg_pwr_config1.time_vclk_on;</t>
  </si>
  <si>
    <t xml:space="preserve">  when (x"00000026") =&gt;</t>
  </si>
  <si>
    <t xml:space="preserve">      -- AEB Critical Configuration Area Register "PWR_CONFIG1" : "TIME_VAN1_ON" Field</t>
  </si>
  <si>
    <t xml:space="preserve">      fee_rmap_o.readdata &lt;= rmap_registers_wr_i.aeb_crit_cfg_pwr_config1.time_van1_on;</t>
  </si>
  <si>
    <t xml:space="preserve">  when (x"00000027") =&gt;</t>
  </si>
  <si>
    <t xml:space="preserve">      -- AEB Critical Configuration Area Register "PWR_CONFIG1" : "TIME_VAN2_ON" Field</t>
  </si>
  <si>
    <t xml:space="preserve">      fee_rmap_o.readdata &lt;= rmap_registers_wr_i.aeb_crit_cfg_pwr_config1.time_van2_on;</t>
  </si>
  <si>
    <t xml:space="preserve">  when (x"00000028") =&gt;</t>
  </si>
  <si>
    <t xml:space="preserve">      -- AEB Critical Configuration Area Register "PWR_CONFIG2" : "TIME_VAN3_ON" Field</t>
  </si>
  <si>
    <t xml:space="preserve">      fee_rmap_o.readdata &lt;= rmap_registers_wr_i.aeb_crit_cfg_pwr_config2.time_van3_on;</t>
  </si>
  <si>
    <t xml:space="preserve">  when (x"00000029") =&gt;</t>
  </si>
  <si>
    <t xml:space="preserve">      -- AEB Critical Configuration Area Register "PWR_CONFIG2" : "TIME_VCCD_OFF" Field</t>
  </si>
  <si>
    <t xml:space="preserve">      fee_rmap_o.readdata &lt;= rmap_registers_wr_i.aeb_crit_cfg_pwr_config2.time_vccd_off;</t>
  </si>
  <si>
    <t xml:space="preserve">  when (x"0000002A") =&gt;</t>
  </si>
  <si>
    <t xml:space="preserve">      -- AEB Critical Configuration Area Register "PWR_CONFIG2" : "TIME_VCLK_OFF" Field</t>
  </si>
  <si>
    <t xml:space="preserve">      fee_rmap_o.readdata &lt;= rmap_registers_wr_i.aeb_crit_cfg_pwr_config2.time_vclk_off;</t>
  </si>
  <si>
    <t xml:space="preserve">  when (x"0000002B") =&gt;</t>
  </si>
  <si>
    <t xml:space="preserve">      -- AEB Critical Configuration Area Register "PWR_CONFIG2" : "TIME_VAN1_OFF" Field</t>
  </si>
  <si>
    <t xml:space="preserve">      fee_rmap_o.readdata &lt;= rmap_registers_wr_i.aeb_crit_cfg_pwr_config2.time_van1_off;</t>
  </si>
  <si>
    <t xml:space="preserve">  when (x"0000002C") =&gt;</t>
  </si>
  <si>
    <t xml:space="preserve">      -- AEB Critical Configuration Area Register "PWR_CONFIG3" : "TIME_VAN2_OFF" Field</t>
  </si>
  <si>
    <t xml:space="preserve">      fee_rmap_o.readdata &lt;= rmap_registers_wr_i.aeb_crit_cfg_pwr_config3.time_van2_off;</t>
  </si>
  <si>
    <t xml:space="preserve">  when (x"0000002D") =&gt;</t>
  </si>
  <si>
    <t xml:space="preserve">      -- AEB Critical Configuration Area Register "PWR_CONFIG3" : "TIME_VAN3_OFF" Field</t>
  </si>
  <si>
    <t xml:space="preserve">      fee_rmap_o.readdata &lt;= rmap_registers_wr_i.aeb_crit_cfg_pwr_config3.time_van3_off;</t>
  </si>
  <si>
    <t xml:space="preserve">  when (x"00000100") =&gt;</t>
  </si>
  <si>
    <t xml:space="preserve">  when (x"00000101") =&gt;</t>
  </si>
  <si>
    <t xml:space="preserve">  when (x"00000102") =&gt;</t>
  </si>
  <si>
    <t xml:space="preserve">  when (x"00000103") =&gt;</t>
  </si>
  <si>
    <t xml:space="preserve">  when (x"0000010C") =&gt;</t>
  </si>
  <si>
    <t xml:space="preserve">  when (x"0000010D") =&gt;</t>
  </si>
  <si>
    <t xml:space="preserve">      -- AEB General Configuration Area Register "RESERVED_118" : "RESERVED" Field</t>
  </si>
  <si>
    <t xml:space="preserve">      fee_rmap_o.readdata &lt;= rmap_registers_wr_i.aeb_gen_cfg_reserved_118.reserved(31 downto 24);</t>
  </si>
  <si>
    <t xml:space="preserve">      fee_rmap_o.readdata &lt;= rmap_registers_wr_i.aeb_gen_cfg_reserved_118.reserved(23 downto 16);</t>
  </si>
  <si>
    <t xml:space="preserve">      fee_rmap_o.readdata &lt;= rmap_registers_wr_i.aeb_gen_cfg_reserved_118.reserved(15 downto 8);</t>
  </si>
  <si>
    <t xml:space="preserve">      fee_rmap_o.readdata &lt;= rmap_registers_wr_i.aeb_gen_cfg_reserved_118.reserved(7 downto 0);</t>
  </si>
  <si>
    <t xml:space="preserve">      -- AEB General Configuration Area Register "RESERVED_11C" : "RESERVED" Field</t>
  </si>
  <si>
    <t xml:space="preserve">      fee_rmap_o.readdata &lt;= rmap_registers_wr_i.aeb_gen_cfg_reserved_11c.reserved(31 downto 24);</t>
  </si>
  <si>
    <t xml:space="preserve">      fee_rmap_o.readdata &lt;= rmap_registers_wr_i.aeb_gen_cfg_reserved_11c.reserved(23 downto 16);</t>
  </si>
  <si>
    <t xml:space="preserve">      fee_rmap_o.readdata &lt;= rmap_registers_wr_i.aeb_gen_cfg_reserved_11c.reserved(15 downto 8);</t>
  </si>
  <si>
    <t xml:space="preserve">      fee_rmap_o.readdata &lt;= rmap_registers_wr_i.aeb_gen_cfg_reserved_11c.reserved(7 downto 0);</t>
  </si>
  <si>
    <t xml:space="preserve">  when (x"00000120") =&gt;</t>
  </si>
  <si>
    <t xml:space="preserve">  when (x"00000121") =&gt;</t>
  </si>
  <si>
    <t xml:space="preserve">  when (x"00000122") =&gt;</t>
  </si>
  <si>
    <t xml:space="preserve">  when (x"00000128") =&gt;</t>
  </si>
  <si>
    <t xml:space="preserve">  when (x"00000129") =&gt;</t>
  </si>
  <si>
    <t xml:space="preserve">  when (x"0000012A") =&gt;</t>
  </si>
  <si>
    <t xml:space="preserve">  when (x"0000012C") =&gt;</t>
  </si>
  <si>
    <t xml:space="preserve">  when (x"0000012D") =&gt;</t>
  </si>
  <si>
    <t xml:space="preserve">  when (x"0000012E") =&gt;</t>
  </si>
  <si>
    <t xml:space="preserve">  when (x"00000130") =&gt;</t>
  </si>
  <si>
    <t xml:space="preserve">  when (x"00000131") =&gt;</t>
  </si>
  <si>
    <t xml:space="preserve">  when (x"00000134") =&gt;</t>
  </si>
  <si>
    <t xml:space="preserve">  when (x"00000135") =&gt;</t>
  </si>
  <si>
    <t xml:space="preserve">  when (x"00000136") =&gt;</t>
  </si>
  <si>
    <t xml:space="preserve">  when (x"00000138") =&gt;</t>
  </si>
  <si>
    <t xml:space="preserve">      -- AEB General Configuration Area Register "SEQ_CONFIG_7" : "RESERVED" Field</t>
  </si>
  <si>
    <t xml:space="preserve">      fee_rmap_o.readdata &lt;= rmap_registers_wr_i.aeb_gen_cfg_seq_config_7.reserved(31 downto 24);</t>
  </si>
  <si>
    <t xml:space="preserve">      fee_rmap_o.readdata &lt;= rmap_registers_wr_i.aeb_gen_cfg_seq_config_7.reserved(23 downto 16);</t>
  </si>
  <si>
    <t xml:space="preserve">      fee_rmap_o.readdata &lt;= rmap_registers_wr_i.aeb_gen_cfg_seq_config_7.reserved(15 downto 8);</t>
  </si>
  <si>
    <t xml:space="preserve">  when (x"0000013B") =&gt;</t>
  </si>
  <si>
    <t xml:space="preserve">      fee_rmap_o.readdata &lt;= rmap_registers_wr_i.aeb_gen_cfg_seq_config_7.reserved(7 downto 0);</t>
  </si>
  <si>
    <t xml:space="preserve">  when (x"0000013C") =&gt;</t>
  </si>
  <si>
    <t xml:space="preserve">      -- AEB General Configuration Area Register "SEQ_CONFIG_8" : "RESERVED" Field</t>
  </si>
  <si>
    <t xml:space="preserve">      fee_rmap_o.readdata &lt;= rmap_registers_wr_i.aeb_gen_cfg_seq_config_8.reserved(31 downto 24);</t>
  </si>
  <si>
    <t xml:space="preserve">      fee_rmap_o.readdata &lt;= rmap_registers_wr_i.aeb_gen_cfg_seq_config_8.reserved(23 downto 16);</t>
  </si>
  <si>
    <t xml:space="preserve">      fee_rmap_o.readdata &lt;= rmap_registers_wr_i.aeb_gen_cfg_seq_config_8.reserved(15 downto 8);</t>
  </si>
  <si>
    <t xml:space="preserve">      fee_rmap_o.readdata &lt;= rmap_registers_wr_i.aeb_gen_cfg_seq_config_8.reserved(7 downto 0);</t>
  </si>
  <si>
    <t xml:space="preserve">      -- AEB General Configuration Area Register "SEQ_CONFIG_9" : "FT_LOOP_CNT" Field</t>
  </si>
  <si>
    <t xml:space="preserve">      fee_rmap_o.readdata(5 downto 0) &lt;= rmap_registers_wr_i.aeb_gen_cfg_seq_config_9.ft_loop_cnt(13 downto 8);</t>
  </si>
  <si>
    <t xml:space="preserve">      -- AEB General Configuration Area Register "SEQ_CONFIG_9" : "RESERVED_0" Field</t>
  </si>
  <si>
    <t xml:space="preserve">      fee_rmap_o.readdata(7 downto 6) &lt;= rmap_registers_wr_i.aeb_gen_cfg_seq_config_9.reserved_0;</t>
  </si>
  <si>
    <t xml:space="preserve">      fee_rmap_o.readdata &lt;= rmap_registers_wr_i.aeb_gen_cfg_seq_config_9.ft_loop_cnt(7 downto 0);</t>
  </si>
  <si>
    <t xml:space="preserve">      -- AEB General Configuration Area Register "SEQ_CONFIG_9" : "LT0_LOOP_CNT" Field</t>
  </si>
  <si>
    <t xml:space="preserve">      fee_rmap_o.readdata(5 downto 0) &lt;= rmap_registers_wr_i.aeb_gen_cfg_seq_config_9.lt0_loop_cnt(13 downto 8);</t>
  </si>
  <si>
    <t xml:space="preserve">      -- AEB General Configuration Area Register "SEQ_CONFIG_9" : "RESERVED_1" Field</t>
  </si>
  <si>
    <t xml:space="preserve">      fee_rmap_o.readdata(6) &lt;= rmap_registers_wr_i.aeb_gen_cfg_seq_config_9.reserved_1;</t>
  </si>
  <si>
    <t xml:space="preserve">      -- AEB General Configuration Area Register "SEQ_CONFIG_9" : "LT0_ENABLED" Field</t>
  </si>
  <si>
    <t xml:space="preserve">      fee_rmap_o.readdata(7) &lt;= rmap_registers_wr_i.aeb_gen_cfg_seq_config_9.lt0_enabled;</t>
  </si>
  <si>
    <t xml:space="preserve">      fee_rmap_o.readdata &lt;= rmap_registers_wr_i.aeb_gen_cfg_seq_config_9.lt0_loop_cnt(7 downto 0);</t>
  </si>
  <si>
    <t xml:space="preserve">  when (x"00000144") =&gt;</t>
  </si>
  <si>
    <t xml:space="preserve">      -- AEB General Configuration Area Register "SEQ_CONFIG_10" : "LT1_LOOP_CNT" Field</t>
  </si>
  <si>
    <t xml:space="preserve">      fee_rmap_o.readdata(5 downto 0) &lt;= rmap_registers_wr_i.aeb_gen_cfg_seq_config_10.lt1_loop_cnt(13 downto 8);</t>
  </si>
  <si>
    <t xml:space="preserve">      -- AEB General Configuration Area Register "SEQ_CONFIG_10" : "RESERVED_0" Field</t>
  </si>
  <si>
    <t xml:space="preserve">      fee_rmap_o.readdata(6) &lt;= rmap_registers_wr_i.aeb_gen_cfg_seq_config_10.reserved_0;</t>
  </si>
  <si>
    <t xml:space="preserve">      -- AEB General Configuration Area Register "SEQ_CONFIG_10" : "LT1_ENABLED" Field</t>
  </si>
  <si>
    <t xml:space="preserve">      fee_rmap_o.readdata(7) &lt;= rmap_registers_wr_i.aeb_gen_cfg_seq_config_10.lt1_enabled;</t>
  </si>
  <si>
    <t xml:space="preserve">  when (x"00000145") =&gt;</t>
  </si>
  <si>
    <t xml:space="preserve">      fee_rmap_o.readdata &lt;= rmap_registers_wr_i.aeb_gen_cfg_seq_config_10.lt1_loop_cnt(7 downto 0);</t>
  </si>
  <si>
    <t xml:space="preserve">  when (x"00000146") =&gt;</t>
  </si>
  <si>
    <t xml:space="preserve">      -- AEB General Configuration Area Register "SEQ_CONFIG_10" : "LT2_LOOP_CNT" Field</t>
  </si>
  <si>
    <t xml:space="preserve">      fee_rmap_o.readdata(5 downto 0) &lt;= rmap_registers_wr_i.aeb_gen_cfg_seq_config_10.lt2_loop_cnt(13 downto 8);</t>
  </si>
  <si>
    <t xml:space="preserve">      -- AEB General Configuration Area Register "SEQ_CONFIG_10" : "RESERVED_1" Field</t>
  </si>
  <si>
    <t xml:space="preserve">      fee_rmap_o.readdata(6) &lt;= rmap_registers_wr_i.aeb_gen_cfg_seq_config_10.reserved_1;</t>
  </si>
  <si>
    <t xml:space="preserve">      -- AEB General Configuration Area Register "SEQ_CONFIG_10" : "LT2_ENABLED" Field</t>
  </si>
  <si>
    <t xml:space="preserve">      fee_rmap_o.readdata(7) &lt;= rmap_registers_wr_i.aeb_gen_cfg_seq_config_10.lt2_enabled;</t>
  </si>
  <si>
    <t xml:space="preserve">      fee_rmap_o.readdata &lt;= rmap_registers_wr_i.aeb_gen_cfg_seq_config_10.lt2_loop_cnt(7 downto 0);</t>
  </si>
  <si>
    <t xml:space="preserve">  when (x"00000148") =&gt;</t>
  </si>
  <si>
    <t xml:space="preserve">      -- AEB General Configuration Area Register "SEQ_CONFIG_11" : "LT3_LOOP_CNT" Field</t>
  </si>
  <si>
    <t xml:space="preserve">      fee_rmap_o.readdata(5 downto 0) &lt;= rmap_registers_wr_i.aeb_gen_cfg_seq_config_11.lt3_loop_cnt(13 downto 8);</t>
  </si>
  <si>
    <t xml:space="preserve">      -- AEB General Configuration Area Register "SEQ_CONFIG_11" : "RESERVED" Field</t>
  </si>
  <si>
    <t xml:space="preserve">      fee_rmap_o.readdata(6) &lt;= rmap_registers_wr_i.aeb_gen_cfg_seq_config_11.reserved;</t>
  </si>
  <si>
    <t xml:space="preserve">      -- AEB General Configuration Area Register "SEQ_CONFIG_11" : "LT3_ENABLED" Field</t>
  </si>
  <si>
    <t xml:space="preserve">      fee_rmap_o.readdata(7) &lt;= rmap_registers_wr_i.aeb_gen_cfg_seq_config_11.lt3_enabled;</t>
  </si>
  <si>
    <t xml:space="preserve">  when (x"00000149") =&gt;</t>
  </si>
  <si>
    <t xml:space="preserve">      fee_rmap_o.readdata &lt;= rmap_registers_wr_i.aeb_gen_cfg_seq_config_11.lt3_loop_cnt(7 downto 0);</t>
  </si>
  <si>
    <t xml:space="preserve">  when (x"0000014A") =&gt;</t>
  </si>
  <si>
    <t xml:space="preserve">      -- AEB General Configuration Area Register "SEQ_CONFIG_11" : "PIX_LOOP_CNT_WORD_1" Field</t>
  </si>
  <si>
    <t xml:space="preserve">      fee_rmap_o.readdata &lt;= rmap_registers_wr_i.aeb_gen_cfg_seq_config_11.pix_loop_cnt_word_1(15 downto 8);</t>
  </si>
  <si>
    <t xml:space="preserve">  when (x"0000014B") =&gt;</t>
  </si>
  <si>
    <t xml:space="preserve">      fee_rmap_o.readdata &lt;= rmap_registers_wr_i.aeb_gen_cfg_seq_config_11.pix_loop_cnt_word_1(7 downto 0);</t>
  </si>
  <si>
    <t xml:space="preserve">  when (x"0000014C") =&gt;</t>
  </si>
  <si>
    <t xml:space="preserve">      -- AEB General Configuration Area Register "SEQ_CONFIG_12" : "PIX_LOOP_CNT_WORD_0" Field</t>
  </si>
  <si>
    <t xml:space="preserve">      fee_rmap_o.readdata &lt;= rmap_registers_wr_i.aeb_gen_cfg_seq_config_12.pix_loop_cnt_word_0(15 downto 8);</t>
  </si>
  <si>
    <t xml:space="preserve">  when (x"0000014D") =&gt;</t>
  </si>
  <si>
    <t xml:space="preserve">      fee_rmap_o.readdata &lt;= rmap_registers_wr_i.aeb_gen_cfg_seq_config_12.pix_loop_cnt_word_0(7 downto 0);</t>
  </si>
  <si>
    <t xml:space="preserve">  when (x"0000014E") =&gt;</t>
  </si>
  <si>
    <t xml:space="preserve">      -- AEB General Configuration Area Register "SEQ_CONFIG_12" : "PC_LOOP_CNT" Field</t>
  </si>
  <si>
    <t xml:space="preserve">      fee_rmap_o.readdata(5 downto 0) &lt;= rmap_registers_wr_i.aeb_gen_cfg_seq_config_12.pc_loop_cnt(13 downto 8);</t>
  </si>
  <si>
    <t xml:space="preserve">      -- AEB General Configuration Area Register "SEQ_CONFIG_12" : "RESERVED" Field</t>
  </si>
  <si>
    <t xml:space="preserve">      fee_rmap_o.readdata(6) &lt;= rmap_registers_wr_i.aeb_gen_cfg_seq_config_12.reserved;</t>
  </si>
  <si>
    <t xml:space="preserve">      -- AEB General Configuration Area Register "SEQ_CONFIG_12" : "PC_ENABLED" Field</t>
  </si>
  <si>
    <t xml:space="preserve">      fee_rmap_o.readdata(7) &lt;= rmap_registers_wr_i.aeb_gen_cfg_seq_config_12.pc_enabled;</t>
  </si>
  <si>
    <t xml:space="preserve">  when (x"0000014F") =&gt;</t>
  </si>
  <si>
    <t xml:space="preserve">      fee_rmap_o.readdata &lt;= rmap_registers_wr_i.aeb_gen_cfg_seq_config_12.pc_loop_cnt(7 downto 0);</t>
  </si>
  <si>
    <t xml:space="preserve">  when (x"00000150") =&gt;</t>
  </si>
  <si>
    <t xml:space="preserve">      -- AEB General Configuration Area Register "SEQ_CONFIG_13" : "INT1_LOOP_CNT" Field</t>
  </si>
  <si>
    <t xml:space="preserve">      fee_rmap_o.readdata(5 downto 0) &lt;= rmap_registers_wr_i.aeb_gen_cfg_seq_config_13.int1_loop_cnt(13 downto 8);</t>
  </si>
  <si>
    <t xml:space="preserve">      -- AEB General Configuration Area Register "SEQ_CONFIG_13" : "RESERVED_0" Field</t>
  </si>
  <si>
    <t xml:space="preserve">      fee_rmap_o.readdata(7 downto 6) &lt;= rmap_registers_wr_i.aeb_gen_cfg_seq_config_13.reserved_0;</t>
  </si>
  <si>
    <t xml:space="preserve">  when (x"00000151") =&gt;</t>
  </si>
  <si>
    <t xml:space="preserve">      fee_rmap_o.readdata &lt;= rmap_registers_wr_i.aeb_gen_cfg_seq_config_13.int1_loop_cnt(7 downto 0);</t>
  </si>
  <si>
    <t xml:space="preserve">  when (x"00000152") =&gt;</t>
  </si>
  <si>
    <t xml:space="preserve">      -- AEB General Configuration Area Register "SEQ_CONFIG_13" : "INT2_LOOP_CNT" Field</t>
  </si>
  <si>
    <t xml:space="preserve">      fee_rmap_o.readdata(5 downto 0) &lt;= rmap_registers_wr_i.aeb_gen_cfg_seq_config_13.int2_loop_cnt(13 downto 8);</t>
  </si>
  <si>
    <t xml:space="preserve">      -- AEB General Configuration Area Register "SEQ_CONFIG_13" : "RESERVED_1" Field</t>
  </si>
  <si>
    <t xml:space="preserve">      fee_rmap_o.readdata(7 downto 6) &lt;= rmap_registers_wr_i.aeb_gen_cfg_seq_config_13.reserved_1;</t>
  </si>
  <si>
    <t xml:space="preserve">  when (x"00000153") =&gt;</t>
  </si>
  <si>
    <t xml:space="preserve">      fee_rmap_o.readdata &lt;= rmap_registers_wr_i.aeb_gen_cfg_seq_config_13.int2_loop_cnt(7 downto 0);</t>
  </si>
  <si>
    <t xml:space="preserve">  when (x"00000154") =&gt;</t>
  </si>
  <si>
    <t xml:space="preserve">  when (x"00000155") =&gt;</t>
  </si>
  <si>
    <t xml:space="preserve">  when (x"00000156") =&gt;</t>
  </si>
  <si>
    <t xml:space="preserve">  when (x"00000157") =&gt;</t>
  </si>
  <si>
    <t xml:space="preserve">      -- AEB General Configuration Area Register "RESERVED_FA8" : "RESERVED" Field</t>
  </si>
  <si>
    <t xml:space="preserve">      fee_rmap_o.readdata &lt;= rmap_registers_wr_i.aeb_gen_cfg_reserved_fa8.reserved(7 downto 0);</t>
  </si>
  <si>
    <t xml:space="preserve">  when (x"00000FAC") =&gt;</t>
  </si>
  <si>
    <t xml:space="preserve">      -- AEB General Configuration Area Register "RESERVED_FAC" : "RESERVED" Field</t>
  </si>
  <si>
    <t xml:space="preserve">      fee_rmap_o.readdata &lt;= rmap_registers_wr_i.aeb_gen_cfg_reserved_fac.reserved(31 downto 24);</t>
  </si>
  <si>
    <t xml:space="preserve">  when (x"00000FAD") =&gt;</t>
  </si>
  <si>
    <t xml:space="preserve">      fee_rmap_o.readdata &lt;= rmap_registers_wr_i.aeb_gen_cfg_reserved_fac.reserved(23 downto 16);</t>
  </si>
  <si>
    <t xml:space="preserve">  when (x"00000FAE") =&gt;</t>
  </si>
  <si>
    <t xml:space="preserve">      fee_rmap_o.readdata &lt;= rmap_registers_wr_i.aeb_gen_cfg_reserved_fac.reserved(15 downto 8);</t>
  </si>
  <si>
    <t xml:space="preserve">  when (x"00000FAF") =&gt;</t>
  </si>
  <si>
    <t xml:space="preserve">      fee_rmap_o.readdata &lt;= rmap_registers_wr_i.aeb_gen_cfg_reserved_fac.reserved(7 downto 0);</t>
  </si>
  <si>
    <t xml:space="preserve">  when (x"00000FB0") =&gt;</t>
  </si>
  <si>
    <t xml:space="preserve">      -- AEB General Configuration Area Register "RESERVED_FB0" : "RESERVED" Field</t>
  </si>
  <si>
    <t xml:space="preserve">      fee_rmap_o.readdata &lt;= rmap_registers_wr_i.aeb_gen_cfg_reserved_fb0.reserved(31 downto 24);</t>
  </si>
  <si>
    <t xml:space="preserve">  when (x"00000FB1") =&gt;</t>
  </si>
  <si>
    <t xml:space="preserve">      fee_rmap_o.readdata &lt;= rmap_registers_wr_i.aeb_gen_cfg_reserved_fb0.reserved(23 downto 16);</t>
  </si>
  <si>
    <t xml:space="preserve">  when (x"00000FB2") =&gt;</t>
  </si>
  <si>
    <t xml:space="preserve">      fee_rmap_o.readdata &lt;= rmap_registers_wr_i.aeb_gen_cfg_reserved_fb0.reserved(15 downto 8);</t>
  </si>
  <si>
    <t xml:space="preserve">  when (x"00000FB3") =&gt;</t>
  </si>
  <si>
    <t xml:space="preserve">      fee_rmap_o.readdata &lt;= rmap_registers_wr_i.aeb_gen_cfg_reserved_fb0.reserved(7 downto 0);</t>
  </si>
  <si>
    <t xml:space="preserve">  when (x"00000FB4") =&gt;</t>
  </si>
  <si>
    <t xml:space="preserve">      -- AEB General Configuration Area Register "RESERVED_FB4" : "RESERVED" Field</t>
  </si>
  <si>
    <t xml:space="preserve">      fee_rmap_o.readdata &lt;= rmap_registers_wr_i.aeb_gen_cfg_reserved_fb4.reserved(31 downto 24);</t>
  </si>
  <si>
    <t xml:space="preserve">  when (x"00000FB5") =&gt;</t>
  </si>
  <si>
    <t xml:space="preserve">      fee_rmap_o.readdata &lt;= rmap_registers_wr_i.aeb_gen_cfg_reserved_fb4.reserved(23 downto 16);</t>
  </si>
  <si>
    <t xml:space="preserve">  when (x"00000FB6") =&gt;</t>
  </si>
  <si>
    <t xml:space="preserve">      fee_rmap_o.readdata &lt;= rmap_registers_wr_i.aeb_gen_cfg_reserved_fb4.reserved(15 downto 8);</t>
  </si>
  <si>
    <t xml:space="preserve">  when (x"00000FB7") =&gt;</t>
  </si>
  <si>
    <t xml:space="preserve">      fee_rmap_o.readdata &lt;= rmap_registers_wr_i.aeb_gen_cfg_reserved_fb4.reserved(7 downto 0);</t>
  </si>
  <si>
    <t xml:space="preserve">  when (x"00000FB8") =&gt;</t>
  </si>
  <si>
    <t xml:space="preserve">      -- AEB General Configuration Area Register "RESERVED_FB8" : "RESERVED" Field</t>
  </si>
  <si>
    <t xml:space="preserve">      fee_rmap_o.readdata &lt;= rmap_registers_wr_i.aeb_gen_cfg_reserved_fb8.reserved(31 downto 24);</t>
  </si>
  <si>
    <t xml:space="preserve">  when (x"00000FB9") =&gt;</t>
  </si>
  <si>
    <t xml:space="preserve">      fee_rmap_o.readdata &lt;= rmap_registers_wr_i.aeb_gen_cfg_reserved_fb8.reserved(23 downto 16);</t>
  </si>
  <si>
    <t xml:space="preserve">  when (x"00000FBA") =&gt;</t>
  </si>
  <si>
    <t xml:space="preserve">      fee_rmap_o.readdata &lt;= rmap_registers_wr_i.aeb_gen_cfg_reserved_fb8.reserved(15 downto 8);</t>
  </si>
  <si>
    <t xml:space="preserve">  when (x"00000FBB") =&gt;</t>
  </si>
  <si>
    <t xml:space="preserve">      fee_rmap_o.readdata &lt;= rmap_registers_wr_i.aeb_gen_cfg_reserved_fb8.reserved(7 downto 0);</t>
  </si>
  <si>
    <t xml:space="preserve">  when (x"00000FBC") =&gt;</t>
  </si>
  <si>
    <t xml:space="preserve">      -- AEB General Configuration Area Register "RESERVED_FBC" : "RESERVED" Field</t>
  </si>
  <si>
    <t xml:space="preserve">      fee_rmap_o.readdata &lt;= rmap_registers_wr_i.aeb_gen_cfg_reserved_fbc.reserved(31 downto 24);</t>
  </si>
  <si>
    <t xml:space="preserve">  when (x"00000FBD") =&gt;</t>
  </si>
  <si>
    <t xml:space="preserve">      fee_rmap_o.readdata &lt;= rmap_registers_wr_i.aeb_gen_cfg_reserved_fbc.reserved(23 downto 16);</t>
  </si>
  <si>
    <t xml:space="preserve">  when (x"00000FBE") =&gt;</t>
  </si>
  <si>
    <t xml:space="preserve">      fee_rmap_o.readdata &lt;= rmap_registers_wr_i.aeb_gen_cfg_reserved_fbc.reserved(15 downto 8);</t>
  </si>
  <si>
    <t xml:space="preserve">  when (x"00000FBF") =&gt;</t>
  </si>
  <si>
    <t xml:space="preserve">      fee_rmap_o.readdata &lt;= rmap_registers_wr_i.aeb_gen_cfg_reserved_fbc.reserved(7 downto 0);</t>
  </si>
  <si>
    <t xml:space="preserve">  when (x"00000FC0") =&gt;</t>
  </si>
  <si>
    <t xml:space="preserve">      -- AEB General Configuration Area Register "RESERVED_FC0" : "RESERVED" Field</t>
  </si>
  <si>
    <t xml:space="preserve">      fee_rmap_o.readdata &lt;= rmap_registers_wr_i.aeb_gen_cfg_reserved_fc0.reserved(31 downto 24);</t>
  </si>
  <si>
    <t xml:space="preserve">  when (x"00000FC1") =&gt;</t>
  </si>
  <si>
    <t xml:space="preserve">      fee_rmap_o.readdata &lt;= rmap_registers_wr_i.aeb_gen_cfg_reserved_fc0.reserved(23 downto 16);</t>
  </si>
  <si>
    <t xml:space="preserve">  when (x"00000FC2") =&gt;</t>
  </si>
  <si>
    <t xml:space="preserve">      fee_rmap_o.readdata &lt;= rmap_registers_wr_i.aeb_gen_cfg_reserved_fc0.reserved(15 downto 8);</t>
  </si>
  <si>
    <t xml:space="preserve">  when (x"00000FC3") =&gt;</t>
  </si>
  <si>
    <t xml:space="preserve">      fee_rmap_o.readdata &lt;= rmap_registers_wr_i.aeb_gen_cfg_reserved_fc0.reserved(7 downto 0);</t>
  </si>
  <si>
    <t xml:space="preserve">  when (x"00000FC4") =&gt;</t>
  </si>
  <si>
    <t xml:space="preserve">      -- AEB General Configuration Area Register "RESERVED_FC4" : "RESERVED" Field</t>
  </si>
  <si>
    <t xml:space="preserve">      fee_rmap_o.readdata &lt;= rmap_registers_wr_i.aeb_gen_cfg_reserved_fc4.reserved(31 downto 24);</t>
  </si>
  <si>
    <t xml:space="preserve">  when (x"00000FC5") =&gt;</t>
  </si>
  <si>
    <t xml:space="preserve">      fee_rmap_o.readdata &lt;= rmap_registers_wr_i.aeb_gen_cfg_reserved_fc4.reserved(23 downto 16);</t>
  </si>
  <si>
    <t xml:space="preserve">  when (x"00000FC6") =&gt;</t>
  </si>
  <si>
    <t xml:space="preserve">      fee_rmap_o.readdata &lt;= rmap_registers_wr_i.aeb_gen_cfg_reserved_fc4.reserved(15 downto 8);</t>
  </si>
  <si>
    <t xml:space="preserve">  when (x"00000FC7") =&gt;</t>
  </si>
  <si>
    <t xml:space="preserve">      fee_rmap_o.readdata &lt;= rmap_registers_wr_i.aeb_gen_cfg_reserved_fc4.reserved(7 downto 0);</t>
  </si>
  <si>
    <t xml:space="preserve">  when (x"00000FC8") =&gt;</t>
  </si>
  <si>
    <t xml:space="preserve">      -- AEB General Configuration Area Register "RESERVED_FC8" : "RESERVED" Field</t>
  </si>
  <si>
    <t xml:space="preserve">      fee_rmap_o.readdata &lt;= rmap_registers_wr_i.aeb_gen_cfg_reserved_fc8.reserved(31 downto 24);</t>
  </si>
  <si>
    <t xml:space="preserve">  when (x"00000FC9") =&gt;</t>
  </si>
  <si>
    <t xml:space="preserve">      fee_rmap_o.readdata &lt;= rmap_registers_wr_i.aeb_gen_cfg_reserved_fc8.reserved(23 downto 16);</t>
  </si>
  <si>
    <t xml:space="preserve">  when (x"00000FCA") =&gt;</t>
  </si>
  <si>
    <t xml:space="preserve">      fee_rmap_o.readdata &lt;= rmap_registers_wr_i.aeb_gen_cfg_reserved_fc8.reserved(15 downto 8);</t>
  </si>
  <si>
    <t xml:space="preserve">  when (x"00000FCB") =&gt;</t>
  </si>
  <si>
    <t xml:space="preserve">      fee_rmap_o.readdata &lt;= rmap_registers_wr_i.aeb_gen_cfg_reserved_fc8.reserved(7 downto 0);</t>
  </si>
  <si>
    <t xml:space="preserve">  when (x"00000FCC") =&gt;</t>
  </si>
  <si>
    <t xml:space="preserve">      -- AEB General Configuration Area Register "RESERVED_FCC" : "RESERVED" Field</t>
  </si>
  <si>
    <t xml:space="preserve">      fee_rmap_o.readdata &lt;= rmap_registers_wr_i.aeb_gen_cfg_reserved_fcc.reserved(31 downto 24);</t>
  </si>
  <si>
    <t xml:space="preserve">  when (x"00000FCD") =&gt;</t>
  </si>
  <si>
    <t xml:space="preserve">      fee_rmap_o.readdata &lt;= rmap_registers_wr_i.aeb_gen_cfg_reserved_fcc.reserved(23 downto 16);</t>
  </si>
  <si>
    <t xml:space="preserve">  when (x"00000FCE") =&gt;</t>
  </si>
  <si>
    <t xml:space="preserve">      fee_rmap_o.readdata &lt;= rmap_registers_wr_i.aeb_gen_cfg_reserved_fcc.reserved(15 downto 8);</t>
  </si>
  <si>
    <t xml:space="preserve">  when (x"00000FCF") =&gt;</t>
  </si>
  <si>
    <t xml:space="preserve">      fee_rmap_o.readdata &lt;= rmap_registers_wr_i.aeb_gen_cfg_reserved_fcc.reserved(7 downto 0);</t>
  </si>
  <si>
    <t xml:space="preserve">  when (x"00000FD0") =&gt;</t>
  </si>
  <si>
    <t xml:space="preserve">      -- AEB General Configuration Area Register "RESERVED_FD0" : "RESERVED" Field</t>
  </si>
  <si>
    <t xml:space="preserve">      fee_rmap_o.readdata &lt;= rmap_registers_wr_i.aeb_gen_cfg_reserved_fd0.reserved(31 downto 24);</t>
  </si>
  <si>
    <t xml:space="preserve">  when (x"00000FD1") =&gt;</t>
  </si>
  <si>
    <t xml:space="preserve">      fee_rmap_o.readdata &lt;= rmap_registers_wr_i.aeb_gen_cfg_reserved_fd0.reserved(23 downto 16);</t>
  </si>
  <si>
    <t xml:space="preserve">  when (x"00000FD2") =&gt;</t>
  </si>
  <si>
    <t xml:space="preserve">      fee_rmap_o.readdata &lt;= rmap_registers_wr_i.aeb_gen_cfg_reserved_fd0.reserved(15 downto 8);</t>
  </si>
  <si>
    <t xml:space="preserve">  when (x"00000FD3") =&gt;</t>
  </si>
  <si>
    <t xml:space="preserve">      fee_rmap_o.readdata &lt;= rmap_registers_wr_i.aeb_gen_cfg_reserved_fd0.reserved(7 downto 0);</t>
  </si>
  <si>
    <t xml:space="preserve">  when (x"00000FD4") =&gt;</t>
  </si>
  <si>
    <t xml:space="preserve">      -- AEB General Configuration Area Register "RESERVED_FD4" : "RESERVED" Field</t>
  </si>
  <si>
    <t xml:space="preserve">      fee_rmap_o.readdata &lt;= rmap_registers_wr_i.aeb_gen_cfg_reserved_fd4.reserved(31 downto 24);</t>
  </si>
  <si>
    <t xml:space="preserve">  when (x"00000FD5") =&gt;</t>
  </si>
  <si>
    <t xml:space="preserve">      fee_rmap_o.readdata &lt;= rmap_registers_wr_i.aeb_gen_cfg_reserved_fd4.reserved(23 downto 16);</t>
  </si>
  <si>
    <t xml:space="preserve">  when (x"00000FD6") =&gt;</t>
  </si>
  <si>
    <t xml:space="preserve">      fee_rmap_o.readdata &lt;= rmap_registers_wr_i.aeb_gen_cfg_reserved_fd4.reserved(15 downto 8);</t>
  </si>
  <si>
    <t xml:space="preserve">  when (x"00000FD7") =&gt;</t>
  </si>
  <si>
    <t xml:space="preserve">      fee_rmap_o.readdata &lt;= rmap_registers_wr_i.aeb_gen_cfg_reserved_fd4.reserved(7 downto 0);</t>
  </si>
  <si>
    <t xml:space="preserve">  when (x"00000FD8") =&gt;</t>
  </si>
  <si>
    <t xml:space="preserve">      -- AEB General Configuration Area Register "RESERVED_FD8" : "RESERVED" Field</t>
  </si>
  <si>
    <t xml:space="preserve">      fee_rmap_o.readdata &lt;= rmap_registers_wr_i.aeb_gen_cfg_reserved_fd8.reserved(31 downto 24);</t>
  </si>
  <si>
    <t xml:space="preserve">  when (x"00000FD9") =&gt;</t>
  </si>
  <si>
    <t xml:space="preserve">      fee_rmap_o.readdata &lt;= rmap_registers_wr_i.aeb_gen_cfg_reserved_fd8.reserved(23 downto 16);</t>
  </si>
  <si>
    <t xml:space="preserve">  when (x"00000FDA") =&gt;</t>
  </si>
  <si>
    <t xml:space="preserve">      fee_rmap_o.readdata &lt;= rmap_registers_wr_i.aeb_gen_cfg_reserved_fd8.reserved(15 downto 8);</t>
  </si>
  <si>
    <t xml:space="preserve">  when (x"00000FDB") =&gt;</t>
  </si>
  <si>
    <t xml:space="preserve">      fee_rmap_o.readdata &lt;= rmap_registers_wr_i.aeb_gen_cfg_reserved_fd8.reserved(7 downto 0);</t>
  </si>
  <si>
    <t xml:space="preserve">  when (x"00000FDC") =&gt;</t>
  </si>
  <si>
    <t xml:space="preserve">      -- AEB General Configuration Area Register "RESERVED_FDC" : "RESERVED" Field</t>
  </si>
  <si>
    <t xml:space="preserve">      fee_rmap_o.readdata &lt;= rmap_registers_wr_i.aeb_gen_cfg_reserved_fdc.reserved(31 downto 24);</t>
  </si>
  <si>
    <t xml:space="preserve">  when (x"00000FDD") =&gt;</t>
  </si>
  <si>
    <t xml:space="preserve">      fee_rmap_o.readdata &lt;= rmap_registers_wr_i.aeb_gen_cfg_reserved_fdc.reserved(23 downto 16);</t>
  </si>
  <si>
    <t xml:space="preserve">  when (x"00000FDE") =&gt;</t>
  </si>
  <si>
    <t xml:space="preserve">      fee_rmap_o.readdata &lt;= rmap_registers_wr_i.aeb_gen_cfg_reserved_fdc.reserved(15 downto 8);</t>
  </si>
  <si>
    <t xml:space="preserve">  when (x"00000FDF") =&gt;</t>
  </si>
  <si>
    <t xml:space="preserve">      fee_rmap_o.readdata &lt;= rmap_registers_wr_i.aeb_gen_cfg_reserved_fdc.reserved(7 downto 0);</t>
  </si>
  <si>
    <t xml:space="preserve">  when (x"00000FE0") =&gt;</t>
  </si>
  <si>
    <t xml:space="preserve">      -- AEB General Configuration Area Register "RESERVED_FE0" : "RESERVED" Field</t>
  </si>
  <si>
    <t xml:space="preserve">      fee_rmap_o.readdata &lt;= rmap_registers_wr_i.aeb_gen_cfg_reserved_fe0.reserved(31 downto 24);</t>
  </si>
  <si>
    <t xml:space="preserve">  when (x"00000FE1") =&gt;</t>
  </si>
  <si>
    <t xml:space="preserve">      fee_rmap_o.readdata &lt;= rmap_registers_wr_i.aeb_gen_cfg_reserved_fe0.reserved(23 downto 16);</t>
  </si>
  <si>
    <t xml:space="preserve">  when (x"00000FE2") =&gt;</t>
  </si>
  <si>
    <t xml:space="preserve">      fee_rmap_o.readdata &lt;= rmap_registers_wr_i.aeb_gen_cfg_reserved_fe0.reserved(15 downto 8);</t>
  </si>
  <si>
    <t xml:space="preserve">  when (x"00000FE3") =&gt;</t>
  </si>
  <si>
    <t xml:space="preserve">      fee_rmap_o.readdata &lt;= rmap_registers_wr_i.aeb_gen_cfg_reserved_fe0.reserved(7 downto 0);</t>
  </si>
  <si>
    <t xml:space="preserve">  when (x"00000FE4") =&gt;</t>
  </si>
  <si>
    <t xml:space="preserve">      -- AEB General Configuration Area Register "RESERVED_FE4" : "RESERVED" Field</t>
  </si>
  <si>
    <t xml:space="preserve">      fee_rmap_o.readdata &lt;= rmap_registers_wr_i.aeb_gen_cfg_reserved_fe4.reserved(31 downto 24);</t>
  </si>
  <si>
    <t xml:space="preserve">  when (x"00000FE5") =&gt;</t>
  </si>
  <si>
    <t xml:space="preserve">      fee_rmap_o.readdata &lt;= rmap_registers_wr_i.aeb_gen_cfg_reserved_fe4.reserved(23 downto 16);</t>
  </si>
  <si>
    <t xml:space="preserve">  when (x"00000FE6") =&gt;</t>
  </si>
  <si>
    <t xml:space="preserve">      fee_rmap_o.readdata &lt;= rmap_registers_wr_i.aeb_gen_cfg_reserved_fe4.reserved(15 downto 8);</t>
  </si>
  <si>
    <t xml:space="preserve">  when (x"00000FE7") =&gt;</t>
  </si>
  <si>
    <t xml:space="preserve">      fee_rmap_o.readdata &lt;= rmap_registers_wr_i.aeb_gen_cfg_reserved_fe4.reserved(7 downto 0);</t>
  </si>
  <si>
    <t xml:space="preserve">  when (x"00000FE8") =&gt;</t>
  </si>
  <si>
    <t xml:space="preserve">      -- AEB General Configuration Area Register "RESERVED_FE8" : "RESERVED" Field</t>
  </si>
  <si>
    <t xml:space="preserve">      fee_rmap_o.readdata &lt;= rmap_registers_wr_i.aeb_gen_cfg_reserved_fe8.reserved(31 downto 24);</t>
  </si>
  <si>
    <t xml:space="preserve">  when (x"00000FE9") =&gt;</t>
  </si>
  <si>
    <t xml:space="preserve">      fee_rmap_o.readdata &lt;= rmap_registers_wr_i.aeb_gen_cfg_reserved_fe8.reserved(23 downto 16);</t>
  </si>
  <si>
    <t xml:space="preserve">  when (x"00000FEA") =&gt;</t>
  </si>
  <si>
    <t xml:space="preserve">      fee_rmap_o.readdata &lt;= rmap_registers_wr_i.aeb_gen_cfg_reserved_fe8.reserved(15 downto 8);</t>
  </si>
  <si>
    <t xml:space="preserve">  when (x"00000FEB") =&gt;</t>
  </si>
  <si>
    <t xml:space="preserve">      fee_rmap_o.readdata &lt;= rmap_registers_wr_i.aeb_gen_cfg_reserved_fe8.reserved(7 downto 0);</t>
  </si>
  <si>
    <t xml:space="preserve">  when (x"00000FEC") =&gt;</t>
  </si>
  <si>
    <t xml:space="preserve">      -- AEB General Configuration Area Register "RESERVED_FEC" : "RESERVED" Field</t>
  </si>
  <si>
    <t xml:space="preserve">      fee_rmap_o.readdata &lt;= rmap_registers_wr_i.aeb_gen_cfg_reserved_fec.reserved(31 downto 24);</t>
  </si>
  <si>
    <t xml:space="preserve">  when (x"00000FED") =&gt;</t>
  </si>
  <si>
    <t xml:space="preserve">      fee_rmap_o.readdata &lt;= rmap_registers_wr_i.aeb_gen_cfg_reserved_fec.reserved(23 downto 16);</t>
  </si>
  <si>
    <t xml:space="preserve">  when (x"00000FEE") =&gt;</t>
  </si>
  <si>
    <t xml:space="preserve">      fee_rmap_o.readdata &lt;= rmap_registers_wr_i.aeb_gen_cfg_reserved_fec.reserved(15 downto 8);</t>
  </si>
  <si>
    <t xml:space="preserve">  when (x"00000FEF") =&gt;</t>
  </si>
  <si>
    <t xml:space="preserve">      fee_rmap_o.readdata &lt;= rmap_registers_wr_i.aeb_gen_cfg_reserved_fec.reserved(7 downto 0);</t>
  </si>
  <si>
    <t xml:space="preserve">  when (x"00000FF0") =&gt;</t>
  </si>
  <si>
    <t xml:space="preserve">      -- AEB General Configuration Area Register "RESERVED_FF0" : "RESERVED" Field</t>
  </si>
  <si>
    <t xml:space="preserve">      fee_rmap_o.readdata &lt;= rmap_registers_wr_i.aeb_gen_cfg_reserved_ff0.reserved(31 downto 24);</t>
  </si>
  <si>
    <t xml:space="preserve">  when (x"00000FF1") =&gt;</t>
  </si>
  <si>
    <t xml:space="preserve">      fee_rmap_o.readdata &lt;= rmap_registers_wr_i.aeb_gen_cfg_reserved_ff0.reserved(23 downto 16);</t>
  </si>
  <si>
    <t xml:space="preserve">  when (x"00000FF2") =&gt;</t>
  </si>
  <si>
    <t xml:space="preserve">      fee_rmap_o.readdata &lt;= rmap_registers_wr_i.aeb_gen_cfg_reserved_ff0.reserved(15 downto 8);</t>
  </si>
  <si>
    <t xml:space="preserve">  when (x"00000FF3") =&gt;</t>
  </si>
  <si>
    <t xml:space="preserve">      fee_rmap_o.readdata &lt;= rmap_registers_wr_i.aeb_gen_cfg_reserved_ff0.reserved(7 downto 0);</t>
  </si>
  <si>
    <t xml:space="preserve">  when (x"00000FF4") =&gt;</t>
  </si>
  <si>
    <t xml:space="preserve">      -- AEB General Configuration Area Register "RESERVED_FF4" : "RESERVED" Field</t>
  </si>
  <si>
    <t xml:space="preserve">      fee_rmap_o.readdata &lt;= rmap_registers_wr_i.aeb_gen_cfg_reserved_ff4.reserved(31 downto 24);</t>
  </si>
  <si>
    <t xml:space="preserve">  when (x"00000FF5") =&gt;</t>
  </si>
  <si>
    <t xml:space="preserve">      fee_rmap_o.readdata &lt;= rmap_registers_wr_i.aeb_gen_cfg_reserved_ff4.reserved(23 downto 16);</t>
  </si>
  <si>
    <t xml:space="preserve">  when (x"00000FF6") =&gt;</t>
  </si>
  <si>
    <t xml:space="preserve">      fee_rmap_o.readdata &lt;= rmap_registers_wr_i.aeb_gen_cfg_reserved_ff4.reserved(15 downto 8);</t>
  </si>
  <si>
    <t xml:space="preserve">  when (x"00000FF7") =&gt;</t>
  </si>
  <si>
    <t xml:space="preserve">      fee_rmap_o.readdata &lt;= rmap_registers_wr_i.aeb_gen_cfg_reserved_ff4.reserved(7 downto 0);</t>
  </si>
  <si>
    <t xml:space="preserve">  when (x"00000FF8") =&gt;</t>
  </si>
  <si>
    <t xml:space="preserve">      -- AEB General Configuration Area Register "RESERVED_FF8" : "RESERVED" Field</t>
  </si>
  <si>
    <t xml:space="preserve">      fee_rmap_o.readdata &lt;= rmap_registers_wr_i.aeb_gen_cfg_reserved_ff8.reserved(31 downto 24);</t>
  </si>
  <si>
    <t xml:space="preserve">  when (x"00000FF9") =&gt;</t>
  </si>
  <si>
    <t xml:space="preserve">      fee_rmap_o.readdata &lt;= rmap_registers_wr_i.aeb_gen_cfg_reserved_ff8.reserved(23 downto 16);</t>
  </si>
  <si>
    <t xml:space="preserve">  when (x"00000FFA") =&gt;</t>
  </si>
  <si>
    <t xml:space="preserve">      fee_rmap_o.readdata &lt;= rmap_registers_wr_i.aeb_gen_cfg_reserved_ff8.reserved(15 downto 8);</t>
  </si>
  <si>
    <t xml:space="preserve">  when (x"00000FFB") =&gt;</t>
  </si>
  <si>
    <t xml:space="preserve">      fee_rmap_o.readdata &lt;= rmap_registers_wr_i.aeb_gen_cfg_reserved_ff8.reserved(7 downto 0);</t>
  </si>
  <si>
    <t xml:space="preserve">  when (x"00000FFC") =&gt;</t>
  </si>
  <si>
    <t xml:space="preserve">      -- AEB General Configuration Area Register "RESERVED_FFC" : "RESERVED" Field</t>
  </si>
  <si>
    <t xml:space="preserve">      fee_rmap_o.readdata &lt;= rmap_registers_wr_i.aeb_gen_cfg_reserved_ffc.reserved(31 downto 24);</t>
  </si>
  <si>
    <t xml:space="preserve">  when (x"00000FFD") =&gt;</t>
  </si>
  <si>
    <t xml:space="preserve">      fee_rmap_o.readdata &lt;= rmap_registers_wr_i.aeb_gen_cfg_reserved_ffc.reserved(23 downto 16);</t>
  </si>
  <si>
    <t xml:space="preserve">  when (x"00000FFE") =&gt;</t>
  </si>
  <si>
    <t xml:space="preserve">      fee_rmap_o.readdata &lt;= rmap_registers_wr_i.aeb_gen_cfg_reserved_ffc.reserved(15 downto 8);</t>
  </si>
  <si>
    <t xml:space="preserve">  when (x"00000FFF") =&gt;</t>
  </si>
  <si>
    <t xml:space="preserve">      fee_rmap_o.readdata &lt;= rmap_registers_wr_i.aeb_gen_cfg_reserved_ffc.reserved(7 downto 0);</t>
  </si>
  <si>
    <t xml:space="preserve">      -- AEB Housekeeping Area Register "AEB_STATUS" : "AEB_STATUS" Field</t>
  </si>
  <si>
    <t xml:space="preserve">      fee_rmap_o.readdata(3 downto 0) &lt;= rmap_registers_wr_i.aeb_hk_aeb_status.aeb_status;</t>
  </si>
  <si>
    <t xml:space="preserve">      -- AEB Housekeeping Area Register "AEB_STATUS" : "ADC_DAT_RD_RUN" Field</t>
  </si>
  <si>
    <t xml:space="preserve">      fee_rmap_o.readdata(0) &lt;= rmap_registers_wr_i.aeb_hk_aeb_status.adc_dat_rd_run;</t>
  </si>
  <si>
    <t xml:space="preserve">      -- AEB Housekeeping Area Register "AEB_STATUS" : "ADC_CFG_WR_RUN" Field</t>
  </si>
  <si>
    <t xml:space="preserve">      fee_rmap_o.readdata(1) &lt;= rmap_registers_wr_i.aeb_hk_aeb_status.adc_cfg_wr_run;</t>
  </si>
  <si>
    <t xml:space="preserve">      -- AEB Housekeeping Area Register "AEB_STATUS" : "ADC_CFG_RD_RUN" Field</t>
  </si>
  <si>
    <t xml:space="preserve">      fee_rmap_o.readdata(2) &lt;= rmap_registers_wr_i.aeb_hk_aeb_status.adc_cfg_rd_run;</t>
  </si>
  <si>
    <t xml:space="preserve">      -- AEB Housekeeping Area Register "AEB_STATUS" : "DAC_CFG_WR_RUN" Field</t>
  </si>
  <si>
    <t xml:space="preserve">      fee_rmap_o.readdata(3) &lt;= rmap_registers_wr_i.aeb_hk_aeb_status.dac_cfg_wr_run;</t>
  </si>
  <si>
    <t xml:space="preserve">      -- AEB Housekeeping Area Register "AEB_STATUS" : "VASP1_CFG_RUN" Field</t>
  </si>
  <si>
    <t xml:space="preserve">      fee_rmap_o.readdata(6) &lt;= rmap_registers_wr_i.aeb_hk_aeb_status.vasp1_cfg_run;</t>
  </si>
  <si>
    <t xml:space="preserve">      -- AEB Housekeeping Area Register "AEB_STATUS" : "VASP2_CFG_RUN" Field</t>
  </si>
  <si>
    <t xml:space="preserve">      fee_rmap_o.readdata(7) &lt;= rmap_registers_wr_i.aeb_hk_aeb_status.vasp2_cfg_run;</t>
  </si>
  <si>
    <t xml:space="preserve">      -- AEB Housekeeping Area Register "AEB_STATUS" : "ADC1_BUSY" Field</t>
  </si>
  <si>
    <t xml:space="preserve">      fee_rmap_o.readdata(0) &lt;= rmap_registers_wr_i.aeb_hk_aeb_status.adc1_busy;</t>
  </si>
  <si>
    <t xml:space="preserve">      -- AEB Housekeeping Area Register "AEB_STATUS" : "ADC2_BUSY" Field</t>
  </si>
  <si>
    <t xml:space="preserve">      fee_rmap_o.readdata(1) &lt;= rmap_registers_wr_i.aeb_hk_aeb_status.adc2_busy;</t>
  </si>
  <si>
    <t xml:space="preserve">      -- AEB Housekeeping Area Register "AEB_STATUS" : "ADC_CFG_WR" Field</t>
  </si>
  <si>
    <t xml:space="preserve">      fee_rmap_o.readdata(2) &lt;= rmap_registers_wr_i.aeb_hk_aeb_status.adc_cfg_wr;</t>
  </si>
  <si>
    <t xml:space="preserve">      -- AEB Housekeeping Area Register "AEB_STATUS" : "ADC_CFG_RD" Field</t>
  </si>
  <si>
    <t xml:space="preserve">      fee_rmap_o.readdata(3) &lt;= rmap_registers_wr_i.aeb_hk_aeb_status.adc_cfg_rd;</t>
  </si>
  <si>
    <t xml:space="preserve">      -- AEB Housekeeping Area Register "AEB_STATUS" : "ADC_DAT_RD" Field</t>
  </si>
  <si>
    <t xml:space="preserve">      fee_rmap_o.readdata(4) &lt;= rmap_registers_wr_i.aeb_hk_aeb_status.adc_dat_rd;</t>
  </si>
  <si>
    <t xml:space="preserve">      -- AEB Housekeeping Area Register "AEB_STATUS" : "ADC1_LU" Field</t>
  </si>
  <si>
    <t xml:space="preserve">      fee_rmap_o.readdata(5) &lt;= rmap_registers_wr_i.aeb_hk_aeb_status.adc1_lu;</t>
  </si>
  <si>
    <t xml:space="preserve">      -- AEB Housekeeping Area Register "AEB_STATUS" : "ADC2_LU" Field</t>
  </si>
  <si>
    <t xml:space="preserve">      fee_rmap_o.readdata(6) &lt;= rmap_registers_wr_i.aeb_hk_aeb_status.adc2_lu;</t>
  </si>
  <si>
    <t xml:space="preserve">      -- AEB Housekeeping Area Register "AEB_STATUS" : "ADC_ERROR" Field</t>
  </si>
  <si>
    <t xml:space="preserve">      fee_rmap_o.readdata(7) &lt;= rmap_registers_wr_i.aeb_hk_aeb_status.adc_error;</t>
  </si>
  <si>
    <t xml:space="preserve">      -- AEB Housekeeping Area Register "TIMESTAMP_1" : "TIMESTAMP_DWORD_1" Field</t>
  </si>
  <si>
    <t xml:space="preserve">      fee_rmap_o.readdata &lt;= rmap_registers_wr_i.aeb_hk_timestamp_1.timestamp_dword_1(31 downto 24);</t>
  </si>
  <si>
    <t xml:space="preserve">      fee_rmap_o.readdata &lt;= rmap_registers_wr_i.aeb_hk_timestamp_1.timestamp_dword_1(23 downto 16);</t>
  </si>
  <si>
    <t xml:space="preserve">      fee_rmap_o.readdata &lt;= rmap_registers_wr_i.aeb_hk_timestamp_1.timestamp_dword_1(15 downto 8);</t>
  </si>
  <si>
    <t xml:space="preserve">      fee_rmap_o.readdata &lt;= rmap_registers_wr_i.aeb_hk_timestamp_1.timestamp_dword_1(7 downto 0);</t>
  </si>
  <si>
    <t xml:space="preserve">      -- AEB Housekeeping Area Register "TIMESTAMP_2" : "TIMESTAMP_DWORD_0" Field</t>
  </si>
  <si>
    <t xml:space="preserve">      fee_rmap_o.readdata &lt;= rmap_registers_wr_i.aeb_hk_timestamp_2.timestamp_dword_0(31 downto 24);</t>
  </si>
  <si>
    <t xml:space="preserve">      fee_rmap_o.readdata &lt;= rmap_registers_wr_i.aeb_hk_timestamp_2.timestamp_dword_0(23 downto 16);</t>
  </si>
  <si>
    <t xml:space="preserve">      fee_rmap_o.readdata &lt;= rmap_registers_wr_i.aeb_hk_timestamp_2.timestamp_dword_0(15 downto 8);</t>
  </si>
  <si>
    <t xml:space="preserve">      fee_rmap_o.readdata &lt;= rmap_registers_wr_i.aeb_hk_timestamp_2.timestamp_dword_0(7 downto 0);</t>
  </si>
  <si>
    <t xml:space="preserve">      -- AEB Housekeeping Area Register "ADC_RD_DATA_T_VASP_L" : "CHID" Field</t>
  </si>
  <si>
    <t xml:space="preserve">      fee_rmap_o.readdata(4 downto 0) &lt;= rmap_registers_wr_i.aeb_hk_adc_rd_data_t_vasp_l.chid;</t>
  </si>
  <si>
    <t xml:space="preserve">      -- AEB Housekeeping Area Register "ADC_RD_DATA_T_VASP_L" : "SUPPLY" Field</t>
  </si>
  <si>
    <t xml:space="preserve">      fee_rmap_o.readdata(5) &lt;= rmap_registers_wr_i.aeb_hk_adc_rd_data_t_vasp_l.supply;</t>
  </si>
  <si>
    <t xml:space="preserve">      -- AEB Housekeeping Area Register "ADC_RD_DATA_T_VASP_L" : "OVF" Field</t>
  </si>
  <si>
    <t xml:space="preserve">      fee_rmap_o.readdata(6) &lt;= rmap_registers_wr_i.aeb_hk_adc_rd_data_t_vasp_l.ovf;</t>
  </si>
  <si>
    <t xml:space="preserve">      -- AEB Housekeeping Area Register "ADC_RD_DATA_T_VASP_L" : "NEW" Field</t>
  </si>
  <si>
    <t xml:space="preserve">      -- AEB Housekeeping Area Register "ADC_RD_DATA_T_VASP_L" : "ADC_CHX_DATA_T_VASP_L" Field</t>
  </si>
  <si>
    <t xml:space="preserve">      fee_rmap_o.readdata &lt;= rmap_registers_wr_i.aeb_hk_adc_rd_data_t_vasp_l.adc_chx_data_t_vasp_l(23 downto 16);</t>
  </si>
  <si>
    <t xml:space="preserve">      fee_rmap_o.readdata &lt;= rmap_registers_wr_i.aeb_hk_adc_rd_data_t_vasp_l.adc_chx_data_t_vasp_l(15 downto 8);</t>
  </si>
  <si>
    <t xml:space="preserve">      fee_rmap_o.readdata &lt;= rmap_registers_wr_i.aeb_hk_adc_rd_data_t_vasp_l.adc_chx_data_t_vasp_l(7 downto 0);</t>
  </si>
  <si>
    <t xml:space="preserve">  when (x"00001014") =&gt;</t>
  </si>
  <si>
    <t xml:space="preserve">      -- AEB Housekeeping Area Register "ADC_RD_DATA_T_VASP_R" : "CHID" Field</t>
  </si>
  <si>
    <t xml:space="preserve">      fee_rmap_o.readdata(4 downto 0) &lt;= rmap_registers_wr_i.aeb_hk_adc_rd_data_t_vasp_r.chid;</t>
  </si>
  <si>
    <t xml:space="preserve">      -- AEB Housekeeping Area Register "ADC_RD_DATA_T_VASP_R" : "SUPPLY" Field</t>
  </si>
  <si>
    <t xml:space="preserve">      fee_rmap_o.readdata(5) &lt;= rmap_registers_wr_i.aeb_hk_adc_rd_data_t_vasp_r.supply;</t>
  </si>
  <si>
    <t xml:space="preserve">      -- AEB Housekeeping Area Register "ADC_RD_DATA_T_VASP_R" : "OVF" Field</t>
  </si>
  <si>
    <t xml:space="preserve">      fee_rmap_o.readdata(6) &lt;= rmap_registers_wr_i.aeb_hk_adc_rd_data_t_vasp_r.ovf;</t>
  </si>
  <si>
    <t xml:space="preserve">      -- AEB Housekeeping Area Register "ADC_RD_DATA_T_VASP_R" : "NEW" Field</t>
  </si>
  <si>
    <t xml:space="preserve">  when (x"00001015") =&gt;</t>
  </si>
  <si>
    <t xml:space="preserve">      -- AEB Housekeeping Area Register "ADC_RD_DATA_T_VASP_R" : "ADC_CHX_DATA_T_VASP_R" Field</t>
  </si>
  <si>
    <t xml:space="preserve">      fee_rmap_o.readdata &lt;= rmap_registers_wr_i.aeb_hk_adc_rd_data_t_vasp_r.adc_chx_data_t_vasp_r(23 downto 16);</t>
  </si>
  <si>
    <t xml:space="preserve">      fee_rmap_o.readdata &lt;= rmap_registers_wr_i.aeb_hk_adc_rd_data_t_vasp_r.adc_chx_data_t_vasp_r(15 downto 8);</t>
  </si>
  <si>
    <t xml:space="preserve">      fee_rmap_o.readdata &lt;= rmap_registers_wr_i.aeb_hk_adc_rd_data_t_vasp_r.adc_chx_data_t_vasp_r(7 downto 0);</t>
  </si>
  <si>
    <t xml:space="preserve">  when (x"00001018") =&gt;</t>
  </si>
  <si>
    <t xml:space="preserve">      -- AEB Housekeeping Area Register "ADC_RD_DATA_T_BIAS_P" : "CHID" Field</t>
  </si>
  <si>
    <t xml:space="preserve">      fee_rmap_o.readdata(4 downto 0) &lt;= rmap_registers_wr_i.aeb_hk_adc_rd_data_t_bias_p.chid;</t>
  </si>
  <si>
    <t xml:space="preserve">      -- AEB Housekeeping Area Register "ADC_RD_DATA_T_BIAS_P" : "SUPPLY" Field</t>
  </si>
  <si>
    <t xml:space="preserve">      fee_rmap_o.readdata(5) &lt;= rmap_registers_wr_i.aeb_hk_adc_rd_data_t_bias_p.supply;</t>
  </si>
  <si>
    <t xml:space="preserve">      -- AEB Housekeeping Area Register "ADC_RD_DATA_T_BIAS_P" : "OVF" Field</t>
  </si>
  <si>
    <t xml:space="preserve">      fee_rmap_o.readdata(6) &lt;= rmap_registers_wr_i.aeb_hk_adc_rd_data_t_bias_p.ovf;</t>
  </si>
  <si>
    <t xml:space="preserve">      -- AEB Housekeeping Area Register "ADC_RD_DATA_T_BIAS_P" : "NEW" Field</t>
  </si>
  <si>
    <t xml:space="preserve">  when (x"00001019") =&gt;</t>
  </si>
  <si>
    <t xml:space="preserve">      -- AEB Housekeeping Area Register "ADC_RD_DATA_T_BIAS_P" : "ADC_CHX_DATA_T_BIAS_P" Field</t>
  </si>
  <si>
    <t xml:space="preserve">      fee_rmap_o.readdata &lt;= rmap_registers_wr_i.aeb_hk_adc_rd_data_t_bias_p.adc_chx_data_t_bias_p(23 downto 16);</t>
  </si>
  <si>
    <t xml:space="preserve">  when (x"0000101A") =&gt;</t>
  </si>
  <si>
    <t xml:space="preserve">      fee_rmap_o.readdata &lt;= rmap_registers_wr_i.aeb_hk_adc_rd_data_t_bias_p.adc_chx_data_t_bias_p(15 downto 8);</t>
  </si>
  <si>
    <t xml:space="preserve">  when (x"0000101B") =&gt;</t>
  </si>
  <si>
    <t xml:space="preserve">      fee_rmap_o.readdata &lt;= rmap_registers_wr_i.aeb_hk_adc_rd_data_t_bias_p.adc_chx_data_t_bias_p(7 downto 0);</t>
  </si>
  <si>
    <t xml:space="preserve">  when (x"0000101C") =&gt;</t>
  </si>
  <si>
    <t xml:space="preserve">      -- AEB Housekeeping Area Register "ADC_RD_DATA_T_HK_P" : "CHID" Field</t>
  </si>
  <si>
    <t xml:space="preserve">      fee_rmap_o.readdata(4 downto 0) &lt;= rmap_registers_wr_i.aeb_hk_adc_rd_data_t_hk_p.chid;</t>
  </si>
  <si>
    <t xml:space="preserve">      -- AEB Housekeeping Area Register "ADC_RD_DATA_T_HK_P" : "SUPPLY" Field</t>
  </si>
  <si>
    <t xml:space="preserve">      fee_rmap_o.readdata(5) &lt;= rmap_registers_wr_i.aeb_hk_adc_rd_data_t_hk_p.supply;</t>
  </si>
  <si>
    <t xml:space="preserve">      -- AEB Housekeeping Area Register "ADC_RD_DATA_T_HK_P" : "OVF" Field</t>
  </si>
  <si>
    <t xml:space="preserve">      fee_rmap_o.readdata(6) &lt;= rmap_registers_wr_i.aeb_hk_adc_rd_data_t_hk_p.ovf;</t>
  </si>
  <si>
    <t xml:space="preserve">      -- AEB Housekeeping Area Register "ADC_RD_DATA_T_HK_P" : "NEW" Field</t>
  </si>
  <si>
    <t xml:space="preserve">  when (x"0000101D") =&gt;</t>
  </si>
  <si>
    <t xml:space="preserve">      -- AEB Housekeeping Area Register "ADC_RD_DATA_T_HK_P" : "ADC_CHX_DATA_T_HK_P" Field</t>
  </si>
  <si>
    <t xml:space="preserve">      fee_rmap_o.readdata &lt;= rmap_registers_wr_i.aeb_hk_adc_rd_data_t_hk_p.adc_chx_data_t_hk_p(23 downto 16);</t>
  </si>
  <si>
    <t xml:space="preserve">  when (x"0000101E") =&gt;</t>
  </si>
  <si>
    <t xml:space="preserve">      fee_rmap_o.readdata &lt;= rmap_registers_wr_i.aeb_hk_adc_rd_data_t_hk_p.adc_chx_data_t_hk_p(15 downto 8);</t>
  </si>
  <si>
    <t xml:space="preserve">  when (x"0000101F") =&gt;</t>
  </si>
  <si>
    <t xml:space="preserve">      fee_rmap_o.readdata &lt;= rmap_registers_wr_i.aeb_hk_adc_rd_data_t_hk_p.adc_chx_data_t_hk_p(7 downto 0);</t>
  </si>
  <si>
    <t xml:space="preserve">  when (x"00001020") =&gt;</t>
  </si>
  <si>
    <t xml:space="preserve">      -- AEB Housekeeping Area Register "ADC_RD_DATA_T_TOU_1_P" : "CHID" Field</t>
  </si>
  <si>
    <t xml:space="preserve">      fee_rmap_o.readdata(4 downto 0) &lt;= rmap_registers_wr_i.aeb_hk_adc_rd_data_t_tou_1_p.chid;</t>
  </si>
  <si>
    <t xml:space="preserve">      -- AEB Housekeeping Area Register "ADC_RD_DATA_T_TOU_1_P" : "SUPPLY" Field</t>
  </si>
  <si>
    <t xml:space="preserve">      fee_rmap_o.readdata(5) &lt;= rmap_registers_wr_i.aeb_hk_adc_rd_data_t_tou_1_p.supply;</t>
  </si>
  <si>
    <t xml:space="preserve">      -- AEB Housekeeping Area Register "ADC_RD_DATA_T_TOU_1_P" : "OVF" Field</t>
  </si>
  <si>
    <t xml:space="preserve">      fee_rmap_o.readdata(6) &lt;= rmap_registers_wr_i.aeb_hk_adc_rd_data_t_tou_1_p.ovf;</t>
  </si>
  <si>
    <t xml:space="preserve">      -- AEB Housekeeping Area Register "ADC_RD_DATA_T_TOU_1_P" : "NEW" Field</t>
  </si>
  <si>
    <t xml:space="preserve">  when (x"00001021") =&gt;</t>
  </si>
  <si>
    <t xml:space="preserve">      -- AEB Housekeeping Area Register "ADC_RD_DATA_T_TOU_1_P" : "ADC_CHX_DATA_T_TOU_1_P" Field</t>
  </si>
  <si>
    <t xml:space="preserve">      fee_rmap_o.readdata &lt;= rmap_registers_wr_i.aeb_hk_adc_rd_data_t_tou_1_p.adc_chx_data_t_tou_1_p(23 downto 16);</t>
  </si>
  <si>
    <t xml:space="preserve">  when (x"00001022") =&gt;</t>
  </si>
  <si>
    <t xml:space="preserve">      fee_rmap_o.readdata &lt;= rmap_registers_wr_i.aeb_hk_adc_rd_data_t_tou_1_p.adc_chx_data_t_tou_1_p(15 downto 8);</t>
  </si>
  <si>
    <t xml:space="preserve">  when (x"00001023") =&gt;</t>
  </si>
  <si>
    <t xml:space="preserve">      fee_rmap_o.readdata &lt;= rmap_registers_wr_i.aeb_hk_adc_rd_data_t_tou_1_p.adc_chx_data_t_tou_1_p(7 downto 0);</t>
  </si>
  <si>
    <t xml:space="preserve">  when (x"00001024") =&gt;</t>
  </si>
  <si>
    <t xml:space="preserve">      -- AEB Housekeeping Area Register "ADC_RD_DATA_T_TOU_2_P" : "CHID" Field</t>
  </si>
  <si>
    <t xml:space="preserve">      fee_rmap_o.readdata(4 downto 0) &lt;= rmap_registers_wr_i.aeb_hk_adc_rd_data_t_tou_2_p.chid;</t>
  </si>
  <si>
    <t xml:space="preserve">      -- AEB Housekeeping Area Register "ADC_RD_DATA_T_TOU_2_P" : "SUPPLY" Field</t>
  </si>
  <si>
    <t xml:space="preserve">      fee_rmap_o.readdata(5) &lt;= rmap_registers_wr_i.aeb_hk_adc_rd_data_t_tou_2_p.supply;</t>
  </si>
  <si>
    <t xml:space="preserve">      -- AEB Housekeeping Area Register "ADC_RD_DATA_T_TOU_2_P" : "OVF" Field</t>
  </si>
  <si>
    <t xml:space="preserve">      fee_rmap_o.readdata(6) &lt;= rmap_registers_wr_i.aeb_hk_adc_rd_data_t_tou_2_p.ovf;</t>
  </si>
  <si>
    <t xml:space="preserve">      -- AEB Housekeeping Area Register "ADC_RD_DATA_T_TOU_2_P" : "NEW" Field</t>
  </si>
  <si>
    <t xml:space="preserve">  when (x"00001025") =&gt;</t>
  </si>
  <si>
    <t xml:space="preserve">      -- AEB Housekeeping Area Register "ADC_RD_DATA_T_TOU_2_P" : "ADC_CHX_DATA_T_TOU_2_P" Field</t>
  </si>
  <si>
    <t xml:space="preserve">      fee_rmap_o.readdata &lt;= rmap_registers_wr_i.aeb_hk_adc_rd_data_t_tou_2_p.adc_chx_data_t_tou_2_p(23 downto 16);</t>
  </si>
  <si>
    <t xml:space="preserve">  when (x"00001026") =&gt;</t>
  </si>
  <si>
    <t xml:space="preserve">      fee_rmap_o.readdata &lt;= rmap_registers_wr_i.aeb_hk_adc_rd_data_t_tou_2_p.adc_chx_data_t_tou_2_p(15 downto 8);</t>
  </si>
  <si>
    <t xml:space="preserve">  when (x"00001027") =&gt;</t>
  </si>
  <si>
    <t xml:space="preserve">      fee_rmap_o.readdata &lt;= rmap_registers_wr_i.aeb_hk_adc_rd_data_t_tou_2_p.adc_chx_data_t_tou_2_p(7 downto 0);</t>
  </si>
  <si>
    <t xml:space="preserve">  when (x"00001028") =&gt;</t>
  </si>
  <si>
    <t xml:space="preserve">      -- AEB Housekeeping Area Register "ADC_RD_DATA_HK_VODE" : "CHID" Field</t>
  </si>
  <si>
    <t xml:space="preserve">      fee_rmap_o.readdata(4 downto 0) &lt;= rmap_registers_wr_i.aeb_hk_adc_rd_data_hk_vode.chid;</t>
  </si>
  <si>
    <t xml:space="preserve">      -- AEB Housekeeping Area Register "ADC_RD_DATA_HK_VODE" : "SUPPLY" Field</t>
  </si>
  <si>
    <t xml:space="preserve">      fee_rmap_o.readdata(5) &lt;= rmap_registers_wr_i.aeb_hk_adc_rd_data_hk_vode.supply;</t>
  </si>
  <si>
    <t xml:space="preserve">      -- AEB Housekeeping Area Register "ADC_RD_DATA_HK_VODE" : "OVF" Field</t>
  </si>
  <si>
    <t xml:space="preserve">      fee_rmap_o.readdata(6) &lt;= rmap_registers_wr_i.aeb_hk_adc_rd_data_hk_vode.ovf;</t>
  </si>
  <si>
    <t xml:space="preserve">      -- AEB Housekeeping Area Register "ADC_RD_DATA_HK_VODE" : "NEW" Field</t>
  </si>
  <si>
    <t xml:space="preserve">  when (x"00001029") =&gt;</t>
  </si>
  <si>
    <t xml:space="preserve">      -- AEB Housekeeping Area Register "ADC_RD_DATA_HK_VODE" : "ADC_CHX_DATA_HK_VODE" Field</t>
  </si>
  <si>
    <t xml:space="preserve">      fee_rmap_o.readdata &lt;= rmap_registers_wr_i.aeb_hk_adc_rd_data_hk_vode.adc_chx_data_hk_vode(23 downto 16);</t>
  </si>
  <si>
    <t xml:space="preserve">  when (x"0000102A") =&gt;</t>
  </si>
  <si>
    <t xml:space="preserve">      fee_rmap_o.readdata &lt;= rmap_registers_wr_i.aeb_hk_adc_rd_data_hk_vode.adc_chx_data_hk_vode(15 downto 8);</t>
  </si>
  <si>
    <t xml:space="preserve">  when (x"0000102B") =&gt;</t>
  </si>
  <si>
    <t xml:space="preserve">      fee_rmap_o.readdata &lt;= rmap_registers_wr_i.aeb_hk_adc_rd_data_hk_vode.adc_chx_data_hk_vode(7 downto 0);</t>
  </si>
  <si>
    <t xml:space="preserve">  when (x"0000102C") =&gt;</t>
  </si>
  <si>
    <t xml:space="preserve">      -- AEB Housekeeping Area Register "ADC_RD_DATA_HK_VODF" : "CHID" Field</t>
  </si>
  <si>
    <t xml:space="preserve">      fee_rmap_o.readdata(4 downto 0) &lt;= rmap_registers_wr_i.aeb_hk_adc_rd_data_hk_vodf.chid;</t>
  </si>
  <si>
    <t xml:space="preserve">      -- AEB Housekeeping Area Register "ADC_RD_DATA_HK_VODF" : "SUPPLY" Field</t>
  </si>
  <si>
    <t xml:space="preserve">      fee_rmap_o.readdata(5) &lt;= rmap_registers_wr_i.aeb_hk_adc_rd_data_hk_vodf.supply;</t>
  </si>
  <si>
    <t xml:space="preserve">      -- AEB Housekeeping Area Register "ADC_RD_DATA_HK_VODF" : "OVF" Field</t>
  </si>
  <si>
    <t xml:space="preserve">      fee_rmap_o.readdata(6) &lt;= rmap_registers_wr_i.aeb_hk_adc_rd_data_hk_vodf.ovf;</t>
  </si>
  <si>
    <t xml:space="preserve">      -- AEB Housekeeping Area Register "ADC_RD_DATA_HK_VODF" : "NEW" Field</t>
  </si>
  <si>
    <t xml:space="preserve">  when (x"0000102D") =&gt;</t>
  </si>
  <si>
    <t xml:space="preserve">      -- AEB Housekeeping Area Register "ADC_RD_DATA_HK_VODF" : "ADC_CHX_DATA_HK_VODF" Field</t>
  </si>
  <si>
    <t xml:space="preserve">      fee_rmap_o.readdata &lt;= rmap_registers_wr_i.aeb_hk_adc_rd_data_hk_vodf.adc_chx_data_hk_vodf(23 downto 16);</t>
  </si>
  <si>
    <t xml:space="preserve">  when (x"0000102E") =&gt;</t>
  </si>
  <si>
    <t xml:space="preserve">      fee_rmap_o.readdata &lt;= rmap_registers_wr_i.aeb_hk_adc_rd_data_hk_vodf.adc_chx_data_hk_vodf(15 downto 8);</t>
  </si>
  <si>
    <t xml:space="preserve">  when (x"0000102F") =&gt;</t>
  </si>
  <si>
    <t xml:space="preserve">      fee_rmap_o.readdata &lt;= rmap_registers_wr_i.aeb_hk_adc_rd_data_hk_vodf.adc_chx_data_hk_vodf(7 downto 0);</t>
  </si>
  <si>
    <t xml:space="preserve">  when (x"00001030") =&gt;</t>
  </si>
  <si>
    <t xml:space="preserve">      -- AEB Housekeeping Area Register "ADC_RD_DATA_HK_VRD" : "CHID" Field</t>
  </si>
  <si>
    <t xml:space="preserve">      fee_rmap_o.readdata(4 downto 0) &lt;= rmap_registers_wr_i.aeb_hk_adc_rd_data_hk_vrd.chid;</t>
  </si>
  <si>
    <t xml:space="preserve">      -- AEB Housekeeping Area Register "ADC_RD_DATA_HK_VRD" : "SUPPLY" Field</t>
  </si>
  <si>
    <t xml:space="preserve">      fee_rmap_o.readdata(5) &lt;= rmap_registers_wr_i.aeb_hk_adc_rd_data_hk_vrd.supply;</t>
  </si>
  <si>
    <t xml:space="preserve">      -- AEB Housekeeping Area Register "ADC_RD_DATA_HK_VRD" : "OVF" Field</t>
  </si>
  <si>
    <t xml:space="preserve">      fee_rmap_o.readdata(6) &lt;= rmap_registers_wr_i.aeb_hk_adc_rd_data_hk_vrd.ovf;</t>
  </si>
  <si>
    <t xml:space="preserve">      -- AEB Housekeeping Area Register "ADC_RD_DATA_HK_VRD" : "NEW" Field</t>
  </si>
  <si>
    <t xml:space="preserve">  when (x"00001031") =&gt;</t>
  </si>
  <si>
    <t xml:space="preserve">      -- AEB Housekeeping Area Register "ADC_RD_DATA_HK_VRD" : "ADC_CHX_DATA_HK_VRD" Field</t>
  </si>
  <si>
    <t xml:space="preserve">      fee_rmap_o.readdata &lt;= rmap_registers_wr_i.aeb_hk_adc_rd_data_hk_vrd.adc_chx_data_hk_vrd(23 downto 16);</t>
  </si>
  <si>
    <t xml:space="preserve">  when (x"00001032") =&gt;</t>
  </si>
  <si>
    <t xml:space="preserve">      fee_rmap_o.readdata &lt;= rmap_registers_wr_i.aeb_hk_adc_rd_data_hk_vrd.adc_chx_data_hk_vrd(15 downto 8);</t>
  </si>
  <si>
    <t xml:space="preserve">  when (x"00001033") =&gt;</t>
  </si>
  <si>
    <t xml:space="preserve">      fee_rmap_o.readdata &lt;= rmap_registers_wr_i.aeb_hk_adc_rd_data_hk_vrd.adc_chx_data_hk_vrd(7 downto 0);</t>
  </si>
  <si>
    <t xml:space="preserve">  when (x"00001034") =&gt;</t>
  </si>
  <si>
    <t xml:space="preserve">      -- AEB Housekeeping Area Register "ADC_RD_DATA_HK_VOG" : "CHID" Field</t>
  </si>
  <si>
    <t xml:space="preserve">      fee_rmap_o.readdata(4 downto 0) &lt;= rmap_registers_wr_i.aeb_hk_adc_rd_data_hk_vog.chid;</t>
  </si>
  <si>
    <t xml:space="preserve">      -- AEB Housekeeping Area Register "ADC_RD_DATA_HK_VOG" : "SUPPLY" Field</t>
  </si>
  <si>
    <t xml:space="preserve">      fee_rmap_o.readdata(5) &lt;= rmap_registers_wr_i.aeb_hk_adc_rd_data_hk_vog.supply;</t>
  </si>
  <si>
    <t xml:space="preserve">      -- AEB Housekeeping Area Register "ADC_RD_DATA_HK_VOG" : "OVF" Field</t>
  </si>
  <si>
    <t xml:space="preserve">      fee_rmap_o.readdata(6) &lt;= rmap_registers_wr_i.aeb_hk_adc_rd_data_hk_vog.ovf;</t>
  </si>
  <si>
    <t xml:space="preserve">      -- AEB Housekeeping Area Register "ADC_RD_DATA_HK_VOG" : "NEW" Field</t>
  </si>
  <si>
    <t xml:space="preserve">  when (x"00001035") =&gt;</t>
  </si>
  <si>
    <t xml:space="preserve">      -- AEB Housekeeping Area Register "ADC_RD_DATA_HK_VOG" : "ADC_CHX_DATA_HK_VOG" Field</t>
  </si>
  <si>
    <t xml:space="preserve">      fee_rmap_o.readdata &lt;= rmap_registers_wr_i.aeb_hk_adc_rd_data_hk_vog.adc_chx_data_hk_vog(23 downto 16);</t>
  </si>
  <si>
    <t xml:space="preserve">  when (x"00001036") =&gt;</t>
  </si>
  <si>
    <t xml:space="preserve">      fee_rmap_o.readdata &lt;= rmap_registers_wr_i.aeb_hk_adc_rd_data_hk_vog.adc_chx_data_hk_vog(15 downto 8);</t>
  </si>
  <si>
    <t xml:space="preserve">  when (x"00001037") =&gt;</t>
  </si>
  <si>
    <t xml:space="preserve">      fee_rmap_o.readdata &lt;= rmap_registers_wr_i.aeb_hk_adc_rd_data_hk_vog.adc_chx_data_hk_vog(7 downto 0);</t>
  </si>
  <si>
    <t xml:space="preserve">  when (x"00001038") =&gt;</t>
  </si>
  <si>
    <t xml:space="preserve">      -- AEB Housekeeping Area Register "ADC_RD_DATA_T_CCD" : "CHID" Field</t>
  </si>
  <si>
    <t xml:space="preserve">      fee_rmap_o.readdata(4 downto 0) &lt;= rmap_registers_wr_i.aeb_hk_adc_rd_data_t_ccd.chid;</t>
  </si>
  <si>
    <t xml:space="preserve">      -- AEB Housekeeping Area Register "ADC_RD_DATA_T_CCD" : "SUPPLY" Field</t>
  </si>
  <si>
    <t xml:space="preserve">      fee_rmap_o.readdata(5) &lt;= rmap_registers_wr_i.aeb_hk_adc_rd_data_t_ccd.supply;</t>
  </si>
  <si>
    <t xml:space="preserve">      -- AEB Housekeeping Area Register "ADC_RD_DATA_T_CCD" : "OVF" Field</t>
  </si>
  <si>
    <t xml:space="preserve">      fee_rmap_o.readdata(6) &lt;= rmap_registers_wr_i.aeb_hk_adc_rd_data_t_ccd.ovf;</t>
  </si>
  <si>
    <t xml:space="preserve">      -- AEB Housekeeping Area Register "ADC_RD_DATA_T_CCD" : "NEW" Field</t>
  </si>
  <si>
    <t xml:space="preserve">  when (x"00001039") =&gt;</t>
  </si>
  <si>
    <t xml:space="preserve">      -- AEB Housekeeping Area Register "ADC_RD_DATA_T_CCD" : "ADC_CHX_DATA_T_CCD" Field</t>
  </si>
  <si>
    <t xml:space="preserve">      fee_rmap_o.readdata &lt;= rmap_registers_wr_i.aeb_hk_adc_rd_data_t_ccd.adc_chx_data_t_ccd(23 downto 16);</t>
  </si>
  <si>
    <t xml:space="preserve">  when (x"0000103A") =&gt;</t>
  </si>
  <si>
    <t xml:space="preserve">      fee_rmap_o.readdata &lt;= rmap_registers_wr_i.aeb_hk_adc_rd_data_t_ccd.adc_chx_data_t_ccd(15 downto 8);</t>
  </si>
  <si>
    <t xml:space="preserve">  when (x"0000103B") =&gt;</t>
  </si>
  <si>
    <t xml:space="preserve">      fee_rmap_o.readdata &lt;= rmap_registers_wr_i.aeb_hk_adc_rd_data_t_ccd.adc_chx_data_t_ccd(7 downto 0);</t>
  </si>
  <si>
    <t xml:space="preserve">  when (x"0000103C") =&gt;</t>
  </si>
  <si>
    <t xml:space="preserve">      -- AEB Housekeeping Area Register "ADC_RD_DATA_T_REF1K_MEA" : "CHID" Field</t>
  </si>
  <si>
    <t xml:space="preserve">      fee_rmap_o.readdata(4 downto 0) &lt;= rmap_registers_wr_i.aeb_hk_adc_rd_data_t_ref1k_mea.chid;</t>
  </si>
  <si>
    <t xml:space="preserve">      -- AEB Housekeeping Area Register "ADC_RD_DATA_T_REF1K_MEA" : "SUPPLY" Field</t>
  </si>
  <si>
    <t xml:space="preserve">      fee_rmap_o.readdata(5) &lt;= rmap_registers_wr_i.aeb_hk_adc_rd_data_t_ref1k_mea.supply;</t>
  </si>
  <si>
    <t xml:space="preserve">      -- AEB Housekeeping Area Register "ADC_RD_DATA_T_REF1K_MEA" : "OVF" Field</t>
  </si>
  <si>
    <t xml:space="preserve">      fee_rmap_o.readdata(6) &lt;= rmap_registers_wr_i.aeb_hk_adc_rd_data_t_ref1k_mea.ovf;</t>
  </si>
  <si>
    <t xml:space="preserve">      -- AEB Housekeeping Area Register "ADC_RD_DATA_T_REF1K_MEA" : "NEW" Field</t>
  </si>
  <si>
    <t xml:space="preserve">  when (x"0000103D") =&gt;</t>
  </si>
  <si>
    <t xml:space="preserve">      -- AEB Housekeeping Area Register "ADC_RD_DATA_T_REF1K_MEA" : "ADC_CHX_DATA_T_REF1K_MEA" Field</t>
  </si>
  <si>
    <t xml:space="preserve">      fee_rmap_o.readdata &lt;= rmap_registers_wr_i.aeb_hk_adc_rd_data_t_ref1k_mea.adc_chx_data_t_ref1k_mea(23 downto 16);</t>
  </si>
  <si>
    <t xml:space="preserve">  when (x"0000103E") =&gt;</t>
  </si>
  <si>
    <t xml:space="preserve">      fee_rmap_o.readdata &lt;= rmap_registers_wr_i.aeb_hk_adc_rd_data_t_ref1k_mea.adc_chx_data_t_ref1k_mea(15 downto 8);</t>
  </si>
  <si>
    <t xml:space="preserve">  when (x"0000103F") =&gt;</t>
  </si>
  <si>
    <t xml:space="preserve">      fee_rmap_o.readdata &lt;= rmap_registers_wr_i.aeb_hk_adc_rd_data_t_ref1k_mea.adc_chx_data_t_ref1k_mea(7 downto 0);</t>
  </si>
  <si>
    <t xml:space="preserve">  when (x"00001040") =&gt;</t>
  </si>
  <si>
    <t xml:space="preserve">      -- AEB Housekeeping Area Register "ADC_RD_DATA_T_REF649R_MEA" : "CHID" Field</t>
  </si>
  <si>
    <t xml:space="preserve">      fee_rmap_o.readdata(4 downto 0) &lt;= rmap_registers_wr_i.aeb_hk_adc_rd_data_t_ref649r_mea.chid;</t>
  </si>
  <si>
    <t xml:space="preserve">      -- AEB Housekeeping Area Register "ADC_RD_DATA_T_REF649R_MEA" : "SUPPLY" Field</t>
  </si>
  <si>
    <t xml:space="preserve">      fee_rmap_o.readdata(5) &lt;= rmap_registers_wr_i.aeb_hk_adc_rd_data_t_ref649r_mea.supply;</t>
  </si>
  <si>
    <t xml:space="preserve">      -- AEB Housekeeping Area Register "ADC_RD_DATA_T_REF649R_MEA" : "OVF" Field</t>
  </si>
  <si>
    <t xml:space="preserve">      fee_rmap_o.readdata(6) &lt;= rmap_registers_wr_i.aeb_hk_adc_rd_data_t_ref649r_mea.ovf;</t>
  </si>
  <si>
    <t xml:space="preserve">      -- AEB Housekeeping Area Register "ADC_RD_DATA_T_REF649R_MEA" : "NEW" Field</t>
  </si>
  <si>
    <t xml:space="preserve">  when (x"00001041") =&gt;</t>
  </si>
  <si>
    <t xml:space="preserve">      -- AEB Housekeeping Area Register "ADC_RD_DATA_T_REF649R_MEA" : "ADC_CHX_DATA_T_REF649R_MEA" Field</t>
  </si>
  <si>
    <t xml:space="preserve">      fee_rmap_o.readdata &lt;= rmap_registers_wr_i.aeb_hk_adc_rd_data_t_ref649r_mea.adc_chx_data_t_ref649r_mea(23 downto 16);</t>
  </si>
  <si>
    <t xml:space="preserve">  when (x"00001042") =&gt;</t>
  </si>
  <si>
    <t xml:space="preserve">      fee_rmap_o.readdata &lt;= rmap_registers_wr_i.aeb_hk_adc_rd_data_t_ref649r_mea.adc_chx_data_t_ref649r_mea(15 downto 8);</t>
  </si>
  <si>
    <t xml:space="preserve">  when (x"00001043") =&gt;</t>
  </si>
  <si>
    <t xml:space="preserve">      fee_rmap_o.readdata &lt;= rmap_registers_wr_i.aeb_hk_adc_rd_data_t_ref649r_mea.adc_chx_data_t_ref649r_mea(7 downto 0);</t>
  </si>
  <si>
    <t xml:space="preserve">  when (x"00001044") =&gt;</t>
  </si>
  <si>
    <t xml:space="preserve">      -- AEB Housekeeping Area Register "ADC_RD_DATA_HK_ANA_N5V" : "CHID" Field</t>
  </si>
  <si>
    <t xml:space="preserve">      fee_rmap_o.readdata(4 downto 0) &lt;= rmap_registers_wr_i.aeb_hk_adc_rd_data_hk_ana_n5v.chid;</t>
  </si>
  <si>
    <t xml:space="preserve">      -- AEB Housekeeping Area Register "ADC_RD_DATA_HK_ANA_N5V" : "SUPPLY" Field</t>
  </si>
  <si>
    <t xml:space="preserve">      fee_rmap_o.readdata(5) &lt;= rmap_registers_wr_i.aeb_hk_adc_rd_data_hk_ana_n5v.supply;</t>
  </si>
  <si>
    <t xml:space="preserve">      -- AEB Housekeeping Area Register "ADC_RD_DATA_HK_ANA_N5V" : "OVF" Field</t>
  </si>
  <si>
    <t xml:space="preserve">      fee_rmap_o.readdata(6) &lt;= rmap_registers_wr_i.aeb_hk_adc_rd_data_hk_ana_n5v.ovf;</t>
  </si>
  <si>
    <t xml:space="preserve">      -- AEB Housekeeping Area Register "ADC_RD_DATA_HK_ANA_N5V" : "NEW" Field</t>
  </si>
  <si>
    <t xml:space="preserve">  when (x"00001045") =&gt;</t>
  </si>
  <si>
    <t xml:space="preserve">      -- AEB Housekeeping Area Register "ADC_RD_DATA_HK_ANA_N5V" : "ADC_CHX_DATA_HK_ANA_N5V" Field</t>
  </si>
  <si>
    <t xml:space="preserve">      fee_rmap_o.readdata &lt;= rmap_registers_wr_i.aeb_hk_adc_rd_data_hk_ana_n5v.adc_chx_data_hk_ana_n5v(23 downto 16);</t>
  </si>
  <si>
    <t xml:space="preserve">  when (x"00001046") =&gt;</t>
  </si>
  <si>
    <t xml:space="preserve">      fee_rmap_o.readdata &lt;= rmap_registers_wr_i.aeb_hk_adc_rd_data_hk_ana_n5v.adc_chx_data_hk_ana_n5v(15 downto 8);</t>
  </si>
  <si>
    <t xml:space="preserve">  when (x"00001047") =&gt;</t>
  </si>
  <si>
    <t xml:space="preserve">      fee_rmap_o.readdata &lt;= rmap_registers_wr_i.aeb_hk_adc_rd_data_hk_ana_n5v.adc_chx_data_hk_ana_n5v(7 downto 0);</t>
  </si>
  <si>
    <t xml:space="preserve">  when (x"00001048") =&gt;</t>
  </si>
  <si>
    <t xml:space="preserve">      -- AEB Housekeeping Area Register "ADC_RD_DATA_S_REF" : "CHID" Field</t>
  </si>
  <si>
    <t xml:space="preserve">      fee_rmap_o.readdata(4 downto 0) &lt;= rmap_registers_wr_i.aeb_hk_adc_rd_data_s_ref.chid;</t>
  </si>
  <si>
    <t xml:space="preserve">      -- AEB Housekeeping Area Register "ADC_RD_DATA_S_REF" : "SUPPLY" Field</t>
  </si>
  <si>
    <t xml:space="preserve">      fee_rmap_o.readdata(5) &lt;= rmap_registers_wr_i.aeb_hk_adc_rd_data_s_ref.supply;</t>
  </si>
  <si>
    <t xml:space="preserve">      -- AEB Housekeeping Area Register "ADC_RD_DATA_S_REF" : "OVF" Field</t>
  </si>
  <si>
    <t xml:space="preserve">      fee_rmap_o.readdata(6) &lt;= rmap_registers_wr_i.aeb_hk_adc_rd_data_s_ref.ovf;</t>
  </si>
  <si>
    <t xml:space="preserve">      -- AEB Housekeeping Area Register "ADC_RD_DATA_S_REF" : "NEW" Field</t>
  </si>
  <si>
    <t xml:space="preserve">  when (x"00001049") =&gt;</t>
  </si>
  <si>
    <t xml:space="preserve">      -- AEB Housekeeping Area Register "ADC_RD_DATA_S_REF" : "ADC_CHX_DATA_S_REF" Field</t>
  </si>
  <si>
    <t xml:space="preserve">      fee_rmap_o.readdata &lt;= rmap_registers_wr_i.aeb_hk_adc_rd_data_s_ref.adc_chx_data_s_ref(23 downto 16);</t>
  </si>
  <si>
    <t xml:space="preserve">  when (x"0000104A") =&gt;</t>
  </si>
  <si>
    <t xml:space="preserve">      fee_rmap_o.readdata &lt;= rmap_registers_wr_i.aeb_hk_adc_rd_data_s_ref.adc_chx_data_s_ref(15 downto 8);</t>
  </si>
  <si>
    <t xml:space="preserve">  when (x"0000104B") =&gt;</t>
  </si>
  <si>
    <t xml:space="preserve">      fee_rmap_o.readdata &lt;= rmap_registers_wr_i.aeb_hk_adc_rd_data_s_ref.adc_chx_data_s_ref(7 downto 0);</t>
  </si>
  <si>
    <t xml:space="preserve">  when (x"0000104C") =&gt;</t>
  </si>
  <si>
    <t xml:space="preserve">      -- AEB Housekeeping Area Register "ADC_RD_DATA_HK_CCD_P31V" : "CHID" Field</t>
  </si>
  <si>
    <t xml:space="preserve">      fee_rmap_o.readdata(4 downto 0) &lt;= rmap_registers_wr_i.aeb_hk_adc_rd_data_hk_ccd_p31v.chid;</t>
  </si>
  <si>
    <t xml:space="preserve">      -- AEB Housekeeping Area Register "ADC_RD_DATA_HK_CCD_P31V" : "SUPPLY" Field</t>
  </si>
  <si>
    <t xml:space="preserve">      fee_rmap_o.readdata(5) &lt;= rmap_registers_wr_i.aeb_hk_adc_rd_data_hk_ccd_p31v.supply;</t>
  </si>
  <si>
    <t xml:space="preserve">      -- AEB Housekeeping Area Register "ADC_RD_DATA_HK_CCD_P31V" : "OVF" Field</t>
  </si>
  <si>
    <t xml:space="preserve">      fee_rmap_o.readdata(6) &lt;= rmap_registers_wr_i.aeb_hk_adc_rd_data_hk_ccd_p31v.ovf;</t>
  </si>
  <si>
    <t xml:space="preserve">      -- AEB Housekeeping Area Register "ADC_RD_DATA_HK_CCD_P31V" : "NEW" Field</t>
  </si>
  <si>
    <t xml:space="preserve">  when (x"0000104D") =&gt;</t>
  </si>
  <si>
    <t xml:space="preserve">      -- AEB Housekeeping Area Register "ADC_RD_DATA_HK_CCD_P31V" : "ADC_CHX_DATA_HK_CCD_P31V" Field</t>
  </si>
  <si>
    <t xml:space="preserve">      fee_rmap_o.readdata &lt;= rmap_registers_wr_i.aeb_hk_adc_rd_data_hk_ccd_p31v.adc_chx_data_hk_ccd_p31v(23 downto 16);</t>
  </si>
  <si>
    <t xml:space="preserve">  when (x"0000104E") =&gt;</t>
  </si>
  <si>
    <t xml:space="preserve">      fee_rmap_o.readdata &lt;= rmap_registers_wr_i.aeb_hk_adc_rd_data_hk_ccd_p31v.adc_chx_data_hk_ccd_p31v(15 downto 8);</t>
  </si>
  <si>
    <t xml:space="preserve">  when (x"0000104F") =&gt;</t>
  </si>
  <si>
    <t xml:space="preserve">      fee_rmap_o.readdata &lt;= rmap_registers_wr_i.aeb_hk_adc_rd_data_hk_ccd_p31v.adc_chx_data_hk_ccd_p31v(7 downto 0);</t>
  </si>
  <si>
    <t xml:space="preserve">  when (x"00001050") =&gt;</t>
  </si>
  <si>
    <t xml:space="preserve">      -- AEB Housekeeping Area Register "ADC_RD_DATA_HK_CLK_P15V" : "CHID" Field</t>
  </si>
  <si>
    <t xml:space="preserve">      fee_rmap_o.readdata(4 downto 0) &lt;= rmap_registers_wr_i.aeb_hk_adc_rd_data_hk_clk_p15v.chid;</t>
  </si>
  <si>
    <t xml:space="preserve">      -- AEB Housekeeping Area Register "ADC_RD_DATA_HK_CLK_P15V" : "SUPPLY" Field</t>
  </si>
  <si>
    <t xml:space="preserve">      fee_rmap_o.readdata(5) &lt;= rmap_registers_wr_i.aeb_hk_adc_rd_data_hk_clk_p15v.supply;</t>
  </si>
  <si>
    <t xml:space="preserve">      -- AEB Housekeeping Area Register "ADC_RD_DATA_HK_CLK_P15V" : "OVF" Field</t>
  </si>
  <si>
    <t xml:space="preserve">      fee_rmap_o.readdata(6) &lt;= rmap_registers_wr_i.aeb_hk_adc_rd_data_hk_clk_p15v.ovf;</t>
  </si>
  <si>
    <t xml:space="preserve">      -- AEB Housekeeping Area Register "ADC_RD_DATA_HK_CLK_P15V" : "NEW" Field</t>
  </si>
  <si>
    <t xml:space="preserve">  when (x"00001051") =&gt;</t>
  </si>
  <si>
    <t xml:space="preserve">      -- AEB Housekeeping Area Register "ADC_RD_DATA_HK_CLK_P15V" : "ADC_CHX_DATA_HK_CLK_P15V" Field</t>
  </si>
  <si>
    <t xml:space="preserve">      fee_rmap_o.readdata &lt;= rmap_registers_wr_i.aeb_hk_adc_rd_data_hk_clk_p15v.adc_chx_data_hk_clk_p15v(23 downto 16);</t>
  </si>
  <si>
    <t xml:space="preserve">  when (x"00001052") =&gt;</t>
  </si>
  <si>
    <t xml:space="preserve">      fee_rmap_o.readdata &lt;= rmap_registers_wr_i.aeb_hk_adc_rd_data_hk_clk_p15v.adc_chx_data_hk_clk_p15v(15 downto 8);</t>
  </si>
  <si>
    <t xml:space="preserve">  when (x"00001053") =&gt;</t>
  </si>
  <si>
    <t xml:space="preserve">      fee_rmap_o.readdata &lt;= rmap_registers_wr_i.aeb_hk_adc_rd_data_hk_clk_p15v.adc_chx_data_hk_clk_p15v(7 downto 0);</t>
  </si>
  <si>
    <t xml:space="preserve">  when (x"00001054") =&gt;</t>
  </si>
  <si>
    <t xml:space="preserve">      -- AEB Housekeeping Area Register "ADC_RD_DATA_HK_ANA_P5V" : "CHID" Field</t>
  </si>
  <si>
    <t xml:space="preserve">      fee_rmap_o.readdata(4 downto 0) &lt;= rmap_registers_wr_i.aeb_hk_adc_rd_data_hk_ana_p5v.chid;</t>
  </si>
  <si>
    <t xml:space="preserve">      -- AEB Housekeeping Area Register "ADC_RD_DATA_HK_ANA_P5V" : "SUPPLY" Field</t>
  </si>
  <si>
    <t xml:space="preserve">      fee_rmap_o.readdata(5) &lt;= rmap_registers_wr_i.aeb_hk_adc_rd_data_hk_ana_p5v.supply;</t>
  </si>
  <si>
    <t xml:space="preserve">      -- AEB Housekeeping Area Register "ADC_RD_DATA_HK_ANA_P5V" : "OVF" Field</t>
  </si>
  <si>
    <t xml:space="preserve">      fee_rmap_o.readdata(6) &lt;= rmap_registers_wr_i.aeb_hk_adc_rd_data_hk_ana_p5v.ovf;</t>
  </si>
  <si>
    <t xml:space="preserve">      -- AEB Housekeeping Area Register "ADC_RD_DATA_HK_ANA_P5V" : "NEW" Field</t>
  </si>
  <si>
    <t xml:space="preserve">  when (x"00001055") =&gt;</t>
  </si>
  <si>
    <t xml:space="preserve">      -- AEB Housekeeping Area Register "ADC_RD_DATA_HK_ANA_P5V" : "ADC_CHX_DATA_HK_ANA_P5V" Field</t>
  </si>
  <si>
    <t xml:space="preserve">      fee_rmap_o.readdata &lt;= rmap_registers_wr_i.aeb_hk_adc_rd_data_hk_ana_p5v.adc_chx_data_hk_ana_p5v(23 downto 16);</t>
  </si>
  <si>
    <t xml:space="preserve">  when (x"00001056") =&gt;</t>
  </si>
  <si>
    <t xml:space="preserve">      fee_rmap_o.readdata &lt;= rmap_registers_wr_i.aeb_hk_adc_rd_data_hk_ana_p5v.adc_chx_data_hk_ana_p5v(15 downto 8);</t>
  </si>
  <si>
    <t xml:space="preserve">  when (x"00001057") =&gt;</t>
  </si>
  <si>
    <t xml:space="preserve">      fee_rmap_o.readdata &lt;= rmap_registers_wr_i.aeb_hk_adc_rd_data_hk_ana_p5v.adc_chx_data_hk_ana_p5v(7 downto 0);</t>
  </si>
  <si>
    <t xml:space="preserve">  when (x"00001058") =&gt;</t>
  </si>
  <si>
    <t xml:space="preserve">      -- AEB Housekeeping Area Register "ADC_RD_DATA_HK_ANA_P3V3" : "CHID" Field</t>
  </si>
  <si>
    <t xml:space="preserve">      fee_rmap_o.readdata(4 downto 0) &lt;= rmap_registers_wr_i.aeb_hk_adc_rd_data_hk_ana_p3v3.chid;</t>
  </si>
  <si>
    <t xml:space="preserve">      -- AEB Housekeeping Area Register "ADC_RD_DATA_HK_ANA_P3V3" : "SUPPLY" Field</t>
  </si>
  <si>
    <t xml:space="preserve">      fee_rmap_o.readdata(5) &lt;= rmap_registers_wr_i.aeb_hk_adc_rd_data_hk_ana_p3v3.supply;</t>
  </si>
  <si>
    <t xml:space="preserve">      -- AEB Housekeeping Area Register "ADC_RD_DATA_HK_ANA_P3V3" : "OVF" Field</t>
  </si>
  <si>
    <t xml:space="preserve">      fee_rmap_o.readdata(6) &lt;= rmap_registers_wr_i.aeb_hk_adc_rd_data_hk_ana_p3v3.ovf;</t>
  </si>
  <si>
    <t xml:space="preserve">      -- AEB Housekeeping Area Register "ADC_RD_DATA_HK_ANA_P3V3" : "NEW" Field</t>
  </si>
  <si>
    <t xml:space="preserve">  when (x"00001059") =&gt;</t>
  </si>
  <si>
    <t xml:space="preserve">      -- AEB Housekeeping Area Register "ADC_RD_DATA_HK_ANA_P3V3" : "ADC_CHX_DATA_HK_ANA_P3V3" Field</t>
  </si>
  <si>
    <t xml:space="preserve">      fee_rmap_o.readdata &lt;= rmap_registers_wr_i.aeb_hk_adc_rd_data_hk_ana_p3v3.adc_chx_data_hk_ana_p3v3(23 downto 16);</t>
  </si>
  <si>
    <t xml:space="preserve">  when (x"0000105A") =&gt;</t>
  </si>
  <si>
    <t xml:space="preserve">      fee_rmap_o.readdata &lt;= rmap_registers_wr_i.aeb_hk_adc_rd_data_hk_ana_p3v3.adc_chx_data_hk_ana_p3v3(15 downto 8);</t>
  </si>
  <si>
    <t xml:space="preserve">  when (x"0000105B") =&gt;</t>
  </si>
  <si>
    <t xml:space="preserve">      fee_rmap_o.readdata &lt;= rmap_registers_wr_i.aeb_hk_adc_rd_data_hk_ana_p3v3.adc_chx_data_hk_ana_p3v3(7 downto 0);</t>
  </si>
  <si>
    <t xml:space="preserve">  when (x"0000105C") =&gt;</t>
  </si>
  <si>
    <t xml:space="preserve">      -- AEB Housekeeping Area Register "ADC_RD_DATA_HK_DIG_P3V3" : "CHID" Field</t>
  </si>
  <si>
    <t xml:space="preserve">      fee_rmap_o.readdata(4 downto 0) &lt;= rmap_registers_wr_i.aeb_hk_adc_rd_data_hk_dig_p3v3.chid;</t>
  </si>
  <si>
    <t xml:space="preserve">      -- AEB Housekeeping Area Register "ADC_RD_DATA_HK_DIG_P3V3" : "SUPPLY" Field</t>
  </si>
  <si>
    <t xml:space="preserve">      fee_rmap_o.readdata(5) &lt;= rmap_registers_wr_i.aeb_hk_adc_rd_data_hk_dig_p3v3.supply;</t>
  </si>
  <si>
    <t xml:space="preserve">      -- AEB Housekeeping Area Register "ADC_RD_DATA_HK_DIG_P3V3" : "OVF" Field</t>
  </si>
  <si>
    <t xml:space="preserve">      fee_rmap_o.readdata(6) &lt;= rmap_registers_wr_i.aeb_hk_adc_rd_data_hk_dig_p3v3.ovf;</t>
  </si>
  <si>
    <t xml:space="preserve">      -- AEB Housekeeping Area Register "ADC_RD_DATA_HK_DIG_P3V3" : "NEW" Field</t>
  </si>
  <si>
    <t xml:space="preserve">  when (x"0000105D") =&gt;</t>
  </si>
  <si>
    <t xml:space="preserve">      -- AEB Housekeeping Area Register "ADC_RD_DATA_HK_DIG_P3V3" : "ADC_CHX_DATA_HK_DIG_P3V3" Field</t>
  </si>
  <si>
    <t xml:space="preserve">      fee_rmap_o.readdata &lt;= rmap_registers_wr_i.aeb_hk_adc_rd_data_hk_dig_p3v3.adc_chx_data_hk_dig_p3v3(23 downto 16);</t>
  </si>
  <si>
    <t xml:space="preserve">  when (x"0000105E") =&gt;</t>
  </si>
  <si>
    <t xml:space="preserve">      fee_rmap_o.readdata &lt;= rmap_registers_wr_i.aeb_hk_adc_rd_data_hk_dig_p3v3.adc_chx_data_hk_dig_p3v3(15 downto 8);</t>
  </si>
  <si>
    <t xml:space="preserve">  when (x"0000105F") =&gt;</t>
  </si>
  <si>
    <t xml:space="preserve">      fee_rmap_o.readdata &lt;= rmap_registers_wr_i.aeb_hk_adc_rd_data_hk_dig_p3v3.adc_chx_data_hk_dig_p3v3(7 downto 0);</t>
  </si>
  <si>
    <t xml:space="preserve">  when (x"00001060") =&gt;</t>
  </si>
  <si>
    <t xml:space="preserve">      -- AEB Housekeeping Area Register "ADC_RD_DATA_ADC_REF_BUF_2" : "CHID" Field</t>
  </si>
  <si>
    <t xml:space="preserve">      fee_rmap_o.readdata(4 downto 0) &lt;= rmap_registers_wr_i.aeb_hk_adc_rd_data_adc_ref_buf_2.chid;</t>
  </si>
  <si>
    <t xml:space="preserve">      -- AEB Housekeeping Area Register "ADC_RD_DATA_ADC_REF_BUF_2" : "SUPPLY" Field</t>
  </si>
  <si>
    <t xml:space="preserve">      fee_rmap_o.readdata(5) &lt;= rmap_registers_wr_i.aeb_hk_adc_rd_data_adc_ref_buf_2.supply;</t>
  </si>
  <si>
    <t xml:space="preserve">      -- AEB Housekeeping Area Register "ADC_RD_DATA_ADC_REF_BUF_2" : "OVF" Field</t>
  </si>
  <si>
    <t xml:space="preserve">      fee_rmap_o.readdata(6) &lt;= rmap_registers_wr_i.aeb_hk_adc_rd_data_adc_ref_buf_2.ovf;</t>
  </si>
  <si>
    <t xml:space="preserve">  when (x"00001063") =&gt;</t>
  </si>
  <si>
    <t xml:space="preserve">      -- AEB Housekeeping Area Register "ADC_RD_DATA_ADC_REF_BUF_2" : "ADC_CHX_DATA_ADC_REF_BUF_2" Field</t>
  </si>
  <si>
    <t xml:space="preserve">      fee_rmap_o.readdata(3 downto 0) &lt;= rmap_registers_wr_i.aeb_hk_adc_rd_data_adc_ref_buf_2.adc_chx_data_adc_ref_buf_2;</t>
  </si>
  <si>
    <t xml:space="preserve">  when (x"00001080") =&gt;</t>
  </si>
  <si>
    <t xml:space="preserve">      -- AEB Housekeeping Area Register "ADC1_RD_CONFIG_1" : "STAT" Field</t>
  </si>
  <si>
    <t xml:space="preserve">      fee_rmap_o.readdata(1) &lt;= rmap_registers_wr_i.aeb_hk_adc1_rd_config_1.stat;</t>
  </si>
  <si>
    <t xml:space="preserve">      -- AEB Housekeeping Area Register "ADC1_RD_CONFIG_1" : "CHOP" Field</t>
  </si>
  <si>
    <t xml:space="preserve">      fee_rmap_o.readdata(2) &lt;= rmap_registers_wr_i.aeb_hk_adc1_rd_config_1.chop;</t>
  </si>
  <si>
    <t xml:space="preserve">      -- AEB Housekeeping Area Register "ADC1_RD_CONFIG_1" : "CLKENB" Field</t>
  </si>
  <si>
    <t xml:space="preserve">      fee_rmap_o.readdata(3) &lt;= rmap_registers_wr_i.aeb_hk_adc1_rd_config_1.clkenb;</t>
  </si>
  <si>
    <t xml:space="preserve">      -- AEB Housekeeping Area Register "ADC1_RD_CONFIG_1" : "BYPAS" Field</t>
  </si>
  <si>
    <t xml:space="preserve">      fee_rmap_o.readdata(4) &lt;= rmap_registers_wr_i.aeb_hk_adc1_rd_config_1.bypas;</t>
  </si>
  <si>
    <t xml:space="preserve">      -- AEB Housekeeping Area Register "ADC1_RD_CONFIG_1" : "MUXMOD" Field</t>
  </si>
  <si>
    <t xml:space="preserve">      fee_rmap_o.readdata(5) &lt;= rmap_registers_wr_i.aeb_hk_adc1_rd_config_1.muxmod;</t>
  </si>
  <si>
    <t xml:space="preserve">      -- AEB Housekeeping Area Register "ADC1_RD_CONFIG_1" : "SPIRST" Field</t>
  </si>
  <si>
    <t xml:space="preserve">      fee_rmap_o.readdata(6) &lt;= rmap_registers_wr_i.aeb_hk_adc1_rd_config_1.spirst;</t>
  </si>
  <si>
    <t xml:space="preserve">  when (x"00001081") =&gt;</t>
  </si>
  <si>
    <t xml:space="preserve">      -- AEB Housekeeping Area Register "ADC1_RD_CONFIG_1" : "DRATE0" Field</t>
  </si>
  <si>
    <t xml:space="preserve">      fee_rmap_o.readdata(0) &lt;= rmap_registers_wr_i.aeb_hk_adc1_rd_config_1.drate0;</t>
  </si>
  <si>
    <t xml:space="preserve">      -- AEB Housekeeping Area Register "ADC1_RD_CONFIG_1" : "DRATE1" Field</t>
  </si>
  <si>
    <t xml:space="preserve">      fee_rmap_o.readdata(1) &lt;= rmap_registers_wr_i.aeb_hk_adc1_rd_config_1.drate1;</t>
  </si>
  <si>
    <t xml:space="preserve">      -- AEB Housekeeping Area Register "ADC1_RD_CONFIG_1" : "SBCS0" Field</t>
  </si>
  <si>
    <t xml:space="preserve">      fee_rmap_o.readdata(2) &lt;= rmap_registers_wr_i.aeb_hk_adc1_rd_config_1.sbcs0;</t>
  </si>
  <si>
    <t xml:space="preserve">      -- AEB Housekeeping Area Register "ADC1_RD_CONFIG_1" : "SBCS1" Field</t>
  </si>
  <si>
    <t xml:space="preserve">      fee_rmap_o.readdata(3) &lt;= rmap_registers_wr_i.aeb_hk_adc1_rd_config_1.sbcs1;</t>
  </si>
  <si>
    <t xml:space="preserve">      -- AEB Housekeeping Area Register "ADC1_RD_CONFIG_1" : "DLY0" Field</t>
  </si>
  <si>
    <t xml:space="preserve">      fee_rmap_o.readdata(4) &lt;= rmap_registers_wr_i.aeb_hk_adc1_rd_config_1.dly0;</t>
  </si>
  <si>
    <t xml:space="preserve">      -- AEB Housekeeping Area Register "ADC1_RD_CONFIG_1" : "DLY1" Field</t>
  </si>
  <si>
    <t xml:space="preserve">      fee_rmap_o.readdata(5) &lt;= rmap_registers_wr_i.aeb_hk_adc1_rd_config_1.dly1;</t>
  </si>
  <si>
    <t xml:space="preserve">      -- AEB Housekeeping Area Register "ADC1_RD_CONFIG_1" : "DLY2" Field</t>
  </si>
  <si>
    <t xml:space="preserve">      fee_rmap_o.readdata(6) &lt;= rmap_registers_wr_i.aeb_hk_adc1_rd_config_1.dly2;</t>
  </si>
  <si>
    <t xml:space="preserve">      -- AEB Housekeeping Area Register "ADC1_RD_CONFIG_1" : "IDLMOD" Field</t>
  </si>
  <si>
    <t xml:space="preserve">      fee_rmap_o.readdata(7) &lt;= rmap_registers_wr_i.aeb_hk_adc1_rd_config_1.idlmod;</t>
  </si>
  <si>
    <t xml:space="preserve">  when (x"00001082") =&gt;</t>
  </si>
  <si>
    <t xml:space="preserve">      -- AEB Housekeeping Area Register "ADC1_RD_CONFIG_1" : "AINN0" Field</t>
  </si>
  <si>
    <t xml:space="preserve">      fee_rmap_o.readdata(0) &lt;= rmap_registers_wr_i.aeb_hk_adc1_rd_config_1.ainn0;</t>
  </si>
  <si>
    <t xml:space="preserve">      -- AEB Housekeeping Area Register "ADC1_RD_CONFIG_1" : "AINN1" Field</t>
  </si>
  <si>
    <t xml:space="preserve">      fee_rmap_o.readdata(1) &lt;= rmap_registers_wr_i.aeb_hk_adc1_rd_config_1.ainn1;</t>
  </si>
  <si>
    <t xml:space="preserve">      -- AEB Housekeeping Area Register "ADC1_RD_CONFIG_1" : "AINN2" Field</t>
  </si>
  <si>
    <t xml:space="preserve">      fee_rmap_o.readdata(2) &lt;= rmap_registers_wr_i.aeb_hk_adc1_rd_config_1.ainn2;</t>
  </si>
  <si>
    <t xml:space="preserve">      -- AEB Housekeeping Area Register "ADC1_RD_CONFIG_1" : "AINN3" Field</t>
  </si>
  <si>
    <t xml:space="preserve">      fee_rmap_o.readdata(3) &lt;= rmap_registers_wr_i.aeb_hk_adc1_rd_config_1.ainn3;</t>
  </si>
  <si>
    <t xml:space="preserve">      -- AEB Housekeeping Area Register "ADC1_RD_CONFIG_1" : "AINP0" Field</t>
  </si>
  <si>
    <t xml:space="preserve">      fee_rmap_o.readdata(4) &lt;= rmap_registers_wr_i.aeb_hk_adc1_rd_config_1.ainp0;</t>
  </si>
  <si>
    <t xml:space="preserve">      -- AEB Housekeeping Area Register "ADC1_RD_CONFIG_1" : "AINP1" Field</t>
  </si>
  <si>
    <t xml:space="preserve">      fee_rmap_o.readdata(5) &lt;= rmap_registers_wr_i.aeb_hk_adc1_rd_config_1.ainp1;</t>
  </si>
  <si>
    <t xml:space="preserve">      -- AEB Housekeeping Area Register "ADC1_RD_CONFIG_1" : "AINP2" Field</t>
  </si>
  <si>
    <t xml:space="preserve">      fee_rmap_o.readdata(6) &lt;= rmap_registers_wr_i.aeb_hk_adc1_rd_config_1.ainp2;</t>
  </si>
  <si>
    <t xml:space="preserve">      -- AEB Housekeeping Area Register "ADC1_RD_CONFIG_1" : "AINP3" Field</t>
  </si>
  <si>
    <t xml:space="preserve">      fee_rmap_o.readdata(7) &lt;= rmap_registers_wr_i.aeb_hk_adc1_rd_config_1.ainp3;</t>
  </si>
  <si>
    <t xml:space="preserve">  when (x"00001083") =&gt;</t>
  </si>
  <si>
    <t xml:space="preserve">      -- AEB Housekeeping Area Register "ADC1_RD_CONFIG_1" : "DIFF0" Field</t>
  </si>
  <si>
    <t xml:space="preserve">      fee_rmap_o.readdata(0) &lt;= rmap_registers_wr_i.aeb_hk_adc1_rd_config_1.diff0;</t>
  </si>
  <si>
    <t xml:space="preserve">      -- AEB Housekeeping Area Register "ADC1_RD_CONFIG_1" : "DIFF1" Field</t>
  </si>
  <si>
    <t xml:space="preserve">      fee_rmap_o.readdata(1) &lt;= rmap_registers_wr_i.aeb_hk_adc1_rd_config_1.diff1;</t>
  </si>
  <si>
    <t xml:space="preserve">      -- AEB Housekeeping Area Register "ADC1_RD_CONFIG_1" : "DIFF2" Field</t>
  </si>
  <si>
    <t xml:space="preserve">      fee_rmap_o.readdata(2) &lt;= rmap_registers_wr_i.aeb_hk_adc1_rd_config_1.diff2;</t>
  </si>
  <si>
    <t xml:space="preserve">      -- AEB Housekeeping Area Register "ADC1_RD_CONFIG_1" : "DIFF3" Field</t>
  </si>
  <si>
    <t xml:space="preserve">      fee_rmap_o.readdata(3) &lt;= rmap_registers_wr_i.aeb_hk_adc1_rd_config_1.diff3;</t>
  </si>
  <si>
    <t xml:space="preserve">      -- AEB Housekeeping Area Register "ADC1_RD_CONFIG_1" : "DIFF4" Field</t>
  </si>
  <si>
    <t xml:space="preserve">      fee_rmap_o.readdata(4) &lt;= rmap_registers_wr_i.aeb_hk_adc1_rd_config_1.diff4;</t>
  </si>
  <si>
    <t xml:space="preserve">      -- AEB Housekeeping Area Register "ADC1_RD_CONFIG_1" : "DIFF5" Field</t>
  </si>
  <si>
    <t xml:space="preserve">      fee_rmap_o.readdata(5) &lt;= rmap_registers_wr_i.aeb_hk_adc1_rd_config_1.diff5;</t>
  </si>
  <si>
    <t xml:space="preserve">      -- AEB Housekeeping Area Register "ADC1_RD_CONFIG_1" : "DIFF6" Field</t>
  </si>
  <si>
    <t xml:space="preserve">      fee_rmap_o.readdata(6) &lt;= rmap_registers_wr_i.aeb_hk_adc1_rd_config_1.diff6;</t>
  </si>
  <si>
    <t xml:space="preserve">      -- AEB Housekeeping Area Register "ADC1_RD_CONFIG_1" : "DIFF7" Field</t>
  </si>
  <si>
    <t xml:space="preserve">      fee_rmap_o.readdata(7) &lt;= rmap_registers_wr_i.aeb_hk_adc1_rd_config_1.diff7;</t>
  </si>
  <si>
    <t xml:space="preserve">  when (x"00001084") =&gt;</t>
  </si>
  <si>
    <t xml:space="preserve">      -- AEB Housekeeping Area Register "ADC1_RD_CONFIG_2" : "AIN0" Field</t>
  </si>
  <si>
    <t xml:space="preserve">      fee_rmap_o.readdata(0) &lt;= rmap_registers_wr_i.aeb_hk_adc1_rd_config_2.ain0;</t>
  </si>
  <si>
    <t xml:space="preserve">      -- AEB Housekeeping Area Register "ADC1_RD_CONFIG_2" : "AIN1" Field</t>
  </si>
  <si>
    <t xml:space="preserve">      fee_rmap_o.readdata(1) &lt;= rmap_registers_wr_i.aeb_hk_adc1_rd_config_2.ain1;</t>
  </si>
  <si>
    <t xml:space="preserve">      -- AEB Housekeeping Area Register "ADC1_RD_CONFIG_2" : "AIN2" Field</t>
  </si>
  <si>
    <t xml:space="preserve">      fee_rmap_o.readdata(2) &lt;= rmap_registers_wr_i.aeb_hk_adc1_rd_config_2.ain2;</t>
  </si>
  <si>
    <t xml:space="preserve">      -- AEB Housekeeping Area Register "ADC1_RD_CONFIG_2" : "AIN3" Field</t>
  </si>
  <si>
    <t xml:space="preserve">      fee_rmap_o.readdata(3) &lt;= rmap_registers_wr_i.aeb_hk_adc1_rd_config_2.ain3;</t>
  </si>
  <si>
    <t xml:space="preserve">      -- AEB Housekeeping Area Register "ADC1_RD_CONFIG_2" : "AIN4" Field</t>
  </si>
  <si>
    <t xml:space="preserve">      fee_rmap_o.readdata(4) &lt;= rmap_registers_wr_i.aeb_hk_adc1_rd_config_2.ain4;</t>
  </si>
  <si>
    <t xml:space="preserve">      -- AEB Housekeeping Area Register "ADC1_RD_CONFIG_2" : "AIN5" Field</t>
  </si>
  <si>
    <t xml:space="preserve">      fee_rmap_o.readdata(5) &lt;= rmap_registers_wr_i.aeb_hk_adc1_rd_config_2.ain5;</t>
  </si>
  <si>
    <t xml:space="preserve">      -- AEB Housekeeping Area Register "ADC1_RD_CONFIG_2" : "AIN6" Field</t>
  </si>
  <si>
    <t xml:space="preserve">      fee_rmap_o.readdata(6) &lt;= rmap_registers_wr_i.aeb_hk_adc1_rd_config_2.ain6;</t>
  </si>
  <si>
    <t xml:space="preserve">      -- AEB Housekeeping Area Register "ADC1_RD_CONFIG_2" : "AIN7" Field</t>
  </si>
  <si>
    <t xml:space="preserve">      fee_rmap_o.readdata(7) &lt;= rmap_registers_wr_i.aeb_hk_adc1_rd_config_2.ain7;</t>
  </si>
  <si>
    <t xml:space="preserve">  when (x"00001085") =&gt;</t>
  </si>
  <si>
    <t xml:space="preserve">      -- AEB Housekeeping Area Register "ADC1_RD_CONFIG_2" : "AIN8" Field</t>
  </si>
  <si>
    <t xml:space="preserve">      fee_rmap_o.readdata(0) &lt;= rmap_registers_wr_i.aeb_hk_adc1_rd_config_2.ain8;</t>
  </si>
  <si>
    <t xml:space="preserve">      -- AEB Housekeeping Area Register "ADC1_RD_CONFIG_2" : "AIN9" Field</t>
  </si>
  <si>
    <t xml:space="preserve">      fee_rmap_o.readdata(1) &lt;= rmap_registers_wr_i.aeb_hk_adc1_rd_config_2.ain9;</t>
  </si>
  <si>
    <t xml:space="preserve">      -- AEB Housekeeping Area Register "ADC1_RD_CONFIG_2" : "AIN10" Field</t>
  </si>
  <si>
    <t xml:space="preserve">      fee_rmap_o.readdata(2) &lt;= rmap_registers_wr_i.aeb_hk_adc1_rd_config_2.ain10;</t>
  </si>
  <si>
    <t xml:space="preserve">      -- AEB Housekeeping Area Register "ADC1_RD_CONFIG_2" : "AIN11" Field</t>
  </si>
  <si>
    <t xml:space="preserve">      fee_rmap_o.readdata(3) &lt;= rmap_registers_wr_i.aeb_hk_adc1_rd_config_2.ain11;</t>
  </si>
  <si>
    <t xml:space="preserve">      -- AEB Housekeeping Area Register "ADC1_RD_CONFIG_2" : "AIN12" Field</t>
  </si>
  <si>
    <t xml:space="preserve">      fee_rmap_o.readdata(4) &lt;= rmap_registers_wr_i.aeb_hk_adc1_rd_config_2.ain12;</t>
  </si>
  <si>
    <t xml:space="preserve">      -- AEB Housekeeping Area Register "ADC1_RD_CONFIG_2" : "AIN13" Field</t>
  </si>
  <si>
    <t xml:space="preserve">      fee_rmap_o.readdata(5) &lt;= rmap_registers_wr_i.aeb_hk_adc1_rd_config_2.ain13;</t>
  </si>
  <si>
    <t xml:space="preserve">      -- AEB Housekeeping Area Register "ADC1_RD_CONFIG_2" : "AIN14" Field</t>
  </si>
  <si>
    <t xml:space="preserve">      fee_rmap_o.readdata(6) &lt;= rmap_registers_wr_i.aeb_hk_adc1_rd_config_2.ain14;</t>
  </si>
  <si>
    <t xml:space="preserve">      -- AEB Housekeeping Area Register "ADC1_RD_CONFIG_2" : "AIN15" Field</t>
  </si>
  <si>
    <t xml:space="preserve">      fee_rmap_o.readdata(7) &lt;= rmap_registers_wr_i.aeb_hk_adc1_rd_config_2.ain15;</t>
  </si>
  <si>
    <t xml:space="preserve">  when (x"00001086") =&gt;</t>
  </si>
  <si>
    <t xml:space="preserve">      -- AEB Housekeeping Area Register "ADC1_RD_CONFIG_2" : "OFFSET" Field</t>
  </si>
  <si>
    <t xml:space="preserve">      fee_rmap_o.readdata(0) &lt;= rmap_registers_wr_i.aeb_hk_adc1_rd_config_2.offset;</t>
  </si>
  <si>
    <t xml:space="preserve">      -- AEB Housekeeping Area Register "ADC1_RD_CONFIG_2" : "VCC" Field</t>
  </si>
  <si>
    <t xml:space="preserve">      fee_rmap_o.readdata(2) &lt;= rmap_registers_wr_i.aeb_hk_adc1_rd_config_2.vcc;</t>
  </si>
  <si>
    <t xml:space="preserve">      -- AEB Housekeeping Area Register "ADC1_RD_CONFIG_2" : "TEMP" Field</t>
  </si>
  <si>
    <t xml:space="preserve">      fee_rmap_o.readdata(3) &lt;= rmap_registers_wr_i.aeb_hk_adc1_rd_config_2.temp;</t>
  </si>
  <si>
    <t xml:space="preserve">      -- AEB Housekeeping Area Register "ADC1_RD_CONFIG_2" : "GAIN" Field</t>
  </si>
  <si>
    <t xml:space="preserve">      fee_rmap_o.readdata(4) &lt;= rmap_registers_wr_i.aeb_hk_adc1_rd_config_2.gain;</t>
  </si>
  <si>
    <t xml:space="preserve">      -- AEB Housekeeping Area Register "ADC1_RD_CONFIG_2" : "REF" Field</t>
  </si>
  <si>
    <t xml:space="preserve">      fee_rmap_o.readdata(5) &lt;= rmap_registers_wr_i.aeb_hk_adc1_rd_config_2.ref;</t>
  </si>
  <si>
    <t xml:space="preserve">  when (x"00001087") =&gt;</t>
  </si>
  <si>
    <t xml:space="preserve">      -- AEB Housekeeping Area Register "ADC1_RD_CONFIG_2" : "CIO0" Field</t>
  </si>
  <si>
    <t xml:space="preserve">      fee_rmap_o.readdata(0) &lt;= rmap_registers_wr_i.aeb_hk_adc1_rd_config_2.cio0;</t>
  </si>
  <si>
    <t xml:space="preserve">      -- AEB Housekeeping Area Register "ADC1_RD_CONFIG_2" : "CIO1" Field</t>
  </si>
  <si>
    <t xml:space="preserve">      fee_rmap_o.readdata(1) &lt;= rmap_registers_wr_i.aeb_hk_adc1_rd_config_2.cio1;</t>
  </si>
  <si>
    <t xml:space="preserve">      -- AEB Housekeeping Area Register "ADC1_RD_CONFIG_2" : "CIO2" Field</t>
  </si>
  <si>
    <t xml:space="preserve">      fee_rmap_o.readdata(2) &lt;= rmap_registers_wr_i.aeb_hk_adc1_rd_config_2.cio2;</t>
  </si>
  <si>
    <t xml:space="preserve">      -- AEB Housekeeping Area Register "ADC1_RD_CONFIG_2" : "CIO3" Field</t>
  </si>
  <si>
    <t xml:space="preserve">      fee_rmap_o.readdata(3) &lt;= rmap_registers_wr_i.aeb_hk_adc1_rd_config_2.cio3;</t>
  </si>
  <si>
    <t xml:space="preserve">      -- AEB Housekeeping Area Register "ADC1_RD_CONFIG_2" : "CIO4" Field</t>
  </si>
  <si>
    <t xml:space="preserve">      fee_rmap_o.readdata(4) &lt;= rmap_registers_wr_i.aeb_hk_adc1_rd_config_2.cio4;</t>
  </si>
  <si>
    <t xml:space="preserve">      -- AEB Housekeeping Area Register "ADC1_RD_CONFIG_2" : "CIO5" Field</t>
  </si>
  <si>
    <t xml:space="preserve">      fee_rmap_o.readdata(5) &lt;= rmap_registers_wr_i.aeb_hk_adc1_rd_config_2.cio5;</t>
  </si>
  <si>
    <t xml:space="preserve">      -- AEB Housekeeping Area Register "ADC1_RD_CONFIG_2" : "CIO6" Field</t>
  </si>
  <si>
    <t xml:space="preserve">      fee_rmap_o.readdata(6) &lt;= rmap_registers_wr_i.aeb_hk_adc1_rd_config_2.cio6;</t>
  </si>
  <si>
    <t xml:space="preserve">      -- AEB Housekeeping Area Register "ADC1_RD_CONFIG_2" : "CIO7" Field</t>
  </si>
  <si>
    <t xml:space="preserve">      fee_rmap_o.readdata(7) &lt;= rmap_registers_wr_i.aeb_hk_adc1_rd_config_2.cio7;</t>
  </si>
  <si>
    <t xml:space="preserve">  when (x"00001088") =&gt;</t>
  </si>
  <si>
    <t xml:space="preserve">      -- AEB Housekeeping Area Register "ADC1_RD_CONFIG_3" : "DIO0" Field</t>
  </si>
  <si>
    <t xml:space="preserve">      fee_rmap_o.readdata(0) &lt;= rmap_registers_wr_i.aeb_hk_adc1_rd_config_3.dio0;</t>
  </si>
  <si>
    <t xml:space="preserve">      -- AEB Housekeeping Area Register "ADC1_RD_CONFIG_3" : "DIO1" Field</t>
  </si>
  <si>
    <t xml:space="preserve">      fee_rmap_o.readdata(1) &lt;= rmap_registers_wr_i.aeb_hk_adc1_rd_config_3.dio1;</t>
  </si>
  <si>
    <t xml:space="preserve">      -- AEB Housekeeping Area Register "ADC1_RD_CONFIG_3" : "DIO2" Field</t>
  </si>
  <si>
    <t xml:space="preserve">      fee_rmap_o.readdata(2) &lt;= rmap_registers_wr_i.aeb_hk_adc1_rd_config_3.dio2;</t>
  </si>
  <si>
    <t xml:space="preserve">      -- AEB Housekeeping Area Register "ADC1_RD_CONFIG_3" : "DIO3" Field</t>
  </si>
  <si>
    <t xml:space="preserve">      fee_rmap_o.readdata(3) &lt;= rmap_registers_wr_i.aeb_hk_adc1_rd_config_3.dio3;</t>
  </si>
  <si>
    <t xml:space="preserve">      -- AEB Housekeeping Area Register "ADC1_RD_CONFIG_3" : "DIO4" Field</t>
  </si>
  <si>
    <t xml:space="preserve">      fee_rmap_o.readdata(4) &lt;= rmap_registers_wr_i.aeb_hk_adc1_rd_config_3.dio4;</t>
  </si>
  <si>
    <t xml:space="preserve">      -- AEB Housekeeping Area Register "ADC1_RD_CONFIG_3" : "DIO5" Field</t>
  </si>
  <si>
    <t xml:space="preserve">      fee_rmap_o.readdata(5) &lt;= rmap_registers_wr_i.aeb_hk_adc1_rd_config_3.dio5;</t>
  </si>
  <si>
    <t xml:space="preserve">      -- AEB Housekeeping Area Register "ADC1_RD_CONFIG_3" : "DIO6" Field</t>
  </si>
  <si>
    <t xml:space="preserve">      fee_rmap_o.readdata(6) &lt;= rmap_registers_wr_i.aeb_hk_adc1_rd_config_3.dio6;</t>
  </si>
  <si>
    <t xml:space="preserve">      -- AEB Housekeeping Area Register "ADC1_RD_CONFIG_3" : "DIO7" Field</t>
  </si>
  <si>
    <t xml:space="preserve">      fee_rmap_o.readdata(7) &lt;= rmap_registers_wr_i.aeb_hk_adc1_rd_config_3.dio7;</t>
  </si>
  <si>
    <t xml:space="preserve">  when (x"00001090") =&gt;</t>
  </si>
  <si>
    <t xml:space="preserve">      -- AEB Housekeeping Area Register "ADC2_RD_CONFIG_1" : "STAT" Field</t>
  </si>
  <si>
    <t xml:space="preserve">      fee_rmap_o.readdata(1) &lt;= rmap_registers_wr_i.aeb_hk_adc2_rd_config_1.stat;</t>
  </si>
  <si>
    <t xml:space="preserve">      -- AEB Housekeeping Area Register "ADC2_RD_CONFIG_1" : "CHOP" Field</t>
  </si>
  <si>
    <t xml:space="preserve">      fee_rmap_o.readdata(2) &lt;= rmap_registers_wr_i.aeb_hk_adc2_rd_config_1.chop;</t>
  </si>
  <si>
    <t xml:space="preserve">      -- AEB Housekeeping Area Register "ADC2_RD_CONFIG_1" : "CLKENB" Field</t>
  </si>
  <si>
    <t xml:space="preserve">      fee_rmap_o.readdata(3) &lt;= rmap_registers_wr_i.aeb_hk_adc2_rd_config_1.clkenb;</t>
  </si>
  <si>
    <t xml:space="preserve">      -- AEB Housekeeping Area Register "ADC2_RD_CONFIG_1" : "BYPAS" Field</t>
  </si>
  <si>
    <t xml:space="preserve">      fee_rmap_o.readdata(4) &lt;= rmap_registers_wr_i.aeb_hk_adc2_rd_config_1.bypas;</t>
  </si>
  <si>
    <t xml:space="preserve">      -- AEB Housekeeping Area Register "ADC2_RD_CONFIG_1" : "MUXMOD" Field</t>
  </si>
  <si>
    <t xml:space="preserve">      fee_rmap_o.readdata(5) &lt;= rmap_registers_wr_i.aeb_hk_adc2_rd_config_1.muxmod;</t>
  </si>
  <si>
    <t xml:space="preserve">      -- AEB Housekeeping Area Register "ADC2_RD_CONFIG_1" : "SPIRST" Field</t>
  </si>
  <si>
    <t xml:space="preserve">      fee_rmap_o.readdata(6) &lt;= rmap_registers_wr_i.aeb_hk_adc2_rd_config_1.spirst;</t>
  </si>
  <si>
    <t xml:space="preserve">  when (x"00001091") =&gt;</t>
  </si>
  <si>
    <t xml:space="preserve">      -- AEB Housekeeping Area Register "ADC2_RD_CONFIG_1" : "DRATE0" Field</t>
  </si>
  <si>
    <t xml:space="preserve">      fee_rmap_o.readdata(0) &lt;= rmap_registers_wr_i.aeb_hk_adc2_rd_config_1.drate0;</t>
  </si>
  <si>
    <t xml:space="preserve">      -- AEB Housekeeping Area Register "ADC2_RD_CONFIG_1" : "DRATE1" Field</t>
  </si>
  <si>
    <t xml:space="preserve">      fee_rmap_o.readdata(1) &lt;= rmap_registers_wr_i.aeb_hk_adc2_rd_config_1.drate1;</t>
  </si>
  <si>
    <t xml:space="preserve">      -- AEB Housekeeping Area Register "ADC2_RD_CONFIG_1" : "SBCS0" Field</t>
  </si>
  <si>
    <t xml:space="preserve">      fee_rmap_o.readdata(2) &lt;= rmap_registers_wr_i.aeb_hk_adc2_rd_config_1.sbcs0;</t>
  </si>
  <si>
    <t xml:space="preserve">      -- AEB Housekeeping Area Register "ADC2_RD_CONFIG_1" : "SBCS1" Field</t>
  </si>
  <si>
    <t xml:space="preserve">      fee_rmap_o.readdata(3) &lt;= rmap_registers_wr_i.aeb_hk_adc2_rd_config_1.sbcs1;</t>
  </si>
  <si>
    <t xml:space="preserve">      -- AEB Housekeeping Area Register "ADC2_RD_CONFIG_1" : "DLY0" Field</t>
  </si>
  <si>
    <t xml:space="preserve">      fee_rmap_o.readdata(4) &lt;= rmap_registers_wr_i.aeb_hk_adc2_rd_config_1.dly0;</t>
  </si>
  <si>
    <t xml:space="preserve">      -- AEB Housekeeping Area Register "ADC2_RD_CONFIG_1" : "DLY1" Field</t>
  </si>
  <si>
    <t xml:space="preserve">      fee_rmap_o.readdata(5) &lt;= rmap_registers_wr_i.aeb_hk_adc2_rd_config_1.dly1;</t>
  </si>
  <si>
    <t xml:space="preserve">      -- AEB Housekeeping Area Register "ADC2_RD_CONFIG_1" : "DLY2" Field</t>
  </si>
  <si>
    <t xml:space="preserve">      fee_rmap_o.readdata(6) &lt;= rmap_registers_wr_i.aeb_hk_adc2_rd_config_1.dly2;</t>
  </si>
  <si>
    <t xml:space="preserve">      -- AEB Housekeeping Area Register "ADC2_RD_CONFIG_1" : "IDLMOD" Field</t>
  </si>
  <si>
    <t xml:space="preserve">      fee_rmap_o.readdata(7) &lt;= rmap_registers_wr_i.aeb_hk_adc2_rd_config_1.idlmod;</t>
  </si>
  <si>
    <t xml:space="preserve">  when (x"00001092") =&gt;</t>
  </si>
  <si>
    <t xml:space="preserve">      -- AEB Housekeeping Area Register "ADC2_RD_CONFIG_1" : "AINN0" Field</t>
  </si>
  <si>
    <t xml:space="preserve">      fee_rmap_o.readdata(0) &lt;= rmap_registers_wr_i.aeb_hk_adc2_rd_config_1.ainn0;</t>
  </si>
  <si>
    <t xml:space="preserve">      -- AEB Housekeeping Area Register "ADC2_RD_CONFIG_1" : "AINN1" Field</t>
  </si>
  <si>
    <t xml:space="preserve">      fee_rmap_o.readdata(1) &lt;= rmap_registers_wr_i.aeb_hk_adc2_rd_config_1.ainn1;</t>
  </si>
  <si>
    <t xml:space="preserve">      -- AEB Housekeeping Area Register "ADC2_RD_CONFIG_1" : "AINN2" Field</t>
  </si>
  <si>
    <t xml:space="preserve">      fee_rmap_o.readdata(2) &lt;= rmap_registers_wr_i.aeb_hk_adc2_rd_config_1.ainn2;</t>
  </si>
  <si>
    <t xml:space="preserve">      -- AEB Housekeeping Area Register "ADC2_RD_CONFIG_1" : "AINN3" Field</t>
  </si>
  <si>
    <t xml:space="preserve">      fee_rmap_o.readdata(3) &lt;= rmap_registers_wr_i.aeb_hk_adc2_rd_config_1.ainn3;</t>
  </si>
  <si>
    <t xml:space="preserve">      -- AEB Housekeeping Area Register "ADC2_RD_CONFIG_1" : "AINP0" Field</t>
  </si>
  <si>
    <t xml:space="preserve">      fee_rmap_o.readdata(4) &lt;= rmap_registers_wr_i.aeb_hk_adc2_rd_config_1.ainp0;</t>
  </si>
  <si>
    <t xml:space="preserve">      -- AEB Housekeeping Area Register "ADC2_RD_CONFIG_1" : "AINP1" Field</t>
  </si>
  <si>
    <t xml:space="preserve">      fee_rmap_o.readdata(5) &lt;= rmap_registers_wr_i.aeb_hk_adc2_rd_config_1.ainp1;</t>
  </si>
  <si>
    <t xml:space="preserve">      -- AEB Housekeeping Area Register "ADC2_RD_CONFIG_1" : "AINP2" Field</t>
  </si>
  <si>
    <t xml:space="preserve">      fee_rmap_o.readdata(6) &lt;= rmap_registers_wr_i.aeb_hk_adc2_rd_config_1.ainp2;</t>
  </si>
  <si>
    <t xml:space="preserve">      -- AEB Housekeeping Area Register "ADC2_RD_CONFIG_1" : "AINP3" Field</t>
  </si>
  <si>
    <t xml:space="preserve">      fee_rmap_o.readdata(7) &lt;= rmap_registers_wr_i.aeb_hk_adc2_rd_config_1.ainp3;</t>
  </si>
  <si>
    <t xml:space="preserve">  when (x"00001093") =&gt;</t>
  </si>
  <si>
    <t xml:space="preserve">      -- AEB Housekeeping Area Register "ADC2_RD_CONFIG_1" : "DIFF0" Field</t>
  </si>
  <si>
    <t xml:space="preserve">      fee_rmap_o.readdata(0) &lt;= rmap_registers_wr_i.aeb_hk_adc2_rd_config_1.diff0;</t>
  </si>
  <si>
    <t xml:space="preserve">      -- AEB Housekeeping Area Register "ADC2_RD_CONFIG_1" : "DIFF1" Field</t>
  </si>
  <si>
    <t xml:space="preserve">      fee_rmap_o.readdata(1) &lt;= rmap_registers_wr_i.aeb_hk_adc2_rd_config_1.diff1;</t>
  </si>
  <si>
    <t xml:space="preserve">      -- AEB Housekeeping Area Register "ADC2_RD_CONFIG_1" : "DIFF2" Field</t>
  </si>
  <si>
    <t xml:space="preserve">      fee_rmap_o.readdata(2) &lt;= rmap_registers_wr_i.aeb_hk_adc2_rd_config_1.diff2;</t>
  </si>
  <si>
    <t xml:space="preserve">      -- AEB Housekeeping Area Register "ADC2_RD_CONFIG_1" : "DIFF3" Field</t>
  </si>
  <si>
    <t xml:space="preserve">      fee_rmap_o.readdata(3) &lt;= rmap_registers_wr_i.aeb_hk_adc2_rd_config_1.diff3;</t>
  </si>
  <si>
    <t xml:space="preserve">      -- AEB Housekeeping Area Register "ADC2_RD_CONFIG_1" : "DIFF4" Field</t>
  </si>
  <si>
    <t xml:space="preserve">      fee_rmap_o.readdata(4) &lt;= rmap_registers_wr_i.aeb_hk_adc2_rd_config_1.diff4;</t>
  </si>
  <si>
    <t xml:space="preserve">      -- AEB Housekeeping Area Register "ADC2_RD_CONFIG_1" : "DIFF5" Field</t>
  </si>
  <si>
    <t xml:space="preserve">      fee_rmap_o.readdata(5) &lt;= rmap_registers_wr_i.aeb_hk_adc2_rd_config_1.diff5;</t>
  </si>
  <si>
    <t xml:space="preserve">      -- AEB Housekeeping Area Register "ADC2_RD_CONFIG_1" : "DIFF6" Field</t>
  </si>
  <si>
    <t xml:space="preserve">      fee_rmap_o.readdata(6) &lt;= rmap_registers_wr_i.aeb_hk_adc2_rd_config_1.diff6;</t>
  </si>
  <si>
    <t xml:space="preserve">      -- AEB Housekeeping Area Register "ADC2_RD_CONFIG_1" : "DIFF7" Field</t>
  </si>
  <si>
    <t xml:space="preserve">      fee_rmap_o.readdata(7) &lt;= rmap_registers_wr_i.aeb_hk_adc2_rd_config_1.diff7;</t>
  </si>
  <si>
    <t xml:space="preserve">  when (x"00001094") =&gt;</t>
  </si>
  <si>
    <t xml:space="preserve">      -- AEB Housekeeping Area Register "ADC2_RD_CONFIG_2" : "AIN0" Field</t>
  </si>
  <si>
    <t xml:space="preserve">      fee_rmap_o.readdata(0) &lt;= rmap_registers_wr_i.aeb_hk_adc2_rd_config_2.ain0;</t>
  </si>
  <si>
    <t xml:space="preserve">      -- AEB Housekeeping Area Register "ADC2_RD_CONFIG_2" : "AIN1" Field</t>
  </si>
  <si>
    <t xml:space="preserve">      fee_rmap_o.readdata(1) &lt;= rmap_registers_wr_i.aeb_hk_adc2_rd_config_2.ain1;</t>
  </si>
  <si>
    <t xml:space="preserve">      -- AEB Housekeeping Area Register "ADC2_RD_CONFIG_2" : "AIN2" Field</t>
  </si>
  <si>
    <t xml:space="preserve">      fee_rmap_o.readdata(2) &lt;= rmap_registers_wr_i.aeb_hk_adc2_rd_config_2.ain2;</t>
  </si>
  <si>
    <t xml:space="preserve">      -- AEB Housekeeping Area Register "ADC2_RD_CONFIG_2" : "AIN3" Field</t>
  </si>
  <si>
    <t xml:space="preserve">      fee_rmap_o.readdata(3) &lt;= rmap_registers_wr_i.aeb_hk_adc2_rd_config_2.ain3;</t>
  </si>
  <si>
    <t xml:space="preserve">      -- AEB Housekeeping Area Register "ADC2_RD_CONFIG_2" : "AIN4" Field</t>
  </si>
  <si>
    <t xml:space="preserve">      fee_rmap_o.readdata(4) &lt;= rmap_registers_wr_i.aeb_hk_adc2_rd_config_2.ain4;</t>
  </si>
  <si>
    <t xml:space="preserve">      -- AEB Housekeeping Area Register "ADC2_RD_CONFIG_2" : "AIN5" Field</t>
  </si>
  <si>
    <t xml:space="preserve">      fee_rmap_o.readdata(5) &lt;= rmap_registers_wr_i.aeb_hk_adc2_rd_config_2.ain5;</t>
  </si>
  <si>
    <t xml:space="preserve">      -- AEB Housekeeping Area Register "ADC2_RD_CONFIG_2" : "AIN6" Field</t>
  </si>
  <si>
    <t xml:space="preserve">      fee_rmap_o.readdata(6) &lt;= rmap_registers_wr_i.aeb_hk_adc2_rd_config_2.ain6;</t>
  </si>
  <si>
    <t xml:space="preserve">      -- AEB Housekeeping Area Register "ADC2_RD_CONFIG_2" : "AIN7" Field</t>
  </si>
  <si>
    <t xml:space="preserve">      fee_rmap_o.readdata(7) &lt;= rmap_registers_wr_i.aeb_hk_adc2_rd_config_2.ain7;</t>
  </si>
  <si>
    <t xml:space="preserve">  when (x"00001095") =&gt;</t>
  </si>
  <si>
    <t xml:space="preserve">      -- AEB Housekeeping Area Register "ADC2_RD_CONFIG_2" : "AIN8" Field</t>
  </si>
  <si>
    <t xml:space="preserve">      fee_rmap_o.readdata(0) &lt;= rmap_registers_wr_i.aeb_hk_adc2_rd_config_2.ain8;</t>
  </si>
  <si>
    <t xml:space="preserve">      -- AEB Housekeeping Area Register "ADC2_RD_CONFIG_2" : "AIN9" Field</t>
  </si>
  <si>
    <t xml:space="preserve">      fee_rmap_o.readdata(1) &lt;= rmap_registers_wr_i.aeb_hk_adc2_rd_config_2.ain9;</t>
  </si>
  <si>
    <t xml:space="preserve">      -- AEB Housekeeping Area Register "ADC2_RD_CONFIG_2" : "AIN10" Field</t>
  </si>
  <si>
    <t xml:space="preserve">      fee_rmap_o.readdata(2) &lt;= rmap_registers_wr_i.aeb_hk_adc2_rd_config_2.ain10;</t>
  </si>
  <si>
    <t xml:space="preserve">      -- AEB Housekeeping Area Register "ADC2_RD_CONFIG_2" : "AIN11" Field</t>
  </si>
  <si>
    <t xml:space="preserve">      fee_rmap_o.readdata(3) &lt;= rmap_registers_wr_i.aeb_hk_adc2_rd_config_2.ain11;</t>
  </si>
  <si>
    <t xml:space="preserve">      -- AEB Housekeeping Area Register "ADC2_RD_CONFIG_2" : "AIN12" Field</t>
  </si>
  <si>
    <t xml:space="preserve">      fee_rmap_o.readdata(4) &lt;= rmap_registers_wr_i.aeb_hk_adc2_rd_config_2.ain12;</t>
  </si>
  <si>
    <t xml:space="preserve">      -- AEB Housekeeping Area Register "ADC2_RD_CONFIG_2" : "AIN13" Field</t>
  </si>
  <si>
    <t xml:space="preserve">      fee_rmap_o.readdata(5) &lt;= rmap_registers_wr_i.aeb_hk_adc2_rd_config_2.ain13;</t>
  </si>
  <si>
    <t xml:space="preserve">      -- AEB Housekeeping Area Register "ADC2_RD_CONFIG_2" : "AIN14" Field</t>
  </si>
  <si>
    <t xml:space="preserve">      fee_rmap_o.readdata(6) &lt;= rmap_registers_wr_i.aeb_hk_adc2_rd_config_2.ain14;</t>
  </si>
  <si>
    <t xml:space="preserve">      -- AEB Housekeeping Area Register "ADC2_RD_CONFIG_2" : "AIN15" Field</t>
  </si>
  <si>
    <t xml:space="preserve">      fee_rmap_o.readdata(7) &lt;= rmap_registers_wr_i.aeb_hk_adc2_rd_config_2.ain15;</t>
  </si>
  <si>
    <t xml:space="preserve">  when (x"00001096") =&gt;</t>
  </si>
  <si>
    <t xml:space="preserve">      -- AEB Housekeeping Area Register "ADC2_RD_CONFIG_2" : "OFFSET" Field</t>
  </si>
  <si>
    <t xml:space="preserve">      fee_rmap_o.readdata(0) &lt;= rmap_registers_wr_i.aeb_hk_adc2_rd_config_2.offset;</t>
  </si>
  <si>
    <t xml:space="preserve">      -- AEB Housekeeping Area Register "ADC2_RD_CONFIG_2" : "VCC" Field</t>
  </si>
  <si>
    <t xml:space="preserve">      fee_rmap_o.readdata(2) &lt;= rmap_registers_wr_i.aeb_hk_adc2_rd_config_2.vcc;</t>
  </si>
  <si>
    <t xml:space="preserve">      -- AEB Housekeeping Area Register "ADC2_RD_CONFIG_2" : "TEMP" Field</t>
  </si>
  <si>
    <t xml:space="preserve">      fee_rmap_o.readdata(3) &lt;= rmap_registers_wr_i.aeb_hk_adc2_rd_config_2.temp;</t>
  </si>
  <si>
    <t xml:space="preserve">      -- AEB Housekeeping Area Register "ADC2_RD_CONFIG_2" : "GAIN" Field</t>
  </si>
  <si>
    <t xml:space="preserve">      fee_rmap_o.readdata(4) &lt;= rmap_registers_wr_i.aeb_hk_adc2_rd_config_2.gain;</t>
  </si>
  <si>
    <t xml:space="preserve">      -- AEB Housekeeping Area Register "ADC2_RD_CONFIG_2" : "REF" Field</t>
  </si>
  <si>
    <t xml:space="preserve">      fee_rmap_o.readdata(5) &lt;= rmap_registers_wr_i.aeb_hk_adc2_rd_config_2.ref;</t>
  </si>
  <si>
    <t xml:space="preserve">  when (x"00001097") =&gt;</t>
  </si>
  <si>
    <t xml:space="preserve">      -- AEB Housekeeping Area Register "ADC2_RD_CONFIG_2" : "CIO0" Field</t>
  </si>
  <si>
    <t xml:space="preserve">      fee_rmap_o.readdata(0) &lt;= rmap_registers_wr_i.aeb_hk_adc2_rd_config_2.cio0;</t>
  </si>
  <si>
    <t xml:space="preserve">      -- AEB Housekeeping Area Register "ADC2_RD_CONFIG_2" : "CIO1" Field</t>
  </si>
  <si>
    <t xml:space="preserve">      fee_rmap_o.readdata(1) &lt;= rmap_registers_wr_i.aeb_hk_adc2_rd_config_2.cio1;</t>
  </si>
  <si>
    <t xml:space="preserve">      -- AEB Housekeeping Area Register "ADC2_RD_CONFIG_2" : "CIO2" Field</t>
  </si>
  <si>
    <t xml:space="preserve">      fee_rmap_o.readdata(2) &lt;= rmap_registers_wr_i.aeb_hk_adc2_rd_config_2.cio2;</t>
  </si>
  <si>
    <t xml:space="preserve">      -- AEB Housekeeping Area Register "ADC2_RD_CONFIG_2" : "CIO3" Field</t>
  </si>
  <si>
    <t xml:space="preserve">      fee_rmap_o.readdata(3) &lt;= rmap_registers_wr_i.aeb_hk_adc2_rd_config_2.cio3;</t>
  </si>
  <si>
    <t xml:space="preserve">      -- AEB Housekeeping Area Register "ADC2_RD_CONFIG_2" : "CIO4" Field</t>
  </si>
  <si>
    <t xml:space="preserve">      fee_rmap_o.readdata(4) &lt;= rmap_registers_wr_i.aeb_hk_adc2_rd_config_2.cio4;</t>
  </si>
  <si>
    <t xml:space="preserve">      -- AEB Housekeeping Area Register "ADC2_RD_CONFIG_2" : "CIO5" Field</t>
  </si>
  <si>
    <t xml:space="preserve">      fee_rmap_o.readdata(5) &lt;= rmap_registers_wr_i.aeb_hk_adc2_rd_config_2.cio5;</t>
  </si>
  <si>
    <t xml:space="preserve">      -- AEB Housekeeping Area Register "ADC2_RD_CONFIG_2" : "CIO6" Field</t>
  </si>
  <si>
    <t xml:space="preserve">      fee_rmap_o.readdata(6) &lt;= rmap_registers_wr_i.aeb_hk_adc2_rd_config_2.cio6;</t>
  </si>
  <si>
    <t xml:space="preserve">      -- AEB Housekeeping Area Register "ADC2_RD_CONFIG_2" : "CIO7" Field</t>
  </si>
  <si>
    <t xml:space="preserve">      fee_rmap_o.readdata(7) &lt;= rmap_registers_wr_i.aeb_hk_adc2_rd_config_2.cio7;</t>
  </si>
  <si>
    <t xml:space="preserve">  when (x"00001098") =&gt;</t>
  </si>
  <si>
    <t xml:space="preserve">      -- AEB Housekeeping Area Register "ADC2_RD_CONFIG_3" : "DIO0" Field</t>
  </si>
  <si>
    <t xml:space="preserve">      fee_rmap_o.readdata(0) &lt;= rmap_registers_wr_i.aeb_hk_adc2_rd_config_3.dio0;</t>
  </si>
  <si>
    <t xml:space="preserve">      -- AEB Housekeeping Area Register "ADC2_RD_CONFIG_3" : "DIO1" Field</t>
  </si>
  <si>
    <t xml:space="preserve">      fee_rmap_o.readdata(1) &lt;= rmap_registers_wr_i.aeb_hk_adc2_rd_config_3.dio1;</t>
  </si>
  <si>
    <t xml:space="preserve">      -- AEB Housekeeping Area Register "ADC2_RD_CONFIG_3" : "DIO2" Field</t>
  </si>
  <si>
    <t xml:space="preserve">      fee_rmap_o.readdata(2) &lt;= rmap_registers_wr_i.aeb_hk_adc2_rd_config_3.dio2;</t>
  </si>
  <si>
    <t xml:space="preserve">      -- AEB Housekeeping Area Register "ADC2_RD_CONFIG_3" : "DIO3" Field</t>
  </si>
  <si>
    <t xml:space="preserve">      fee_rmap_o.readdata(3) &lt;= rmap_registers_wr_i.aeb_hk_adc2_rd_config_3.dio3;</t>
  </si>
  <si>
    <t xml:space="preserve">      -- AEB Housekeeping Area Register "ADC2_RD_CONFIG_3" : "DIO4" Field</t>
  </si>
  <si>
    <t xml:space="preserve">      fee_rmap_o.readdata(4) &lt;= rmap_registers_wr_i.aeb_hk_adc2_rd_config_3.dio4;</t>
  </si>
  <si>
    <t xml:space="preserve">      -- AEB Housekeeping Area Register "ADC2_RD_CONFIG_3" : "DIO5" Field</t>
  </si>
  <si>
    <t xml:space="preserve">      fee_rmap_o.readdata(5) &lt;= rmap_registers_wr_i.aeb_hk_adc2_rd_config_3.dio5;</t>
  </si>
  <si>
    <t xml:space="preserve">      -- AEB Housekeeping Area Register "ADC2_RD_CONFIG_3" : "DIO6" Field</t>
  </si>
  <si>
    <t xml:space="preserve">      fee_rmap_o.readdata(6) &lt;= rmap_registers_wr_i.aeb_hk_adc2_rd_config_3.dio6;</t>
  </si>
  <si>
    <t xml:space="preserve">      -- AEB Housekeeping Area Register "ADC2_RD_CONFIG_3" : "DIO7" Field</t>
  </si>
  <si>
    <t xml:space="preserve">      fee_rmap_o.readdata(7) &lt;= rmap_registers_wr_i.aeb_hk_adc2_rd_config_3.dio7;</t>
  </si>
  <si>
    <t xml:space="preserve">  when (x"000010A0") =&gt;</t>
  </si>
  <si>
    <t xml:space="preserve">      -- AEB Housekeeping Area Register "VASP_RD_CONFIG" : "VASP1_READ_DATA" Field</t>
  </si>
  <si>
    <t xml:space="preserve">      fee_rmap_o.readdata &lt;= rmap_registers_wr_i.aeb_hk_vasp_rd_config.vasp1_read_data;</t>
  </si>
  <si>
    <t xml:space="preserve">  when (x"000010A1") =&gt;</t>
  </si>
  <si>
    <t xml:space="preserve">      -- AEB Housekeeping Area Register "VASP_RD_CONFIG" : "VASP2_READ_DATA" Field</t>
  </si>
  <si>
    <t xml:space="preserve">      fee_rmap_o.readdata &lt;= rmap_registers_wr_i.aeb_hk_vasp_rd_config.vasp2_read_data;</t>
  </si>
  <si>
    <t xml:space="preserve">  when (x"000011F0") =&gt;</t>
  </si>
  <si>
    <t xml:space="preserve">      -- AEB Housekeeping Area Register "REVISION_ID_1" : "FPGA_VERSION" Field</t>
  </si>
  <si>
    <t xml:space="preserve">      fee_rmap_o.readdata &lt;= rmap_registers_wr_i.aeb_hk_revision_id_1.fpga_version(15 downto 8);</t>
  </si>
  <si>
    <t xml:space="preserve">  when (x"000011F1") =&gt;</t>
  </si>
  <si>
    <t xml:space="preserve">      fee_rmap_o.readdata &lt;= rmap_registers_wr_i.aeb_hk_revision_id_1.fpga_version(7 downto 0);</t>
  </si>
  <si>
    <t xml:space="preserve">  when (x"000011F2") =&gt;</t>
  </si>
  <si>
    <t xml:space="preserve">      -- AEB Housekeeping Area Register "REVISION_ID_1" : "FPGA_DATE" Field</t>
  </si>
  <si>
    <t xml:space="preserve">      fee_rmap_o.readdata &lt;= rmap_registers_wr_i.aeb_hk_revision_id_1.fpga_date(15 downto 8);</t>
  </si>
  <si>
    <t xml:space="preserve">  when (x"000011F3") =&gt;</t>
  </si>
  <si>
    <t xml:space="preserve">      fee_rmap_o.readdata &lt;= rmap_registers_wr_i.aeb_hk_revision_id_1.fpga_date(7 downto 0);</t>
  </si>
  <si>
    <t xml:space="preserve">  when (x"000011F4") =&gt;</t>
  </si>
  <si>
    <t xml:space="preserve">      -- AEB Housekeeping Area Register "REVISION_ID_2" : "FPGA_TIME_H" Field</t>
  </si>
  <si>
    <t xml:space="preserve">      fee_rmap_o.readdata &lt;= rmap_registers_wr_i.aeb_hk_revision_id_2.fpga_time_h(15 downto 8);</t>
  </si>
  <si>
    <t xml:space="preserve">  when (x"000011F5") =&gt;</t>
  </si>
  <si>
    <t xml:space="preserve">      fee_rmap_o.readdata &lt;= rmap_registers_wr_i.aeb_hk_revision_id_2.fpga_time_h(7 downto 0);</t>
  </si>
  <si>
    <t xml:space="preserve">      -- AEB Housekeeping Area Register "REVISION_ID_2" : "FPGA_TIME_M" Field</t>
  </si>
  <si>
    <t xml:space="preserve">      fee_rmap_o.readdata &lt;= rmap_registers_wr_i.aeb_hk_revision_id_2.fpga_time_m;</t>
  </si>
  <si>
    <t xml:space="preserve">  when (x"000011F6") =&gt;</t>
  </si>
  <si>
    <t xml:space="preserve">      -- AEB Housekeeping Area Register "REVISION_ID_2" : "FPGA_SVN" Field</t>
  </si>
  <si>
    <t xml:space="preserve">      fee_rmap_o.readdata &lt;= rmap_registers_wr_i.aeb_hk_revision_id_2.fpga_svn(15 downto 8);</t>
  </si>
  <si>
    <t xml:space="preserve">  when (x"000011F7") =&gt;</t>
  </si>
  <si>
    <t xml:space="preserve">      fee_rmap_o.readdata &lt;= rmap_registers_wr_i.aeb_hk_revision_id_2.fpga_svn(7 downto 0);</t>
  </si>
  <si>
    <t xml:space="preserve">      rmap_registers_wr_o.aeb_crit_cfg_aeb_control.aeb_reset &lt;= fee_rmap_i.writedata(0);</t>
  </si>
  <si>
    <t xml:space="preserve">      rmap_registers_wr_o.aeb_crit_cfg_aeb_control.set_state &lt;= fee_rmap_i.writedata(1);</t>
  </si>
  <si>
    <t xml:space="preserve">      rmap_registers_wr_o.aeb_crit_cfg_aeb_control.new_state &lt;= fee_rmap_i.writedata(5 downto 2);</t>
  </si>
  <si>
    <t xml:space="preserve">      rmap_registers_wr_o.aeb_crit_cfg_aeb_config_key.key(31 downto 24) &lt;= fee_rmap_i.writedata;</t>
  </si>
  <si>
    <t xml:space="preserve">      rmap_registers_wr_o.aeb_crit_cfg_aeb_config_key.key(23 downto 16) &lt;= fee_rmap_i.writedata;</t>
  </si>
  <si>
    <t xml:space="preserve">      rmap_registers_wr_o.aeb_crit_cfg_aeb_config_key.key(15 downto 8) &lt;= fee_rmap_i.writedata;</t>
  </si>
  <si>
    <t xml:space="preserve">      rmap_registers_wr_o.aeb_crit_cfg_aeb_config_key.key(7 downto 0) &lt;= fee_rmap_i.writedata;</t>
  </si>
  <si>
    <t xml:space="preserve">      rmap_registers_wr_o.aeb_crit_cfg_aeb_config_pattern.pattern_cols(13 downto 8) &lt;= fee_rmap_i.writedata(5 downto 0);</t>
  </si>
  <si>
    <t xml:space="preserve">      rmap_registers_wr_o.aeb_crit_cfg_aeb_config_pattern.pattern_ccdid &lt;= fee_rmap_i.writedata(7 downto 6);</t>
  </si>
  <si>
    <t xml:space="preserve">      rmap_registers_wr_o.aeb_crit_cfg_aeb_config_pattern.pattern_cols(7 downto 0) &lt;= fee_rmap_i.writedata;</t>
  </si>
  <si>
    <t xml:space="preserve">      rmap_registers_wr_o.aeb_crit_cfg_aeb_config_pattern.pattern_rows(13 downto 8) &lt;= fee_rmap_i.writedata(5 downto 0);</t>
  </si>
  <si>
    <t xml:space="preserve">      rmap_registers_wr_o.aeb_crit_cfg_aeb_config_pattern.reserved &lt;= fee_rmap_i.writedata(7 downto 6);</t>
  </si>
  <si>
    <t xml:space="preserve">      rmap_registers_wr_o.aeb_crit_cfg_aeb_config_pattern.pattern_rows(7 downto 0) &lt;= fee_rmap_i.writedata;</t>
  </si>
  <si>
    <t xml:space="preserve">      rmap_registers_wr_o.aeb_crit_cfg_reserved_20.reserved(31 downto 24) &lt;= fee_rmap_i.writedata;</t>
  </si>
  <si>
    <t xml:space="preserve">      rmap_registers_wr_o.aeb_crit_cfg_reserved_20.reserved(23 downto 16) &lt;= fee_rmap_i.writedata;</t>
  </si>
  <si>
    <t xml:space="preserve">      rmap_registers_wr_o.aeb_crit_cfg_reserved_20.reserved(15 downto 8) &lt;= fee_rmap_i.writedata;</t>
  </si>
  <si>
    <t xml:space="preserve">      rmap_registers_wr_o.aeb_crit_cfg_reserved_20.reserved(7 downto 0) &lt;= fee_rmap_i.writedata;</t>
  </si>
  <si>
    <t xml:space="preserve">      rmap_registers_wr_o.aeb_crit_cfg_pwr_config1.time_vccd_on &lt;= fee_rmap_i.writedata;</t>
  </si>
  <si>
    <t xml:space="preserve">      rmap_registers_wr_o.aeb_crit_cfg_pwr_config1.time_vclk_on &lt;= fee_rmap_i.writedata;</t>
  </si>
  <si>
    <t xml:space="preserve">      rmap_registers_wr_o.aeb_crit_cfg_pwr_config1.time_van1_on &lt;= fee_rmap_i.writedata;</t>
  </si>
  <si>
    <t xml:space="preserve">      rmap_registers_wr_o.aeb_crit_cfg_pwr_config1.time_van2_on &lt;= fee_rmap_i.writedata;</t>
  </si>
  <si>
    <t xml:space="preserve">      rmap_registers_wr_o.aeb_crit_cfg_pwr_config2.time_van3_on &lt;= fee_rmap_i.writedata;</t>
  </si>
  <si>
    <t xml:space="preserve">      rmap_registers_wr_o.aeb_crit_cfg_pwr_config2.time_vccd_off &lt;= fee_rmap_i.writedata;</t>
  </si>
  <si>
    <t xml:space="preserve">      rmap_registers_wr_o.aeb_crit_cfg_pwr_config2.time_vclk_off &lt;= fee_rmap_i.writedata;</t>
  </si>
  <si>
    <t xml:space="preserve">      rmap_registers_wr_o.aeb_crit_cfg_pwr_config2.time_van1_off &lt;= fee_rmap_i.writedata;</t>
  </si>
  <si>
    <t xml:space="preserve">      rmap_registers_wr_o.aeb_crit_cfg_pwr_config3.time_van2_off &lt;= fee_rmap_i.writedata;</t>
  </si>
  <si>
    <t xml:space="preserve">      rmap_registers_wr_o.aeb_crit_cfg_pwr_config3.time_van3_off &lt;= fee_rmap_i.writedata;</t>
  </si>
  <si>
    <t xml:space="preserve">      rmap_registers_wr_o.aeb_gen_cfg_reserved_118.reserved(31 downto 24) &lt;= fee_rmap_i.writedata;</t>
  </si>
  <si>
    <t xml:space="preserve">      rmap_registers_wr_o.aeb_gen_cfg_reserved_118.reserved(23 downto 16) &lt;= fee_rmap_i.writedata;</t>
  </si>
  <si>
    <t xml:space="preserve">      rmap_registers_wr_o.aeb_gen_cfg_reserved_118.reserved(15 downto 8) &lt;= fee_rmap_i.writedata;</t>
  </si>
  <si>
    <t xml:space="preserve">      rmap_registers_wr_o.aeb_gen_cfg_reserved_118.reserved(7 downto 0) &lt;= fee_rmap_i.writedata;</t>
  </si>
  <si>
    <t xml:space="preserve">      rmap_registers_wr_o.aeb_gen_cfg_reserved_11c.reserved(31 downto 24) &lt;= fee_rmap_i.writedata;</t>
  </si>
  <si>
    <t xml:space="preserve">      rmap_registers_wr_o.aeb_gen_cfg_reserved_11c.reserved(23 downto 16) &lt;= fee_rmap_i.writedata;</t>
  </si>
  <si>
    <t xml:space="preserve">      rmap_registers_wr_o.aeb_gen_cfg_reserved_11c.reserved(15 downto 8) &lt;= fee_rmap_i.writedata;</t>
  </si>
  <si>
    <t xml:space="preserve">      rmap_registers_wr_o.aeb_gen_cfg_reserved_11c.reserved(7 downto 0) &lt;= fee_rmap_i.writedata;</t>
  </si>
  <si>
    <t xml:space="preserve">      rmap_registers_wr_o.aeb_gen_cfg_seq_config_7.reserved(31 downto 24) &lt;= fee_rmap_i.writedata;</t>
  </si>
  <si>
    <t xml:space="preserve">      rmap_registers_wr_o.aeb_gen_cfg_seq_config_7.reserved(23 downto 16) &lt;= fee_rmap_i.writedata;</t>
  </si>
  <si>
    <t xml:space="preserve">      rmap_registers_wr_o.aeb_gen_cfg_seq_config_7.reserved(15 downto 8) &lt;= fee_rmap_i.writedata;</t>
  </si>
  <si>
    <t xml:space="preserve">      rmap_registers_wr_o.aeb_gen_cfg_seq_config_7.reserved(7 downto 0) &lt;= fee_rmap_i.writedata;</t>
  </si>
  <si>
    <t xml:space="preserve">      rmap_registers_wr_o.aeb_gen_cfg_seq_config_8.reserved(31 downto 24) &lt;= fee_rmap_i.writedata;</t>
  </si>
  <si>
    <t xml:space="preserve">      rmap_registers_wr_o.aeb_gen_cfg_seq_config_8.reserved(23 downto 16) &lt;= fee_rmap_i.writedata;</t>
  </si>
  <si>
    <t xml:space="preserve">      rmap_registers_wr_o.aeb_gen_cfg_seq_config_8.reserved(15 downto 8) &lt;= fee_rmap_i.writedata;</t>
  </si>
  <si>
    <t xml:space="preserve">      rmap_registers_wr_o.aeb_gen_cfg_seq_config_8.reserved(7 downto 0) &lt;= fee_rmap_i.writedata;</t>
  </si>
  <si>
    <t xml:space="preserve">      rmap_registers_wr_o.aeb_gen_cfg_seq_config_9.ft_loop_cnt(13 downto 8) &lt;= fee_rmap_i.writedata(5 downto 0);</t>
  </si>
  <si>
    <t xml:space="preserve">      rmap_registers_wr_o.aeb_gen_cfg_seq_config_9.reserved_0 &lt;= fee_rmap_i.writedata(7 downto 6);</t>
  </si>
  <si>
    <t xml:space="preserve">      rmap_registers_wr_o.aeb_gen_cfg_seq_config_9.ft_loop_cnt(7 downto 0) &lt;= fee_rmap_i.writedata;</t>
  </si>
  <si>
    <t xml:space="preserve">      rmap_registers_wr_o.aeb_gen_cfg_seq_config_9.lt0_loop_cnt(13 downto 8) &lt;= fee_rmap_i.writedata(5 downto 0);</t>
  </si>
  <si>
    <t xml:space="preserve">      rmap_registers_wr_o.aeb_gen_cfg_seq_config_9.reserved_1 &lt;= fee_rmap_i.writedata(6);</t>
  </si>
  <si>
    <t xml:space="preserve">      rmap_registers_wr_o.aeb_gen_cfg_seq_config_9.lt0_enabled &lt;= fee_rmap_i.writedata(7);</t>
  </si>
  <si>
    <t xml:space="preserve">      rmap_registers_wr_o.aeb_gen_cfg_seq_config_9.lt0_loop_cnt(7 downto 0) &lt;= fee_rmap_i.writedata;</t>
  </si>
  <si>
    <t xml:space="preserve">      rmap_registers_wr_o.aeb_gen_cfg_seq_config_10.lt1_loop_cnt(13 downto 8) &lt;= fee_rmap_i.writedata(5 downto 0);</t>
  </si>
  <si>
    <t xml:space="preserve">      rmap_registers_wr_o.aeb_gen_cfg_seq_config_10.reserved_0 &lt;= fee_rmap_i.writedata(6);</t>
  </si>
  <si>
    <t xml:space="preserve">      rmap_registers_wr_o.aeb_gen_cfg_seq_config_10.lt1_enabled &lt;= fee_rmap_i.writedata(7);</t>
  </si>
  <si>
    <t xml:space="preserve">      rmap_registers_wr_o.aeb_gen_cfg_seq_config_10.lt1_loop_cnt(7 downto 0) &lt;= fee_rmap_i.writedata;</t>
  </si>
  <si>
    <t xml:space="preserve">      rmap_registers_wr_o.aeb_gen_cfg_seq_config_10.lt2_loop_cnt(13 downto 8) &lt;= fee_rmap_i.writedata(5 downto 0);</t>
  </si>
  <si>
    <t xml:space="preserve">      rmap_registers_wr_o.aeb_gen_cfg_seq_config_10.reserved_1 &lt;= fee_rmap_i.writedata(6);</t>
  </si>
  <si>
    <t xml:space="preserve">      rmap_registers_wr_o.aeb_gen_cfg_seq_config_10.lt2_enabled &lt;= fee_rmap_i.writedata(7);</t>
  </si>
  <si>
    <t xml:space="preserve">      rmap_registers_wr_o.aeb_gen_cfg_seq_config_10.lt2_loop_cnt(7 downto 0) &lt;= fee_rmap_i.writedata;</t>
  </si>
  <si>
    <t xml:space="preserve">      rmap_registers_wr_o.aeb_gen_cfg_seq_config_11.lt3_loop_cnt(13 downto 8) &lt;= fee_rmap_i.writedata(5 downto 0);</t>
  </si>
  <si>
    <t xml:space="preserve">      rmap_registers_wr_o.aeb_gen_cfg_seq_config_11.reserved &lt;= fee_rmap_i.writedata(6);</t>
  </si>
  <si>
    <t xml:space="preserve">      rmap_registers_wr_o.aeb_gen_cfg_seq_config_11.lt3_enabled &lt;= fee_rmap_i.writedata(7);</t>
  </si>
  <si>
    <t xml:space="preserve">      rmap_registers_wr_o.aeb_gen_cfg_seq_config_11.lt3_loop_cnt(7 downto 0) &lt;= fee_rmap_i.writedata;</t>
  </si>
  <si>
    <t xml:space="preserve">      rmap_registers_wr_o.aeb_gen_cfg_seq_config_11.pix_loop_cnt_word_1(15 downto 8) &lt;= fee_rmap_i.writedata;</t>
  </si>
  <si>
    <t xml:space="preserve">      rmap_registers_wr_o.aeb_gen_cfg_seq_config_11.pix_loop_cnt_word_1(7 downto 0) &lt;= fee_rmap_i.writedata;</t>
  </si>
  <si>
    <t xml:space="preserve">      rmap_registers_wr_o.aeb_gen_cfg_seq_config_12.pix_loop_cnt_word_0(15 downto 8) &lt;= fee_rmap_i.writedata;</t>
  </si>
  <si>
    <t xml:space="preserve">      rmap_registers_wr_o.aeb_gen_cfg_seq_config_12.pix_loop_cnt_word_0(7 downto 0) &lt;= fee_rmap_i.writedata;</t>
  </si>
  <si>
    <t xml:space="preserve">      rmap_registers_wr_o.aeb_gen_cfg_seq_config_12.pc_loop_cnt(13 downto 8) &lt;= fee_rmap_i.writedata(5 downto 0);</t>
  </si>
  <si>
    <t xml:space="preserve">      rmap_registers_wr_o.aeb_gen_cfg_seq_config_12.reserved &lt;= fee_rmap_i.writedata(6);</t>
  </si>
  <si>
    <t xml:space="preserve">      rmap_registers_wr_o.aeb_gen_cfg_seq_config_12.pc_enabled &lt;= fee_rmap_i.writedata(7);</t>
  </si>
  <si>
    <t xml:space="preserve">      rmap_registers_wr_o.aeb_gen_cfg_seq_config_12.pc_loop_cnt(7 downto 0) &lt;= fee_rmap_i.writedata;</t>
  </si>
  <si>
    <t xml:space="preserve">      rmap_registers_wr_o.aeb_gen_cfg_seq_config_13.int1_loop_cnt(13 downto 8) &lt;= fee_rmap_i.writedata(5 downto 0);</t>
  </si>
  <si>
    <t xml:space="preserve">      rmap_registers_wr_o.aeb_gen_cfg_seq_config_13.reserved_0 &lt;= fee_rmap_i.writedata(7 downto 6);</t>
  </si>
  <si>
    <t xml:space="preserve">      rmap_registers_wr_o.aeb_gen_cfg_seq_config_13.int1_loop_cnt(7 downto 0) &lt;= fee_rmap_i.writedata;</t>
  </si>
  <si>
    <t xml:space="preserve">      rmap_registers_wr_o.aeb_gen_cfg_seq_config_13.int2_loop_cnt(13 downto 8) &lt;= fee_rmap_i.writedata(5 downto 0);</t>
  </si>
  <si>
    <t xml:space="preserve">      rmap_registers_wr_o.aeb_gen_cfg_seq_config_13.reserved_1 &lt;= fee_rmap_i.writedata(7 downto 6);</t>
  </si>
  <si>
    <t xml:space="preserve">      rmap_registers_wr_o.aeb_gen_cfg_seq_config_13.int2_loop_cnt(7 downto 0) &lt;= fee_rmap_i.writedata;</t>
  </si>
  <si>
    <t xml:space="preserve">      rmap_registers_wr_o.aeb_gen_cfg_reserved_fa8.reserved(7 downto 0) &lt;= fee_rmap_i.writedata;</t>
  </si>
  <si>
    <t xml:space="preserve">      rmap_registers_wr_o.aeb_gen_cfg_reserved_fac.reserved(31 downto 24) &lt;= fee_rmap_i.writedata;</t>
  </si>
  <si>
    <t xml:space="preserve">      rmap_registers_wr_o.aeb_gen_cfg_reserved_fac.reserved(23 downto 16) &lt;= fee_rmap_i.writedata;</t>
  </si>
  <si>
    <t xml:space="preserve">      rmap_registers_wr_o.aeb_gen_cfg_reserved_fac.reserved(15 downto 8) &lt;= fee_rmap_i.writedata;</t>
  </si>
  <si>
    <t xml:space="preserve">      rmap_registers_wr_o.aeb_gen_cfg_reserved_fac.reserved(7 downto 0) &lt;= fee_rmap_i.writedata;</t>
  </si>
  <si>
    <t xml:space="preserve">      rmap_registers_wr_o.aeb_gen_cfg_reserved_fb0.reserved(31 downto 24) &lt;= fee_rmap_i.writedata;</t>
  </si>
  <si>
    <t xml:space="preserve">      rmap_registers_wr_o.aeb_gen_cfg_reserved_fb0.reserved(23 downto 16) &lt;= fee_rmap_i.writedata;</t>
  </si>
  <si>
    <t xml:space="preserve">      rmap_registers_wr_o.aeb_gen_cfg_reserved_fb0.reserved(15 downto 8) &lt;= fee_rmap_i.writedata;</t>
  </si>
  <si>
    <t xml:space="preserve">      rmap_registers_wr_o.aeb_gen_cfg_reserved_fb0.reserved(7 downto 0) &lt;= fee_rmap_i.writedata;</t>
  </si>
  <si>
    <t xml:space="preserve">      rmap_registers_wr_o.aeb_gen_cfg_reserved_fb4.reserved(31 downto 24) &lt;= fee_rmap_i.writedata;</t>
  </si>
  <si>
    <t xml:space="preserve">      rmap_registers_wr_o.aeb_gen_cfg_reserved_fb4.reserved(23 downto 16) &lt;= fee_rmap_i.writedata;</t>
  </si>
  <si>
    <t xml:space="preserve">      rmap_registers_wr_o.aeb_gen_cfg_reserved_fb4.reserved(15 downto 8) &lt;= fee_rmap_i.writedata;</t>
  </si>
  <si>
    <t xml:space="preserve">      rmap_registers_wr_o.aeb_gen_cfg_reserved_fb4.reserved(7 downto 0) &lt;= fee_rmap_i.writedata;</t>
  </si>
  <si>
    <t xml:space="preserve">      rmap_registers_wr_o.aeb_gen_cfg_reserved_fb8.reserved(31 downto 24) &lt;= fee_rmap_i.writedata;</t>
  </si>
  <si>
    <t xml:space="preserve">      rmap_registers_wr_o.aeb_gen_cfg_reserved_fb8.reserved(23 downto 16) &lt;= fee_rmap_i.writedata;</t>
  </si>
  <si>
    <t xml:space="preserve">      rmap_registers_wr_o.aeb_gen_cfg_reserved_fb8.reserved(15 downto 8) &lt;= fee_rmap_i.writedata;</t>
  </si>
  <si>
    <t xml:space="preserve">      rmap_registers_wr_o.aeb_gen_cfg_reserved_fb8.reserved(7 downto 0) &lt;= fee_rmap_i.writedata;</t>
  </si>
  <si>
    <t xml:space="preserve">      rmap_registers_wr_o.aeb_gen_cfg_reserved_fbc.reserved(31 downto 24) &lt;= fee_rmap_i.writedata;</t>
  </si>
  <si>
    <t xml:space="preserve">      rmap_registers_wr_o.aeb_gen_cfg_reserved_fbc.reserved(23 downto 16) &lt;= fee_rmap_i.writedata;</t>
  </si>
  <si>
    <t xml:space="preserve">      rmap_registers_wr_o.aeb_gen_cfg_reserved_fbc.reserved(15 downto 8) &lt;= fee_rmap_i.writedata;</t>
  </si>
  <si>
    <t xml:space="preserve">      rmap_registers_wr_o.aeb_gen_cfg_reserved_fbc.reserved(7 downto 0) &lt;= fee_rmap_i.writedata;</t>
  </si>
  <si>
    <t xml:space="preserve">      rmap_registers_wr_o.aeb_gen_cfg_reserved_fc0.reserved(31 downto 24) &lt;= fee_rmap_i.writedata;</t>
  </si>
  <si>
    <t xml:space="preserve">      rmap_registers_wr_o.aeb_gen_cfg_reserved_fc0.reserved(23 downto 16) &lt;= fee_rmap_i.writedata;</t>
  </si>
  <si>
    <t xml:space="preserve">      rmap_registers_wr_o.aeb_gen_cfg_reserved_fc0.reserved(15 downto 8) &lt;= fee_rmap_i.writedata;</t>
  </si>
  <si>
    <t xml:space="preserve">      rmap_registers_wr_o.aeb_gen_cfg_reserved_fc0.reserved(7 downto 0) &lt;= fee_rmap_i.writedata;</t>
  </si>
  <si>
    <t xml:space="preserve">      rmap_registers_wr_o.aeb_gen_cfg_reserved_fc4.reserved(31 downto 24) &lt;= fee_rmap_i.writedata;</t>
  </si>
  <si>
    <t xml:space="preserve">      rmap_registers_wr_o.aeb_gen_cfg_reserved_fc4.reserved(23 downto 16) &lt;= fee_rmap_i.writedata;</t>
  </si>
  <si>
    <t xml:space="preserve">      rmap_registers_wr_o.aeb_gen_cfg_reserved_fc4.reserved(15 downto 8) &lt;= fee_rmap_i.writedata;</t>
  </si>
  <si>
    <t xml:space="preserve">      rmap_registers_wr_o.aeb_gen_cfg_reserved_fc4.reserved(7 downto 0) &lt;= fee_rmap_i.writedata;</t>
  </si>
  <si>
    <t xml:space="preserve">      rmap_registers_wr_o.aeb_gen_cfg_reserved_fc8.reserved(31 downto 24) &lt;= fee_rmap_i.writedata;</t>
  </si>
  <si>
    <t xml:space="preserve">      rmap_registers_wr_o.aeb_gen_cfg_reserved_fc8.reserved(23 downto 16) &lt;= fee_rmap_i.writedata;</t>
  </si>
  <si>
    <t xml:space="preserve">      rmap_registers_wr_o.aeb_gen_cfg_reserved_fc8.reserved(15 downto 8) &lt;= fee_rmap_i.writedata;</t>
  </si>
  <si>
    <t xml:space="preserve">      rmap_registers_wr_o.aeb_gen_cfg_reserved_fc8.reserved(7 downto 0) &lt;= fee_rmap_i.writedata;</t>
  </si>
  <si>
    <t xml:space="preserve">      rmap_registers_wr_o.aeb_gen_cfg_reserved_fcc.reserved(31 downto 24) &lt;= fee_rmap_i.writedata;</t>
  </si>
  <si>
    <t xml:space="preserve">      rmap_registers_wr_o.aeb_gen_cfg_reserved_fcc.reserved(23 downto 16) &lt;= fee_rmap_i.writedata;</t>
  </si>
  <si>
    <t xml:space="preserve">      rmap_registers_wr_o.aeb_gen_cfg_reserved_fcc.reserved(15 downto 8) &lt;= fee_rmap_i.writedata;</t>
  </si>
  <si>
    <t xml:space="preserve">      rmap_registers_wr_o.aeb_gen_cfg_reserved_fcc.reserved(7 downto 0) &lt;= fee_rmap_i.writedata;</t>
  </si>
  <si>
    <t xml:space="preserve">      rmap_registers_wr_o.aeb_gen_cfg_reserved_fd0.reserved(31 downto 24) &lt;= fee_rmap_i.writedata;</t>
  </si>
  <si>
    <t xml:space="preserve">      rmap_registers_wr_o.aeb_gen_cfg_reserved_fd0.reserved(23 downto 16) &lt;= fee_rmap_i.writedata;</t>
  </si>
  <si>
    <t xml:space="preserve">      rmap_registers_wr_o.aeb_gen_cfg_reserved_fd0.reserved(15 downto 8) &lt;= fee_rmap_i.writedata;</t>
  </si>
  <si>
    <t xml:space="preserve">      rmap_registers_wr_o.aeb_gen_cfg_reserved_fd0.reserved(7 downto 0) &lt;= fee_rmap_i.writedata;</t>
  </si>
  <si>
    <t xml:space="preserve">      rmap_registers_wr_o.aeb_gen_cfg_reserved_fd4.reserved(31 downto 24) &lt;= fee_rmap_i.writedata;</t>
  </si>
  <si>
    <t xml:space="preserve">      rmap_registers_wr_o.aeb_gen_cfg_reserved_fd4.reserved(23 downto 16) &lt;= fee_rmap_i.writedata;</t>
  </si>
  <si>
    <t xml:space="preserve">      rmap_registers_wr_o.aeb_gen_cfg_reserved_fd4.reserved(15 downto 8) &lt;= fee_rmap_i.writedata;</t>
  </si>
  <si>
    <t xml:space="preserve">      rmap_registers_wr_o.aeb_gen_cfg_reserved_fd4.reserved(7 downto 0) &lt;= fee_rmap_i.writedata;</t>
  </si>
  <si>
    <t xml:space="preserve">      rmap_registers_wr_o.aeb_gen_cfg_reserved_fd8.reserved(31 downto 24) &lt;= fee_rmap_i.writedata;</t>
  </si>
  <si>
    <t xml:space="preserve">      rmap_registers_wr_o.aeb_gen_cfg_reserved_fd8.reserved(23 downto 16) &lt;= fee_rmap_i.writedata;</t>
  </si>
  <si>
    <t xml:space="preserve">      rmap_registers_wr_o.aeb_gen_cfg_reserved_fd8.reserved(15 downto 8) &lt;= fee_rmap_i.writedata;</t>
  </si>
  <si>
    <t xml:space="preserve">      rmap_registers_wr_o.aeb_gen_cfg_reserved_fd8.reserved(7 downto 0) &lt;= fee_rmap_i.writedata;</t>
  </si>
  <si>
    <t xml:space="preserve">      rmap_registers_wr_o.aeb_gen_cfg_reserved_fdc.reserved(31 downto 24) &lt;= fee_rmap_i.writedata;</t>
  </si>
  <si>
    <t xml:space="preserve">      rmap_registers_wr_o.aeb_gen_cfg_reserved_fdc.reserved(23 downto 16) &lt;= fee_rmap_i.writedata;</t>
  </si>
  <si>
    <t xml:space="preserve">      rmap_registers_wr_o.aeb_gen_cfg_reserved_fdc.reserved(15 downto 8) &lt;= fee_rmap_i.writedata;</t>
  </si>
  <si>
    <t xml:space="preserve">      rmap_registers_wr_o.aeb_gen_cfg_reserved_fdc.reserved(7 downto 0) &lt;= fee_rmap_i.writedata;</t>
  </si>
  <si>
    <t xml:space="preserve">      rmap_registers_wr_o.aeb_gen_cfg_reserved_fe0.reserved(31 downto 24) &lt;= fee_rmap_i.writedata;</t>
  </si>
  <si>
    <t xml:space="preserve">      rmap_registers_wr_o.aeb_gen_cfg_reserved_fe0.reserved(23 downto 16) &lt;= fee_rmap_i.writedata;</t>
  </si>
  <si>
    <t xml:space="preserve">      rmap_registers_wr_o.aeb_gen_cfg_reserved_fe0.reserved(15 downto 8) &lt;= fee_rmap_i.writedata;</t>
  </si>
  <si>
    <t xml:space="preserve">      rmap_registers_wr_o.aeb_gen_cfg_reserved_fe0.reserved(7 downto 0) &lt;= fee_rmap_i.writedata;</t>
  </si>
  <si>
    <t xml:space="preserve">      rmap_registers_wr_o.aeb_gen_cfg_reserved_fe4.reserved(31 downto 24) &lt;= fee_rmap_i.writedata;</t>
  </si>
  <si>
    <t xml:space="preserve">      rmap_registers_wr_o.aeb_gen_cfg_reserved_fe4.reserved(23 downto 16) &lt;= fee_rmap_i.writedata;</t>
  </si>
  <si>
    <t xml:space="preserve">      rmap_registers_wr_o.aeb_gen_cfg_reserved_fe4.reserved(15 downto 8) &lt;= fee_rmap_i.writedata;</t>
  </si>
  <si>
    <t xml:space="preserve">      rmap_registers_wr_o.aeb_gen_cfg_reserved_fe4.reserved(7 downto 0) &lt;= fee_rmap_i.writedata;</t>
  </si>
  <si>
    <t xml:space="preserve">      rmap_registers_wr_o.aeb_gen_cfg_reserved_fe8.reserved(31 downto 24) &lt;= fee_rmap_i.writedata;</t>
  </si>
  <si>
    <t xml:space="preserve">      rmap_registers_wr_o.aeb_gen_cfg_reserved_fe8.reserved(23 downto 16) &lt;= fee_rmap_i.writedata;</t>
  </si>
  <si>
    <t xml:space="preserve">      rmap_registers_wr_o.aeb_gen_cfg_reserved_fe8.reserved(15 downto 8) &lt;= fee_rmap_i.writedata;</t>
  </si>
  <si>
    <t xml:space="preserve">      rmap_registers_wr_o.aeb_gen_cfg_reserved_fe8.reserved(7 downto 0) &lt;= fee_rmap_i.writedata;</t>
  </si>
  <si>
    <t xml:space="preserve">      rmap_registers_wr_o.aeb_gen_cfg_reserved_fec.reserved(31 downto 24) &lt;= fee_rmap_i.writedata;</t>
  </si>
  <si>
    <t xml:space="preserve">      rmap_registers_wr_o.aeb_gen_cfg_reserved_fec.reserved(23 downto 16) &lt;= fee_rmap_i.writedata;</t>
  </si>
  <si>
    <t xml:space="preserve">      rmap_registers_wr_o.aeb_gen_cfg_reserved_fec.reserved(15 downto 8) &lt;= fee_rmap_i.writedata;</t>
  </si>
  <si>
    <t xml:space="preserve">      rmap_registers_wr_o.aeb_gen_cfg_reserved_fec.reserved(7 downto 0) &lt;= fee_rmap_i.writedata;</t>
  </si>
  <si>
    <t xml:space="preserve">      rmap_registers_wr_o.aeb_gen_cfg_reserved_ff0.reserved(31 downto 24) &lt;= fee_rmap_i.writedata;</t>
  </si>
  <si>
    <t xml:space="preserve">      rmap_registers_wr_o.aeb_gen_cfg_reserved_ff0.reserved(23 downto 16) &lt;= fee_rmap_i.writedata;</t>
  </si>
  <si>
    <t xml:space="preserve">      rmap_registers_wr_o.aeb_gen_cfg_reserved_ff0.reserved(15 downto 8) &lt;= fee_rmap_i.writedata;</t>
  </si>
  <si>
    <t xml:space="preserve">      rmap_registers_wr_o.aeb_gen_cfg_reserved_ff0.reserved(7 downto 0) &lt;= fee_rmap_i.writedata;</t>
  </si>
  <si>
    <t xml:space="preserve">      rmap_registers_wr_o.aeb_gen_cfg_reserved_ff4.reserved(31 downto 24) &lt;= fee_rmap_i.writedata;</t>
  </si>
  <si>
    <t xml:space="preserve">      rmap_registers_wr_o.aeb_gen_cfg_reserved_ff4.reserved(23 downto 16) &lt;= fee_rmap_i.writedata;</t>
  </si>
  <si>
    <t xml:space="preserve">      rmap_registers_wr_o.aeb_gen_cfg_reserved_ff4.reserved(15 downto 8) &lt;= fee_rmap_i.writedata;</t>
  </si>
  <si>
    <t xml:space="preserve">      rmap_registers_wr_o.aeb_gen_cfg_reserved_ff4.reserved(7 downto 0) &lt;= fee_rmap_i.writedata;</t>
  </si>
  <si>
    <t xml:space="preserve">      rmap_registers_wr_o.aeb_gen_cfg_reserved_ff8.reserved(31 downto 24) &lt;= fee_rmap_i.writedata;</t>
  </si>
  <si>
    <t xml:space="preserve">      rmap_registers_wr_o.aeb_gen_cfg_reserved_ff8.reserved(23 downto 16) &lt;= fee_rmap_i.writedata;</t>
  </si>
  <si>
    <t xml:space="preserve">      rmap_registers_wr_o.aeb_gen_cfg_reserved_ff8.reserved(15 downto 8) &lt;= fee_rmap_i.writedata;</t>
  </si>
  <si>
    <t xml:space="preserve">      rmap_registers_wr_o.aeb_gen_cfg_reserved_ff8.reserved(7 downto 0) &lt;= fee_rmap_i.writedata;</t>
  </si>
  <si>
    <t xml:space="preserve">      rmap_registers_wr_o.aeb_gen_cfg_reserved_ffc.reserved(31 downto 24) &lt;= fee_rmap_i.writedata;</t>
  </si>
  <si>
    <t xml:space="preserve">      rmap_registers_wr_o.aeb_gen_cfg_reserved_ffc.reserved(23 downto 16) &lt;= fee_rmap_i.writedata;</t>
  </si>
  <si>
    <t xml:space="preserve">      rmap_registers_wr_o.aeb_gen_cfg_reserved_ffc.reserved(15 downto 8) &lt;= fee_rmap_i.writedata;</t>
  </si>
  <si>
    <t xml:space="preserve">      rmap_registers_wr_o.aeb_gen_cfg_reserved_ffc.reserved(7 downto 0) &lt;= fee_rmap_i.writedata;</t>
  </si>
  <si>
    <t xml:space="preserve">      fee_rmap_o.readdata(7) &lt;= rmap_registers_wr_i.aeb_hk_adc_rd_data_t_vasp_l.new_data;</t>
  </si>
  <si>
    <t xml:space="preserve">      fee_rmap_o.readdata(7) &lt;= rmap_registers_wr_i.aeb_hk_adc_rd_data_t_vasp_r.new_data;</t>
  </si>
  <si>
    <t xml:space="preserve">      fee_rmap_o.readdata(7) &lt;= rmap_registers_wr_i.aeb_hk_adc_rd_data_t_bias_p.new_data;</t>
  </si>
  <si>
    <t xml:space="preserve">      fee_rmap_o.readdata(7) &lt;= rmap_registers_wr_i.aeb_hk_adc_rd_data_t_hk_p.new_data;</t>
  </si>
  <si>
    <t xml:space="preserve">      fee_rmap_o.readdata(7) &lt;= rmap_registers_wr_i.aeb_hk_adc_rd_data_t_tou_1_p.new_data;</t>
  </si>
  <si>
    <t xml:space="preserve">      fee_rmap_o.readdata(7) &lt;= rmap_registers_wr_i.aeb_hk_adc_rd_data_t_tou_2_p.new_data;</t>
  </si>
  <si>
    <t xml:space="preserve">      fee_rmap_o.readdata(7) &lt;= rmap_registers_wr_i.aeb_hk_adc_rd_data_hk_vode.new_data;</t>
  </si>
  <si>
    <t xml:space="preserve">      fee_rmap_o.readdata(7) &lt;= rmap_registers_wr_i.aeb_hk_adc_rd_data_hk_vodf.new_data;</t>
  </si>
  <si>
    <t xml:space="preserve">      fee_rmap_o.readdata(7) &lt;= rmap_registers_wr_i.aeb_hk_adc_rd_data_hk_vrd.new_data;</t>
  </si>
  <si>
    <t xml:space="preserve">      fee_rmap_o.readdata(7) &lt;= rmap_registers_wr_i.aeb_hk_adc_rd_data_hk_vog.new_data;</t>
  </si>
  <si>
    <t xml:space="preserve">      fee_rmap_o.readdata(7) &lt;= rmap_registers_wr_i.aeb_hk_adc_rd_data_t_ccd.new_data;</t>
  </si>
  <si>
    <t xml:space="preserve">      fee_rmap_o.readdata(7) &lt;= rmap_registers_wr_i.aeb_hk_adc_rd_data_t_ref1k_mea.new_data;</t>
  </si>
  <si>
    <t xml:space="preserve">      fee_rmap_o.readdata(7) &lt;= rmap_registers_wr_i.aeb_hk_adc_rd_data_t_ref649r_mea.new_data;</t>
  </si>
  <si>
    <t xml:space="preserve">      fee_rmap_o.readdata(7) &lt;= rmap_registers_wr_i.aeb_hk_adc_rd_data_hk_ana_n5v.new_data;</t>
  </si>
  <si>
    <t xml:space="preserve">      fee_rmap_o.readdata(7) &lt;= rmap_registers_wr_i.aeb_hk_adc_rd_data_s_ref.new_data;</t>
  </si>
  <si>
    <t xml:space="preserve">      fee_rmap_o.readdata(7) &lt;= rmap_registers_wr_i.aeb_hk_adc_rd_data_hk_ccd_p31v.new_data;</t>
  </si>
  <si>
    <t xml:space="preserve">      fee_rmap_o.readdata(7) &lt;= rmap_registers_wr_i.aeb_hk_adc_rd_data_hk_clk_p15v.new_data;</t>
  </si>
  <si>
    <t xml:space="preserve">      fee_rmap_o.readdata(7) &lt;= rmap_registers_wr_i.aeb_hk_adc_rd_data_hk_ana_p5v.new_data;</t>
  </si>
  <si>
    <t xml:space="preserve">      fee_rmap_o.readdata(7) &lt;= rmap_registers_wr_i.aeb_hk_adc_rd_data_hk_ana_p3v3.new_data;</t>
  </si>
  <si>
    <t xml:space="preserve">      fee_rmap_o.readdata(7) &lt;= rmap_registers_wr_i.aeb_hk_adc_rd_data_hk_dig_p3v3.new_data;</t>
  </si>
  <si>
    <t>t_rmap_memory_rd_area</t>
  </si>
  <si>
    <t>t_aeb_hk_adc1_rd_config_1_rd_reg</t>
  </si>
  <si>
    <t>t_aeb_hk_adc1_rd_config_2_rd_reg</t>
  </si>
  <si>
    <t>t_aeb_hk_adc1_rd_config_3_rd_reg</t>
  </si>
  <si>
    <t>t_aeb_hk_adc2_rd_config_1_rd_reg</t>
  </si>
  <si>
    <t>t_aeb_hk_adc2_rd_config_2_rd_reg</t>
  </si>
  <si>
    <t>t_aeb_hk_adc2_rd_config_3_rd_reg</t>
  </si>
  <si>
    <t>RESERVED_1, "ADC_DATA_RD", "ADC_CFG_WR", "ADC_CFG_RD", "DAC_WR", "RESERVED_2" Fields</t>
  </si>
  <si>
    <t>others_0</t>
  </si>
  <si>
    <t>RESERVED_0, "WATCH-DOG_DIS", "INT_SYNC", "RESERVED_1", "VASP_CDS_EN", "VASP2_CAL_EN", "VASP1_CAL_EN", "RESERVED_2" Fields</t>
  </si>
  <si>
    <t>x"00070000"</t>
  </si>
  <si>
    <t>OVERRIDE_SW, "RESERVED_0", "SW_VAN3", "SW_VAN2", "SW_VAN1", "SW_VCLK", "SW_VCCD", "OVERRIDE_VASP", "RESERVED_1", "VASP2_PIX_EN", "VASP1_PIX_EN", "VASP2_ADC_EN", "VASP1_ADC_EN", "VASP2_RESET", "VASP1_RESET", "OVERRIDE_ADC", "ADC2_EN_P5V0", "ADC1_EN_P5V0", "PT1000_CAL_ON_N", "EN_V_MUX_N", "ADC2_PWDN_N", "ADC1_PWDN_N", "ADC_CLK_EN", "RESERVED_2" Fields</t>
  </si>
  <si>
    <t>VASP_CFG_ADDR, "VASP1_CFG_DATA", "VASP2_CFG_DATA", "RESERVED", "VASP2_SELECT", "VASP1_SELECT", "CALIBRATION_START", "I2C_READ_START", "I2C_WRITE_START" Fields</t>
  </si>
  <si>
    <t>RESERVED_0, "DAC_VOG", "RESERVED_1", "DAC_VRD" Fields</t>
  </si>
  <si>
    <t>RESERVED_0, "DAC_VOD", "RESERVED_1" Fields</t>
  </si>
  <si>
    <t>x"08000800"</t>
  </si>
  <si>
    <t>x"08000000"</t>
  </si>
  <si>
    <t>RESERVED_0, "SPIRST", "MUXMOD", "BYPAS", "CLKENB", "CHOP", "STAT", "RESERVED_1", "IDLMOD", "DLY", "SBCS", "DRATE", "AINP", "AINN", "DIFF" Fields</t>
  </si>
  <si>
    <t>AIN7, "AIN6", "AIN5", "AIN4", "AIN3", "AIN2", "AIN1", "AIN0", "AIN15", "AIN14", "AIN13", "AIN12", "AIN11", "AIN10", "AIN9", "AIN8", "RESERVED_0", "REF", "GAIN", "TEMP", "VCC", "RESERVED_1", "OFFSET", "CIO7", "CIO6", "CIO5", "CIO4", "CIO3", "CIO2", "CIO1", "CIO0" Fields</t>
  </si>
  <si>
    <t>x"5640003F"</t>
  </si>
  <si>
    <t>x"00F00000"</t>
  </si>
  <si>
    <t>DIO7, "DIO6", "DIO5", "DIO4", "DIO3", "DIO2", "DIO1", "DIO0", "RESERVED" Fields</t>
  </si>
  <si>
    <t>x"5640008F"</t>
  </si>
  <si>
    <t>x"003F0000"</t>
  </si>
  <si>
    <t>RESERVED_0, "SEQ_OE_CCD_ENABLE", "SEQ_OE_SPARE", "SEQ_OE_TSTLINE", "SEQ_OE_TSTFRM", "SEQ_OE_VASPCLAMP", "SEQ_OE_PRECLAMP", "SEQ_OE_IG", "SEQ_OE_TG", "SEQ_OE_DG", "SEQ_OE_RPHIR", "SEQ_OE_SW", "SEQ_OE_RPHI3", "SEQ_OE_RPHI2", "SEQ_OE_RPHI1", "SEQ_OE_SPHI4", "SEQ_OE_SPHI3", "SEQ_OE_SPHI2", "SEQ_OE_SPHI1", "SEQ_OE_IPHI4", "SEQ_OE_IPHI3", "SEQ_OE_IPHI2", "SEQ_OE_IPHI1", "RESERVED_1", "ADC_CLK_DIV" Fields</t>
  </si>
  <si>
    <t>x"22FFFF1F"</t>
  </si>
  <si>
    <t>x"0E1F0011"</t>
  </si>
  <si>
    <t>ADC_CLK_LOW_POS, "ADC_CLK_HIGH_POS", "CDS_CLK_LOW_POS", "CDS_CLK_HIGH_POS" Fields</t>
  </si>
  <si>
    <t>RPHIR_CLK_LOW_POS, "RPHIR_CLK_HIGH_POS", "RPHI1_CLK_LOW_POS", "RPHI1_CLK_HIGH_POS" Fields</t>
  </si>
  <si>
    <t>RPHI2_CLK_LOW_POS, "RPHI2_CLK_HIGH_POS", "RPHI3_CLK_LOW_POS", "RPHI3_CLK_HIGH_POS" Fields</t>
  </si>
  <si>
    <t>SW_CLK_LOW_POS, "SW_CLK_HIGH_POS", "VASP_OUT_CTRL", "RESERVED", "VASP_OUT_EN_POS" Fields</t>
  </si>
  <si>
    <t>VASP_OUT_CTRL_INV, "RESERVED_0", "VASP_OUT_DIS_POS", "RESERVED_1" Fields</t>
  </si>
  <si>
    <t>RESERVED_0, "SPHI_INV", "RESERVED_1", "RPHI_INV", "RESERVED_2" Fields</t>
  </si>
  <si>
    <t>DAC_CFG_WR_RUN, "ADC_CFG_RD_RUN", "ADC_CFG_WR_RUN", "ADC_DAT_RD_RUN", "ADC_ERROR", "ADC2_LU", "ADC1_LU", "ADC_DAT_RD", "ADC_CFG_RD", "ADC_CFG_WR", "ADC2_BUSY", "ADC1_BUSY" Fields</t>
  </si>
  <si>
    <t>VASP2_CFG_RUN, "VASP1_CFG_RUN" Fields</t>
  </si>
  <si>
    <t>others_1</t>
  </si>
  <si>
    <t>NEW, "OVF", "SUPPLY", "CHID", "ADC_CHX_DATA_T_VASP_L" Fields</t>
  </si>
  <si>
    <t>NEW, "OVF", "SUPPLY", "CHID", "ADC_CHX_DATA_T_VASP_R" Fields</t>
  </si>
  <si>
    <t>NEW, "OVF", "SUPPLY", "CHID", "ADC_CHX_DATA_T_BIAS_P" Fields</t>
  </si>
  <si>
    <t>NEW, "OVF", "SUPPLY", "CHID", "ADC_CHX_DATA_T_HK_P" Fields</t>
  </si>
  <si>
    <t>NEW, "OVF", "SUPPLY", "CHID", "ADC_CHX_DATA_T_TOU_1_P" Fields</t>
  </si>
  <si>
    <t>NEW, "OVF", "SUPPLY", "CHID", "ADC_CHX_DATA_T_TOU_2_P" Fields</t>
  </si>
  <si>
    <t>NEW, "OVF", "SUPPLY", "CHID", "ADC_CHX_DATA_HK_VODE" Fields</t>
  </si>
  <si>
    <t>NEW, "OVF", "SUPPLY", "CHID", "ADC_CHX_DATA_HK_VODF" Fields</t>
  </si>
  <si>
    <t>NEW, "OVF", "SUPPLY", "CHID", "ADC_CHX_DATA_HK_VRD" Fields</t>
  </si>
  <si>
    <t>NEW, "OVF", "SUPPLY", "CHID", "ADC_CHX_DATA_HK_VOG" Fields</t>
  </si>
  <si>
    <t>NEW, "OVF", "SUPPLY", "CHID", "ADC_CHX_DATA_T_CCD" Fields</t>
  </si>
  <si>
    <t>NEW, "OVF", "SUPPLY", "CHID", "ADC_CHX_DATA_T_REF1K_MEA" Fields</t>
  </si>
  <si>
    <t>NEW, "OVF", "SUPPLY", "CHID", "ADC_CHX_DATA_T_REF649R_MEA" Fields</t>
  </si>
  <si>
    <t>NEW, "OVF", "SUPPLY", "CHID", "ADC_CHX_DATA_HK_ANA_N5V" Fields</t>
  </si>
  <si>
    <t>NEW, "OVF", "SUPPLY", "CHID", "ADC_CHX_DATA_S_REF" Fields</t>
  </si>
  <si>
    <t>NEW, "OVF", "SUPPLY", "CHID", "ADC_CHX_DATA_HK_CCD_P31V" Fields</t>
  </si>
  <si>
    <t>NEW, "OVF", "SUPPLY", "CHID", "ADC_CHX_DATA_HK_CLK_P15V" Fields</t>
  </si>
  <si>
    <t>NEW, "OVF", "SUPPLY", "CHID", "ADC_CHX_DATA_HK_ANA_P5V" Fields</t>
  </si>
  <si>
    <t>NEW, "OVF", "SUPPLY", "CHID", "ADC_CHX_DATA_HK_ANA_P3V3" Fields</t>
  </si>
  <si>
    <t>NEW, "OVF", "SUPPLY", "CHID", "ADC_CHX_DATA_HK_DIG_P3V3" Fields</t>
  </si>
  <si>
    <t>NEW, "OVF", "SUPPLY", "CHID", "ADC_CHX_DATA_ADC_REF_BUF_2" Fields</t>
  </si>
  <si>
    <t>IDLMOD, "DLY2", "DLY1", "DLY0", "SBCS1", "SBCS0", "DRATE1", "DRATE0", "AINP3", "AINP2", "AINP1", "AINP0", "AINN3", "AINN2", "AINN1", "AINN0", "DIFF7", "DIFF6", "DIFF5", "DIFF4", "DIFF3", "DIFF2", "DIFF1", "DIFF0" Fields</t>
  </si>
  <si>
    <t>SPIRST, "MUXMOD", "BYPAS", "CLKENB", "CHOP", "STAT" Fields</t>
  </si>
  <si>
    <t>others_2</t>
  </si>
  <si>
    <t>AIN7, "AIN6", "AIN5", "AIN4", "AIN3", "AIN2", "AIN1", "AIN0", "AIN15", "AIN14", "AIN13", "AIN12", "AIN11", "AIN10", "AIN9", "AIN8" Fields</t>
  </si>
  <si>
    <t>REF, "GAIN", "TEMP", "VCC" Fields</t>
  </si>
  <si>
    <t>OFFSET, "CIO7", "CIO6", "CIO5", "CIO4", "CIO3", "CIO2", "CIO1", "CIO0" Fields</t>
  </si>
  <si>
    <t>DIO7, "DIO6", "DIO5", "DIO4", "DIO3", "DIO2", "DIO1", "DIO0" Fields</t>
  </si>
  <si>
    <t>VASP1_READ_DATA, "VASP2_READ_DATA" Fields</t>
  </si>
  <si>
    <t>FPGA_VERSION, "FPGA_DATE" Fields</t>
  </si>
  <si>
    <t>FPGA_TIME_H, "FPGA_TIME_M", "FPGA_SVN" Fields</t>
  </si>
  <si>
    <t xml:space="preserve">      -- AEB Critical Configuration Area Register "AEB_CONTROL" : "RESERVED" Field</t>
  </si>
  <si>
    <t xml:space="preserve">      fee_rmap_o.readdata(7 downto 6) &lt;= rmap_registers_wr_i.aeb_crit_cfg_aeb_control.reserved;</t>
  </si>
  <si>
    <t xml:space="preserve">      -- AEB Critical Configuration Area Register "AEB_CONTROL" : RESERVED_1, "ADC_DATA_RD", "ADC_CFG_WR", "ADC_CFG_RD", "DAC_WR", "RESERVED_2" Fields</t>
  </si>
  <si>
    <t xml:space="preserve">      -- AEB Critical Configuration Area Register "AEB_CONFIG" : RESERVED_0, "WATCH-DOG_DIS", "INT_SYNC", "RESERVED_1", "VASP_CDS_EN", "VASP2_CAL_EN", "VASP1_CAL_EN", "RESERVED_2" Fields</t>
  </si>
  <si>
    <t xml:space="preserve">      -- AEB Critical Configuration Area Register "AEB_CONFIG_AIT" : OVERRIDE_SW, "RESERVED_0", "SW_VAN3", "SW_VAN2", "SW_VAN1", "SW_VCLK", "SW_VCCD", "OVERRIDE_VASP", "RESERVED_1", "VASP2_PIX_EN", "VASP1_PIX_EN", "VASP2_ADC_EN", "VASP1_ADC_EN", "VASP2_RESET", "VASP1_RESET", "OVERRIDE_ADC", "ADC2_EN_P5V0", "ADC1_EN_P5V0", "PT1000_CAL_ON_N", "EN_V_MUX_N", "ADC2_PWDN_N", "ADC1_PWDN_N", "ADC_CLK_EN", "RESERVED_2" Fields</t>
  </si>
  <si>
    <t xml:space="preserve">      -- AEB Critical Configuration Area Register "VASP_I2C_CONTROL" : VASP_CFG_ADDR, "VASP1_CFG_DATA", "VASP2_CFG_DATA", "RESERVED", "VASP2_SELECT", "VASP1_SELECT", "CALIBRATION_START", "I2C_READ_START", "I2C_WRITE_START" Fields</t>
  </si>
  <si>
    <t xml:space="preserve">      -- AEB Critical Configuration Area Register "DAC_CONFIG_1" : RESERVED_0, "DAC_VOG", "RESERVED_1", "DAC_VRD" Fields</t>
  </si>
  <si>
    <t xml:space="preserve">      -- AEB Critical Configuration Area Register "DAC_CONFIG_2" : RESERVED_0, "DAC_VOD", "RESERVED_1" Fields</t>
  </si>
  <si>
    <t xml:space="preserve">      -- AEB General Configuration Area Register "ADC1_CONFIG_1" : RESERVED_0, "SPIRST", "MUXMOD", "BYPAS", "CLKENB", "CHOP", "STAT", "RESERVED_1", "IDLMOD", "DLY", "SBCS", "DRATE", "AINP", "AINN", "DIFF" Fields</t>
  </si>
  <si>
    <t xml:space="preserve">      -- AEB General Configuration Area Register "ADC1_CONFIG_2" : AIN7, "AIN6", "AIN5", "AIN4", "AIN3", "AIN2", "AIN1", "AIN0", "AIN15", "AIN14", "AIN13", "AIN12", "AIN11", "AIN10", "AIN9", "AIN8", "RESERVED_0", "REF", "GAIN", "TEMP", "VCC", "RESERVED_1", "OFFSET", "CIO7", "CIO6", "CIO5", "CIO4", "CIO3", "CIO2", "CIO1", "CIO0" Fields</t>
  </si>
  <si>
    <t xml:space="preserve">      -- AEB General Configuration Area Register "ADC1_CONFIG_3" : DIO7, "DIO6", "DIO5", "DIO4", "DIO3", "DIO2", "DIO1", "DIO0", "RESERVED" Fields</t>
  </si>
  <si>
    <t xml:space="preserve">      -- AEB General Configuration Area Register "ADC2_CONFIG_1" : RESERVED_0, "SPIRST", "MUXMOD", "BYPAS", "CLKENB", "CHOP", "STAT", "RESERVED_1", "IDLMOD", "DLY", "SBCS", "DRATE", "AINP", "AINN", "DIFF" Fields</t>
  </si>
  <si>
    <t xml:space="preserve">      -- AEB General Configuration Area Register "ADC2_CONFIG_2" : AIN7, "AIN6", "AIN5", "AIN4", "AIN3", "AIN2", "AIN1", "AIN0", "AIN15", "AIN14", "AIN13", "AIN12", "AIN11", "AIN10", "AIN9", "AIN8", "RESERVED_0", "REF", "GAIN", "TEMP", "VCC", "RESERVED_1", "OFFSET", "CIO7", "CIO6", "CIO5", "CIO4", "CIO3", "CIO2", "CIO1", "CIO0" Fields</t>
  </si>
  <si>
    <t xml:space="preserve">      -- AEB General Configuration Area Register "ADC2_CONFIG_3" : DIO7, "DIO6", "DIO5", "DIO4", "DIO3", "DIO2", "DIO1", "DIO0", "RESERVED" Fields</t>
  </si>
  <si>
    <t xml:space="preserve">      -- AEB General Configuration Area Register "SEQ_CONFIG_1" : RESERVED_0, "SEQ_OE_CCD_ENABLE", "SEQ_OE_SPARE", "SEQ_OE_TSTLINE", "SEQ_OE_TSTFRM", "SEQ_OE_VASPCLAMP", "SEQ_OE_PRECLAMP", "SEQ_OE_IG", "SEQ_OE_TG", "SEQ_OE_DG", "SEQ_OE_RPHIR", "SEQ_OE_SW", "SEQ_OE_RPHI3", "SEQ_OE_RPHI2", "SEQ_OE_RPHI1", "SEQ_OE_SPHI4", "SEQ_OE_SPHI3", "SEQ_OE_SPHI2", "SEQ_OE_SPHI1", "SEQ_OE_IPHI4", "SEQ_OE_IPHI3", "SEQ_OE_IPHI2", "SEQ_OE_IPHI1", "RESERVED_1", "ADC_CLK_DIV" Fields</t>
  </si>
  <si>
    <t xml:space="preserve">      -- AEB General Configuration Area Register "SEQ_CONFIG_2" : ADC_CLK_LOW_POS, "ADC_CLK_HIGH_POS", "CDS_CLK_LOW_POS", "CDS_CLK_HIGH_POS" Fields</t>
  </si>
  <si>
    <t xml:space="preserve">      -- AEB General Configuration Area Register "SEQ_CONFIG_3" : RPHIR_CLK_LOW_POS, "RPHIR_CLK_HIGH_POS", "RPHI1_CLK_LOW_POS", "RPHI1_CLK_HIGH_POS" Fields</t>
  </si>
  <si>
    <t xml:space="preserve">      -- AEB General Configuration Area Register "SEQ_CONFIG_4" : RPHI2_CLK_LOW_POS, "RPHI2_CLK_HIGH_POS", "RPHI3_CLK_LOW_POS", "RPHI3_CLK_HIGH_POS" Fields</t>
  </si>
  <si>
    <t xml:space="preserve">      -- AEB General Configuration Area Register "SEQ_CONFIG_5" : SW_CLK_LOW_POS, "SW_CLK_HIGH_POS", "VASP_OUT_CTRL", "RESERVED", "VASP_OUT_EN_POS" Fields</t>
  </si>
  <si>
    <t xml:space="preserve">      -- AEB General Configuration Area Register "SEQ_CONFIG_6" : VASP_OUT_CTRL_INV, "RESERVED_0", "VASP_OUT_DIS_POS", "RESERVED_1" Fields</t>
  </si>
  <si>
    <t xml:space="preserve">      -- AEB General Configuration Area Register "SEQ_CONFIG_14" : RESERVED_0, "SPHI_INV", "RESERVED_1", "RPHI_INV", "RESERVED_2" Fields</t>
  </si>
  <si>
    <t xml:space="preserve">      -- AEB Housekeeping Area Register "AEB_STATUS" : DAC_CFG_WR_RUN, "ADC_CFG_RD_RUN", "ADC_CFG_WR_RUN", "ADC_DAT_RD_RUN", "ADC_ERROR", "ADC2_LU", "ADC1_LU", "ADC_DAT_RD", "ADC_CFG_RD", "ADC_CFG_WR", "ADC2_BUSY", "ADC1_BUSY" Fields</t>
  </si>
  <si>
    <t xml:space="preserve">      fee_rmap_o.readdata(3 downto 0) &lt;= rmap_registers_wr_i.aeb_hk_aeb_status.others_1(11 downto 8);</t>
  </si>
  <si>
    <t xml:space="preserve">      -- AEB Housekeeping Area Register "AEB_STATUS" : VASP2_CFG_RUN, "VASP1_CFG_RUN" Fields</t>
  </si>
  <si>
    <t xml:space="preserve">      fee_rmap_o.readdata(7 downto 6) &lt;= rmap_registers_wr_i.aeb_hk_aeb_status.others_0;</t>
  </si>
  <si>
    <t xml:space="preserve">      fee_rmap_o.readdata &lt;= rmap_registers_wr_i.aeb_hk_aeb_status.others_1(7 downto 0);</t>
  </si>
  <si>
    <t xml:space="preserve">      -- AEB Housekeeping Area Register "ADC_RD_DATA_T_VASP_L" : NEW, "OVF", "SUPPLY", "CHID", "ADC_CHX_DATA_T_VASP_L" Fields</t>
  </si>
  <si>
    <t xml:space="preserve">      -- AEB Housekeeping Area Register "ADC_RD_DATA_T_VASP_R" : NEW, "OVF", "SUPPLY", "CHID", "ADC_CHX_DATA_T_VASP_R" Fields</t>
  </si>
  <si>
    <t xml:space="preserve">      -- AEB Housekeeping Area Register "ADC_RD_DATA_T_BIAS_P" : NEW, "OVF", "SUPPLY", "CHID", "ADC_CHX_DATA_T_BIAS_P" Fields</t>
  </si>
  <si>
    <t xml:space="preserve">      -- AEB Housekeeping Area Register "ADC_RD_DATA_T_HK_P" : NEW, "OVF", "SUPPLY", "CHID", "ADC_CHX_DATA_T_HK_P" Fields</t>
  </si>
  <si>
    <t xml:space="preserve">      -- AEB Housekeeping Area Register "ADC_RD_DATA_T_TOU_1_P" : NEW, "OVF", "SUPPLY", "CHID", "ADC_CHX_DATA_T_TOU_1_P" Fields</t>
  </si>
  <si>
    <t xml:space="preserve">      -- AEB Housekeeping Area Register "ADC_RD_DATA_T_TOU_2_P" : NEW, "OVF", "SUPPLY", "CHID", "ADC_CHX_DATA_T_TOU_2_P" Fields</t>
  </si>
  <si>
    <t xml:space="preserve">      -- AEB Housekeeping Area Register "ADC_RD_DATA_HK_VODE" : NEW, "OVF", "SUPPLY", "CHID", "ADC_CHX_DATA_HK_VODE" Fields</t>
  </si>
  <si>
    <t xml:space="preserve">      -- AEB Housekeeping Area Register "ADC_RD_DATA_HK_VODF" : NEW, "OVF", "SUPPLY", "CHID", "ADC_CHX_DATA_HK_VODF" Fields</t>
  </si>
  <si>
    <t xml:space="preserve">      -- AEB Housekeeping Area Register "ADC_RD_DATA_HK_VRD" : NEW, "OVF", "SUPPLY", "CHID", "ADC_CHX_DATA_HK_VRD" Fields</t>
  </si>
  <si>
    <t xml:space="preserve">      -- AEB Housekeeping Area Register "ADC_RD_DATA_HK_VOG" : NEW, "OVF", "SUPPLY", "CHID", "ADC_CHX_DATA_HK_VOG" Fields</t>
  </si>
  <si>
    <t xml:space="preserve">      -- AEB Housekeeping Area Register "ADC_RD_DATA_T_CCD" : NEW, "OVF", "SUPPLY", "CHID", "ADC_CHX_DATA_T_CCD" Fields</t>
  </si>
  <si>
    <t xml:space="preserve">      -- AEB Housekeeping Area Register "ADC_RD_DATA_T_REF1K_MEA" : NEW, "OVF", "SUPPLY", "CHID", "ADC_CHX_DATA_T_REF1K_MEA" Fields</t>
  </si>
  <si>
    <t xml:space="preserve">      -- AEB Housekeeping Area Register "ADC_RD_DATA_T_REF649R_MEA" : NEW, "OVF", "SUPPLY", "CHID", "ADC_CHX_DATA_T_REF649R_MEA" Fields</t>
  </si>
  <si>
    <t xml:space="preserve">      -- AEB Housekeeping Area Register "ADC_RD_DATA_HK_ANA_N5V" : NEW, "OVF", "SUPPLY", "CHID", "ADC_CHX_DATA_HK_ANA_N5V" Fields</t>
  </si>
  <si>
    <t xml:space="preserve">      -- AEB Housekeeping Area Register "ADC_RD_DATA_S_REF" : NEW, "OVF", "SUPPLY", "CHID", "ADC_CHX_DATA_S_REF" Fields</t>
  </si>
  <si>
    <t xml:space="preserve">      -- AEB Housekeeping Area Register "ADC_RD_DATA_HK_CCD_P31V" : NEW, "OVF", "SUPPLY", "CHID", "ADC_CHX_DATA_HK_CCD_P31V" Fields</t>
  </si>
  <si>
    <t xml:space="preserve">      -- AEB Housekeeping Area Register "ADC_RD_DATA_HK_CLK_P15V" : NEW, "OVF", "SUPPLY", "CHID", "ADC_CHX_DATA_HK_CLK_P15V" Fields</t>
  </si>
  <si>
    <t xml:space="preserve">      -- AEB Housekeeping Area Register "ADC_RD_DATA_HK_ANA_P5V" : NEW, "OVF", "SUPPLY", "CHID", "ADC_CHX_DATA_HK_ANA_P5V" Fields</t>
  </si>
  <si>
    <t xml:space="preserve">      -- AEB Housekeeping Area Register "ADC_RD_DATA_HK_ANA_P3V3" : NEW, "OVF", "SUPPLY", "CHID", "ADC_CHX_DATA_HK_ANA_P3V3" Fields</t>
  </si>
  <si>
    <t xml:space="preserve">      -- AEB Housekeeping Area Register "ADC_RD_DATA_HK_DIG_P3V3" : NEW, "OVF", "SUPPLY", "CHID", "ADC_CHX_DATA_HK_DIG_P3V3" Fields</t>
  </si>
  <si>
    <t xml:space="preserve">      -- AEB Housekeeping Area Register "ADC_RD_DATA_ADC_REF_BUF_2" : NEW, "OVF", "SUPPLY", "CHID", "ADC_CHX_DATA_ADC_REF_BUF_2" Fields</t>
  </si>
  <si>
    <t xml:space="preserve">  when (x"00001061") =&gt;</t>
  </si>
  <si>
    <t xml:space="preserve">  when (x"00001062") =&gt;</t>
  </si>
  <si>
    <t xml:space="preserve">      -- AEB Housekeeping Area Register "ADC1_RD_CONFIG_1" : SPIRST, "MUXMOD", "BYPAS", "CLKENB", "CHOP", "STAT" Fields</t>
  </si>
  <si>
    <t xml:space="preserve">      fee_rmap_o.readdata(6 downto 1) &lt;= rmap_registers_wr_i.aeb_hk_adc1_rd_config_1.others_0;</t>
  </si>
  <si>
    <t xml:space="preserve">      -- AEB Housekeeping Area Register "ADC1_RD_CONFIG_1" : IDLMOD, "DLY2", "DLY1", "DLY0", "SBCS1", "SBCS0", "DRATE1", "DRATE0", "AINP3", "AINP2", "AINP1", "AINP0", "AINN3", "AINN2", "AINN1", "AINN0", "DIFF7", "DIFF6", "DIFF5", "DIFF4", "DIFF3", "DIFF2", "DIFF1", "DIFF0" Fields</t>
  </si>
  <si>
    <t xml:space="preserve">      fee_rmap_o.readdata &lt;= rmap_registers_wr_i.aeb_hk_adc1_rd_config_1.others_1(23 downto 16);</t>
  </si>
  <si>
    <t xml:space="preserve">      fee_rmap_o.readdata &lt;= rmap_registers_wr_i.aeb_hk_adc1_rd_config_1.others_1(15 downto 8);</t>
  </si>
  <si>
    <t xml:space="preserve">      fee_rmap_o.readdata &lt;= rmap_registers_wr_i.aeb_hk_adc1_rd_config_1.others_1(7 downto 0);</t>
  </si>
  <si>
    <t xml:space="preserve">      -- AEB Housekeeping Area Register "ADC1_RD_CONFIG_2" : AIN7, "AIN6", "AIN5", "AIN4", "AIN3", "AIN2", "AIN1", "AIN0", "AIN15", "AIN14", "AIN13", "AIN12", "AIN11", "AIN10", "AIN9", "AIN8" Fields</t>
  </si>
  <si>
    <t xml:space="preserve">      fee_rmap_o.readdata &lt;= rmap_registers_wr_i.aeb_hk_adc1_rd_config_2.others_0(15 downto 8);</t>
  </si>
  <si>
    <t xml:space="preserve">      fee_rmap_o.readdata &lt;= rmap_registers_wr_i.aeb_hk_adc1_rd_config_2.others_0(7 downto 0);</t>
  </si>
  <si>
    <t xml:space="preserve">      -- AEB Housekeeping Area Register "ADC1_RD_CONFIG_2" : OFFSET, "CIO7", "CIO6", "CIO5", "CIO4", "CIO3", "CIO2", "CIO1", "CIO0" Fields</t>
  </si>
  <si>
    <t xml:space="preserve">      fee_rmap_o.readdata(0) &lt;= rmap_registers_wr_i.aeb_hk_adc1_rd_config_2.others_2(8);</t>
  </si>
  <si>
    <t xml:space="preserve">      -- AEB Housekeeping Area Register "ADC1_RD_CONFIG_2" : REF, "GAIN", "TEMP", "VCC" Fields</t>
  </si>
  <si>
    <t xml:space="preserve">      fee_rmap_o.readdata(5 downto 2) &lt;= rmap_registers_wr_i.aeb_hk_adc1_rd_config_2.others_1;</t>
  </si>
  <si>
    <t xml:space="preserve">      fee_rmap_o.readdata &lt;= rmap_registers_wr_i.aeb_hk_adc1_rd_config_2.others_2(7 downto 0);</t>
  </si>
  <si>
    <t xml:space="preserve">      -- AEB Housekeeping Area Register "ADC1_RD_CONFIG_3" : DIO7, "DIO6", "DIO5", "DIO4", "DIO3", "DIO2", "DIO1", "DIO0" Fields</t>
  </si>
  <si>
    <t xml:space="preserve">      -- AEB Housekeeping Area Register "ADC2_RD_CONFIG_1" : SPIRST, "MUXMOD", "BYPAS", "CLKENB", "CHOP", "STAT" Fields</t>
  </si>
  <si>
    <t xml:space="preserve">      fee_rmap_o.readdata(6 downto 1) &lt;= rmap_registers_wr_i.aeb_hk_adc2_rd_config_1.others_0;</t>
  </si>
  <si>
    <t xml:space="preserve">      -- AEB Housekeeping Area Register "ADC2_RD_CONFIG_1" : IDLMOD, "DLY2", "DLY1", "DLY0", "SBCS1", "SBCS0", "DRATE1", "DRATE0", "AINP3", "AINP2", "AINP1", "AINP0", "AINN3", "AINN2", "AINN1", "AINN0", "DIFF7", "DIFF6", "DIFF5", "DIFF4", "DIFF3", "DIFF2", "DIFF1", "DIFF0" Fields</t>
  </si>
  <si>
    <t xml:space="preserve">      fee_rmap_o.readdata &lt;= rmap_registers_wr_i.aeb_hk_adc2_rd_config_1.others_1(23 downto 16);</t>
  </si>
  <si>
    <t xml:space="preserve">      fee_rmap_o.readdata &lt;= rmap_registers_wr_i.aeb_hk_adc2_rd_config_1.others_1(15 downto 8);</t>
  </si>
  <si>
    <t xml:space="preserve">      fee_rmap_o.readdata &lt;= rmap_registers_wr_i.aeb_hk_adc2_rd_config_1.others_1(7 downto 0);</t>
  </si>
  <si>
    <t xml:space="preserve">      -- AEB Housekeeping Area Register "ADC2_RD_CONFIG_2" : AIN7, "AIN6", "AIN5", "AIN4", "AIN3", "AIN2", "AIN1", "AIN0", "AIN15", "AIN14", "AIN13", "AIN12", "AIN11", "AIN10", "AIN9", "AIN8" Fields</t>
  </si>
  <si>
    <t xml:space="preserve">      fee_rmap_o.readdata &lt;= rmap_registers_wr_i.aeb_hk_adc2_rd_config_2.others_0(15 downto 8);</t>
  </si>
  <si>
    <t xml:space="preserve">      fee_rmap_o.readdata &lt;= rmap_registers_wr_i.aeb_hk_adc2_rd_config_2.others_0(7 downto 0);</t>
  </si>
  <si>
    <t xml:space="preserve">      -- AEB Housekeeping Area Register "ADC2_RD_CONFIG_2" : OFFSET, "CIO7", "CIO6", "CIO5", "CIO4", "CIO3", "CIO2", "CIO1", "CIO0" Fields</t>
  </si>
  <si>
    <t xml:space="preserve">      fee_rmap_o.readdata(0) &lt;= rmap_registers_wr_i.aeb_hk_adc2_rd_config_2.others_2(8);</t>
  </si>
  <si>
    <t xml:space="preserve">      -- AEB Housekeeping Area Register "ADC2_RD_CONFIG_2" : REF, "GAIN", "TEMP", "VCC" Fields</t>
  </si>
  <si>
    <t xml:space="preserve">      fee_rmap_o.readdata(5 downto 2) &lt;= rmap_registers_wr_i.aeb_hk_adc2_rd_config_2.others_1;</t>
  </si>
  <si>
    <t xml:space="preserve">      fee_rmap_o.readdata &lt;= rmap_registers_wr_i.aeb_hk_adc2_rd_config_2.others_2(7 downto 0);</t>
  </si>
  <si>
    <t xml:space="preserve">      -- AEB Housekeeping Area Register "ADC2_RD_CONFIG_3" : DIO7, "DIO6", "DIO5", "DIO4", "DIO3", "DIO2", "DIO1", "DIO0" Fields</t>
  </si>
  <si>
    <t xml:space="preserve">      -- AEB Housekeeping Area Register "VASP_RD_CONFIG" : VASP1_READ_DATA, "VASP2_READ_DATA" Fields</t>
  </si>
  <si>
    <t xml:space="preserve">      -- AEB Housekeeping Area Register "REVISION_ID_1" : FPGA_VERSION, "FPGA_DATE" Fields</t>
  </si>
  <si>
    <t xml:space="preserve">      -- AEB Housekeeping Area Register "REVISION_ID_2" : FPGA_TIME_H, "FPGA_TIME_M", "FPGA_SVN" Fields</t>
  </si>
  <si>
    <t xml:space="preserve">      rmap_registers_wr_o.aeb_crit_cfg_aeb_control.reserved &lt;= fee_rmap_i.writedata(7 downto 6);</t>
  </si>
  <si>
    <t xml:space="preserve">      fee_rmap_o.readdata &lt;= rmap_registers_wr_i.aeb_crit_cfg_aeb_control.others_0(23 downto 16);</t>
  </si>
  <si>
    <t xml:space="preserve">      fee_rmap_o.readdata &lt;= rmap_registers_wr_i.aeb_crit_cfg_aeb_control.others_0(15 downto 8);</t>
  </si>
  <si>
    <t xml:space="preserve">      fee_rmap_o.readdata &lt;= rmap_registers_wr_i.aeb_crit_cfg_aeb_control.others_0(7 downto 0);</t>
  </si>
  <si>
    <t xml:space="preserve">      fee_rmap_o.readdata &lt;= rmap_registers_wr_i.aeb_crit_cfg_aeb_config.others_0(31 downto 24);</t>
  </si>
  <si>
    <t xml:space="preserve">      fee_rmap_o.readdata &lt;= rmap_registers_wr_i.aeb_crit_cfg_aeb_config.others_0(23 downto 16);</t>
  </si>
  <si>
    <t xml:space="preserve">      fee_rmap_o.readdata &lt;= rmap_registers_wr_i.aeb_crit_cfg_aeb_config.others_0(15 downto 8);</t>
  </si>
  <si>
    <t xml:space="preserve">      fee_rmap_o.readdata &lt;= rmap_registers_wr_i.aeb_crit_cfg_aeb_config.others_0(7 downto 0);</t>
  </si>
  <si>
    <t xml:space="preserve">      fee_rmap_o.readdata &lt;= rmap_registers_wr_i.aeb_crit_cfg_aeb_config_ait.others_0(31 downto 24);</t>
  </si>
  <si>
    <t xml:space="preserve">      fee_rmap_o.readdata &lt;= rmap_registers_wr_i.aeb_crit_cfg_aeb_config_ait.others_0(23 downto 16);</t>
  </si>
  <si>
    <t xml:space="preserve">      fee_rmap_o.readdata &lt;= rmap_registers_wr_i.aeb_crit_cfg_aeb_config_ait.others_0(15 downto 8);</t>
  </si>
  <si>
    <t xml:space="preserve">      fee_rmap_o.readdata &lt;= rmap_registers_wr_i.aeb_crit_cfg_aeb_config_ait.others_0(7 downto 0);</t>
  </si>
  <si>
    <t xml:space="preserve">      fee_rmap_o.readdata &lt;= rmap_registers_wr_i.aeb_crit_cfg_vasp_i2c_control.others_0(31 downto 24);</t>
  </si>
  <si>
    <t xml:space="preserve">      fee_rmap_o.readdata &lt;= rmap_registers_wr_i.aeb_crit_cfg_vasp_i2c_control.others_0(23 downto 16);</t>
  </si>
  <si>
    <t xml:space="preserve">      fee_rmap_o.readdata &lt;= rmap_registers_wr_i.aeb_crit_cfg_vasp_i2c_control.others_0(15 downto 8);</t>
  </si>
  <si>
    <t xml:space="preserve">      fee_rmap_o.readdata &lt;= rmap_registers_wr_i.aeb_crit_cfg_vasp_i2c_control.others_0(7 downto 0);</t>
  </si>
  <si>
    <t xml:space="preserve">      fee_rmap_o.readdata &lt;= rmap_registers_wr_i.aeb_crit_cfg_dac_config_1.others_0(31 downto 24);</t>
  </si>
  <si>
    <t xml:space="preserve">      fee_rmap_o.readdata &lt;= rmap_registers_wr_i.aeb_crit_cfg_dac_config_1.others_0(23 downto 16);</t>
  </si>
  <si>
    <t xml:space="preserve">      fee_rmap_o.readdata &lt;= rmap_registers_wr_i.aeb_crit_cfg_dac_config_1.others_0(15 downto 8);</t>
  </si>
  <si>
    <t xml:space="preserve">      fee_rmap_o.readdata &lt;= rmap_registers_wr_i.aeb_crit_cfg_dac_config_1.others_0(7 downto 0);</t>
  </si>
  <si>
    <t xml:space="preserve">      fee_rmap_o.readdata &lt;= rmap_registers_wr_i.aeb_crit_cfg_dac_config_2.others_0(31 downto 24);</t>
  </si>
  <si>
    <t xml:space="preserve">      fee_rmap_o.readdata &lt;= rmap_registers_wr_i.aeb_crit_cfg_dac_config_2.others_0(23 downto 16);</t>
  </si>
  <si>
    <t xml:space="preserve">      fee_rmap_o.readdata &lt;= rmap_registers_wr_i.aeb_crit_cfg_dac_config_2.others_0(15 downto 8);</t>
  </si>
  <si>
    <t xml:space="preserve">      fee_rmap_o.readdata &lt;= rmap_registers_wr_i.aeb_crit_cfg_dac_config_2.others_0(7 downto 0);</t>
  </si>
  <si>
    <t xml:space="preserve">      fee_rmap_o.readdata &lt;= rmap_registers_wr_i.aeb_gen_cfg_adc1_config_1.others_0(31 downto 24);</t>
  </si>
  <si>
    <t xml:space="preserve">      fee_rmap_o.readdata &lt;= rmap_registers_wr_i.aeb_gen_cfg_adc1_config_1.others_0(23 downto 16);</t>
  </si>
  <si>
    <t xml:space="preserve">      fee_rmap_o.readdata &lt;= rmap_registers_wr_i.aeb_gen_cfg_adc1_config_1.others_0(15 downto 8);</t>
  </si>
  <si>
    <t xml:space="preserve">      fee_rmap_o.readdata &lt;= rmap_registers_wr_i.aeb_gen_cfg_adc1_config_1.others_0(7 downto 0);</t>
  </si>
  <si>
    <t xml:space="preserve">      fee_rmap_o.readdata &lt;= rmap_registers_wr_i.aeb_gen_cfg_adc1_config_2.others_0(31 downto 24);</t>
  </si>
  <si>
    <t xml:space="preserve">      fee_rmap_o.readdata &lt;= rmap_registers_wr_i.aeb_gen_cfg_adc1_config_2.others_0(23 downto 16);</t>
  </si>
  <si>
    <t xml:space="preserve">      fee_rmap_o.readdata &lt;= rmap_registers_wr_i.aeb_gen_cfg_adc1_config_2.others_0(15 downto 8);</t>
  </si>
  <si>
    <t xml:space="preserve">      fee_rmap_o.readdata &lt;= rmap_registers_wr_i.aeb_gen_cfg_adc1_config_2.others_0(7 downto 0);</t>
  </si>
  <si>
    <t xml:space="preserve">      fee_rmap_o.readdata &lt;= rmap_registers_wr_i.aeb_gen_cfg_adc1_config_3.others_0(31 downto 24);</t>
  </si>
  <si>
    <t xml:space="preserve">      fee_rmap_o.readdata &lt;= rmap_registers_wr_i.aeb_gen_cfg_adc1_config_3.others_0(23 downto 16);</t>
  </si>
  <si>
    <t xml:space="preserve">      fee_rmap_o.readdata &lt;= rmap_registers_wr_i.aeb_gen_cfg_adc1_config_3.others_0(15 downto 8);</t>
  </si>
  <si>
    <t xml:space="preserve">      fee_rmap_o.readdata &lt;= rmap_registers_wr_i.aeb_gen_cfg_adc1_config_3.others_0(7 downto 0);</t>
  </si>
  <si>
    <t xml:space="preserve">      fee_rmap_o.readdata &lt;= rmap_registers_wr_i.aeb_gen_cfg_adc2_config_1.others_0(31 downto 24);</t>
  </si>
  <si>
    <t xml:space="preserve">      fee_rmap_o.readdata &lt;= rmap_registers_wr_i.aeb_gen_cfg_adc2_config_1.others_0(23 downto 16);</t>
  </si>
  <si>
    <t xml:space="preserve">      fee_rmap_o.readdata &lt;= rmap_registers_wr_i.aeb_gen_cfg_adc2_config_1.others_0(15 downto 8);</t>
  </si>
  <si>
    <t xml:space="preserve">      fee_rmap_o.readdata &lt;= rmap_registers_wr_i.aeb_gen_cfg_adc2_config_1.others_0(7 downto 0);</t>
  </si>
  <si>
    <t xml:space="preserve">      fee_rmap_o.readdata &lt;= rmap_registers_wr_i.aeb_gen_cfg_adc2_config_2.others_0(31 downto 24);</t>
  </si>
  <si>
    <t xml:space="preserve">      fee_rmap_o.readdata &lt;= rmap_registers_wr_i.aeb_gen_cfg_adc2_config_2.others_0(23 downto 16);</t>
  </si>
  <si>
    <t xml:space="preserve">      fee_rmap_o.readdata &lt;= rmap_registers_wr_i.aeb_gen_cfg_adc2_config_2.others_0(15 downto 8);</t>
  </si>
  <si>
    <t xml:space="preserve">      fee_rmap_o.readdata &lt;= rmap_registers_wr_i.aeb_gen_cfg_adc2_config_2.others_0(7 downto 0);</t>
  </si>
  <si>
    <t xml:space="preserve">      fee_rmap_o.readdata &lt;= rmap_registers_wr_i.aeb_gen_cfg_adc2_config_3.others_0(31 downto 24);</t>
  </si>
  <si>
    <t xml:space="preserve">      fee_rmap_o.readdata &lt;= rmap_registers_wr_i.aeb_gen_cfg_adc2_config_3.others_0(23 downto 16);</t>
  </si>
  <si>
    <t xml:space="preserve">      fee_rmap_o.readdata &lt;= rmap_registers_wr_i.aeb_gen_cfg_adc2_config_3.others_0(15 downto 8);</t>
  </si>
  <si>
    <t xml:space="preserve">      fee_rmap_o.readdata &lt;= rmap_registers_wr_i.aeb_gen_cfg_adc2_config_3.others_0(7 downto 0);</t>
  </si>
  <si>
    <t xml:space="preserve">      fee_rmap_o.readdata &lt;= rmap_registers_wr_i.aeb_gen_cfg_seq_config_1.others_0(31 downto 24);</t>
  </si>
  <si>
    <t xml:space="preserve">      fee_rmap_o.readdata &lt;= rmap_registers_wr_i.aeb_gen_cfg_seq_config_1.others_0(23 downto 16);</t>
  </si>
  <si>
    <t xml:space="preserve">      fee_rmap_o.readdata &lt;= rmap_registers_wr_i.aeb_gen_cfg_seq_config_1.others_0(15 downto 8);</t>
  </si>
  <si>
    <t xml:space="preserve">      fee_rmap_o.readdata &lt;= rmap_registers_wr_i.aeb_gen_cfg_seq_config_1.others_0(7 downto 0);</t>
  </si>
  <si>
    <t xml:space="preserve">      fee_rmap_o.readdata &lt;= rmap_registers_wr_i.aeb_gen_cfg_seq_config_2.others_0(31 downto 24);</t>
  </si>
  <si>
    <t xml:space="preserve">      fee_rmap_o.readdata &lt;= rmap_registers_wr_i.aeb_gen_cfg_seq_config_2.others_0(23 downto 16);</t>
  </si>
  <si>
    <t xml:space="preserve">      fee_rmap_o.readdata &lt;= rmap_registers_wr_i.aeb_gen_cfg_seq_config_2.others_0(15 downto 8);</t>
  </si>
  <si>
    <t xml:space="preserve">      fee_rmap_o.readdata &lt;= rmap_registers_wr_i.aeb_gen_cfg_seq_config_2.others_0(7 downto 0);</t>
  </si>
  <si>
    <t xml:space="preserve">      fee_rmap_o.readdata &lt;= rmap_registers_wr_i.aeb_gen_cfg_seq_config_3.others_0(31 downto 24);</t>
  </si>
  <si>
    <t xml:space="preserve">      fee_rmap_o.readdata &lt;= rmap_registers_wr_i.aeb_gen_cfg_seq_config_3.others_0(23 downto 16);</t>
  </si>
  <si>
    <t xml:space="preserve">      fee_rmap_o.readdata &lt;= rmap_registers_wr_i.aeb_gen_cfg_seq_config_3.others_0(15 downto 8);</t>
  </si>
  <si>
    <t xml:space="preserve">      fee_rmap_o.readdata &lt;= rmap_registers_wr_i.aeb_gen_cfg_seq_config_3.others_0(7 downto 0);</t>
  </si>
  <si>
    <t xml:space="preserve">      fee_rmap_o.readdata &lt;= rmap_registers_wr_i.aeb_gen_cfg_seq_config_4.others_0(31 downto 24);</t>
  </si>
  <si>
    <t xml:space="preserve">      fee_rmap_o.readdata &lt;= rmap_registers_wr_i.aeb_gen_cfg_seq_config_4.others_0(23 downto 16);</t>
  </si>
  <si>
    <t xml:space="preserve">      fee_rmap_o.readdata &lt;= rmap_registers_wr_i.aeb_gen_cfg_seq_config_4.others_0(15 downto 8);</t>
  </si>
  <si>
    <t xml:space="preserve">      fee_rmap_o.readdata &lt;= rmap_registers_wr_i.aeb_gen_cfg_seq_config_4.others_0(7 downto 0);</t>
  </si>
  <si>
    <t xml:space="preserve">      fee_rmap_o.readdata &lt;= rmap_registers_wr_i.aeb_gen_cfg_seq_config_5.others_0(31 downto 24);</t>
  </si>
  <si>
    <t xml:space="preserve">      fee_rmap_o.readdata &lt;= rmap_registers_wr_i.aeb_gen_cfg_seq_config_5.others_0(23 downto 16);</t>
  </si>
  <si>
    <t xml:space="preserve">      fee_rmap_o.readdata &lt;= rmap_registers_wr_i.aeb_gen_cfg_seq_config_5.others_0(15 downto 8);</t>
  </si>
  <si>
    <t xml:space="preserve">      fee_rmap_o.readdata &lt;= rmap_registers_wr_i.aeb_gen_cfg_seq_config_5.others_0(7 downto 0);</t>
  </si>
  <si>
    <t xml:space="preserve">      fee_rmap_o.readdata &lt;= rmap_registers_wr_i.aeb_gen_cfg_seq_config_6.others_0(31 downto 24);</t>
  </si>
  <si>
    <t xml:space="preserve">      fee_rmap_o.readdata &lt;= rmap_registers_wr_i.aeb_gen_cfg_seq_config_6.others_0(23 downto 16);</t>
  </si>
  <si>
    <t xml:space="preserve">      fee_rmap_o.readdata &lt;= rmap_registers_wr_i.aeb_gen_cfg_seq_config_6.others_0(15 downto 8);</t>
  </si>
  <si>
    <t xml:space="preserve">      fee_rmap_o.readdata &lt;= rmap_registers_wr_i.aeb_gen_cfg_seq_config_6.others_0(7 downto 0);</t>
  </si>
  <si>
    <t xml:space="preserve">      fee_rmap_o.readdata &lt;= rmap_registers_wr_i.aeb_gen_cfg_seq_config_14.others_0(31 downto 24);</t>
  </si>
  <si>
    <t xml:space="preserve">      fee_rmap_o.readdata &lt;= rmap_registers_wr_i.aeb_gen_cfg_seq_config_14.others_0(23 downto 16);</t>
  </si>
  <si>
    <t xml:space="preserve">      fee_rmap_o.readdata &lt;= rmap_registers_wr_i.aeb_gen_cfg_seq_config_14.others_0(15 downto 8);</t>
  </si>
  <si>
    <t xml:space="preserve">      fee_rmap_o.readdata &lt;= rmap_registers_wr_i.aeb_gen_cfg_seq_config_14.others_0(7 downto 0);</t>
  </si>
  <si>
    <t xml:space="preserve">      fee_rmap_o.readdata &lt;= rmap_registers_wr_i.aeb_hk_adc_rd_data_t_vasp_l.others_0(31 downto 24);</t>
  </si>
  <si>
    <t xml:space="preserve">      fee_rmap_o.readdata &lt;= rmap_registers_wr_i.aeb_hk_adc_rd_data_t_vasp_l.others_0(23 downto 16);</t>
  </si>
  <si>
    <t xml:space="preserve">      fee_rmap_o.readdata &lt;= rmap_registers_wr_i.aeb_hk_adc_rd_data_t_vasp_l.others_0(15 downto 8);</t>
  </si>
  <si>
    <t xml:space="preserve">      fee_rmap_o.readdata &lt;= rmap_registers_wr_i.aeb_hk_adc_rd_data_t_vasp_l.others_0(7 downto 0);</t>
  </si>
  <si>
    <t xml:space="preserve">      fee_rmap_o.readdata &lt;= rmap_registers_wr_i.aeb_hk_adc_rd_data_t_vasp_r.others_0(31 downto 24);</t>
  </si>
  <si>
    <t xml:space="preserve">      fee_rmap_o.readdata &lt;= rmap_registers_wr_i.aeb_hk_adc_rd_data_t_vasp_r.others_0(23 downto 16);</t>
  </si>
  <si>
    <t xml:space="preserve">      fee_rmap_o.readdata &lt;= rmap_registers_wr_i.aeb_hk_adc_rd_data_t_vasp_r.others_0(15 downto 8);</t>
  </si>
  <si>
    <t xml:space="preserve">      fee_rmap_o.readdata &lt;= rmap_registers_wr_i.aeb_hk_adc_rd_data_t_vasp_r.others_0(7 downto 0);</t>
  </si>
  <si>
    <t xml:space="preserve">      fee_rmap_o.readdata &lt;= rmap_registers_wr_i.aeb_hk_adc_rd_data_t_bias_p.others_0(31 downto 24);</t>
  </si>
  <si>
    <t xml:space="preserve">      fee_rmap_o.readdata &lt;= rmap_registers_wr_i.aeb_hk_adc_rd_data_t_bias_p.others_0(23 downto 16);</t>
  </si>
  <si>
    <t xml:space="preserve">      fee_rmap_o.readdata &lt;= rmap_registers_wr_i.aeb_hk_adc_rd_data_t_bias_p.others_0(15 downto 8);</t>
  </si>
  <si>
    <t xml:space="preserve">      fee_rmap_o.readdata &lt;= rmap_registers_wr_i.aeb_hk_adc_rd_data_t_bias_p.others_0(7 downto 0);</t>
  </si>
  <si>
    <t xml:space="preserve">      fee_rmap_o.readdata &lt;= rmap_registers_wr_i.aeb_hk_adc_rd_data_t_hk_p.others_0(31 downto 24);</t>
  </si>
  <si>
    <t xml:space="preserve">      fee_rmap_o.readdata &lt;= rmap_registers_wr_i.aeb_hk_adc_rd_data_t_hk_p.others_0(23 downto 16);</t>
  </si>
  <si>
    <t xml:space="preserve">      fee_rmap_o.readdata &lt;= rmap_registers_wr_i.aeb_hk_adc_rd_data_t_hk_p.others_0(15 downto 8);</t>
  </si>
  <si>
    <t xml:space="preserve">      fee_rmap_o.readdata &lt;= rmap_registers_wr_i.aeb_hk_adc_rd_data_t_hk_p.others_0(7 downto 0);</t>
  </si>
  <si>
    <t xml:space="preserve">      fee_rmap_o.readdata &lt;= rmap_registers_wr_i.aeb_hk_adc_rd_data_t_tou_1_p.others_0(31 downto 24);</t>
  </si>
  <si>
    <t xml:space="preserve">      fee_rmap_o.readdata &lt;= rmap_registers_wr_i.aeb_hk_adc_rd_data_t_tou_1_p.others_0(23 downto 16);</t>
  </si>
  <si>
    <t xml:space="preserve">      fee_rmap_o.readdata &lt;= rmap_registers_wr_i.aeb_hk_adc_rd_data_t_tou_1_p.others_0(15 downto 8);</t>
  </si>
  <si>
    <t xml:space="preserve">      fee_rmap_o.readdata &lt;= rmap_registers_wr_i.aeb_hk_adc_rd_data_t_tou_1_p.others_0(7 downto 0);</t>
  </si>
  <si>
    <t xml:space="preserve">      fee_rmap_o.readdata &lt;= rmap_registers_wr_i.aeb_hk_adc_rd_data_t_tou_2_p.others_0(31 downto 24);</t>
  </si>
  <si>
    <t xml:space="preserve">      fee_rmap_o.readdata &lt;= rmap_registers_wr_i.aeb_hk_adc_rd_data_t_tou_2_p.others_0(23 downto 16);</t>
  </si>
  <si>
    <t xml:space="preserve">      fee_rmap_o.readdata &lt;= rmap_registers_wr_i.aeb_hk_adc_rd_data_t_tou_2_p.others_0(15 downto 8);</t>
  </si>
  <si>
    <t xml:space="preserve">      fee_rmap_o.readdata &lt;= rmap_registers_wr_i.aeb_hk_adc_rd_data_t_tou_2_p.others_0(7 downto 0);</t>
  </si>
  <si>
    <t xml:space="preserve">      fee_rmap_o.readdata &lt;= rmap_registers_wr_i.aeb_hk_adc_rd_data_hk_vode.others_0(31 downto 24);</t>
  </si>
  <si>
    <t xml:space="preserve">      fee_rmap_o.readdata &lt;= rmap_registers_wr_i.aeb_hk_adc_rd_data_hk_vode.others_0(23 downto 16);</t>
  </si>
  <si>
    <t xml:space="preserve">      fee_rmap_o.readdata &lt;= rmap_registers_wr_i.aeb_hk_adc_rd_data_hk_vode.others_0(15 downto 8);</t>
  </si>
  <si>
    <t xml:space="preserve">      fee_rmap_o.readdata &lt;= rmap_registers_wr_i.aeb_hk_adc_rd_data_hk_vode.others_0(7 downto 0);</t>
  </si>
  <si>
    <t xml:space="preserve">      fee_rmap_o.readdata &lt;= rmap_registers_wr_i.aeb_hk_adc_rd_data_hk_vodf.others_0(31 downto 24);</t>
  </si>
  <si>
    <t xml:space="preserve">      fee_rmap_o.readdata &lt;= rmap_registers_wr_i.aeb_hk_adc_rd_data_hk_vodf.others_0(23 downto 16);</t>
  </si>
  <si>
    <t xml:space="preserve">      fee_rmap_o.readdata &lt;= rmap_registers_wr_i.aeb_hk_adc_rd_data_hk_vodf.others_0(15 downto 8);</t>
  </si>
  <si>
    <t xml:space="preserve">      fee_rmap_o.readdata &lt;= rmap_registers_wr_i.aeb_hk_adc_rd_data_hk_vodf.others_0(7 downto 0);</t>
  </si>
  <si>
    <t xml:space="preserve">      fee_rmap_o.readdata &lt;= rmap_registers_wr_i.aeb_hk_adc_rd_data_hk_vrd.others_0(31 downto 24);</t>
  </si>
  <si>
    <t xml:space="preserve">      fee_rmap_o.readdata &lt;= rmap_registers_wr_i.aeb_hk_adc_rd_data_hk_vrd.others_0(23 downto 16);</t>
  </si>
  <si>
    <t xml:space="preserve">      fee_rmap_o.readdata &lt;= rmap_registers_wr_i.aeb_hk_adc_rd_data_hk_vrd.others_0(15 downto 8);</t>
  </si>
  <si>
    <t xml:space="preserve">      fee_rmap_o.readdata &lt;= rmap_registers_wr_i.aeb_hk_adc_rd_data_hk_vrd.others_0(7 downto 0);</t>
  </si>
  <si>
    <t xml:space="preserve">      fee_rmap_o.readdata &lt;= rmap_registers_wr_i.aeb_hk_adc_rd_data_hk_vog.others_0(31 downto 24);</t>
  </si>
  <si>
    <t xml:space="preserve">      fee_rmap_o.readdata &lt;= rmap_registers_wr_i.aeb_hk_adc_rd_data_hk_vog.others_0(23 downto 16);</t>
  </si>
  <si>
    <t xml:space="preserve">      fee_rmap_o.readdata &lt;= rmap_registers_wr_i.aeb_hk_adc_rd_data_hk_vog.others_0(15 downto 8);</t>
  </si>
  <si>
    <t xml:space="preserve">      fee_rmap_o.readdata &lt;= rmap_registers_wr_i.aeb_hk_adc_rd_data_hk_vog.others_0(7 downto 0);</t>
  </si>
  <si>
    <t xml:space="preserve">      fee_rmap_o.readdata &lt;= rmap_registers_wr_i.aeb_hk_adc_rd_data_t_ccd.others_0(31 downto 24);</t>
  </si>
  <si>
    <t xml:space="preserve">      fee_rmap_o.readdata &lt;= rmap_registers_wr_i.aeb_hk_adc_rd_data_t_ccd.others_0(23 downto 16);</t>
  </si>
  <si>
    <t xml:space="preserve">      fee_rmap_o.readdata &lt;= rmap_registers_wr_i.aeb_hk_adc_rd_data_t_ccd.others_0(15 downto 8);</t>
  </si>
  <si>
    <t xml:space="preserve">      fee_rmap_o.readdata &lt;= rmap_registers_wr_i.aeb_hk_adc_rd_data_t_ccd.others_0(7 downto 0);</t>
  </si>
  <si>
    <t xml:space="preserve">      fee_rmap_o.readdata &lt;= rmap_registers_wr_i.aeb_hk_adc_rd_data_t_ref1k_mea.others_0(31 downto 24);</t>
  </si>
  <si>
    <t xml:space="preserve">      fee_rmap_o.readdata &lt;= rmap_registers_wr_i.aeb_hk_adc_rd_data_t_ref1k_mea.others_0(23 downto 16);</t>
  </si>
  <si>
    <t xml:space="preserve">      fee_rmap_o.readdata &lt;= rmap_registers_wr_i.aeb_hk_adc_rd_data_t_ref1k_mea.others_0(15 downto 8);</t>
  </si>
  <si>
    <t xml:space="preserve">      fee_rmap_o.readdata &lt;= rmap_registers_wr_i.aeb_hk_adc_rd_data_t_ref1k_mea.others_0(7 downto 0);</t>
  </si>
  <si>
    <t xml:space="preserve">      fee_rmap_o.readdata &lt;= rmap_registers_wr_i.aeb_hk_adc_rd_data_t_ref649r_mea.others_0(31 downto 24);</t>
  </si>
  <si>
    <t xml:space="preserve">      fee_rmap_o.readdata &lt;= rmap_registers_wr_i.aeb_hk_adc_rd_data_t_ref649r_mea.others_0(23 downto 16);</t>
  </si>
  <si>
    <t xml:space="preserve">      fee_rmap_o.readdata &lt;= rmap_registers_wr_i.aeb_hk_adc_rd_data_t_ref649r_mea.others_0(15 downto 8);</t>
  </si>
  <si>
    <t xml:space="preserve">      fee_rmap_o.readdata &lt;= rmap_registers_wr_i.aeb_hk_adc_rd_data_t_ref649r_mea.others_0(7 downto 0);</t>
  </si>
  <si>
    <t xml:space="preserve">      fee_rmap_o.readdata &lt;= rmap_registers_wr_i.aeb_hk_adc_rd_data_hk_ana_n5v.others_0(31 downto 24);</t>
  </si>
  <si>
    <t xml:space="preserve">      fee_rmap_o.readdata &lt;= rmap_registers_wr_i.aeb_hk_adc_rd_data_hk_ana_n5v.others_0(23 downto 16);</t>
  </si>
  <si>
    <t xml:space="preserve">      fee_rmap_o.readdata &lt;= rmap_registers_wr_i.aeb_hk_adc_rd_data_hk_ana_n5v.others_0(15 downto 8);</t>
  </si>
  <si>
    <t xml:space="preserve">      fee_rmap_o.readdata &lt;= rmap_registers_wr_i.aeb_hk_adc_rd_data_hk_ana_n5v.others_0(7 downto 0);</t>
  </si>
  <si>
    <t xml:space="preserve">      fee_rmap_o.readdata &lt;= rmap_registers_wr_i.aeb_hk_adc_rd_data_s_ref.others_0(31 downto 24);</t>
  </si>
  <si>
    <t xml:space="preserve">      fee_rmap_o.readdata &lt;= rmap_registers_wr_i.aeb_hk_adc_rd_data_s_ref.others_0(23 downto 16);</t>
  </si>
  <si>
    <t xml:space="preserve">      fee_rmap_o.readdata &lt;= rmap_registers_wr_i.aeb_hk_adc_rd_data_s_ref.others_0(15 downto 8);</t>
  </si>
  <si>
    <t xml:space="preserve">      fee_rmap_o.readdata &lt;= rmap_registers_wr_i.aeb_hk_adc_rd_data_s_ref.others_0(7 downto 0);</t>
  </si>
  <si>
    <t xml:space="preserve">      fee_rmap_o.readdata &lt;= rmap_registers_wr_i.aeb_hk_adc_rd_data_hk_ccd_p31v.others_0(31 downto 24);</t>
  </si>
  <si>
    <t xml:space="preserve">      fee_rmap_o.readdata &lt;= rmap_registers_wr_i.aeb_hk_adc_rd_data_hk_ccd_p31v.others_0(23 downto 16);</t>
  </si>
  <si>
    <t xml:space="preserve">      fee_rmap_o.readdata &lt;= rmap_registers_wr_i.aeb_hk_adc_rd_data_hk_ccd_p31v.others_0(15 downto 8);</t>
  </si>
  <si>
    <t xml:space="preserve">      fee_rmap_o.readdata &lt;= rmap_registers_wr_i.aeb_hk_adc_rd_data_hk_ccd_p31v.others_0(7 downto 0);</t>
  </si>
  <si>
    <t xml:space="preserve">      fee_rmap_o.readdata &lt;= rmap_registers_wr_i.aeb_hk_adc_rd_data_hk_clk_p15v.others_0(31 downto 24);</t>
  </si>
  <si>
    <t xml:space="preserve">      fee_rmap_o.readdata &lt;= rmap_registers_wr_i.aeb_hk_adc_rd_data_hk_clk_p15v.others_0(23 downto 16);</t>
  </si>
  <si>
    <t xml:space="preserve">      fee_rmap_o.readdata &lt;= rmap_registers_wr_i.aeb_hk_adc_rd_data_hk_clk_p15v.others_0(15 downto 8);</t>
  </si>
  <si>
    <t xml:space="preserve">      fee_rmap_o.readdata &lt;= rmap_registers_wr_i.aeb_hk_adc_rd_data_hk_clk_p15v.others_0(7 downto 0);</t>
  </si>
  <si>
    <t xml:space="preserve">      fee_rmap_o.readdata &lt;= rmap_registers_wr_i.aeb_hk_adc_rd_data_hk_ana_p5v.others_0(31 downto 24);</t>
  </si>
  <si>
    <t xml:space="preserve">      fee_rmap_o.readdata &lt;= rmap_registers_wr_i.aeb_hk_adc_rd_data_hk_ana_p5v.others_0(23 downto 16);</t>
  </si>
  <si>
    <t xml:space="preserve">      fee_rmap_o.readdata &lt;= rmap_registers_wr_i.aeb_hk_adc_rd_data_hk_ana_p5v.others_0(15 downto 8);</t>
  </si>
  <si>
    <t xml:space="preserve">      fee_rmap_o.readdata &lt;= rmap_registers_wr_i.aeb_hk_adc_rd_data_hk_ana_p5v.others_0(7 downto 0);</t>
  </si>
  <si>
    <t xml:space="preserve">      fee_rmap_o.readdata &lt;= rmap_registers_wr_i.aeb_hk_adc_rd_data_hk_ana_p3v3.others_0(31 downto 24);</t>
  </si>
  <si>
    <t xml:space="preserve">      fee_rmap_o.readdata &lt;= rmap_registers_wr_i.aeb_hk_adc_rd_data_hk_ana_p3v3.others_0(23 downto 16);</t>
  </si>
  <si>
    <t xml:space="preserve">      fee_rmap_o.readdata &lt;= rmap_registers_wr_i.aeb_hk_adc_rd_data_hk_ana_p3v3.others_0(15 downto 8);</t>
  </si>
  <si>
    <t xml:space="preserve">      fee_rmap_o.readdata &lt;= rmap_registers_wr_i.aeb_hk_adc_rd_data_hk_ana_p3v3.others_0(7 downto 0);</t>
  </si>
  <si>
    <t xml:space="preserve">      fee_rmap_o.readdata &lt;= rmap_registers_wr_i.aeb_hk_adc_rd_data_hk_dig_p3v3.others_0(31 downto 24);</t>
  </si>
  <si>
    <t xml:space="preserve">      fee_rmap_o.readdata &lt;= rmap_registers_wr_i.aeb_hk_adc_rd_data_hk_dig_p3v3.others_0(23 downto 16);</t>
  </si>
  <si>
    <t xml:space="preserve">      fee_rmap_o.readdata &lt;= rmap_registers_wr_i.aeb_hk_adc_rd_data_hk_dig_p3v3.others_0(15 downto 8);</t>
  </si>
  <si>
    <t xml:space="preserve">      fee_rmap_o.readdata &lt;= rmap_registers_wr_i.aeb_hk_adc_rd_data_hk_dig_p3v3.others_0(7 downto 0);</t>
  </si>
  <si>
    <t xml:space="preserve">      fee_rmap_o.readdata &lt;= rmap_registers_wr_i.aeb_hk_adc_rd_data_adc_ref_buf_2.others_0(31 downto 24);</t>
  </si>
  <si>
    <t xml:space="preserve">      fee_rmap_o.readdata &lt;= rmap_registers_wr_i.aeb_hk_adc_rd_data_adc_ref_buf_2.others_0(23 downto 16);</t>
  </si>
  <si>
    <t xml:space="preserve">      fee_rmap_o.readdata &lt;= rmap_registers_wr_i.aeb_hk_adc_rd_data_adc_ref_buf_2.others_0(15 downto 8);</t>
  </si>
  <si>
    <t xml:space="preserve">      fee_rmap_o.readdata &lt;= rmap_registers_wr_i.aeb_hk_adc_rd_data_adc_ref_buf_2.others_0(7 downto 0);</t>
  </si>
  <si>
    <t xml:space="preserve">      fee_rmap_o.readdata &lt;= rmap_registers_wr_i.aeb_hk_adc1_rd_config_3.others_0;</t>
  </si>
  <si>
    <t xml:space="preserve">      fee_rmap_o.readdata &lt;= rmap_registers_wr_i.aeb_hk_adc2_rd_config_3.others_0;</t>
  </si>
  <si>
    <t xml:space="preserve">      fee_rmap_o.readdata &lt;= rmap_registers_wr_i.aeb_hk_vasp_rd_config.others_0(15 downto 8);</t>
  </si>
  <si>
    <t xml:space="preserve">      fee_rmap_o.readdata &lt;= rmap_registers_wr_i.aeb_hk_vasp_rd_config.others_0(7 downto 0);</t>
  </si>
  <si>
    <t xml:space="preserve">      fee_rmap_o.readdata &lt;= rmap_registers_wr_i.aeb_hk_revision_id_1.others_0(31 downto 24);</t>
  </si>
  <si>
    <t xml:space="preserve">      fee_rmap_o.readdata &lt;= rmap_registers_wr_i.aeb_hk_revision_id_1.others_0(23 downto 16);</t>
  </si>
  <si>
    <t xml:space="preserve">      fee_rmap_o.readdata &lt;= rmap_registers_wr_i.aeb_hk_revision_id_1.others_0(15 downto 8);</t>
  </si>
  <si>
    <t xml:space="preserve">      fee_rmap_o.readdata &lt;= rmap_registers_wr_i.aeb_hk_revision_id_1.others_0(7 downto 0);</t>
  </si>
  <si>
    <t xml:space="preserve">      fee_rmap_o.readdata &lt;= rmap_registers_wr_i.aeb_hk_revision_id_2.others_0(31 downto 24);</t>
  </si>
  <si>
    <t xml:space="preserve">      fee_rmap_o.readdata &lt;= rmap_registers_wr_i.aeb_hk_revision_id_2.others_0(23 downto 16);</t>
  </si>
  <si>
    <t xml:space="preserve">      fee_rmap_o.readdata &lt;= rmap_registers_wr_i.aeb_hk_revision_id_2.others_0(15 downto 8);</t>
  </si>
  <si>
    <t xml:space="preserve">      fee_rmap_o.readdata &lt;= rmap_registers_wr_i.aeb_hk_revision_id_2.others_0(7 downto 0);</t>
  </si>
  <si>
    <t xml:space="preserve">      rmap_registers_wr_o.aeb_crit_cfg_aeb_control.others_0(23 downto 16) &lt;= fee_rmap_i.writedata;</t>
  </si>
  <si>
    <t xml:space="preserve">      rmap_registers_wr_o.aeb_crit_cfg_aeb_control.others_0(15 downto 8) &lt;= fee_rmap_i.writedata;</t>
  </si>
  <si>
    <t xml:space="preserve">      rmap_registers_wr_o.aeb_crit_cfg_aeb_control.others_0(7 downto 0) &lt;= fee_rmap_i.writedata;</t>
  </si>
  <si>
    <t xml:space="preserve">      rmap_registers_wr_o.aeb_crit_cfg_aeb_config.others_0(31 downto 24) &lt;= fee_rmap_i.writedata;</t>
  </si>
  <si>
    <t xml:space="preserve">      rmap_registers_wr_o.aeb_crit_cfg_aeb_config.others_0(23 downto 16) &lt;= fee_rmap_i.writedata;</t>
  </si>
  <si>
    <t xml:space="preserve">      rmap_registers_wr_o.aeb_crit_cfg_aeb_config.others_0(15 downto 8) &lt;= fee_rmap_i.writedata;</t>
  </si>
  <si>
    <t xml:space="preserve">      rmap_registers_wr_o.aeb_crit_cfg_aeb_config.others_0(7 downto 0) &lt;= fee_rmap_i.writedata;</t>
  </si>
  <si>
    <t xml:space="preserve">      rmap_registers_wr_o.aeb_crit_cfg_aeb_config_ait.others_0(31 downto 24) &lt;= fee_rmap_i.writedata;</t>
  </si>
  <si>
    <t xml:space="preserve">      rmap_registers_wr_o.aeb_crit_cfg_aeb_config_ait.others_0(23 downto 16) &lt;= fee_rmap_i.writedata;</t>
  </si>
  <si>
    <t xml:space="preserve">      rmap_registers_wr_o.aeb_crit_cfg_aeb_config_ait.others_0(15 downto 8) &lt;= fee_rmap_i.writedata;</t>
  </si>
  <si>
    <t xml:space="preserve">      rmap_registers_wr_o.aeb_crit_cfg_aeb_config_ait.others_0(7 downto 0) &lt;= fee_rmap_i.writedata;</t>
  </si>
  <si>
    <t xml:space="preserve">      rmap_registers_wr_o.aeb_crit_cfg_vasp_i2c_control.others_0(31 downto 24) &lt;= fee_rmap_i.writedata;</t>
  </si>
  <si>
    <t xml:space="preserve">      rmap_registers_wr_o.aeb_crit_cfg_vasp_i2c_control.others_0(23 downto 16) &lt;= fee_rmap_i.writedata;</t>
  </si>
  <si>
    <t xml:space="preserve">      rmap_registers_wr_o.aeb_crit_cfg_vasp_i2c_control.others_0(15 downto 8) &lt;= fee_rmap_i.writedata;</t>
  </si>
  <si>
    <t xml:space="preserve">      rmap_registers_wr_o.aeb_crit_cfg_vasp_i2c_control.others_0(7 downto 0) &lt;= fee_rmap_i.writedata;</t>
  </si>
  <si>
    <t xml:space="preserve">      rmap_registers_wr_o.aeb_crit_cfg_dac_config_1.others_0(31 downto 24) &lt;= fee_rmap_i.writedata;</t>
  </si>
  <si>
    <t xml:space="preserve">      rmap_registers_wr_o.aeb_crit_cfg_dac_config_1.others_0(23 downto 16) &lt;= fee_rmap_i.writedata;</t>
  </si>
  <si>
    <t xml:space="preserve">      rmap_registers_wr_o.aeb_crit_cfg_dac_config_1.others_0(15 downto 8) &lt;= fee_rmap_i.writedata;</t>
  </si>
  <si>
    <t xml:space="preserve">      rmap_registers_wr_o.aeb_crit_cfg_dac_config_1.others_0(7 downto 0) &lt;= fee_rmap_i.writedata;</t>
  </si>
  <si>
    <t xml:space="preserve">      rmap_registers_wr_o.aeb_crit_cfg_dac_config_2.others_0(31 downto 24) &lt;= fee_rmap_i.writedata;</t>
  </si>
  <si>
    <t xml:space="preserve">      rmap_registers_wr_o.aeb_crit_cfg_dac_config_2.others_0(23 downto 16) &lt;= fee_rmap_i.writedata;</t>
  </si>
  <si>
    <t xml:space="preserve">      rmap_registers_wr_o.aeb_crit_cfg_dac_config_2.others_0(15 downto 8) &lt;= fee_rmap_i.writedata;</t>
  </si>
  <si>
    <t xml:space="preserve">      rmap_registers_wr_o.aeb_crit_cfg_dac_config_2.others_0(7 downto 0) &lt;= fee_rmap_i.writedata;</t>
  </si>
  <si>
    <t xml:space="preserve">      rmap_registers_wr_o.aeb_gen_cfg_adc1_config_1.others_0(31 downto 24) &lt;= fee_rmap_i.writedata;</t>
  </si>
  <si>
    <t xml:space="preserve">      rmap_registers_wr_o.aeb_gen_cfg_adc1_config_1.others_0(23 downto 16) &lt;= fee_rmap_i.writedata;</t>
  </si>
  <si>
    <t xml:space="preserve">      rmap_registers_wr_o.aeb_gen_cfg_adc1_config_1.others_0(15 downto 8) &lt;= fee_rmap_i.writedata;</t>
  </si>
  <si>
    <t xml:space="preserve">      rmap_registers_wr_o.aeb_gen_cfg_adc1_config_1.others_0(7 downto 0) &lt;= fee_rmap_i.writedata;</t>
  </si>
  <si>
    <t xml:space="preserve">      rmap_registers_wr_o.aeb_gen_cfg_adc1_config_2.others_0(31 downto 24) &lt;= fee_rmap_i.writedata;</t>
  </si>
  <si>
    <t xml:space="preserve">      rmap_registers_wr_o.aeb_gen_cfg_adc1_config_2.others_0(23 downto 16) &lt;= fee_rmap_i.writedata;</t>
  </si>
  <si>
    <t xml:space="preserve">      rmap_registers_wr_o.aeb_gen_cfg_adc1_config_2.others_0(15 downto 8) &lt;= fee_rmap_i.writedata;</t>
  </si>
  <si>
    <t xml:space="preserve">      rmap_registers_wr_o.aeb_gen_cfg_adc1_config_2.others_0(7 downto 0) &lt;= fee_rmap_i.writedata;</t>
  </si>
  <si>
    <t xml:space="preserve">      rmap_registers_wr_o.aeb_gen_cfg_adc1_config_3.others_0(31 downto 24) &lt;= fee_rmap_i.writedata;</t>
  </si>
  <si>
    <t xml:space="preserve">      rmap_registers_wr_o.aeb_gen_cfg_adc1_config_3.others_0(23 downto 16) &lt;= fee_rmap_i.writedata;</t>
  </si>
  <si>
    <t xml:space="preserve">      rmap_registers_wr_o.aeb_gen_cfg_adc1_config_3.others_0(15 downto 8) &lt;= fee_rmap_i.writedata;</t>
  </si>
  <si>
    <t xml:space="preserve">      rmap_registers_wr_o.aeb_gen_cfg_adc1_config_3.others_0(7 downto 0) &lt;= fee_rmap_i.writedata;</t>
  </si>
  <si>
    <t xml:space="preserve">      rmap_registers_wr_o.aeb_gen_cfg_adc2_config_1.others_0(31 downto 24) &lt;= fee_rmap_i.writedata;</t>
  </si>
  <si>
    <t xml:space="preserve">      rmap_registers_wr_o.aeb_gen_cfg_adc2_config_1.others_0(23 downto 16) &lt;= fee_rmap_i.writedata;</t>
  </si>
  <si>
    <t xml:space="preserve">      rmap_registers_wr_o.aeb_gen_cfg_adc2_config_1.others_0(15 downto 8) &lt;= fee_rmap_i.writedata;</t>
  </si>
  <si>
    <t xml:space="preserve">      rmap_registers_wr_o.aeb_gen_cfg_adc2_config_1.others_0(7 downto 0) &lt;= fee_rmap_i.writedata;</t>
  </si>
  <si>
    <t xml:space="preserve">      rmap_registers_wr_o.aeb_gen_cfg_adc2_config_2.others_0(31 downto 24) &lt;= fee_rmap_i.writedata;</t>
  </si>
  <si>
    <t xml:space="preserve">      rmap_registers_wr_o.aeb_gen_cfg_adc2_config_2.others_0(23 downto 16) &lt;= fee_rmap_i.writedata;</t>
  </si>
  <si>
    <t xml:space="preserve">      rmap_registers_wr_o.aeb_gen_cfg_adc2_config_2.others_0(15 downto 8) &lt;= fee_rmap_i.writedata;</t>
  </si>
  <si>
    <t xml:space="preserve">      rmap_registers_wr_o.aeb_gen_cfg_adc2_config_2.others_0(7 downto 0) &lt;= fee_rmap_i.writedata;</t>
  </si>
  <si>
    <t xml:space="preserve">      rmap_registers_wr_o.aeb_gen_cfg_adc2_config_3.others_0(31 downto 24) &lt;= fee_rmap_i.writedata;</t>
  </si>
  <si>
    <t xml:space="preserve">      rmap_registers_wr_o.aeb_gen_cfg_adc2_config_3.others_0(23 downto 16) &lt;= fee_rmap_i.writedata;</t>
  </si>
  <si>
    <t xml:space="preserve">      rmap_registers_wr_o.aeb_gen_cfg_adc2_config_3.others_0(15 downto 8) &lt;= fee_rmap_i.writedata;</t>
  </si>
  <si>
    <t xml:space="preserve">      rmap_registers_wr_o.aeb_gen_cfg_adc2_config_3.others_0(7 downto 0) &lt;= fee_rmap_i.writedata;</t>
  </si>
  <si>
    <t xml:space="preserve">      rmap_registers_wr_o.aeb_gen_cfg_seq_config_1.others_0(31 downto 24) &lt;= fee_rmap_i.writedata;</t>
  </si>
  <si>
    <t xml:space="preserve">      rmap_registers_wr_o.aeb_gen_cfg_seq_config_1.others_0(23 downto 16) &lt;= fee_rmap_i.writedata;</t>
  </si>
  <si>
    <t xml:space="preserve">      rmap_registers_wr_o.aeb_gen_cfg_seq_config_1.others_0(15 downto 8) &lt;= fee_rmap_i.writedata;</t>
  </si>
  <si>
    <t xml:space="preserve">      rmap_registers_wr_o.aeb_gen_cfg_seq_config_1.others_0(7 downto 0) &lt;= fee_rmap_i.writedata;</t>
  </si>
  <si>
    <t xml:space="preserve">      rmap_registers_wr_o.aeb_gen_cfg_seq_config_2.others_0(31 downto 24) &lt;= fee_rmap_i.writedata;</t>
  </si>
  <si>
    <t xml:space="preserve">      rmap_registers_wr_o.aeb_gen_cfg_seq_config_2.others_0(23 downto 16) &lt;= fee_rmap_i.writedata;</t>
  </si>
  <si>
    <t xml:space="preserve">      rmap_registers_wr_o.aeb_gen_cfg_seq_config_2.others_0(15 downto 8) &lt;= fee_rmap_i.writedata;</t>
  </si>
  <si>
    <t xml:space="preserve">      rmap_registers_wr_o.aeb_gen_cfg_seq_config_2.others_0(7 downto 0) &lt;= fee_rmap_i.writedata;</t>
  </si>
  <si>
    <t xml:space="preserve">      rmap_registers_wr_o.aeb_gen_cfg_seq_config_3.others_0(31 downto 24) &lt;= fee_rmap_i.writedata;</t>
  </si>
  <si>
    <t xml:space="preserve">      rmap_registers_wr_o.aeb_gen_cfg_seq_config_3.others_0(23 downto 16) &lt;= fee_rmap_i.writedata;</t>
  </si>
  <si>
    <t xml:space="preserve">      rmap_registers_wr_o.aeb_gen_cfg_seq_config_3.others_0(15 downto 8) &lt;= fee_rmap_i.writedata;</t>
  </si>
  <si>
    <t xml:space="preserve">      rmap_registers_wr_o.aeb_gen_cfg_seq_config_3.others_0(7 downto 0) &lt;= fee_rmap_i.writedata;</t>
  </si>
  <si>
    <t xml:space="preserve">      rmap_registers_wr_o.aeb_gen_cfg_seq_config_4.others_0(31 downto 24) &lt;= fee_rmap_i.writedata;</t>
  </si>
  <si>
    <t xml:space="preserve">      rmap_registers_wr_o.aeb_gen_cfg_seq_config_4.others_0(23 downto 16) &lt;= fee_rmap_i.writedata;</t>
  </si>
  <si>
    <t xml:space="preserve">      rmap_registers_wr_o.aeb_gen_cfg_seq_config_4.others_0(15 downto 8) &lt;= fee_rmap_i.writedata;</t>
  </si>
  <si>
    <t xml:space="preserve">      rmap_registers_wr_o.aeb_gen_cfg_seq_config_4.others_0(7 downto 0) &lt;= fee_rmap_i.writedata;</t>
  </si>
  <si>
    <t xml:space="preserve">      rmap_registers_wr_o.aeb_gen_cfg_seq_config_5.others_0(31 downto 24) &lt;= fee_rmap_i.writedata;</t>
  </si>
  <si>
    <t xml:space="preserve">      rmap_registers_wr_o.aeb_gen_cfg_seq_config_5.others_0(23 downto 16) &lt;= fee_rmap_i.writedata;</t>
  </si>
  <si>
    <t xml:space="preserve">      rmap_registers_wr_o.aeb_gen_cfg_seq_config_5.others_0(15 downto 8) &lt;= fee_rmap_i.writedata;</t>
  </si>
  <si>
    <t xml:space="preserve">      rmap_registers_wr_o.aeb_gen_cfg_seq_config_5.others_0(7 downto 0) &lt;= fee_rmap_i.writedata;</t>
  </si>
  <si>
    <t xml:space="preserve">      rmap_registers_wr_o.aeb_gen_cfg_seq_config_6.others_0(31 downto 24) &lt;= fee_rmap_i.writedata;</t>
  </si>
  <si>
    <t xml:space="preserve">      rmap_registers_wr_o.aeb_gen_cfg_seq_config_6.others_0(23 downto 16) &lt;= fee_rmap_i.writedata;</t>
  </si>
  <si>
    <t xml:space="preserve">      rmap_registers_wr_o.aeb_gen_cfg_seq_config_6.others_0(15 downto 8) &lt;= fee_rmap_i.writedata;</t>
  </si>
  <si>
    <t xml:space="preserve">      rmap_registers_wr_o.aeb_gen_cfg_seq_config_6.others_0(7 downto 0) &lt;= fee_rmap_i.writedata;</t>
  </si>
  <si>
    <t xml:space="preserve">      rmap_registers_wr_o.aeb_gen_cfg_seq_config_14.others_0(31 downto 24) &lt;= fee_rmap_i.writedata;</t>
  </si>
  <si>
    <t xml:space="preserve">      rmap_registers_wr_o.aeb_gen_cfg_seq_config_14.others_0(23 downto 16) &lt;= fee_rmap_i.writedata;</t>
  </si>
  <si>
    <t xml:space="preserve">      rmap_registers_wr_o.aeb_gen_cfg_seq_config_14.others_0(15 downto 8) &lt;= fee_rmap_i.writedata;</t>
  </si>
  <si>
    <t xml:space="preserve">      rmap_registers_wr_o.aeb_gen_cfg_seq_config_14.others_0(7 downto 0) &lt;= fee_rmap_i.writedata;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</si>
</sst>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5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/>
    <xf numFmtId="0" fontId="0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0" fillId="2" borderId="0" xfId="0" applyFill="1" applyAlignment="1">
      <alignment horizontal="center"/>
    </xf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Read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Read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Case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U110"/>
  <sheetViews>
    <sheetView tabSelected="1" zoomScaleNormal="100"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2" max="2" width="56.28515625" style="3" bestFit="1" customWidth="1"/>
    <col min="3" max="3" width="30.28515625" style="3" bestFit="1" customWidth="1"/>
    <col min="4" max="4" width="6.28515625" style="3" bestFit="1" customWidth="1"/>
    <col min="5" max="5" width="24.28515625" style="3" bestFit="1" customWidth="1"/>
    <col min="6" max="6" width="28.42578125" style="3" bestFit="1" customWidth="1"/>
    <col min="7" max="7" width="37.5703125" style="3" bestFit="1" customWidth="1"/>
    <col min="8" max="8" width="19.42578125" style="3" bestFit="1" customWidth="1"/>
    <col min="9" max="9" width="10.140625" style="3" bestFit="1" customWidth="1"/>
    <col min="10" max="10" width="9.42578125" style="3" bestFit="1" customWidth="1"/>
    <col min="11" max="11" width="12.85546875" style="3" bestFit="1" customWidth="1"/>
    <col min="12" max="12" width="12" style="3" bestFit="1" customWidth="1"/>
    <col min="13" max="13" width="16.7109375" style="3" bestFit="1" customWidth="1"/>
    <col min="14" max="14" width="16.85546875" style="3" bestFit="1" customWidth="1"/>
    <col min="15" max="15" width="18.140625" style="3" bestFit="1" customWidth="1"/>
    <col min="16" max="16" width="17.7109375" style="3" bestFit="1" customWidth="1"/>
    <col min="17" max="38" width="7.42578125" style="3" customWidth="1"/>
    <col min="39" max="48" width="6.42578125" style="3" customWidth="1"/>
    <col min="49" max="52" width="6.42578125" bestFit="1" customWidth="1"/>
    <col min="53" max="56" width="6.42578125" style="3" bestFit="1" customWidth="1"/>
    <col min="57" max="60" width="13.5703125" style="3" bestFit="1" customWidth="1"/>
    <col min="61" max="61" width="16.28515625" style="3" bestFit="1" customWidth="1"/>
    <col min="62" max="62" width="17.28515625" style="3" bestFit="1" customWidth="1"/>
    <col min="63" max="64" width="18.28515625" style="3" bestFit="1" customWidth="1"/>
    <col min="65" max="68" width="10.7109375" style="3" customWidth="1"/>
    <col min="69" max="72" width="14.42578125" style="3" customWidth="1"/>
  </cols>
  <sheetData>
    <row r="1" spans="1:73" x14ac:dyDescent="0.25">
      <c r="A1" s="3"/>
      <c r="AW1" s="3"/>
      <c r="AX1" s="3"/>
      <c r="AY1" s="3"/>
      <c r="AZ1" s="3"/>
      <c r="BU1" s="3"/>
    </row>
    <row r="2" spans="1:73" x14ac:dyDescent="0.25">
      <c r="A2" s="3"/>
      <c r="B2" s="2" t="s">
        <v>17</v>
      </c>
      <c r="C2" s="2" t="s">
        <v>18</v>
      </c>
      <c r="D2" s="2" t="s">
        <v>1</v>
      </c>
      <c r="E2" s="5" t="s">
        <v>26</v>
      </c>
      <c r="F2" s="5" t="s">
        <v>2</v>
      </c>
      <c r="G2" s="5" t="s">
        <v>4</v>
      </c>
      <c r="H2" s="15" t="s">
        <v>3</v>
      </c>
      <c r="I2" s="12" t="s">
        <v>25</v>
      </c>
      <c r="J2" s="2" t="s">
        <v>19</v>
      </c>
      <c r="K2" s="5" t="s">
        <v>55</v>
      </c>
      <c r="L2" s="6" t="s">
        <v>56</v>
      </c>
      <c r="M2" s="5" t="s">
        <v>53</v>
      </c>
      <c r="N2" s="2" t="s">
        <v>81</v>
      </c>
      <c r="O2" s="13" t="s">
        <v>75</v>
      </c>
      <c r="P2" s="13" t="s">
        <v>76</v>
      </c>
      <c r="Q2" s="19" t="s">
        <v>79</v>
      </c>
      <c r="R2" s="19"/>
      <c r="S2" s="19"/>
      <c r="T2" s="19"/>
      <c r="U2" s="19"/>
      <c r="V2" s="19"/>
      <c r="W2" s="19"/>
      <c r="X2" s="19"/>
      <c r="Y2" s="19"/>
      <c r="Z2" s="19"/>
      <c r="AA2" s="19"/>
      <c r="AB2" s="19"/>
      <c r="AC2" s="19"/>
      <c r="AD2" s="19"/>
      <c r="AE2" s="19"/>
      <c r="AF2" s="19"/>
      <c r="AG2" s="19"/>
      <c r="AH2" s="19"/>
      <c r="AI2" s="19"/>
      <c r="AJ2" s="19"/>
      <c r="AK2" s="19"/>
      <c r="AL2" s="19"/>
      <c r="AM2" s="19"/>
      <c r="AN2" s="19"/>
      <c r="AO2" s="19"/>
      <c r="AP2" s="19"/>
      <c r="AQ2" s="19"/>
      <c r="AR2" s="19"/>
      <c r="AS2" s="19"/>
      <c r="AT2" s="19"/>
      <c r="AU2" s="19"/>
      <c r="AV2" s="19"/>
      <c r="AW2" s="19" t="s">
        <v>80</v>
      </c>
      <c r="AX2" s="19"/>
      <c r="AY2" s="19"/>
      <c r="AZ2" s="19"/>
      <c r="BA2" s="19" t="s">
        <v>54</v>
      </c>
      <c r="BB2" s="19"/>
      <c r="BC2" s="19"/>
      <c r="BD2" s="19"/>
      <c r="BE2" s="19" t="s">
        <v>77</v>
      </c>
      <c r="BF2" s="19"/>
      <c r="BG2" s="19"/>
      <c r="BH2" s="19"/>
      <c r="BI2" s="19" t="s">
        <v>86</v>
      </c>
      <c r="BJ2" s="19"/>
      <c r="BK2" s="19"/>
      <c r="BL2" s="19"/>
      <c r="BM2" s="19" t="s">
        <v>78</v>
      </c>
      <c r="BN2" s="19"/>
      <c r="BO2" s="19"/>
      <c r="BP2" s="19"/>
      <c r="BQ2" s="19" t="s">
        <v>13</v>
      </c>
      <c r="BR2" s="19"/>
      <c r="BS2" s="19"/>
      <c r="BT2" s="19"/>
      <c r="BU2" s="8" t="s">
        <v>59</v>
      </c>
    </row>
    <row r="3" spans="1:73" x14ac:dyDescent="0.25">
      <c r="A3" s="3"/>
      <c r="B3" s="5" t="s">
        <v>23</v>
      </c>
      <c r="C3" s="5" t="s">
        <v>23</v>
      </c>
      <c r="D3" s="5" t="s">
        <v>23</v>
      </c>
      <c r="E3" s="5" t="s">
        <v>23</v>
      </c>
      <c r="F3" s="5" t="s">
        <v>23</v>
      </c>
      <c r="G3" s="5" t="s">
        <v>23</v>
      </c>
      <c r="H3" s="15" t="s">
        <v>23</v>
      </c>
      <c r="I3" s="12"/>
      <c r="J3" s="5" t="s">
        <v>23</v>
      </c>
      <c r="K3" s="5" t="s">
        <v>23</v>
      </c>
      <c r="L3" s="6" t="s">
        <v>23</v>
      </c>
      <c r="M3" s="5" t="s">
        <v>23</v>
      </c>
      <c r="N3" s="5" t="s">
        <v>23</v>
      </c>
      <c r="O3" s="16" t="s">
        <v>23</v>
      </c>
      <c r="P3" s="16" t="s">
        <v>23</v>
      </c>
      <c r="Q3" s="16">
        <v>31</v>
      </c>
      <c r="R3" s="16">
        <v>30</v>
      </c>
      <c r="S3" s="16">
        <v>29</v>
      </c>
      <c r="T3" s="16">
        <v>28</v>
      </c>
      <c r="U3" s="16">
        <v>27</v>
      </c>
      <c r="V3" s="16">
        <v>26</v>
      </c>
      <c r="W3" s="16">
        <v>25</v>
      </c>
      <c r="X3" s="16">
        <v>24</v>
      </c>
      <c r="Y3" s="16">
        <v>23</v>
      </c>
      <c r="Z3" s="16">
        <v>22</v>
      </c>
      <c r="AA3" s="16">
        <v>21</v>
      </c>
      <c r="AB3" s="16">
        <v>20</v>
      </c>
      <c r="AC3" s="16">
        <v>19</v>
      </c>
      <c r="AD3" s="16">
        <v>18</v>
      </c>
      <c r="AE3" s="16">
        <v>17</v>
      </c>
      <c r="AF3" s="16">
        <v>16</v>
      </c>
      <c r="AG3" s="16">
        <v>15</v>
      </c>
      <c r="AH3" s="16">
        <v>14</v>
      </c>
      <c r="AI3" s="16">
        <v>13</v>
      </c>
      <c r="AJ3" s="16">
        <v>12</v>
      </c>
      <c r="AK3" s="16">
        <v>11</v>
      </c>
      <c r="AL3" s="16">
        <v>10</v>
      </c>
      <c r="AM3" s="16">
        <v>9</v>
      </c>
      <c r="AN3" s="16">
        <v>8</v>
      </c>
      <c r="AO3" s="16">
        <v>7</v>
      </c>
      <c r="AP3" s="16">
        <v>6</v>
      </c>
      <c r="AQ3" s="16">
        <v>5</v>
      </c>
      <c r="AR3" s="16">
        <v>4</v>
      </c>
      <c r="AS3" s="16">
        <v>3</v>
      </c>
      <c r="AT3" s="16">
        <v>2</v>
      </c>
      <c r="AU3" s="16">
        <v>1</v>
      </c>
      <c r="AV3" s="16">
        <v>0</v>
      </c>
      <c r="AW3" s="16">
        <v>3</v>
      </c>
      <c r="AX3" s="16">
        <v>2</v>
      </c>
      <c r="AY3" s="16">
        <v>1</v>
      </c>
      <c r="AZ3" s="16">
        <v>0</v>
      </c>
      <c r="BA3" s="16">
        <v>0</v>
      </c>
      <c r="BB3" s="16">
        <v>1</v>
      </c>
      <c r="BC3" s="16">
        <v>2</v>
      </c>
      <c r="BD3" s="16">
        <v>3</v>
      </c>
      <c r="BE3" s="16" t="str">
        <f t="shared" ref="BE3:BH4" si="0">IF(BA3="","",DEC2HEX(BA3,8))</f>
        <v>00000000</v>
      </c>
      <c r="BF3" s="16" t="str">
        <f t="shared" si="0"/>
        <v>00000001</v>
      </c>
      <c r="BG3" s="16" t="str">
        <f t="shared" si="0"/>
        <v>00000002</v>
      </c>
      <c r="BH3" s="16" t="str">
        <f t="shared" si="0"/>
        <v>00000003</v>
      </c>
      <c r="BI3" s="17" t="s">
        <v>14</v>
      </c>
      <c r="BJ3" s="17" t="s">
        <v>14</v>
      </c>
      <c r="BK3" s="17" t="s">
        <v>14</v>
      </c>
      <c r="BL3" s="16" t="s">
        <v>14</v>
      </c>
      <c r="BM3" s="16" t="s">
        <v>82</v>
      </c>
      <c r="BN3" s="16" t="s">
        <v>83</v>
      </c>
      <c r="BO3" s="16" t="s">
        <v>84</v>
      </c>
      <c r="BP3" s="16" t="s">
        <v>85</v>
      </c>
      <c r="BQ3" s="16" t="s">
        <v>82</v>
      </c>
      <c r="BR3" s="16" t="s">
        <v>83</v>
      </c>
      <c r="BS3" s="16" t="s">
        <v>84</v>
      </c>
      <c r="BT3" s="16" t="s">
        <v>85</v>
      </c>
    </row>
    <row r="4" spans="1:73" x14ac:dyDescent="0.25">
      <c r="A4" s="14"/>
      <c r="B4" s="3" t="s">
        <v>270</v>
      </c>
      <c r="C4" s="3" t="s">
        <v>121</v>
      </c>
      <c r="D4" s="3" t="s">
        <v>1</v>
      </c>
      <c r="E4" s="3" t="s">
        <v>115</v>
      </c>
      <c r="F4" s="3" t="s">
        <v>337</v>
      </c>
      <c r="G4" s="3" t="s">
        <v>404</v>
      </c>
      <c r="H4" s="18" t="s">
        <v>122</v>
      </c>
      <c r="I4" s="3" t="s">
        <v>24</v>
      </c>
      <c r="J4" s="3">
        <v>2</v>
      </c>
      <c r="K4" s="3" t="s">
        <v>119</v>
      </c>
      <c r="L4" s="3" t="s">
        <v>23</v>
      </c>
      <c r="M4" s="3">
        <v>0</v>
      </c>
      <c r="N4" s="3" t="str">
        <f t="shared" ref="N4:N8" si="1">DEC2HEX($M4,8)</f>
        <v>00000000</v>
      </c>
      <c r="O4" s="3">
        <v>31</v>
      </c>
      <c r="P4" s="3">
        <v>30</v>
      </c>
      <c r="Q4" s="3" t="str">
        <f>IF(AND($O4&gt;=Q$3,Q$3&gt;=$P4),"X","")</f>
        <v>X</v>
      </c>
      <c r="R4" s="3" t="str">
        <f t="shared" ref="R4:AG4" si="2">IF(AND($O4&gt;=R$3,R$3&gt;=$P4),"X","")</f>
        <v>X</v>
      </c>
      <c r="S4" s="3" t="str">
        <f t="shared" si="2"/>
        <v/>
      </c>
      <c r="T4" s="3" t="str">
        <f t="shared" si="2"/>
        <v/>
      </c>
      <c r="U4" s="3" t="str">
        <f t="shared" si="2"/>
        <v/>
      </c>
      <c r="V4" s="3" t="str">
        <f t="shared" si="2"/>
        <v/>
      </c>
      <c r="W4" s="3" t="str">
        <f t="shared" si="2"/>
        <v/>
      </c>
      <c r="X4" s="3" t="str">
        <f t="shared" si="2"/>
        <v/>
      </c>
      <c r="Y4" s="3" t="str">
        <f t="shared" si="2"/>
        <v/>
      </c>
      <c r="Z4" s="3" t="str">
        <f t="shared" si="2"/>
        <v/>
      </c>
      <c r="AA4" s="3" t="str">
        <f t="shared" si="2"/>
        <v/>
      </c>
      <c r="AB4" s="3" t="str">
        <f t="shared" si="2"/>
        <v/>
      </c>
      <c r="AC4" s="3" t="str">
        <f t="shared" si="2"/>
        <v/>
      </c>
      <c r="AD4" s="3" t="str">
        <f t="shared" si="2"/>
        <v/>
      </c>
      <c r="AE4" s="3" t="str">
        <f t="shared" si="2"/>
        <v/>
      </c>
      <c r="AF4" s="3" t="str">
        <f t="shared" si="2"/>
        <v/>
      </c>
      <c r="AG4" s="3" t="str">
        <f t="shared" si="2"/>
        <v/>
      </c>
      <c r="AH4" s="3" t="str">
        <f t="shared" ref="AH4:AV4" si="3">IF(AND($O4&gt;=AH$3,AH$3&gt;=$P4),"X","")</f>
        <v/>
      </c>
      <c r="AI4" s="3" t="str">
        <f t="shared" si="3"/>
        <v/>
      </c>
      <c r="AJ4" s="3" t="str">
        <f t="shared" si="3"/>
        <v/>
      </c>
      <c r="AK4" s="3" t="str">
        <f t="shared" si="3"/>
        <v/>
      </c>
      <c r="AL4" s="3" t="str">
        <f t="shared" si="3"/>
        <v/>
      </c>
      <c r="AM4" s="3" t="str">
        <f t="shared" si="3"/>
        <v/>
      </c>
      <c r="AN4" s="3" t="str">
        <f t="shared" si="3"/>
        <v/>
      </c>
      <c r="AO4" s="3" t="str">
        <f t="shared" si="3"/>
        <v/>
      </c>
      <c r="AP4" s="3" t="str">
        <f t="shared" si="3"/>
        <v/>
      </c>
      <c r="AQ4" s="3" t="str">
        <f t="shared" si="3"/>
        <v/>
      </c>
      <c r="AR4" s="3" t="str">
        <f t="shared" si="3"/>
        <v/>
      </c>
      <c r="AS4" s="3" t="str">
        <f t="shared" si="3"/>
        <v/>
      </c>
      <c r="AT4" s="3" t="str">
        <f t="shared" si="3"/>
        <v/>
      </c>
      <c r="AU4" s="3" t="str">
        <f t="shared" si="3"/>
        <v/>
      </c>
      <c r="AV4" s="3" t="str">
        <f t="shared" si="3"/>
        <v/>
      </c>
      <c r="AW4" s="3" t="str">
        <f>IF(OR($Q4="X",$R4="X",$S4="X",$T4="X",$U4="X",$V4="X",$W4="X",$X4="X"),"X","")</f>
        <v>X</v>
      </c>
      <c r="AX4" s="3" t="str">
        <f>IF(OR($Y4="X",$Z4="X",$AA4="X",$AB4="X",$AC4="X",$AD4="X",$AE4="X",$AF4="X"),"X","")</f>
        <v/>
      </c>
      <c r="AY4" s="3" t="str">
        <f>IF(OR($AG4="X",$AH4="X",$AI4="X",$AJ4="X",$AK4="X",$AL4="X",$AM4="X",$AN4="X"),"X","")</f>
        <v/>
      </c>
      <c r="AZ4" s="3" t="str">
        <f>IF(OR($AO4="X",$AP4="X",$AQ4="X",$AR4="X",$AS4="X",$AT4="X",$AU4="X",$AV4="X"),"X","")</f>
        <v/>
      </c>
      <c r="BA4" s="3">
        <f t="shared" ref="BA4" si="4">IF(AW4="","",$M4*4+BA$3)</f>
        <v>0</v>
      </c>
      <c r="BB4" s="3" t="str">
        <f t="shared" ref="BB4" si="5">IF(AX4="","",$M4*4+BB$3)</f>
        <v/>
      </c>
      <c r="BC4" s="3" t="str">
        <f t="shared" ref="BC4" si="6">IF(AY4="","",$M4*4+BC$3)</f>
        <v/>
      </c>
      <c r="BD4" s="3" t="str">
        <f t="shared" ref="BD4" si="7">IF(AZ4="","",$M4*4+BD$3)</f>
        <v/>
      </c>
      <c r="BE4" s="7" t="str">
        <f t="shared" si="0"/>
        <v>00000000</v>
      </c>
      <c r="BF4" s="7" t="str">
        <f t="shared" si="0"/>
        <v/>
      </c>
      <c r="BG4" s="7" t="str">
        <f t="shared" si="0"/>
        <v/>
      </c>
      <c r="BH4" s="7" t="str">
        <f t="shared" si="0"/>
        <v/>
      </c>
      <c r="BI4" s="3" t="str">
        <f>IF(AW4="","",IF(COUNTIF($Q4:$X4,"X")=8,"",CONCATENATE("(",INDEX($Q$3:$X$3,MATCH("X",$Q4:$X4,0))-24,IF(COUNTIF($Q4:$X4,"X")=1,")",CONCATENATE(" downto ",INDEX($Q$3:$X$3,MATCH("X",$Q4:$X4,0)+COUNTIF($Q4:$X4,"X")-1)-24,")")))))</f>
        <v>(7 downto 6)</v>
      </c>
      <c r="BJ4" s="3" t="str">
        <f>IF(AX4="","",IF(COUNTIF($Y4:$AF4,"X")=8,"",CONCATENATE("(",INDEX($Y$3:$AF$3,MATCH("X",$Y4:$AF4,0))-16,IF(COUNTIF($Y4:$AF4,"X")=1,")",CONCATENATE(" downto ",INDEX($Y$3:$AF$3,MATCH("X",$Y4:$AF4,0)+COUNTIF($Y4:$AF4,"X")-1)-16,")")))))</f>
        <v/>
      </c>
      <c r="BK4" s="3" t="str">
        <f>IF(AY4="","",IF(COUNTIF($AG4:$AN4,"X")=8,"",CONCATENATE("(",INDEX($AG$3:$AN$3,MATCH("X",$AG4:$AN4,0))-8,IF(COUNTIF($AG4:$AN4,"X")=1,")",CONCATENATE(" downto ",INDEX($AG$3:$AN$3,MATCH("X",$AG4:$AN4,0)+COUNTIF($AG4:$AN4,"X")-1)-8,")")))))</f>
        <v/>
      </c>
      <c r="BL4" s="3" t="str">
        <f>IF(AZ4="","",IF(COUNTIF($AO4:$AV4,"X")=8,"",CONCATENATE("(",INDEX($AO$3:$AV$3,MATCH("X",$AO4:$AV4,0)),IF(COUNTIF($AO4:$AV4,"X")=1,")",CONCATENATE(" downto ",INDEX($AO$3:$AV$3,MATCH("X",$AO4:$AV4,0)+COUNTIF($AO4:$AV4,"X")-1),")")))))</f>
        <v/>
      </c>
      <c r="BM4" s="3">
        <f>IF(AW4="","",$J4-1)</f>
        <v>1</v>
      </c>
      <c r="BN4" s="3" t="str">
        <f t="shared" ref="BN4" si="8">IF(AX4="","",IF(BM4="",$J4-1,BM4-COUNTIF($Q4:$X4,"X")))</f>
        <v/>
      </c>
      <c r="BO4" s="3" t="str">
        <f t="shared" ref="BO4" si="9">IF(AY4="","",IF(BN4="",$J4-1,BN4-COUNTIF($Y4:$AF4,"X")))</f>
        <v/>
      </c>
      <c r="BP4" s="3" t="str">
        <f t="shared" ref="BP4" si="10">IF(AZ4="","",IF(BO4="",$J4-1,BO4-COUNTIF($AG4:$AN4,"X")))</f>
        <v/>
      </c>
      <c r="BQ4" s="3" t="str">
        <f>IF(AW4="","",IF((4-COUNTIF($BM4:$BP4,""))=1,"",CONCATENATE("(",BM4,IF(COUNTIF($Q4:$X4,"X")=1,"",CONCATENATE(" downto ",BM4-COUNTIF($Q4:$X4,"X")+1)),")")))</f>
        <v/>
      </c>
      <c r="BR4" s="3" t="str">
        <f>IF(AX4="","",IF((4-COUNTIF($BM4:$BP4,""))=1,"",CONCATENATE("(",BN4,IF(COUNTIF($Y4:$AF4,"X")=1,"",CONCATENATE(" downto ",BN4-COUNTIF($Y4:$AF4,"X")+1)),")")))</f>
        <v/>
      </c>
      <c r="BS4" s="3" t="str">
        <f>IF(AY4="","",IF((4-COUNTIF($BM4:$BP4,""))=1,"",CONCATENATE("(",BO4,IF(COUNTIF($AG4:$AN4,"X")=1,"",CONCATENATE(" downto ",BO4-COUNTIF($AG4:$AN4,"X")+1)),")")))</f>
        <v/>
      </c>
      <c r="BT4" s="3" t="str">
        <f>IF(AZ4="","",IF((4-COUNTIF($BM4:$BP4,""))=1,"",CONCATENATE("(",BP4,IF(COUNTIF($AO4:$AV4,"X") = 1,"",CONCATENATE(" downto ",BP4-COUNTIF($AO4:$AV4,"X")+1)),")")))</f>
        <v/>
      </c>
    </row>
    <row r="5" spans="1:73" x14ac:dyDescent="0.25">
      <c r="B5" s="3" t="s">
        <v>270</v>
      </c>
      <c r="C5" s="3" t="s">
        <v>188</v>
      </c>
      <c r="D5" s="3" t="s">
        <v>1</v>
      </c>
      <c r="E5" s="3" t="s">
        <v>115</v>
      </c>
      <c r="F5" s="3" t="s">
        <v>337</v>
      </c>
      <c r="G5" s="3" t="s">
        <v>404</v>
      </c>
      <c r="H5" s="18" t="s">
        <v>189</v>
      </c>
      <c r="I5" s="3" t="s">
        <v>24</v>
      </c>
      <c r="J5" s="3">
        <v>4</v>
      </c>
      <c r="K5" s="3" t="s">
        <v>190</v>
      </c>
      <c r="L5" s="3" t="s">
        <v>23</v>
      </c>
      <c r="M5" s="3">
        <v>0</v>
      </c>
      <c r="N5" s="3" t="str">
        <f t="shared" si="1"/>
        <v>00000000</v>
      </c>
      <c r="O5" s="3">
        <v>29</v>
      </c>
      <c r="P5" s="3">
        <v>26</v>
      </c>
      <c r="Q5" s="3" t="str">
        <f t="shared" ref="Q5:AF6" si="11">IF(AND($O5&gt;=Q$3,Q$3&gt;=$P5),"X","")</f>
        <v/>
      </c>
      <c r="R5" s="3" t="str">
        <f t="shared" si="11"/>
        <v/>
      </c>
      <c r="S5" s="3" t="str">
        <f t="shared" si="11"/>
        <v>X</v>
      </c>
      <c r="T5" s="3" t="str">
        <f t="shared" si="11"/>
        <v>X</v>
      </c>
      <c r="U5" s="3" t="str">
        <f t="shared" si="11"/>
        <v>X</v>
      </c>
      <c r="V5" s="3" t="str">
        <f t="shared" si="11"/>
        <v>X</v>
      </c>
      <c r="W5" s="3" t="str">
        <f t="shared" si="11"/>
        <v/>
      </c>
      <c r="X5" s="3" t="str">
        <f t="shared" si="11"/>
        <v/>
      </c>
      <c r="Y5" s="3" t="str">
        <f t="shared" si="11"/>
        <v/>
      </c>
      <c r="Z5" s="3" t="str">
        <f t="shared" si="11"/>
        <v/>
      </c>
      <c r="AA5" s="3" t="str">
        <f t="shared" si="11"/>
        <v/>
      </c>
      <c r="AB5" s="3" t="str">
        <f t="shared" si="11"/>
        <v/>
      </c>
      <c r="AC5" s="3" t="str">
        <f t="shared" si="11"/>
        <v/>
      </c>
      <c r="AD5" s="3" t="str">
        <f t="shared" si="11"/>
        <v/>
      </c>
      <c r="AE5" s="3" t="str">
        <f t="shared" si="11"/>
        <v/>
      </c>
      <c r="AF5" s="3" t="str">
        <f t="shared" si="11"/>
        <v/>
      </c>
      <c r="AG5" s="3" t="str">
        <f t="shared" ref="AG5:AV6" si="12">IF(AND($O5&gt;=AG$3,AG$3&gt;=$P5),"X","")</f>
        <v/>
      </c>
      <c r="AH5" s="3" t="str">
        <f t="shared" si="12"/>
        <v/>
      </c>
      <c r="AI5" s="3" t="str">
        <f t="shared" si="12"/>
        <v/>
      </c>
      <c r="AJ5" s="3" t="str">
        <f t="shared" si="12"/>
        <v/>
      </c>
      <c r="AK5" s="3" t="str">
        <f t="shared" si="12"/>
        <v/>
      </c>
      <c r="AL5" s="3" t="str">
        <f t="shared" si="12"/>
        <v/>
      </c>
      <c r="AM5" s="3" t="str">
        <f t="shared" si="12"/>
        <v/>
      </c>
      <c r="AN5" s="3" t="str">
        <f t="shared" si="12"/>
        <v/>
      </c>
      <c r="AO5" s="3" t="str">
        <f t="shared" si="12"/>
        <v/>
      </c>
      <c r="AP5" s="3" t="str">
        <f t="shared" si="12"/>
        <v/>
      </c>
      <c r="AQ5" s="3" t="str">
        <f t="shared" si="12"/>
        <v/>
      </c>
      <c r="AR5" s="3" t="str">
        <f t="shared" si="12"/>
        <v/>
      </c>
      <c r="AS5" s="3" t="str">
        <f t="shared" si="12"/>
        <v/>
      </c>
      <c r="AT5" s="3" t="str">
        <f t="shared" si="12"/>
        <v/>
      </c>
      <c r="AU5" s="3" t="str">
        <f t="shared" si="12"/>
        <v/>
      </c>
      <c r="AV5" s="3" t="str">
        <f t="shared" si="12"/>
        <v/>
      </c>
      <c r="AW5" s="3" t="str">
        <f t="shared" ref="AW5:AW68" si="13">IF(OR($Q5="X",$R5="X",$S5="X",$T5="X",$U5="X",$V5="X",$W5="X",$X5="X"),"X","")</f>
        <v>X</v>
      </c>
      <c r="AX5" s="3" t="str">
        <f t="shared" ref="AX5:AX68" si="14">IF(OR($Y5="X",$Z5="X",$AA5="X",$AB5="X",$AC5="X",$AD5="X",$AE5="X",$AF5="X"),"X","")</f>
        <v/>
      </c>
      <c r="AY5" s="3" t="str">
        <f t="shared" ref="AY5:AY68" si="15">IF(OR($AG5="X",$AH5="X",$AI5="X",$AJ5="X",$AK5="X",$AL5="X",$AM5="X",$AN5="X"),"X","")</f>
        <v/>
      </c>
      <c r="AZ5" s="3" t="str">
        <f t="shared" ref="AZ5:AZ68" si="16">IF(OR($AO5="X",$AP5="X",$AQ5="X",$AR5="X",$AS5="X",$AT5="X",$AU5="X",$AV5="X"),"X","")</f>
        <v/>
      </c>
      <c r="BA5" s="3">
        <f t="shared" ref="BA5:BA6" si="17">IF(AW5="","",$M5*4+BA$3)</f>
        <v>0</v>
      </c>
      <c r="BB5" s="3" t="str">
        <f t="shared" ref="BB5:BB6" si="18">IF(AX5="","",$M5*4+BB$3)</f>
        <v/>
      </c>
      <c r="BC5" s="3" t="str">
        <f t="shared" ref="BC5:BC6" si="19">IF(AY5="","",$M5*4+BC$3)</f>
        <v/>
      </c>
      <c r="BD5" s="3" t="str">
        <f t="shared" ref="BD5:BD6" si="20">IF(AZ5="","",$M5*4+BD$3)</f>
        <v/>
      </c>
      <c r="BE5" s="7" t="str">
        <f t="shared" ref="BE5:BE6" si="21">IF(BA5="","",DEC2HEX(BA5,8))</f>
        <v>00000000</v>
      </c>
      <c r="BF5" s="7" t="str">
        <f t="shared" ref="BF5:BF6" si="22">IF(BB5="","",DEC2HEX(BB5,8))</f>
        <v/>
      </c>
      <c r="BG5" s="7" t="str">
        <f t="shared" ref="BG5:BG6" si="23">IF(BC5="","",DEC2HEX(BC5,8))</f>
        <v/>
      </c>
      <c r="BH5" s="7" t="str">
        <f t="shared" ref="BH5:BH6" si="24">IF(BD5="","",DEC2HEX(BD5,8))</f>
        <v/>
      </c>
      <c r="BI5" s="3" t="str">
        <f t="shared" ref="BI5:BI6" si="25">IF(AW5="","",IF(COUNTIF($Q5:$X5,"X")=8,"",CONCATENATE("(",INDEX($Q$3:$X$3,MATCH("X",$Q5:$X5,0))-24,IF(COUNTIF($Q5:$X5,"X")=1,")",CONCATENATE(" downto ",INDEX($Q$3:$X$3,MATCH("X",$Q5:$X5,0)+COUNTIF($Q5:$X5,"X")-1)-24,")")))))</f>
        <v>(5 downto 2)</v>
      </c>
      <c r="BJ5" s="3" t="str">
        <f t="shared" ref="BJ5:BJ6" si="26">IF(AX5="","",IF(COUNTIF($Y5:$AF5,"X")=8,"",CONCATENATE("(",INDEX($Y$3:$AF$3,MATCH("X",$Y5:$AF5,0))-16,IF(COUNTIF($Y5:$AF5,"X")=1,")",CONCATENATE(" downto ",INDEX($Y$3:$AF$3,MATCH("X",$Y5:$AF5,0)+COUNTIF($Y5:$AF5,"X")-1)-16,")")))))</f>
        <v/>
      </c>
      <c r="BK5" s="3" t="str">
        <f t="shared" ref="BK5:BK6" si="27">IF(AY5="","",IF(COUNTIF($AG5:$AN5,"X")=8,"",CONCATENATE("(",INDEX($AG$3:$AN$3,MATCH("X",$AG5:$AN5,0))-8,IF(COUNTIF($AG5:$AN5,"X")=1,")",CONCATENATE(" downto ",INDEX($AG$3:$AN$3,MATCH("X",$AG5:$AN5,0)+COUNTIF($AG5:$AN5,"X")-1)-8,")")))))</f>
        <v/>
      </c>
      <c r="BL5" s="3" t="str">
        <f t="shared" ref="BL5:BL6" si="28">IF(AZ5="","",IF(COUNTIF($AO5:$AV5,"X")=8,"",CONCATENATE("(",INDEX($AO$3:$AV$3,MATCH("X",$AO5:$AV5,0)),IF(COUNTIF($AO5:$AV5,"X")=1,")",CONCATENATE(" downto ",INDEX($AO$3:$AV$3,MATCH("X",$AO5:$AV5,0)+COUNTIF($AO5:$AV5,"X")-1),")")))))</f>
        <v/>
      </c>
      <c r="BM5" s="3">
        <f t="shared" ref="BM5:BM6" si="29">IF(AW5="","",$J5-1)</f>
        <v>3</v>
      </c>
      <c r="BN5" s="3" t="str">
        <f t="shared" ref="BN5:BN6" si="30">IF(AX5="","",IF(BM5="",$J5-1,BM5-COUNTIF($Q5:$X5,"X")))</f>
        <v/>
      </c>
      <c r="BO5" s="3" t="str">
        <f t="shared" ref="BO5:BO6" si="31">IF(AY5="","",IF(BN5="",$J5-1,BN5-COUNTIF($Y5:$AF5,"X")))</f>
        <v/>
      </c>
      <c r="BP5" s="3" t="str">
        <f t="shared" ref="BP5:BP6" si="32">IF(AZ5="","",IF(BO5="",$J5-1,BO5-COUNTIF($AG5:$AN5,"X")))</f>
        <v/>
      </c>
      <c r="BQ5" s="3" t="str">
        <f t="shared" ref="BQ5:BQ6" si="33">IF(AW5="","",IF((4-COUNTIF($BM5:$BP5,""))=1,"",CONCATENATE("(",BM5,IF(COUNTIF($Q5:$X5,"X")=1,"",CONCATENATE(" downto ",BM5-COUNTIF($Q5:$X5,"X")+1)),")")))</f>
        <v/>
      </c>
      <c r="BR5" s="3" t="str">
        <f t="shared" ref="BR5:BR6" si="34">IF(AX5="","",IF((4-COUNTIF($BM5:$BP5,""))=1,"",CONCATENATE("(",BN5,IF(COUNTIF($Y5:$AF5,"X")=1,"",CONCATENATE(" downto ",BN5-COUNTIF($Y5:$AF5,"X")+1)),")")))</f>
        <v/>
      </c>
      <c r="BS5" s="3" t="str">
        <f t="shared" ref="BS5:BS6" si="35">IF(AY5="","",IF((4-COUNTIF($BM5:$BP5,""))=1,"",CONCATENATE("(",BO5,IF(COUNTIF($AG5:$AN5,"X")=1,"",CONCATENATE(" downto ",BO5-COUNTIF($AG5:$AN5,"X")+1)),")")))</f>
        <v/>
      </c>
      <c r="BT5" s="3" t="str">
        <f t="shared" ref="BT5:BT6" si="36">IF(AZ5="","",IF((4-COUNTIF($BM5:$BP5,""))=1,"",CONCATENATE("(",BP5,IF(COUNTIF($AO5:$AV5,"X") = 1,"",CONCATENATE(" downto ",BP5-COUNTIF($AO5:$AV5,"X")+1)),")")))</f>
        <v/>
      </c>
    </row>
    <row r="6" spans="1:73" x14ac:dyDescent="0.25">
      <c r="B6" s="3" t="s">
        <v>270</v>
      </c>
      <c r="C6" s="3" t="s">
        <v>191</v>
      </c>
      <c r="D6" s="3" t="s">
        <v>1</v>
      </c>
      <c r="E6" s="3" t="s">
        <v>115</v>
      </c>
      <c r="F6" s="3" t="s">
        <v>337</v>
      </c>
      <c r="G6" s="3" t="s">
        <v>404</v>
      </c>
      <c r="H6" s="18" t="s">
        <v>192</v>
      </c>
      <c r="I6" s="3" t="s">
        <v>24</v>
      </c>
      <c r="J6" s="3">
        <v>1</v>
      </c>
      <c r="K6" s="3" t="s">
        <v>58</v>
      </c>
      <c r="L6" s="3" t="s">
        <v>23</v>
      </c>
      <c r="M6" s="3">
        <v>0</v>
      </c>
      <c r="N6" s="3" t="str">
        <f t="shared" si="1"/>
        <v>00000000</v>
      </c>
      <c r="O6" s="3">
        <v>25</v>
      </c>
      <c r="P6" s="3">
        <v>25</v>
      </c>
      <c r="Q6" s="3" t="str">
        <f t="shared" si="11"/>
        <v/>
      </c>
      <c r="R6" s="3" t="str">
        <f t="shared" si="11"/>
        <v/>
      </c>
      <c r="S6" s="3" t="str">
        <f t="shared" si="11"/>
        <v/>
      </c>
      <c r="T6" s="3" t="str">
        <f t="shared" si="11"/>
        <v/>
      </c>
      <c r="U6" s="3" t="str">
        <f t="shared" si="11"/>
        <v/>
      </c>
      <c r="V6" s="3" t="str">
        <f t="shared" si="11"/>
        <v/>
      </c>
      <c r="W6" s="3" t="str">
        <f t="shared" si="11"/>
        <v>X</v>
      </c>
      <c r="X6" s="3" t="str">
        <f t="shared" si="11"/>
        <v/>
      </c>
      <c r="Y6" s="3" t="str">
        <f t="shared" si="11"/>
        <v/>
      </c>
      <c r="Z6" s="3" t="str">
        <f t="shared" si="11"/>
        <v/>
      </c>
      <c r="AA6" s="3" t="str">
        <f t="shared" si="11"/>
        <v/>
      </c>
      <c r="AB6" s="3" t="str">
        <f t="shared" si="11"/>
        <v/>
      </c>
      <c r="AC6" s="3" t="str">
        <f t="shared" si="11"/>
        <v/>
      </c>
      <c r="AD6" s="3" t="str">
        <f t="shared" si="11"/>
        <v/>
      </c>
      <c r="AE6" s="3" t="str">
        <f t="shared" si="11"/>
        <v/>
      </c>
      <c r="AF6" s="3" t="str">
        <f t="shared" si="11"/>
        <v/>
      </c>
      <c r="AG6" s="3" t="str">
        <f t="shared" si="12"/>
        <v/>
      </c>
      <c r="AH6" s="3" t="str">
        <f t="shared" si="12"/>
        <v/>
      </c>
      <c r="AI6" s="3" t="str">
        <f t="shared" si="12"/>
        <v/>
      </c>
      <c r="AJ6" s="3" t="str">
        <f t="shared" si="12"/>
        <v/>
      </c>
      <c r="AK6" s="3" t="str">
        <f t="shared" si="12"/>
        <v/>
      </c>
      <c r="AL6" s="3" t="str">
        <f t="shared" si="12"/>
        <v/>
      </c>
      <c r="AM6" s="3" t="str">
        <f t="shared" si="12"/>
        <v/>
      </c>
      <c r="AN6" s="3" t="str">
        <f t="shared" si="12"/>
        <v/>
      </c>
      <c r="AO6" s="3" t="str">
        <f t="shared" si="12"/>
        <v/>
      </c>
      <c r="AP6" s="3" t="str">
        <f t="shared" si="12"/>
        <v/>
      </c>
      <c r="AQ6" s="3" t="str">
        <f t="shared" si="12"/>
        <v/>
      </c>
      <c r="AR6" s="3" t="str">
        <f t="shared" si="12"/>
        <v/>
      </c>
      <c r="AS6" s="3" t="str">
        <f t="shared" si="12"/>
        <v/>
      </c>
      <c r="AT6" s="3" t="str">
        <f t="shared" si="12"/>
        <v/>
      </c>
      <c r="AU6" s="3" t="str">
        <f t="shared" si="12"/>
        <v/>
      </c>
      <c r="AV6" s="3" t="str">
        <f t="shared" si="12"/>
        <v/>
      </c>
      <c r="AW6" s="3" t="str">
        <f t="shared" si="13"/>
        <v>X</v>
      </c>
      <c r="AX6" s="3" t="str">
        <f t="shared" si="14"/>
        <v/>
      </c>
      <c r="AY6" s="3" t="str">
        <f t="shared" si="15"/>
        <v/>
      </c>
      <c r="AZ6" s="3" t="str">
        <f t="shared" si="16"/>
        <v/>
      </c>
      <c r="BA6" s="3">
        <f t="shared" si="17"/>
        <v>0</v>
      </c>
      <c r="BB6" s="3" t="str">
        <f t="shared" si="18"/>
        <v/>
      </c>
      <c r="BC6" s="3" t="str">
        <f t="shared" si="19"/>
        <v/>
      </c>
      <c r="BD6" s="3" t="str">
        <f t="shared" si="20"/>
        <v/>
      </c>
      <c r="BE6" s="7" t="str">
        <f t="shared" si="21"/>
        <v>00000000</v>
      </c>
      <c r="BF6" s="7" t="str">
        <f t="shared" si="22"/>
        <v/>
      </c>
      <c r="BG6" s="7" t="str">
        <f t="shared" si="23"/>
        <v/>
      </c>
      <c r="BH6" s="7" t="str">
        <f t="shared" si="24"/>
        <v/>
      </c>
      <c r="BI6" s="3" t="str">
        <f t="shared" si="25"/>
        <v>(1)</v>
      </c>
      <c r="BJ6" s="3" t="str">
        <f t="shared" si="26"/>
        <v/>
      </c>
      <c r="BK6" s="3" t="str">
        <f t="shared" si="27"/>
        <v/>
      </c>
      <c r="BL6" s="3" t="str">
        <f t="shared" si="28"/>
        <v/>
      </c>
      <c r="BM6" s="3">
        <f t="shared" si="29"/>
        <v>0</v>
      </c>
      <c r="BN6" s="3" t="str">
        <f t="shared" si="30"/>
        <v/>
      </c>
      <c r="BO6" s="3" t="str">
        <f t="shared" si="31"/>
        <v/>
      </c>
      <c r="BP6" s="3" t="str">
        <f t="shared" si="32"/>
        <v/>
      </c>
      <c r="BQ6" s="3" t="str">
        <f t="shared" si="33"/>
        <v/>
      </c>
      <c r="BR6" s="3" t="str">
        <f t="shared" si="34"/>
        <v/>
      </c>
      <c r="BS6" s="3" t="str">
        <f t="shared" si="35"/>
        <v/>
      </c>
      <c r="BT6" s="3" t="str">
        <f t="shared" si="36"/>
        <v/>
      </c>
    </row>
    <row r="7" spans="1:73" x14ac:dyDescent="0.25">
      <c r="B7" s="3" t="s">
        <v>270</v>
      </c>
      <c r="C7" s="3" t="s">
        <v>193</v>
      </c>
      <c r="D7" s="3" t="s">
        <v>1</v>
      </c>
      <c r="E7" s="3" t="s">
        <v>115</v>
      </c>
      <c r="F7" s="3" t="s">
        <v>337</v>
      </c>
      <c r="G7" s="3" t="s">
        <v>404</v>
      </c>
      <c r="H7" s="18" t="s">
        <v>194</v>
      </c>
      <c r="I7" s="3" t="s">
        <v>24</v>
      </c>
      <c r="J7" s="3">
        <v>1</v>
      </c>
      <c r="K7" s="3" t="s">
        <v>58</v>
      </c>
      <c r="L7" s="3" t="s">
        <v>23</v>
      </c>
      <c r="M7" s="3">
        <v>0</v>
      </c>
      <c r="N7" s="3" t="str">
        <f t="shared" si="1"/>
        <v>00000000</v>
      </c>
      <c r="O7" s="3">
        <v>24</v>
      </c>
      <c r="P7" s="3">
        <v>24</v>
      </c>
      <c r="Q7" s="3" t="str">
        <f t="shared" ref="Q7:AF7" si="37">IF(AND($O7&gt;=Q$3,Q$3&gt;=$P7),"X","")</f>
        <v/>
      </c>
      <c r="R7" s="3" t="str">
        <f t="shared" si="37"/>
        <v/>
      </c>
      <c r="S7" s="3" t="str">
        <f t="shared" si="37"/>
        <v/>
      </c>
      <c r="T7" s="3" t="str">
        <f t="shared" si="37"/>
        <v/>
      </c>
      <c r="U7" s="3" t="str">
        <f t="shared" si="37"/>
        <v/>
      </c>
      <c r="V7" s="3" t="str">
        <f t="shared" si="37"/>
        <v/>
      </c>
      <c r="W7" s="3" t="str">
        <f t="shared" si="37"/>
        <v/>
      </c>
      <c r="X7" s="3" t="str">
        <f t="shared" si="37"/>
        <v>X</v>
      </c>
      <c r="Y7" s="3" t="str">
        <f t="shared" si="37"/>
        <v/>
      </c>
      <c r="Z7" s="3" t="str">
        <f t="shared" si="37"/>
        <v/>
      </c>
      <c r="AA7" s="3" t="str">
        <f t="shared" si="37"/>
        <v/>
      </c>
      <c r="AB7" s="3" t="str">
        <f t="shared" si="37"/>
        <v/>
      </c>
      <c r="AC7" s="3" t="str">
        <f t="shared" si="37"/>
        <v/>
      </c>
      <c r="AD7" s="3" t="str">
        <f t="shared" si="37"/>
        <v/>
      </c>
      <c r="AE7" s="3" t="str">
        <f t="shared" si="37"/>
        <v/>
      </c>
      <c r="AF7" s="3" t="str">
        <f t="shared" si="37"/>
        <v/>
      </c>
      <c r="AG7" s="3" t="str">
        <f t="shared" ref="AG7:AV7" si="38">IF(AND($O7&gt;=AG$3,AG$3&gt;=$P7),"X","")</f>
        <v/>
      </c>
      <c r="AH7" s="3" t="str">
        <f t="shared" si="38"/>
        <v/>
      </c>
      <c r="AI7" s="3" t="str">
        <f t="shared" si="38"/>
        <v/>
      </c>
      <c r="AJ7" s="3" t="str">
        <f t="shared" si="38"/>
        <v/>
      </c>
      <c r="AK7" s="3" t="str">
        <f t="shared" si="38"/>
        <v/>
      </c>
      <c r="AL7" s="3" t="str">
        <f t="shared" si="38"/>
        <v/>
      </c>
      <c r="AM7" s="3" t="str">
        <f t="shared" si="38"/>
        <v/>
      </c>
      <c r="AN7" s="3" t="str">
        <f t="shared" si="38"/>
        <v/>
      </c>
      <c r="AO7" s="3" t="str">
        <f t="shared" si="38"/>
        <v/>
      </c>
      <c r="AP7" s="3" t="str">
        <f t="shared" si="38"/>
        <v/>
      </c>
      <c r="AQ7" s="3" t="str">
        <f t="shared" si="38"/>
        <v/>
      </c>
      <c r="AR7" s="3" t="str">
        <f t="shared" si="38"/>
        <v/>
      </c>
      <c r="AS7" s="3" t="str">
        <f t="shared" si="38"/>
        <v/>
      </c>
      <c r="AT7" s="3" t="str">
        <f t="shared" si="38"/>
        <v/>
      </c>
      <c r="AU7" s="3" t="str">
        <f t="shared" si="38"/>
        <v/>
      </c>
      <c r="AV7" s="3" t="str">
        <f t="shared" si="38"/>
        <v/>
      </c>
      <c r="AW7" s="3" t="str">
        <f t="shared" si="13"/>
        <v>X</v>
      </c>
      <c r="AX7" s="3" t="str">
        <f t="shared" si="14"/>
        <v/>
      </c>
      <c r="AY7" s="3" t="str">
        <f t="shared" si="15"/>
        <v/>
      </c>
      <c r="AZ7" s="3" t="str">
        <f t="shared" si="16"/>
        <v/>
      </c>
      <c r="BA7" s="3">
        <f t="shared" ref="BA7" si="39">IF(AW7="","",$M7*4+BA$3)</f>
        <v>0</v>
      </c>
      <c r="BB7" s="3" t="str">
        <f t="shared" ref="BB7" si="40">IF(AX7="","",$M7*4+BB$3)</f>
        <v/>
      </c>
      <c r="BC7" s="3" t="str">
        <f t="shared" ref="BC7" si="41">IF(AY7="","",$M7*4+BC$3)</f>
        <v/>
      </c>
      <c r="BD7" s="3" t="str">
        <f t="shared" ref="BD7" si="42">IF(AZ7="","",$M7*4+BD$3)</f>
        <v/>
      </c>
      <c r="BE7" s="7" t="str">
        <f t="shared" ref="BE7" si="43">IF(BA7="","",DEC2HEX(BA7,8))</f>
        <v>00000000</v>
      </c>
      <c r="BF7" s="7" t="str">
        <f t="shared" ref="BF7" si="44">IF(BB7="","",DEC2HEX(BB7,8))</f>
        <v/>
      </c>
      <c r="BG7" s="7" t="str">
        <f t="shared" ref="BG7" si="45">IF(BC7="","",DEC2HEX(BC7,8))</f>
        <v/>
      </c>
      <c r="BH7" s="7" t="str">
        <f t="shared" ref="BH7" si="46">IF(BD7="","",DEC2HEX(BD7,8))</f>
        <v/>
      </c>
      <c r="BI7" s="3" t="str">
        <f t="shared" ref="BI7" si="47">IF(AW7="","",IF(COUNTIF($Q7:$X7,"X")=8,"",CONCATENATE("(",INDEX($Q$3:$X$3,MATCH("X",$Q7:$X7,0))-24,IF(COUNTIF($Q7:$X7,"X")=1,")",CONCATENATE(" downto ",INDEX($Q$3:$X$3,MATCH("X",$Q7:$X7,0)+COUNTIF($Q7:$X7,"X")-1)-24,")")))))</f>
        <v>(0)</v>
      </c>
      <c r="BJ7" s="3" t="str">
        <f t="shared" ref="BJ7" si="48">IF(AX7="","",IF(COUNTIF($Y7:$AF7,"X")=8,"",CONCATENATE("(",INDEX($Y$3:$AF$3,MATCH("X",$Y7:$AF7,0))-16,IF(COUNTIF($Y7:$AF7,"X")=1,")",CONCATENATE(" downto ",INDEX($Y$3:$AF$3,MATCH("X",$Y7:$AF7,0)+COUNTIF($Y7:$AF7,"X")-1)-16,")")))))</f>
        <v/>
      </c>
      <c r="BK7" s="3" t="str">
        <f t="shared" ref="BK7" si="49">IF(AY7="","",IF(COUNTIF($AG7:$AN7,"X")=8,"",CONCATENATE("(",INDEX($AG$3:$AN$3,MATCH("X",$AG7:$AN7,0))-8,IF(COUNTIF($AG7:$AN7,"X")=1,")",CONCATENATE(" downto ",INDEX($AG$3:$AN$3,MATCH("X",$AG7:$AN7,0)+COUNTIF($AG7:$AN7,"X")-1)-8,")")))))</f>
        <v/>
      </c>
      <c r="BL7" s="3" t="str">
        <f t="shared" ref="BL7" si="50">IF(AZ7="","",IF(COUNTIF($AO7:$AV7,"X")=8,"",CONCATENATE("(",INDEX($AO$3:$AV$3,MATCH("X",$AO7:$AV7,0)),IF(COUNTIF($AO7:$AV7,"X")=1,")",CONCATENATE(" downto ",INDEX($AO$3:$AV$3,MATCH("X",$AO7:$AV7,0)+COUNTIF($AO7:$AV7,"X")-1),")")))))</f>
        <v/>
      </c>
      <c r="BM7" s="3">
        <f t="shared" ref="BM7" si="51">IF(AW7="","",$J7-1)</f>
        <v>0</v>
      </c>
      <c r="BN7" s="3" t="str">
        <f t="shared" ref="BN7" si="52">IF(AX7="","",IF(BM7="",$J7-1,BM7-COUNTIF($Q7:$X7,"X")))</f>
        <v/>
      </c>
      <c r="BO7" s="3" t="str">
        <f t="shared" ref="BO7" si="53">IF(AY7="","",IF(BN7="",$J7-1,BN7-COUNTIF($Y7:$AF7,"X")))</f>
        <v/>
      </c>
      <c r="BP7" s="3" t="str">
        <f t="shared" ref="BP7" si="54">IF(AZ7="","",IF(BO7="",$J7-1,BO7-COUNTIF($AG7:$AN7,"X")))</f>
        <v/>
      </c>
      <c r="BQ7" s="3" t="str">
        <f t="shared" ref="BQ7" si="55">IF(AW7="","",IF((4-COUNTIF($BM7:$BP7,""))=1,"",CONCATENATE("(",BM7,IF(COUNTIF($Q7:$X7,"X")=1,"",CONCATENATE(" downto ",BM7-COUNTIF($Q7:$X7,"X")+1)),")")))</f>
        <v/>
      </c>
      <c r="BR7" s="3" t="str">
        <f t="shared" ref="BR7" si="56">IF(AX7="","",IF((4-COUNTIF($BM7:$BP7,""))=1,"",CONCATENATE("(",BN7,IF(COUNTIF($Y7:$AF7,"X")=1,"",CONCATENATE(" downto ",BN7-COUNTIF($Y7:$AF7,"X")+1)),")")))</f>
        <v/>
      </c>
      <c r="BS7" s="3" t="str">
        <f t="shared" ref="BS7" si="57">IF(AY7="","",IF((4-COUNTIF($BM7:$BP7,""))=1,"",CONCATENATE("(",BO7,IF(COUNTIF($AG7:$AN7,"X")=1,"",CONCATENATE(" downto ",BO7-COUNTIF($AG7:$AN7,"X")+1)),")")))</f>
        <v/>
      </c>
      <c r="BT7" s="3" t="str">
        <f t="shared" ref="BT7" si="58">IF(AZ7="","",IF((4-COUNTIF($BM7:$BP7,""))=1,"",CONCATENATE("(",BP7,IF(COUNTIF($AO7:$AV7,"X") = 1,"",CONCATENATE(" downto ",BP7-COUNTIF($AO7:$AV7,"X")+1)),")")))</f>
        <v/>
      </c>
    </row>
    <row r="8" spans="1:73" x14ac:dyDescent="0.25">
      <c r="B8" s="3" t="s">
        <v>270</v>
      </c>
      <c r="C8" s="3" t="s">
        <v>1693</v>
      </c>
      <c r="D8" s="3" t="s">
        <v>1</v>
      </c>
      <c r="E8" s="3" t="s">
        <v>115</v>
      </c>
      <c r="F8" s="3" t="s">
        <v>337</v>
      </c>
      <c r="G8" s="3" t="s">
        <v>404</v>
      </c>
      <c r="H8" s="18" t="s">
        <v>1694</v>
      </c>
      <c r="I8" s="3" t="s">
        <v>24</v>
      </c>
      <c r="J8" s="3">
        <v>24</v>
      </c>
      <c r="K8" s="3" t="s">
        <v>119</v>
      </c>
      <c r="L8" s="3" t="s">
        <v>23</v>
      </c>
      <c r="M8" s="3">
        <v>0</v>
      </c>
      <c r="N8" s="3" t="str">
        <f t="shared" si="1"/>
        <v>00000000</v>
      </c>
      <c r="O8" s="3">
        <v>23</v>
      </c>
      <c r="P8" s="3">
        <v>0</v>
      </c>
      <c r="Q8" s="3" t="str">
        <f t="shared" ref="Q8:AF23" si="59">IF(AND($O8&gt;=Q$3,Q$3&gt;=$P8),"X","")</f>
        <v/>
      </c>
      <c r="R8" s="3" t="str">
        <f t="shared" si="59"/>
        <v/>
      </c>
      <c r="S8" s="3" t="str">
        <f t="shared" si="59"/>
        <v/>
      </c>
      <c r="T8" s="3" t="str">
        <f t="shared" si="59"/>
        <v/>
      </c>
      <c r="U8" s="3" t="str">
        <f t="shared" si="59"/>
        <v/>
      </c>
      <c r="V8" s="3" t="str">
        <f t="shared" si="59"/>
        <v/>
      </c>
      <c r="W8" s="3" t="str">
        <f t="shared" si="59"/>
        <v/>
      </c>
      <c r="X8" s="3" t="str">
        <f t="shared" si="59"/>
        <v/>
      </c>
      <c r="Y8" s="3" t="str">
        <f t="shared" si="59"/>
        <v>X</v>
      </c>
      <c r="Z8" s="3" t="str">
        <f t="shared" si="59"/>
        <v>X</v>
      </c>
      <c r="AA8" s="3" t="str">
        <f t="shared" si="59"/>
        <v>X</v>
      </c>
      <c r="AB8" s="3" t="str">
        <f t="shared" si="59"/>
        <v>X</v>
      </c>
      <c r="AC8" s="3" t="str">
        <f t="shared" si="59"/>
        <v>X</v>
      </c>
      <c r="AD8" s="3" t="str">
        <f t="shared" si="59"/>
        <v>X</v>
      </c>
      <c r="AE8" s="3" t="str">
        <f t="shared" si="59"/>
        <v>X</v>
      </c>
      <c r="AF8" s="3" t="str">
        <f t="shared" si="59"/>
        <v>X</v>
      </c>
      <c r="AG8" s="3" t="str">
        <f t="shared" ref="AG8:AV23" si="60">IF(AND($O8&gt;=AG$3,AG$3&gt;=$P8),"X","")</f>
        <v>X</v>
      </c>
      <c r="AH8" s="3" t="str">
        <f t="shared" si="60"/>
        <v>X</v>
      </c>
      <c r="AI8" s="3" t="str">
        <f t="shared" si="60"/>
        <v>X</v>
      </c>
      <c r="AJ8" s="3" t="str">
        <f t="shared" si="60"/>
        <v>X</v>
      </c>
      <c r="AK8" s="3" t="str">
        <f t="shared" si="60"/>
        <v>X</v>
      </c>
      <c r="AL8" s="3" t="str">
        <f t="shared" si="60"/>
        <v>X</v>
      </c>
      <c r="AM8" s="3" t="str">
        <f t="shared" si="60"/>
        <v>X</v>
      </c>
      <c r="AN8" s="3" t="str">
        <f t="shared" si="60"/>
        <v>X</v>
      </c>
      <c r="AO8" s="3" t="str">
        <f t="shared" si="60"/>
        <v>X</v>
      </c>
      <c r="AP8" s="3" t="str">
        <f t="shared" si="60"/>
        <v>X</v>
      </c>
      <c r="AQ8" s="3" t="str">
        <f t="shared" si="60"/>
        <v>X</v>
      </c>
      <c r="AR8" s="3" t="str">
        <f t="shared" si="60"/>
        <v>X</v>
      </c>
      <c r="AS8" s="3" t="str">
        <f t="shared" si="60"/>
        <v>X</v>
      </c>
      <c r="AT8" s="3" t="str">
        <f t="shared" si="60"/>
        <v>X</v>
      </c>
      <c r="AU8" s="3" t="str">
        <f t="shared" si="60"/>
        <v>X</v>
      </c>
      <c r="AV8" s="3" t="str">
        <f t="shared" si="60"/>
        <v>X</v>
      </c>
      <c r="AW8" s="3" t="str">
        <f t="shared" si="13"/>
        <v/>
      </c>
      <c r="AX8" s="3" t="str">
        <f t="shared" si="14"/>
        <v>X</v>
      </c>
      <c r="AY8" s="3" t="str">
        <f t="shared" si="15"/>
        <v>X</v>
      </c>
      <c r="AZ8" s="3" t="str">
        <f t="shared" si="16"/>
        <v>X</v>
      </c>
      <c r="BA8" s="3" t="str">
        <f t="shared" ref="BA8:BA71" si="61">IF(AW8="","",$M8*4+BA$3)</f>
        <v/>
      </c>
      <c r="BB8" s="3">
        <f t="shared" ref="BB8:BB71" si="62">IF(AX8="","",$M8*4+BB$3)</f>
        <v>1</v>
      </c>
      <c r="BC8" s="3">
        <f t="shared" ref="BC8:BC71" si="63">IF(AY8="","",$M8*4+BC$3)</f>
        <v>2</v>
      </c>
      <c r="BD8" s="3">
        <f t="shared" ref="BD8:BD71" si="64">IF(AZ8="","",$M8*4+BD$3)</f>
        <v>3</v>
      </c>
      <c r="BE8" s="7" t="str">
        <f t="shared" ref="BE8:BE71" si="65">IF(BA8="","",DEC2HEX(BA8,8))</f>
        <v/>
      </c>
      <c r="BF8" s="7" t="str">
        <f t="shared" ref="BF8:BF71" si="66">IF(BB8="","",DEC2HEX(BB8,8))</f>
        <v>00000001</v>
      </c>
      <c r="BG8" s="7" t="str">
        <f t="shared" ref="BG8:BG71" si="67">IF(BC8="","",DEC2HEX(BC8,8))</f>
        <v>00000002</v>
      </c>
      <c r="BH8" s="7" t="str">
        <f t="shared" ref="BH8:BH71" si="68">IF(BD8="","",DEC2HEX(BD8,8))</f>
        <v>00000003</v>
      </c>
      <c r="BI8" s="3" t="str">
        <f t="shared" ref="BI8:BI71" si="69">IF(AW8="","",IF(COUNTIF($Q8:$X8,"X")=8,"",CONCATENATE("(",INDEX($Q$3:$X$3,MATCH("X",$Q8:$X8,0))-24,IF(COUNTIF($Q8:$X8,"X")=1,")",CONCATENATE(" downto ",INDEX($Q$3:$X$3,MATCH("X",$Q8:$X8,0)+COUNTIF($Q8:$X8,"X")-1)-24,")")))))</f>
        <v/>
      </c>
      <c r="BJ8" s="3" t="str">
        <f t="shared" ref="BJ8:BJ71" si="70">IF(AX8="","",IF(COUNTIF($Y8:$AF8,"X")=8,"",CONCATENATE("(",INDEX($Y$3:$AF$3,MATCH("X",$Y8:$AF8,0))-16,IF(COUNTIF($Y8:$AF8,"X")=1,")",CONCATENATE(" downto ",INDEX($Y$3:$AF$3,MATCH("X",$Y8:$AF8,0)+COUNTIF($Y8:$AF8,"X")-1)-16,")")))))</f>
        <v/>
      </c>
      <c r="BK8" s="3" t="str">
        <f t="shared" ref="BK8:BK71" si="71">IF(AY8="","",IF(COUNTIF($AG8:$AN8,"X")=8,"",CONCATENATE("(",INDEX($AG$3:$AN$3,MATCH("X",$AG8:$AN8,0))-8,IF(COUNTIF($AG8:$AN8,"X")=1,")",CONCATENATE(" downto ",INDEX($AG$3:$AN$3,MATCH("X",$AG8:$AN8,0)+COUNTIF($AG8:$AN8,"X")-1)-8,")")))))</f>
        <v/>
      </c>
      <c r="BL8" s="3" t="str">
        <f t="shared" ref="BL8:BL71" si="72">IF(AZ8="","",IF(COUNTIF($AO8:$AV8,"X")=8,"",CONCATENATE("(",INDEX($AO$3:$AV$3,MATCH("X",$AO8:$AV8,0)),IF(COUNTIF($AO8:$AV8,"X")=1,")",CONCATENATE(" downto ",INDEX($AO$3:$AV$3,MATCH("X",$AO8:$AV8,0)+COUNTIF($AO8:$AV8,"X")-1),")")))))</f>
        <v/>
      </c>
      <c r="BM8" s="3" t="str">
        <f t="shared" ref="BM8:BM71" si="73">IF(AW8="","",$J8-1)</f>
        <v/>
      </c>
      <c r="BN8" s="3">
        <f t="shared" ref="BN8:BN71" si="74">IF(AX8="","",IF(BM8="",$J8-1,BM8-COUNTIF($Q8:$X8,"X")))</f>
        <v>23</v>
      </c>
      <c r="BO8" s="3">
        <f t="shared" ref="BO8:BO71" si="75">IF(AY8="","",IF(BN8="",$J8-1,BN8-COUNTIF($Y8:$AF8,"X")))</f>
        <v>15</v>
      </c>
      <c r="BP8" s="3">
        <f t="shared" ref="BP8:BP71" si="76">IF(AZ8="","",IF(BO8="",$J8-1,BO8-COUNTIF($AG8:$AN8,"X")))</f>
        <v>7</v>
      </c>
      <c r="BQ8" s="3" t="str">
        <f t="shared" ref="BQ8:BQ71" si="77">IF(AW8="","",IF((4-COUNTIF($BM8:$BP8,""))=1,"",CONCATENATE("(",BM8,IF(COUNTIF($Q8:$X8,"X")=1,"",CONCATENATE(" downto ",BM8-COUNTIF($Q8:$X8,"X")+1)),")")))</f>
        <v/>
      </c>
      <c r="BR8" s="3" t="str">
        <f t="shared" ref="BR8:BR71" si="78">IF(AX8="","",IF((4-COUNTIF($BM8:$BP8,""))=1,"",CONCATENATE("(",BN8,IF(COUNTIF($Y8:$AF8,"X")=1,"",CONCATENATE(" downto ",BN8-COUNTIF($Y8:$AF8,"X")+1)),")")))</f>
        <v>(23 downto 16)</v>
      </c>
      <c r="BS8" s="3" t="str">
        <f t="shared" ref="BS8:BS71" si="79">IF(AY8="","",IF((4-COUNTIF($BM8:$BP8,""))=1,"",CONCATENATE("(",BO8,IF(COUNTIF($AG8:$AN8,"X")=1,"",CONCATENATE(" downto ",BO8-COUNTIF($AG8:$AN8,"X")+1)),")")))</f>
        <v>(15 downto 8)</v>
      </c>
      <c r="BT8" s="3" t="str">
        <f t="shared" ref="BT8:BT71" si="80">IF(AZ8="","",IF((4-COUNTIF($BM8:$BP8,""))=1,"",CONCATENATE("(",BP8,IF(COUNTIF($AO8:$AV8,"X") = 1,"",CONCATENATE(" downto ",BP8-COUNTIF($AO8:$AV8,"X")+1)),")")))</f>
        <v>(7 downto 0)</v>
      </c>
    </row>
    <row r="9" spans="1:73" x14ac:dyDescent="0.25">
      <c r="B9" s="3" t="s">
        <v>271</v>
      </c>
      <c r="C9" s="3" t="s">
        <v>1695</v>
      </c>
      <c r="D9" s="3" t="s">
        <v>1</v>
      </c>
      <c r="E9" s="3" t="s">
        <v>115</v>
      </c>
      <c r="F9" s="3" t="s">
        <v>338</v>
      </c>
      <c r="G9" s="3" t="s">
        <v>405</v>
      </c>
      <c r="H9" s="18" t="s">
        <v>1694</v>
      </c>
      <c r="I9" s="3" t="s">
        <v>24</v>
      </c>
      <c r="J9" s="3">
        <v>32</v>
      </c>
      <c r="K9" s="3" t="s">
        <v>1696</v>
      </c>
      <c r="L9" s="3" t="s">
        <v>23</v>
      </c>
      <c r="M9" s="3">
        <v>1</v>
      </c>
      <c r="N9" s="3" t="str">
        <f t="shared" ref="N9:N19" si="81">DEC2HEX($M9,8)</f>
        <v>00000001</v>
      </c>
      <c r="O9" s="3">
        <v>31</v>
      </c>
      <c r="P9" s="3">
        <v>0</v>
      </c>
      <c r="Q9" s="3" t="str">
        <f t="shared" si="59"/>
        <v>X</v>
      </c>
      <c r="R9" s="3" t="str">
        <f t="shared" si="59"/>
        <v>X</v>
      </c>
      <c r="S9" s="3" t="str">
        <f t="shared" si="59"/>
        <v>X</v>
      </c>
      <c r="T9" s="3" t="str">
        <f t="shared" si="59"/>
        <v>X</v>
      </c>
      <c r="U9" s="3" t="str">
        <f t="shared" si="59"/>
        <v>X</v>
      </c>
      <c r="V9" s="3" t="str">
        <f t="shared" si="59"/>
        <v>X</v>
      </c>
      <c r="W9" s="3" t="str">
        <f t="shared" si="59"/>
        <v>X</v>
      </c>
      <c r="X9" s="3" t="str">
        <f t="shared" si="59"/>
        <v>X</v>
      </c>
      <c r="Y9" s="3" t="str">
        <f t="shared" si="59"/>
        <v>X</v>
      </c>
      <c r="Z9" s="3" t="str">
        <f t="shared" si="59"/>
        <v>X</v>
      </c>
      <c r="AA9" s="3" t="str">
        <f t="shared" si="59"/>
        <v>X</v>
      </c>
      <c r="AB9" s="3" t="str">
        <f t="shared" si="59"/>
        <v>X</v>
      </c>
      <c r="AC9" s="3" t="str">
        <f t="shared" si="59"/>
        <v>X</v>
      </c>
      <c r="AD9" s="3" t="str">
        <f t="shared" si="59"/>
        <v>X</v>
      </c>
      <c r="AE9" s="3" t="str">
        <f t="shared" si="59"/>
        <v>X</v>
      </c>
      <c r="AF9" s="3" t="str">
        <f t="shared" si="59"/>
        <v>X</v>
      </c>
      <c r="AG9" s="3" t="str">
        <f t="shared" si="60"/>
        <v>X</v>
      </c>
      <c r="AH9" s="3" t="str">
        <f t="shared" si="60"/>
        <v>X</v>
      </c>
      <c r="AI9" s="3" t="str">
        <f t="shared" si="60"/>
        <v>X</v>
      </c>
      <c r="AJ9" s="3" t="str">
        <f t="shared" si="60"/>
        <v>X</v>
      </c>
      <c r="AK9" s="3" t="str">
        <f t="shared" si="60"/>
        <v>X</v>
      </c>
      <c r="AL9" s="3" t="str">
        <f t="shared" si="60"/>
        <v>X</v>
      </c>
      <c r="AM9" s="3" t="str">
        <f t="shared" si="60"/>
        <v>X</v>
      </c>
      <c r="AN9" s="3" t="str">
        <f t="shared" si="60"/>
        <v>X</v>
      </c>
      <c r="AO9" s="3" t="str">
        <f t="shared" si="60"/>
        <v>X</v>
      </c>
      <c r="AP9" s="3" t="str">
        <f t="shared" si="60"/>
        <v>X</v>
      </c>
      <c r="AQ9" s="3" t="str">
        <f t="shared" si="60"/>
        <v>X</v>
      </c>
      <c r="AR9" s="3" t="str">
        <f t="shared" si="60"/>
        <v>X</v>
      </c>
      <c r="AS9" s="3" t="str">
        <f t="shared" si="60"/>
        <v>X</v>
      </c>
      <c r="AT9" s="3" t="str">
        <f t="shared" si="60"/>
        <v>X</v>
      </c>
      <c r="AU9" s="3" t="str">
        <f t="shared" si="60"/>
        <v>X</v>
      </c>
      <c r="AV9" s="3" t="str">
        <f t="shared" si="60"/>
        <v>X</v>
      </c>
      <c r="AW9" s="3" t="str">
        <f t="shared" si="13"/>
        <v>X</v>
      </c>
      <c r="AX9" s="3" t="str">
        <f t="shared" si="14"/>
        <v>X</v>
      </c>
      <c r="AY9" s="3" t="str">
        <f t="shared" si="15"/>
        <v>X</v>
      </c>
      <c r="AZ9" s="3" t="str">
        <f t="shared" si="16"/>
        <v>X</v>
      </c>
      <c r="BA9" s="3">
        <f t="shared" si="61"/>
        <v>4</v>
      </c>
      <c r="BB9" s="3">
        <f t="shared" si="62"/>
        <v>5</v>
      </c>
      <c r="BC9" s="3">
        <f t="shared" si="63"/>
        <v>6</v>
      </c>
      <c r="BD9" s="3">
        <f t="shared" si="64"/>
        <v>7</v>
      </c>
      <c r="BE9" s="7" t="str">
        <f t="shared" si="65"/>
        <v>00000004</v>
      </c>
      <c r="BF9" s="7" t="str">
        <f t="shared" si="66"/>
        <v>00000005</v>
      </c>
      <c r="BG9" s="7" t="str">
        <f t="shared" si="67"/>
        <v>00000006</v>
      </c>
      <c r="BH9" s="7" t="str">
        <f t="shared" si="68"/>
        <v>00000007</v>
      </c>
      <c r="BI9" s="3" t="str">
        <f t="shared" si="69"/>
        <v/>
      </c>
      <c r="BJ9" s="3" t="str">
        <f t="shared" si="70"/>
        <v/>
      </c>
      <c r="BK9" s="3" t="str">
        <f t="shared" si="71"/>
        <v/>
      </c>
      <c r="BL9" s="3" t="str">
        <f t="shared" si="72"/>
        <v/>
      </c>
      <c r="BM9" s="3">
        <f t="shared" si="73"/>
        <v>31</v>
      </c>
      <c r="BN9" s="3">
        <f t="shared" si="74"/>
        <v>23</v>
      </c>
      <c r="BO9" s="3">
        <f t="shared" si="75"/>
        <v>15</v>
      </c>
      <c r="BP9" s="3">
        <f t="shared" si="76"/>
        <v>7</v>
      </c>
      <c r="BQ9" s="3" t="str">
        <f t="shared" si="77"/>
        <v>(31 downto 24)</v>
      </c>
      <c r="BR9" s="3" t="str">
        <f t="shared" si="78"/>
        <v>(23 downto 16)</v>
      </c>
      <c r="BS9" s="3" t="str">
        <f t="shared" si="79"/>
        <v>(15 downto 8)</v>
      </c>
      <c r="BT9" s="3" t="str">
        <f t="shared" si="80"/>
        <v>(7 downto 0)</v>
      </c>
    </row>
    <row r="10" spans="1:73" x14ac:dyDescent="0.25">
      <c r="B10" s="3" t="s">
        <v>272</v>
      </c>
      <c r="C10" s="3" t="s">
        <v>197</v>
      </c>
      <c r="D10" s="3" t="s">
        <v>1</v>
      </c>
      <c r="E10" s="3" t="s">
        <v>115</v>
      </c>
      <c r="F10" s="3" t="s">
        <v>339</v>
      </c>
      <c r="G10" s="3" t="s">
        <v>406</v>
      </c>
      <c r="H10" s="18" t="s">
        <v>198</v>
      </c>
      <c r="I10" s="3" t="s">
        <v>24</v>
      </c>
      <c r="J10" s="3">
        <v>32</v>
      </c>
      <c r="K10" s="3" t="s">
        <v>119</v>
      </c>
      <c r="L10" s="3" t="s">
        <v>23</v>
      </c>
      <c r="M10" s="3">
        <v>2</v>
      </c>
      <c r="N10" s="3" t="str">
        <f t="shared" si="81"/>
        <v>00000002</v>
      </c>
      <c r="O10" s="3">
        <v>31</v>
      </c>
      <c r="P10" s="3">
        <v>0</v>
      </c>
      <c r="Q10" s="3" t="str">
        <f t="shared" si="59"/>
        <v>X</v>
      </c>
      <c r="R10" s="3" t="str">
        <f t="shared" si="59"/>
        <v>X</v>
      </c>
      <c r="S10" s="3" t="str">
        <f t="shared" si="59"/>
        <v>X</v>
      </c>
      <c r="T10" s="3" t="str">
        <f t="shared" si="59"/>
        <v>X</v>
      </c>
      <c r="U10" s="3" t="str">
        <f t="shared" si="59"/>
        <v>X</v>
      </c>
      <c r="V10" s="3" t="str">
        <f t="shared" si="59"/>
        <v>X</v>
      </c>
      <c r="W10" s="3" t="str">
        <f t="shared" si="59"/>
        <v>X</v>
      </c>
      <c r="X10" s="3" t="str">
        <f t="shared" si="59"/>
        <v>X</v>
      </c>
      <c r="Y10" s="3" t="str">
        <f t="shared" si="59"/>
        <v>X</v>
      </c>
      <c r="Z10" s="3" t="str">
        <f t="shared" si="59"/>
        <v>X</v>
      </c>
      <c r="AA10" s="3" t="str">
        <f t="shared" si="59"/>
        <v>X</v>
      </c>
      <c r="AB10" s="3" t="str">
        <f t="shared" si="59"/>
        <v>X</v>
      </c>
      <c r="AC10" s="3" t="str">
        <f t="shared" si="59"/>
        <v>X</v>
      </c>
      <c r="AD10" s="3" t="str">
        <f t="shared" si="59"/>
        <v>X</v>
      </c>
      <c r="AE10" s="3" t="str">
        <f t="shared" si="59"/>
        <v>X</v>
      </c>
      <c r="AF10" s="3" t="str">
        <f t="shared" si="59"/>
        <v>X</v>
      </c>
      <c r="AG10" s="3" t="str">
        <f t="shared" si="60"/>
        <v>X</v>
      </c>
      <c r="AH10" s="3" t="str">
        <f t="shared" si="60"/>
        <v>X</v>
      </c>
      <c r="AI10" s="3" t="str">
        <f t="shared" si="60"/>
        <v>X</v>
      </c>
      <c r="AJ10" s="3" t="str">
        <f t="shared" si="60"/>
        <v>X</v>
      </c>
      <c r="AK10" s="3" t="str">
        <f t="shared" si="60"/>
        <v>X</v>
      </c>
      <c r="AL10" s="3" t="str">
        <f t="shared" si="60"/>
        <v>X</v>
      </c>
      <c r="AM10" s="3" t="str">
        <f t="shared" si="60"/>
        <v>X</v>
      </c>
      <c r="AN10" s="3" t="str">
        <f t="shared" si="60"/>
        <v>X</v>
      </c>
      <c r="AO10" s="3" t="str">
        <f t="shared" si="60"/>
        <v>X</v>
      </c>
      <c r="AP10" s="3" t="str">
        <f t="shared" si="60"/>
        <v>X</v>
      </c>
      <c r="AQ10" s="3" t="str">
        <f t="shared" si="60"/>
        <v>X</v>
      </c>
      <c r="AR10" s="3" t="str">
        <f t="shared" si="60"/>
        <v>X</v>
      </c>
      <c r="AS10" s="3" t="str">
        <f t="shared" si="60"/>
        <v>X</v>
      </c>
      <c r="AT10" s="3" t="str">
        <f t="shared" si="60"/>
        <v>X</v>
      </c>
      <c r="AU10" s="3" t="str">
        <f t="shared" si="60"/>
        <v>X</v>
      </c>
      <c r="AV10" s="3" t="str">
        <f t="shared" si="60"/>
        <v>X</v>
      </c>
      <c r="AW10" s="3" t="str">
        <f t="shared" si="13"/>
        <v>X</v>
      </c>
      <c r="AX10" s="3" t="str">
        <f t="shared" si="14"/>
        <v>X</v>
      </c>
      <c r="AY10" s="3" t="str">
        <f t="shared" si="15"/>
        <v>X</v>
      </c>
      <c r="AZ10" s="3" t="str">
        <f t="shared" si="16"/>
        <v>X</v>
      </c>
      <c r="BA10" s="3">
        <f t="shared" si="61"/>
        <v>8</v>
      </c>
      <c r="BB10" s="3">
        <f t="shared" si="62"/>
        <v>9</v>
      </c>
      <c r="BC10" s="3">
        <f t="shared" si="63"/>
        <v>10</v>
      </c>
      <c r="BD10" s="3">
        <f t="shared" si="64"/>
        <v>11</v>
      </c>
      <c r="BE10" s="7" t="str">
        <f t="shared" si="65"/>
        <v>00000008</v>
      </c>
      <c r="BF10" s="7" t="str">
        <f t="shared" si="66"/>
        <v>00000009</v>
      </c>
      <c r="BG10" s="7" t="str">
        <f t="shared" si="67"/>
        <v>0000000A</v>
      </c>
      <c r="BH10" s="7" t="str">
        <f t="shared" si="68"/>
        <v>0000000B</v>
      </c>
      <c r="BI10" s="3" t="str">
        <f t="shared" si="69"/>
        <v/>
      </c>
      <c r="BJ10" s="3" t="str">
        <f t="shared" si="70"/>
        <v/>
      </c>
      <c r="BK10" s="3" t="str">
        <f t="shared" si="71"/>
        <v/>
      </c>
      <c r="BL10" s="3" t="str">
        <f t="shared" si="72"/>
        <v/>
      </c>
      <c r="BM10" s="3">
        <f t="shared" si="73"/>
        <v>31</v>
      </c>
      <c r="BN10" s="3">
        <f t="shared" si="74"/>
        <v>23</v>
      </c>
      <c r="BO10" s="3">
        <f t="shared" si="75"/>
        <v>15</v>
      </c>
      <c r="BP10" s="3">
        <f t="shared" si="76"/>
        <v>7</v>
      </c>
      <c r="BQ10" s="3" t="str">
        <f t="shared" si="77"/>
        <v>(31 downto 24)</v>
      </c>
      <c r="BR10" s="3" t="str">
        <f t="shared" si="78"/>
        <v>(23 downto 16)</v>
      </c>
      <c r="BS10" s="3" t="str">
        <f t="shared" si="79"/>
        <v>(15 downto 8)</v>
      </c>
      <c r="BT10" s="3" t="str">
        <f t="shared" si="80"/>
        <v>(7 downto 0)</v>
      </c>
    </row>
    <row r="11" spans="1:73" x14ac:dyDescent="0.25">
      <c r="B11" s="3" t="s">
        <v>273</v>
      </c>
      <c r="C11" s="3" t="s">
        <v>1697</v>
      </c>
      <c r="D11" s="3" t="s">
        <v>1</v>
      </c>
      <c r="E11" s="3" t="s">
        <v>115</v>
      </c>
      <c r="F11" s="3" t="s">
        <v>340</v>
      </c>
      <c r="G11" s="3" t="s">
        <v>407</v>
      </c>
      <c r="H11" s="18" t="s">
        <v>1694</v>
      </c>
      <c r="I11" s="3" t="s">
        <v>24</v>
      </c>
      <c r="J11" s="3">
        <v>32</v>
      </c>
      <c r="K11" s="3" t="s">
        <v>119</v>
      </c>
      <c r="L11" s="3" t="s">
        <v>23</v>
      </c>
      <c r="M11" s="3">
        <v>3</v>
      </c>
      <c r="N11" s="3" t="str">
        <f t="shared" si="81"/>
        <v>00000003</v>
      </c>
      <c r="O11" s="3">
        <v>31</v>
      </c>
      <c r="P11" s="3">
        <v>0</v>
      </c>
      <c r="Q11" s="3" t="str">
        <f t="shared" si="59"/>
        <v>X</v>
      </c>
      <c r="R11" s="3" t="str">
        <f t="shared" si="59"/>
        <v>X</v>
      </c>
      <c r="S11" s="3" t="str">
        <f t="shared" si="59"/>
        <v>X</v>
      </c>
      <c r="T11" s="3" t="str">
        <f t="shared" si="59"/>
        <v>X</v>
      </c>
      <c r="U11" s="3" t="str">
        <f t="shared" si="59"/>
        <v>X</v>
      </c>
      <c r="V11" s="3" t="str">
        <f t="shared" si="59"/>
        <v>X</v>
      </c>
      <c r="W11" s="3" t="str">
        <f t="shared" si="59"/>
        <v>X</v>
      </c>
      <c r="X11" s="3" t="str">
        <f t="shared" si="59"/>
        <v>X</v>
      </c>
      <c r="Y11" s="3" t="str">
        <f t="shared" si="59"/>
        <v>X</v>
      </c>
      <c r="Z11" s="3" t="str">
        <f t="shared" si="59"/>
        <v>X</v>
      </c>
      <c r="AA11" s="3" t="str">
        <f t="shared" si="59"/>
        <v>X</v>
      </c>
      <c r="AB11" s="3" t="str">
        <f t="shared" si="59"/>
        <v>X</v>
      </c>
      <c r="AC11" s="3" t="str">
        <f t="shared" si="59"/>
        <v>X</v>
      </c>
      <c r="AD11" s="3" t="str">
        <f t="shared" si="59"/>
        <v>X</v>
      </c>
      <c r="AE11" s="3" t="str">
        <f t="shared" si="59"/>
        <v>X</v>
      </c>
      <c r="AF11" s="3" t="str">
        <f t="shared" si="59"/>
        <v>X</v>
      </c>
      <c r="AG11" s="3" t="str">
        <f t="shared" si="60"/>
        <v>X</v>
      </c>
      <c r="AH11" s="3" t="str">
        <f t="shared" si="60"/>
        <v>X</v>
      </c>
      <c r="AI11" s="3" t="str">
        <f t="shared" si="60"/>
        <v>X</v>
      </c>
      <c r="AJ11" s="3" t="str">
        <f t="shared" si="60"/>
        <v>X</v>
      </c>
      <c r="AK11" s="3" t="str">
        <f t="shared" si="60"/>
        <v>X</v>
      </c>
      <c r="AL11" s="3" t="str">
        <f t="shared" si="60"/>
        <v>X</v>
      </c>
      <c r="AM11" s="3" t="str">
        <f t="shared" si="60"/>
        <v>X</v>
      </c>
      <c r="AN11" s="3" t="str">
        <f t="shared" si="60"/>
        <v>X</v>
      </c>
      <c r="AO11" s="3" t="str">
        <f t="shared" si="60"/>
        <v>X</v>
      </c>
      <c r="AP11" s="3" t="str">
        <f t="shared" si="60"/>
        <v>X</v>
      </c>
      <c r="AQ11" s="3" t="str">
        <f t="shared" si="60"/>
        <v>X</v>
      </c>
      <c r="AR11" s="3" t="str">
        <f t="shared" si="60"/>
        <v>X</v>
      </c>
      <c r="AS11" s="3" t="str">
        <f t="shared" si="60"/>
        <v>X</v>
      </c>
      <c r="AT11" s="3" t="str">
        <f t="shared" si="60"/>
        <v>X</v>
      </c>
      <c r="AU11" s="3" t="str">
        <f t="shared" si="60"/>
        <v>X</v>
      </c>
      <c r="AV11" s="3" t="str">
        <f t="shared" si="60"/>
        <v>X</v>
      </c>
      <c r="AW11" s="3" t="str">
        <f t="shared" si="13"/>
        <v>X</v>
      </c>
      <c r="AX11" s="3" t="str">
        <f t="shared" si="14"/>
        <v>X</v>
      </c>
      <c r="AY11" s="3" t="str">
        <f t="shared" si="15"/>
        <v>X</v>
      </c>
      <c r="AZ11" s="3" t="str">
        <f t="shared" si="16"/>
        <v>X</v>
      </c>
      <c r="BA11" s="3">
        <f t="shared" si="61"/>
        <v>12</v>
      </c>
      <c r="BB11" s="3">
        <f t="shared" si="62"/>
        <v>13</v>
      </c>
      <c r="BC11" s="3">
        <f t="shared" si="63"/>
        <v>14</v>
      </c>
      <c r="BD11" s="3">
        <f t="shared" si="64"/>
        <v>15</v>
      </c>
      <c r="BE11" s="7" t="str">
        <f t="shared" si="65"/>
        <v>0000000C</v>
      </c>
      <c r="BF11" s="7" t="str">
        <f t="shared" si="66"/>
        <v>0000000D</v>
      </c>
      <c r="BG11" s="7" t="str">
        <f t="shared" si="67"/>
        <v>0000000E</v>
      </c>
      <c r="BH11" s="7" t="str">
        <f t="shared" si="68"/>
        <v>0000000F</v>
      </c>
      <c r="BI11" s="3" t="str">
        <f t="shared" si="69"/>
        <v/>
      </c>
      <c r="BJ11" s="3" t="str">
        <f t="shared" si="70"/>
        <v/>
      </c>
      <c r="BK11" s="3" t="str">
        <f t="shared" si="71"/>
        <v/>
      </c>
      <c r="BL11" s="3" t="str">
        <f t="shared" si="72"/>
        <v/>
      </c>
      <c r="BM11" s="3">
        <f t="shared" si="73"/>
        <v>31</v>
      </c>
      <c r="BN11" s="3">
        <f t="shared" si="74"/>
        <v>23</v>
      </c>
      <c r="BO11" s="3">
        <f t="shared" si="75"/>
        <v>15</v>
      </c>
      <c r="BP11" s="3">
        <f t="shared" si="76"/>
        <v>7</v>
      </c>
      <c r="BQ11" s="3" t="str">
        <f t="shared" si="77"/>
        <v>(31 downto 24)</v>
      </c>
      <c r="BR11" s="3" t="str">
        <f t="shared" si="78"/>
        <v>(23 downto 16)</v>
      </c>
      <c r="BS11" s="3" t="str">
        <f t="shared" si="79"/>
        <v>(15 downto 8)</v>
      </c>
      <c r="BT11" s="3" t="str">
        <f t="shared" si="80"/>
        <v>(7 downto 0)</v>
      </c>
    </row>
    <row r="12" spans="1:73" x14ac:dyDescent="0.25">
      <c r="B12" s="3" t="s">
        <v>274</v>
      </c>
      <c r="C12" s="3" t="s">
        <v>199</v>
      </c>
      <c r="D12" s="3" t="s">
        <v>1</v>
      </c>
      <c r="E12" s="3" t="s">
        <v>115</v>
      </c>
      <c r="F12" s="3" t="s">
        <v>341</v>
      </c>
      <c r="G12" s="3" t="s">
        <v>408</v>
      </c>
      <c r="H12" s="18" t="s">
        <v>200</v>
      </c>
      <c r="I12" s="3" t="s">
        <v>24</v>
      </c>
      <c r="J12" s="3">
        <v>2</v>
      </c>
      <c r="K12" s="3" t="s">
        <v>120</v>
      </c>
      <c r="L12" s="3" t="s">
        <v>23</v>
      </c>
      <c r="M12" s="3">
        <v>4</v>
      </c>
      <c r="N12" s="3" t="str">
        <f t="shared" si="81"/>
        <v>00000004</v>
      </c>
      <c r="O12" s="3">
        <v>31</v>
      </c>
      <c r="P12" s="3">
        <v>30</v>
      </c>
      <c r="Q12" s="3" t="str">
        <f t="shared" si="59"/>
        <v>X</v>
      </c>
      <c r="R12" s="3" t="str">
        <f t="shared" si="59"/>
        <v>X</v>
      </c>
      <c r="S12" s="3" t="str">
        <f t="shared" si="59"/>
        <v/>
      </c>
      <c r="T12" s="3" t="str">
        <f t="shared" si="59"/>
        <v/>
      </c>
      <c r="U12" s="3" t="str">
        <f t="shared" si="59"/>
        <v/>
      </c>
      <c r="V12" s="3" t="str">
        <f t="shared" si="59"/>
        <v/>
      </c>
      <c r="W12" s="3" t="str">
        <f t="shared" si="59"/>
        <v/>
      </c>
      <c r="X12" s="3" t="str">
        <f t="shared" si="59"/>
        <v/>
      </c>
      <c r="Y12" s="3" t="str">
        <f t="shared" si="59"/>
        <v/>
      </c>
      <c r="Z12" s="3" t="str">
        <f t="shared" si="59"/>
        <v/>
      </c>
      <c r="AA12" s="3" t="str">
        <f t="shared" si="59"/>
        <v/>
      </c>
      <c r="AB12" s="3" t="str">
        <f t="shared" si="59"/>
        <v/>
      </c>
      <c r="AC12" s="3" t="str">
        <f t="shared" si="59"/>
        <v/>
      </c>
      <c r="AD12" s="3" t="str">
        <f t="shared" si="59"/>
        <v/>
      </c>
      <c r="AE12" s="3" t="str">
        <f t="shared" si="59"/>
        <v/>
      </c>
      <c r="AF12" s="3" t="str">
        <f t="shared" si="59"/>
        <v/>
      </c>
      <c r="AG12" s="3" t="str">
        <f t="shared" si="60"/>
        <v/>
      </c>
      <c r="AH12" s="3" t="str">
        <f t="shared" si="60"/>
        <v/>
      </c>
      <c r="AI12" s="3" t="str">
        <f t="shared" si="60"/>
        <v/>
      </c>
      <c r="AJ12" s="3" t="str">
        <f t="shared" si="60"/>
        <v/>
      </c>
      <c r="AK12" s="3" t="str">
        <f t="shared" si="60"/>
        <v/>
      </c>
      <c r="AL12" s="3" t="str">
        <f t="shared" si="60"/>
        <v/>
      </c>
      <c r="AM12" s="3" t="str">
        <f t="shared" si="60"/>
        <v/>
      </c>
      <c r="AN12" s="3" t="str">
        <f t="shared" si="60"/>
        <v/>
      </c>
      <c r="AO12" s="3" t="str">
        <f t="shared" si="60"/>
        <v/>
      </c>
      <c r="AP12" s="3" t="str">
        <f t="shared" si="60"/>
        <v/>
      </c>
      <c r="AQ12" s="3" t="str">
        <f t="shared" si="60"/>
        <v/>
      </c>
      <c r="AR12" s="3" t="str">
        <f t="shared" si="60"/>
        <v/>
      </c>
      <c r="AS12" s="3" t="str">
        <f t="shared" si="60"/>
        <v/>
      </c>
      <c r="AT12" s="3" t="str">
        <f t="shared" si="60"/>
        <v/>
      </c>
      <c r="AU12" s="3" t="str">
        <f t="shared" si="60"/>
        <v/>
      </c>
      <c r="AV12" s="3" t="str">
        <f t="shared" si="60"/>
        <v/>
      </c>
      <c r="AW12" s="3" t="str">
        <f t="shared" si="13"/>
        <v>X</v>
      </c>
      <c r="AX12" s="3" t="str">
        <f t="shared" si="14"/>
        <v/>
      </c>
      <c r="AY12" s="3" t="str">
        <f t="shared" si="15"/>
        <v/>
      </c>
      <c r="AZ12" s="3" t="str">
        <f t="shared" si="16"/>
        <v/>
      </c>
      <c r="BA12" s="3">
        <f t="shared" si="61"/>
        <v>16</v>
      </c>
      <c r="BB12" s="3" t="str">
        <f t="shared" si="62"/>
        <v/>
      </c>
      <c r="BC12" s="3" t="str">
        <f t="shared" si="63"/>
        <v/>
      </c>
      <c r="BD12" s="3" t="str">
        <f t="shared" si="64"/>
        <v/>
      </c>
      <c r="BE12" s="7" t="str">
        <f t="shared" si="65"/>
        <v>00000010</v>
      </c>
      <c r="BF12" s="7" t="str">
        <f t="shared" si="66"/>
        <v/>
      </c>
      <c r="BG12" s="7" t="str">
        <f t="shared" si="67"/>
        <v/>
      </c>
      <c r="BH12" s="7" t="str">
        <f t="shared" si="68"/>
        <v/>
      </c>
      <c r="BI12" s="3" t="str">
        <f t="shared" si="69"/>
        <v>(7 downto 6)</v>
      </c>
      <c r="BJ12" s="3" t="str">
        <f t="shared" si="70"/>
        <v/>
      </c>
      <c r="BK12" s="3" t="str">
        <f t="shared" si="71"/>
        <v/>
      </c>
      <c r="BL12" s="3" t="str">
        <f t="shared" si="72"/>
        <v/>
      </c>
      <c r="BM12" s="3">
        <f t="shared" si="73"/>
        <v>1</v>
      </c>
      <c r="BN12" s="3" t="str">
        <f t="shared" si="74"/>
        <v/>
      </c>
      <c r="BO12" s="3" t="str">
        <f t="shared" si="75"/>
        <v/>
      </c>
      <c r="BP12" s="3" t="str">
        <f t="shared" si="76"/>
        <v/>
      </c>
      <c r="BQ12" s="3" t="str">
        <f t="shared" si="77"/>
        <v/>
      </c>
      <c r="BR12" s="3" t="str">
        <f t="shared" si="78"/>
        <v/>
      </c>
      <c r="BS12" s="3" t="str">
        <f t="shared" si="79"/>
        <v/>
      </c>
      <c r="BT12" s="3" t="str">
        <f t="shared" si="80"/>
        <v/>
      </c>
    </row>
    <row r="13" spans="1:73" x14ac:dyDescent="0.25">
      <c r="B13" s="3" t="s">
        <v>274</v>
      </c>
      <c r="C13" s="3" t="s">
        <v>201</v>
      </c>
      <c r="D13" s="3" t="s">
        <v>1</v>
      </c>
      <c r="E13" s="3" t="s">
        <v>115</v>
      </c>
      <c r="F13" s="3" t="s">
        <v>341</v>
      </c>
      <c r="G13" s="3" t="s">
        <v>408</v>
      </c>
      <c r="H13" s="18" t="s">
        <v>202</v>
      </c>
      <c r="I13" s="3" t="s">
        <v>24</v>
      </c>
      <c r="J13" s="3">
        <v>14</v>
      </c>
      <c r="K13" s="3" t="s">
        <v>203</v>
      </c>
      <c r="L13" s="3" t="s">
        <v>23</v>
      </c>
      <c r="M13" s="3">
        <v>4</v>
      </c>
      <c r="N13" s="3" t="str">
        <f t="shared" si="81"/>
        <v>00000004</v>
      </c>
      <c r="O13" s="3">
        <v>29</v>
      </c>
      <c r="P13" s="3">
        <v>16</v>
      </c>
      <c r="Q13" s="3" t="str">
        <f t="shared" si="59"/>
        <v/>
      </c>
      <c r="R13" s="3" t="str">
        <f t="shared" si="59"/>
        <v/>
      </c>
      <c r="S13" s="3" t="str">
        <f t="shared" si="59"/>
        <v>X</v>
      </c>
      <c r="T13" s="3" t="str">
        <f t="shared" si="59"/>
        <v>X</v>
      </c>
      <c r="U13" s="3" t="str">
        <f t="shared" si="59"/>
        <v>X</v>
      </c>
      <c r="V13" s="3" t="str">
        <f t="shared" si="59"/>
        <v>X</v>
      </c>
      <c r="W13" s="3" t="str">
        <f t="shared" si="59"/>
        <v>X</v>
      </c>
      <c r="X13" s="3" t="str">
        <f t="shared" si="59"/>
        <v>X</v>
      </c>
      <c r="Y13" s="3" t="str">
        <f t="shared" si="59"/>
        <v>X</v>
      </c>
      <c r="Z13" s="3" t="str">
        <f t="shared" si="59"/>
        <v>X</v>
      </c>
      <c r="AA13" s="3" t="str">
        <f t="shared" si="59"/>
        <v>X</v>
      </c>
      <c r="AB13" s="3" t="str">
        <f t="shared" si="59"/>
        <v>X</v>
      </c>
      <c r="AC13" s="3" t="str">
        <f t="shared" si="59"/>
        <v>X</v>
      </c>
      <c r="AD13" s="3" t="str">
        <f t="shared" si="59"/>
        <v>X</v>
      </c>
      <c r="AE13" s="3" t="str">
        <f t="shared" si="59"/>
        <v>X</v>
      </c>
      <c r="AF13" s="3" t="str">
        <f t="shared" si="59"/>
        <v>X</v>
      </c>
      <c r="AG13" s="3" t="str">
        <f t="shared" si="60"/>
        <v/>
      </c>
      <c r="AH13" s="3" t="str">
        <f t="shared" si="60"/>
        <v/>
      </c>
      <c r="AI13" s="3" t="str">
        <f t="shared" si="60"/>
        <v/>
      </c>
      <c r="AJ13" s="3" t="str">
        <f t="shared" si="60"/>
        <v/>
      </c>
      <c r="AK13" s="3" t="str">
        <f t="shared" si="60"/>
        <v/>
      </c>
      <c r="AL13" s="3" t="str">
        <f t="shared" si="60"/>
        <v/>
      </c>
      <c r="AM13" s="3" t="str">
        <f t="shared" si="60"/>
        <v/>
      </c>
      <c r="AN13" s="3" t="str">
        <f t="shared" si="60"/>
        <v/>
      </c>
      <c r="AO13" s="3" t="str">
        <f t="shared" si="60"/>
        <v/>
      </c>
      <c r="AP13" s="3" t="str">
        <f t="shared" si="60"/>
        <v/>
      </c>
      <c r="AQ13" s="3" t="str">
        <f t="shared" si="60"/>
        <v/>
      </c>
      <c r="AR13" s="3" t="str">
        <f t="shared" si="60"/>
        <v/>
      </c>
      <c r="AS13" s="3" t="str">
        <f t="shared" si="60"/>
        <v/>
      </c>
      <c r="AT13" s="3" t="str">
        <f t="shared" si="60"/>
        <v/>
      </c>
      <c r="AU13" s="3" t="str">
        <f t="shared" si="60"/>
        <v/>
      </c>
      <c r="AV13" s="3" t="str">
        <f t="shared" si="60"/>
        <v/>
      </c>
      <c r="AW13" s="3" t="str">
        <f t="shared" si="13"/>
        <v>X</v>
      </c>
      <c r="AX13" s="3" t="str">
        <f t="shared" si="14"/>
        <v>X</v>
      </c>
      <c r="AY13" s="3" t="str">
        <f t="shared" si="15"/>
        <v/>
      </c>
      <c r="AZ13" s="3" t="str">
        <f t="shared" si="16"/>
        <v/>
      </c>
      <c r="BA13" s="3">
        <f t="shared" si="61"/>
        <v>16</v>
      </c>
      <c r="BB13" s="3">
        <f t="shared" si="62"/>
        <v>17</v>
      </c>
      <c r="BC13" s="3" t="str">
        <f t="shared" si="63"/>
        <v/>
      </c>
      <c r="BD13" s="3" t="str">
        <f t="shared" si="64"/>
        <v/>
      </c>
      <c r="BE13" s="7" t="str">
        <f t="shared" si="65"/>
        <v>00000010</v>
      </c>
      <c r="BF13" s="7" t="str">
        <f t="shared" si="66"/>
        <v>00000011</v>
      </c>
      <c r="BG13" s="7" t="str">
        <f t="shared" si="67"/>
        <v/>
      </c>
      <c r="BH13" s="7" t="str">
        <f t="shared" si="68"/>
        <v/>
      </c>
      <c r="BI13" s="3" t="str">
        <f t="shared" si="69"/>
        <v>(5 downto 0)</v>
      </c>
      <c r="BJ13" s="3" t="str">
        <f t="shared" si="70"/>
        <v/>
      </c>
      <c r="BK13" s="3" t="str">
        <f t="shared" si="71"/>
        <v/>
      </c>
      <c r="BL13" s="3" t="str">
        <f t="shared" si="72"/>
        <v/>
      </c>
      <c r="BM13" s="3">
        <f t="shared" si="73"/>
        <v>13</v>
      </c>
      <c r="BN13" s="3">
        <f t="shared" si="74"/>
        <v>7</v>
      </c>
      <c r="BO13" s="3" t="str">
        <f t="shared" si="75"/>
        <v/>
      </c>
      <c r="BP13" s="3" t="str">
        <f t="shared" si="76"/>
        <v/>
      </c>
      <c r="BQ13" s="3" t="str">
        <f t="shared" si="77"/>
        <v>(13 downto 8)</v>
      </c>
      <c r="BR13" s="3" t="str">
        <f t="shared" si="78"/>
        <v>(7 downto 0)</v>
      </c>
      <c r="BS13" s="3" t="str">
        <f t="shared" si="79"/>
        <v/>
      </c>
      <c r="BT13" s="3" t="str">
        <f t="shared" si="80"/>
        <v/>
      </c>
    </row>
    <row r="14" spans="1:73" x14ac:dyDescent="0.25">
      <c r="B14" s="3" t="s">
        <v>274</v>
      </c>
      <c r="C14" s="3" t="s">
        <v>121</v>
      </c>
      <c r="D14" s="3" t="s">
        <v>1</v>
      </c>
      <c r="E14" s="3" t="s">
        <v>115</v>
      </c>
      <c r="F14" s="3" t="s">
        <v>341</v>
      </c>
      <c r="G14" s="3" t="s">
        <v>408</v>
      </c>
      <c r="H14" s="18" t="s">
        <v>122</v>
      </c>
      <c r="I14" s="3" t="s">
        <v>24</v>
      </c>
      <c r="J14" s="3">
        <v>2</v>
      </c>
      <c r="K14" s="3" t="s">
        <v>119</v>
      </c>
      <c r="L14" s="3" t="s">
        <v>23</v>
      </c>
      <c r="M14" s="3">
        <v>4</v>
      </c>
      <c r="N14" s="3" t="str">
        <f t="shared" si="81"/>
        <v>00000004</v>
      </c>
      <c r="O14" s="3">
        <v>15</v>
      </c>
      <c r="P14" s="3">
        <v>14</v>
      </c>
      <c r="Q14" s="3" t="str">
        <f t="shared" si="59"/>
        <v/>
      </c>
      <c r="R14" s="3" t="str">
        <f t="shared" si="59"/>
        <v/>
      </c>
      <c r="S14" s="3" t="str">
        <f t="shared" si="59"/>
        <v/>
      </c>
      <c r="T14" s="3" t="str">
        <f t="shared" si="59"/>
        <v/>
      </c>
      <c r="U14" s="3" t="str">
        <f t="shared" si="59"/>
        <v/>
      </c>
      <c r="V14" s="3" t="str">
        <f t="shared" si="59"/>
        <v/>
      </c>
      <c r="W14" s="3" t="str">
        <f t="shared" si="59"/>
        <v/>
      </c>
      <c r="X14" s="3" t="str">
        <f t="shared" si="59"/>
        <v/>
      </c>
      <c r="Y14" s="3" t="str">
        <f t="shared" si="59"/>
        <v/>
      </c>
      <c r="Z14" s="3" t="str">
        <f t="shared" si="59"/>
        <v/>
      </c>
      <c r="AA14" s="3" t="str">
        <f t="shared" si="59"/>
        <v/>
      </c>
      <c r="AB14" s="3" t="str">
        <f t="shared" si="59"/>
        <v/>
      </c>
      <c r="AC14" s="3" t="str">
        <f t="shared" si="59"/>
        <v/>
      </c>
      <c r="AD14" s="3" t="str">
        <f t="shared" si="59"/>
        <v/>
      </c>
      <c r="AE14" s="3" t="str">
        <f t="shared" si="59"/>
        <v/>
      </c>
      <c r="AF14" s="3" t="str">
        <f t="shared" si="59"/>
        <v/>
      </c>
      <c r="AG14" s="3" t="str">
        <f t="shared" si="60"/>
        <v>X</v>
      </c>
      <c r="AH14" s="3" t="str">
        <f t="shared" si="60"/>
        <v>X</v>
      </c>
      <c r="AI14" s="3" t="str">
        <f t="shared" si="60"/>
        <v/>
      </c>
      <c r="AJ14" s="3" t="str">
        <f t="shared" si="60"/>
        <v/>
      </c>
      <c r="AK14" s="3" t="str">
        <f t="shared" si="60"/>
        <v/>
      </c>
      <c r="AL14" s="3" t="str">
        <f t="shared" si="60"/>
        <v/>
      </c>
      <c r="AM14" s="3" t="str">
        <f t="shared" si="60"/>
        <v/>
      </c>
      <c r="AN14" s="3" t="str">
        <f t="shared" si="60"/>
        <v/>
      </c>
      <c r="AO14" s="3" t="str">
        <f t="shared" si="60"/>
        <v/>
      </c>
      <c r="AP14" s="3" t="str">
        <f t="shared" si="60"/>
        <v/>
      </c>
      <c r="AQ14" s="3" t="str">
        <f t="shared" si="60"/>
        <v/>
      </c>
      <c r="AR14" s="3" t="str">
        <f t="shared" si="60"/>
        <v/>
      </c>
      <c r="AS14" s="3" t="str">
        <f t="shared" si="60"/>
        <v/>
      </c>
      <c r="AT14" s="3" t="str">
        <f t="shared" si="60"/>
        <v/>
      </c>
      <c r="AU14" s="3" t="str">
        <f t="shared" si="60"/>
        <v/>
      </c>
      <c r="AV14" s="3" t="str">
        <f t="shared" si="60"/>
        <v/>
      </c>
      <c r="AW14" s="3" t="str">
        <f t="shared" si="13"/>
        <v/>
      </c>
      <c r="AX14" s="3" t="str">
        <f t="shared" si="14"/>
        <v/>
      </c>
      <c r="AY14" s="3" t="str">
        <f t="shared" si="15"/>
        <v>X</v>
      </c>
      <c r="AZ14" s="3" t="str">
        <f t="shared" si="16"/>
        <v/>
      </c>
      <c r="BA14" s="3" t="str">
        <f t="shared" si="61"/>
        <v/>
      </c>
      <c r="BB14" s="3" t="str">
        <f t="shared" si="62"/>
        <v/>
      </c>
      <c r="BC14" s="3">
        <f t="shared" si="63"/>
        <v>18</v>
      </c>
      <c r="BD14" s="3" t="str">
        <f t="shared" si="64"/>
        <v/>
      </c>
      <c r="BE14" s="7" t="str">
        <f t="shared" si="65"/>
        <v/>
      </c>
      <c r="BF14" s="7" t="str">
        <f t="shared" si="66"/>
        <v/>
      </c>
      <c r="BG14" s="7" t="str">
        <f t="shared" si="67"/>
        <v>00000012</v>
      </c>
      <c r="BH14" s="7" t="str">
        <f t="shared" si="68"/>
        <v/>
      </c>
      <c r="BI14" s="3" t="str">
        <f t="shared" si="69"/>
        <v/>
      </c>
      <c r="BJ14" s="3" t="str">
        <f t="shared" si="70"/>
        <v/>
      </c>
      <c r="BK14" s="3" t="str">
        <f t="shared" si="71"/>
        <v>(7 downto 6)</v>
      </c>
      <c r="BL14" s="3" t="str">
        <f t="shared" si="72"/>
        <v/>
      </c>
      <c r="BM14" s="3" t="str">
        <f t="shared" si="73"/>
        <v/>
      </c>
      <c r="BN14" s="3" t="str">
        <f t="shared" si="74"/>
        <v/>
      </c>
      <c r="BO14" s="3">
        <f t="shared" si="75"/>
        <v>1</v>
      </c>
      <c r="BP14" s="3" t="str">
        <f t="shared" si="76"/>
        <v/>
      </c>
      <c r="BQ14" s="3" t="str">
        <f t="shared" si="77"/>
        <v/>
      </c>
      <c r="BR14" s="3" t="str">
        <f t="shared" si="78"/>
        <v/>
      </c>
      <c r="BS14" s="3" t="str">
        <f t="shared" si="79"/>
        <v/>
      </c>
      <c r="BT14" s="3" t="str">
        <f t="shared" si="80"/>
        <v/>
      </c>
    </row>
    <row r="15" spans="1:73" x14ac:dyDescent="0.25">
      <c r="B15" s="3" t="s">
        <v>274</v>
      </c>
      <c r="C15" s="3" t="s">
        <v>204</v>
      </c>
      <c r="D15" s="3" t="s">
        <v>1</v>
      </c>
      <c r="E15" s="3" t="s">
        <v>115</v>
      </c>
      <c r="F15" s="3" t="s">
        <v>341</v>
      </c>
      <c r="G15" s="3" t="s">
        <v>408</v>
      </c>
      <c r="H15" s="18" t="s">
        <v>205</v>
      </c>
      <c r="I15" s="3" t="s">
        <v>24</v>
      </c>
      <c r="J15" s="3">
        <v>14</v>
      </c>
      <c r="K15" s="3" t="s">
        <v>203</v>
      </c>
      <c r="L15" s="3" t="s">
        <v>23</v>
      </c>
      <c r="M15" s="3">
        <v>4</v>
      </c>
      <c r="N15" s="3" t="str">
        <f t="shared" si="81"/>
        <v>00000004</v>
      </c>
      <c r="O15" s="3">
        <v>13</v>
      </c>
      <c r="P15" s="3">
        <v>0</v>
      </c>
      <c r="Q15" s="3" t="str">
        <f t="shared" si="59"/>
        <v/>
      </c>
      <c r="R15" s="3" t="str">
        <f t="shared" si="59"/>
        <v/>
      </c>
      <c r="S15" s="3" t="str">
        <f t="shared" si="59"/>
        <v/>
      </c>
      <c r="T15" s="3" t="str">
        <f t="shared" si="59"/>
        <v/>
      </c>
      <c r="U15" s="3" t="str">
        <f t="shared" si="59"/>
        <v/>
      </c>
      <c r="V15" s="3" t="str">
        <f t="shared" si="59"/>
        <v/>
      </c>
      <c r="W15" s="3" t="str">
        <f t="shared" si="59"/>
        <v/>
      </c>
      <c r="X15" s="3" t="str">
        <f t="shared" si="59"/>
        <v/>
      </c>
      <c r="Y15" s="3" t="str">
        <f t="shared" si="59"/>
        <v/>
      </c>
      <c r="Z15" s="3" t="str">
        <f t="shared" si="59"/>
        <v/>
      </c>
      <c r="AA15" s="3" t="str">
        <f t="shared" si="59"/>
        <v/>
      </c>
      <c r="AB15" s="3" t="str">
        <f t="shared" si="59"/>
        <v/>
      </c>
      <c r="AC15" s="3" t="str">
        <f t="shared" si="59"/>
        <v/>
      </c>
      <c r="AD15" s="3" t="str">
        <f t="shared" si="59"/>
        <v/>
      </c>
      <c r="AE15" s="3" t="str">
        <f t="shared" si="59"/>
        <v/>
      </c>
      <c r="AF15" s="3" t="str">
        <f t="shared" si="59"/>
        <v/>
      </c>
      <c r="AG15" s="3" t="str">
        <f t="shared" si="60"/>
        <v/>
      </c>
      <c r="AH15" s="3" t="str">
        <f t="shared" si="60"/>
        <v/>
      </c>
      <c r="AI15" s="3" t="str">
        <f t="shared" si="60"/>
        <v>X</v>
      </c>
      <c r="AJ15" s="3" t="str">
        <f t="shared" si="60"/>
        <v>X</v>
      </c>
      <c r="AK15" s="3" t="str">
        <f t="shared" si="60"/>
        <v>X</v>
      </c>
      <c r="AL15" s="3" t="str">
        <f t="shared" si="60"/>
        <v>X</v>
      </c>
      <c r="AM15" s="3" t="str">
        <f t="shared" si="60"/>
        <v>X</v>
      </c>
      <c r="AN15" s="3" t="str">
        <f t="shared" si="60"/>
        <v>X</v>
      </c>
      <c r="AO15" s="3" t="str">
        <f t="shared" si="60"/>
        <v>X</v>
      </c>
      <c r="AP15" s="3" t="str">
        <f t="shared" si="60"/>
        <v>X</v>
      </c>
      <c r="AQ15" s="3" t="str">
        <f t="shared" si="60"/>
        <v>X</v>
      </c>
      <c r="AR15" s="3" t="str">
        <f t="shared" si="60"/>
        <v>X</v>
      </c>
      <c r="AS15" s="3" t="str">
        <f t="shared" si="60"/>
        <v>X</v>
      </c>
      <c r="AT15" s="3" t="str">
        <f t="shared" si="60"/>
        <v>X</v>
      </c>
      <c r="AU15" s="3" t="str">
        <f t="shared" si="60"/>
        <v>X</v>
      </c>
      <c r="AV15" s="3" t="str">
        <f t="shared" si="60"/>
        <v>X</v>
      </c>
      <c r="AW15" s="3" t="str">
        <f t="shared" si="13"/>
        <v/>
      </c>
      <c r="AX15" s="3" t="str">
        <f t="shared" si="14"/>
        <v/>
      </c>
      <c r="AY15" s="3" t="str">
        <f t="shared" si="15"/>
        <v>X</v>
      </c>
      <c r="AZ15" s="3" t="str">
        <f t="shared" si="16"/>
        <v>X</v>
      </c>
      <c r="BA15" s="3" t="str">
        <f t="shared" si="61"/>
        <v/>
      </c>
      <c r="BB15" s="3" t="str">
        <f t="shared" si="62"/>
        <v/>
      </c>
      <c r="BC15" s="3">
        <f t="shared" si="63"/>
        <v>18</v>
      </c>
      <c r="BD15" s="3">
        <f t="shared" si="64"/>
        <v>19</v>
      </c>
      <c r="BE15" s="7" t="str">
        <f t="shared" si="65"/>
        <v/>
      </c>
      <c r="BF15" s="7" t="str">
        <f t="shared" si="66"/>
        <v/>
      </c>
      <c r="BG15" s="7" t="str">
        <f t="shared" si="67"/>
        <v>00000012</v>
      </c>
      <c r="BH15" s="7" t="str">
        <f t="shared" si="68"/>
        <v>00000013</v>
      </c>
      <c r="BI15" s="3" t="str">
        <f t="shared" si="69"/>
        <v/>
      </c>
      <c r="BJ15" s="3" t="str">
        <f t="shared" si="70"/>
        <v/>
      </c>
      <c r="BK15" s="3" t="str">
        <f t="shared" si="71"/>
        <v>(5 downto 0)</v>
      </c>
      <c r="BL15" s="3" t="str">
        <f t="shared" si="72"/>
        <v/>
      </c>
      <c r="BM15" s="3" t="str">
        <f t="shared" si="73"/>
        <v/>
      </c>
      <c r="BN15" s="3" t="str">
        <f t="shared" si="74"/>
        <v/>
      </c>
      <c r="BO15" s="3">
        <f t="shared" si="75"/>
        <v>13</v>
      </c>
      <c r="BP15" s="3">
        <f t="shared" si="76"/>
        <v>7</v>
      </c>
      <c r="BQ15" s="3" t="str">
        <f t="shared" si="77"/>
        <v/>
      </c>
      <c r="BR15" s="3" t="str">
        <f t="shared" si="78"/>
        <v/>
      </c>
      <c r="BS15" s="3" t="str">
        <f t="shared" si="79"/>
        <v>(13 downto 8)</v>
      </c>
      <c r="BT15" s="3" t="str">
        <f t="shared" si="80"/>
        <v>(7 downto 0)</v>
      </c>
    </row>
    <row r="16" spans="1:73" x14ac:dyDescent="0.25">
      <c r="B16" s="3" t="s">
        <v>275</v>
      </c>
      <c r="C16" s="3" t="s">
        <v>1698</v>
      </c>
      <c r="D16" s="3" t="s">
        <v>1</v>
      </c>
      <c r="E16" s="3" t="s">
        <v>115</v>
      </c>
      <c r="F16" s="3" t="s">
        <v>342</v>
      </c>
      <c r="G16" s="3" t="s">
        <v>409</v>
      </c>
      <c r="H16" s="18" t="s">
        <v>1694</v>
      </c>
      <c r="I16" s="3" t="s">
        <v>24</v>
      </c>
      <c r="J16" s="3">
        <v>32</v>
      </c>
      <c r="K16" s="3" t="s">
        <v>119</v>
      </c>
      <c r="L16" s="3" t="s">
        <v>23</v>
      </c>
      <c r="M16" s="3">
        <v>5</v>
      </c>
      <c r="N16" s="3" t="str">
        <f t="shared" si="81"/>
        <v>00000005</v>
      </c>
      <c r="O16" s="3">
        <v>31</v>
      </c>
      <c r="P16" s="3">
        <v>0</v>
      </c>
      <c r="Q16" s="3" t="str">
        <f t="shared" si="59"/>
        <v>X</v>
      </c>
      <c r="R16" s="3" t="str">
        <f t="shared" si="59"/>
        <v>X</v>
      </c>
      <c r="S16" s="3" t="str">
        <f t="shared" si="59"/>
        <v>X</v>
      </c>
      <c r="T16" s="3" t="str">
        <f t="shared" si="59"/>
        <v>X</v>
      </c>
      <c r="U16" s="3" t="str">
        <f t="shared" si="59"/>
        <v>X</v>
      </c>
      <c r="V16" s="3" t="str">
        <f t="shared" si="59"/>
        <v>X</v>
      </c>
      <c r="W16" s="3" t="str">
        <f t="shared" si="59"/>
        <v>X</v>
      </c>
      <c r="X16" s="3" t="str">
        <f t="shared" si="59"/>
        <v>X</v>
      </c>
      <c r="Y16" s="3" t="str">
        <f t="shared" si="59"/>
        <v>X</v>
      </c>
      <c r="Z16" s="3" t="str">
        <f t="shared" si="59"/>
        <v>X</v>
      </c>
      <c r="AA16" s="3" t="str">
        <f t="shared" si="59"/>
        <v>X</v>
      </c>
      <c r="AB16" s="3" t="str">
        <f t="shared" si="59"/>
        <v>X</v>
      </c>
      <c r="AC16" s="3" t="str">
        <f t="shared" si="59"/>
        <v>X</v>
      </c>
      <c r="AD16" s="3" t="str">
        <f t="shared" si="59"/>
        <v>X</v>
      </c>
      <c r="AE16" s="3" t="str">
        <f t="shared" si="59"/>
        <v>X</v>
      </c>
      <c r="AF16" s="3" t="str">
        <f t="shared" si="59"/>
        <v>X</v>
      </c>
      <c r="AG16" s="3" t="str">
        <f t="shared" si="60"/>
        <v>X</v>
      </c>
      <c r="AH16" s="3" t="str">
        <f t="shared" si="60"/>
        <v>X</v>
      </c>
      <c r="AI16" s="3" t="str">
        <f t="shared" si="60"/>
        <v>X</v>
      </c>
      <c r="AJ16" s="3" t="str">
        <f t="shared" si="60"/>
        <v>X</v>
      </c>
      <c r="AK16" s="3" t="str">
        <f t="shared" si="60"/>
        <v>X</v>
      </c>
      <c r="AL16" s="3" t="str">
        <f t="shared" si="60"/>
        <v>X</v>
      </c>
      <c r="AM16" s="3" t="str">
        <f t="shared" si="60"/>
        <v>X</v>
      </c>
      <c r="AN16" s="3" t="str">
        <f t="shared" si="60"/>
        <v>X</v>
      </c>
      <c r="AO16" s="3" t="str">
        <f t="shared" si="60"/>
        <v>X</v>
      </c>
      <c r="AP16" s="3" t="str">
        <f t="shared" si="60"/>
        <v>X</v>
      </c>
      <c r="AQ16" s="3" t="str">
        <f t="shared" si="60"/>
        <v>X</v>
      </c>
      <c r="AR16" s="3" t="str">
        <f t="shared" si="60"/>
        <v>X</v>
      </c>
      <c r="AS16" s="3" t="str">
        <f t="shared" si="60"/>
        <v>X</v>
      </c>
      <c r="AT16" s="3" t="str">
        <f t="shared" si="60"/>
        <v>X</v>
      </c>
      <c r="AU16" s="3" t="str">
        <f t="shared" si="60"/>
        <v>X</v>
      </c>
      <c r="AV16" s="3" t="str">
        <f t="shared" si="60"/>
        <v>X</v>
      </c>
      <c r="AW16" s="3" t="str">
        <f t="shared" si="13"/>
        <v>X</v>
      </c>
      <c r="AX16" s="3" t="str">
        <f t="shared" si="14"/>
        <v>X</v>
      </c>
      <c r="AY16" s="3" t="str">
        <f t="shared" si="15"/>
        <v>X</v>
      </c>
      <c r="AZ16" s="3" t="str">
        <f t="shared" si="16"/>
        <v>X</v>
      </c>
      <c r="BA16" s="3">
        <f t="shared" si="61"/>
        <v>20</v>
      </c>
      <c r="BB16" s="3">
        <f t="shared" si="62"/>
        <v>21</v>
      </c>
      <c r="BC16" s="3">
        <f t="shared" si="63"/>
        <v>22</v>
      </c>
      <c r="BD16" s="3">
        <f t="shared" si="64"/>
        <v>23</v>
      </c>
      <c r="BE16" s="7" t="str">
        <f t="shared" si="65"/>
        <v>00000014</v>
      </c>
      <c r="BF16" s="7" t="str">
        <f t="shared" si="66"/>
        <v>00000015</v>
      </c>
      <c r="BG16" s="7" t="str">
        <f t="shared" si="67"/>
        <v>00000016</v>
      </c>
      <c r="BH16" s="7" t="str">
        <f t="shared" si="68"/>
        <v>00000017</v>
      </c>
      <c r="BI16" s="3" t="str">
        <f t="shared" si="69"/>
        <v/>
      </c>
      <c r="BJ16" s="3" t="str">
        <f t="shared" si="70"/>
        <v/>
      </c>
      <c r="BK16" s="3" t="str">
        <f t="shared" si="71"/>
        <v/>
      </c>
      <c r="BL16" s="3" t="str">
        <f t="shared" si="72"/>
        <v/>
      </c>
      <c r="BM16" s="3">
        <f t="shared" si="73"/>
        <v>31</v>
      </c>
      <c r="BN16" s="3">
        <f t="shared" si="74"/>
        <v>23</v>
      </c>
      <c r="BO16" s="3">
        <f t="shared" si="75"/>
        <v>15</v>
      </c>
      <c r="BP16" s="3">
        <f t="shared" si="76"/>
        <v>7</v>
      </c>
      <c r="BQ16" s="3" t="str">
        <f t="shared" si="77"/>
        <v>(31 downto 24)</v>
      </c>
      <c r="BR16" s="3" t="str">
        <f t="shared" si="78"/>
        <v>(23 downto 16)</v>
      </c>
      <c r="BS16" s="3" t="str">
        <f t="shared" si="79"/>
        <v>(15 downto 8)</v>
      </c>
      <c r="BT16" s="3" t="str">
        <f t="shared" si="80"/>
        <v>(7 downto 0)</v>
      </c>
    </row>
    <row r="17" spans="2:72" x14ac:dyDescent="0.25">
      <c r="B17" s="3" t="s">
        <v>276</v>
      </c>
      <c r="C17" s="3" t="s">
        <v>1699</v>
      </c>
      <c r="D17" s="3" t="s">
        <v>1</v>
      </c>
      <c r="E17" s="3" t="s">
        <v>115</v>
      </c>
      <c r="F17" s="3" t="s">
        <v>343</v>
      </c>
      <c r="G17" s="3" t="s">
        <v>410</v>
      </c>
      <c r="H17" s="18" t="s">
        <v>1694</v>
      </c>
      <c r="I17" s="3" t="s">
        <v>24</v>
      </c>
      <c r="J17" s="3">
        <v>32</v>
      </c>
      <c r="K17" s="3" t="s">
        <v>1701</v>
      </c>
      <c r="L17" s="3" t="s">
        <v>23</v>
      </c>
      <c r="M17" s="3">
        <v>6</v>
      </c>
      <c r="N17" s="3" t="str">
        <f t="shared" si="81"/>
        <v>00000006</v>
      </c>
      <c r="O17" s="3">
        <v>31</v>
      </c>
      <c r="P17" s="3">
        <v>0</v>
      </c>
      <c r="Q17" s="3" t="str">
        <f t="shared" si="59"/>
        <v>X</v>
      </c>
      <c r="R17" s="3" t="str">
        <f t="shared" si="59"/>
        <v>X</v>
      </c>
      <c r="S17" s="3" t="str">
        <f t="shared" si="59"/>
        <v>X</v>
      </c>
      <c r="T17" s="3" t="str">
        <f t="shared" si="59"/>
        <v>X</v>
      </c>
      <c r="U17" s="3" t="str">
        <f t="shared" si="59"/>
        <v>X</v>
      </c>
      <c r="V17" s="3" t="str">
        <f t="shared" si="59"/>
        <v>X</v>
      </c>
      <c r="W17" s="3" t="str">
        <f t="shared" si="59"/>
        <v>X</v>
      </c>
      <c r="X17" s="3" t="str">
        <f t="shared" si="59"/>
        <v>X</v>
      </c>
      <c r="Y17" s="3" t="str">
        <f t="shared" si="59"/>
        <v>X</v>
      </c>
      <c r="Z17" s="3" t="str">
        <f t="shared" si="59"/>
        <v>X</v>
      </c>
      <c r="AA17" s="3" t="str">
        <f t="shared" si="59"/>
        <v>X</v>
      </c>
      <c r="AB17" s="3" t="str">
        <f t="shared" si="59"/>
        <v>X</v>
      </c>
      <c r="AC17" s="3" t="str">
        <f t="shared" si="59"/>
        <v>X</v>
      </c>
      <c r="AD17" s="3" t="str">
        <f t="shared" si="59"/>
        <v>X</v>
      </c>
      <c r="AE17" s="3" t="str">
        <f t="shared" si="59"/>
        <v>X</v>
      </c>
      <c r="AF17" s="3" t="str">
        <f t="shared" si="59"/>
        <v>X</v>
      </c>
      <c r="AG17" s="3" t="str">
        <f t="shared" si="60"/>
        <v>X</v>
      </c>
      <c r="AH17" s="3" t="str">
        <f t="shared" si="60"/>
        <v>X</v>
      </c>
      <c r="AI17" s="3" t="str">
        <f t="shared" si="60"/>
        <v>X</v>
      </c>
      <c r="AJ17" s="3" t="str">
        <f t="shared" si="60"/>
        <v>X</v>
      </c>
      <c r="AK17" s="3" t="str">
        <f t="shared" si="60"/>
        <v>X</v>
      </c>
      <c r="AL17" s="3" t="str">
        <f t="shared" si="60"/>
        <v>X</v>
      </c>
      <c r="AM17" s="3" t="str">
        <f t="shared" si="60"/>
        <v>X</v>
      </c>
      <c r="AN17" s="3" t="str">
        <f t="shared" si="60"/>
        <v>X</v>
      </c>
      <c r="AO17" s="3" t="str">
        <f t="shared" si="60"/>
        <v>X</v>
      </c>
      <c r="AP17" s="3" t="str">
        <f t="shared" si="60"/>
        <v>X</v>
      </c>
      <c r="AQ17" s="3" t="str">
        <f t="shared" si="60"/>
        <v>X</v>
      </c>
      <c r="AR17" s="3" t="str">
        <f t="shared" si="60"/>
        <v>X</v>
      </c>
      <c r="AS17" s="3" t="str">
        <f t="shared" si="60"/>
        <v>X</v>
      </c>
      <c r="AT17" s="3" t="str">
        <f t="shared" si="60"/>
        <v>X</v>
      </c>
      <c r="AU17" s="3" t="str">
        <f t="shared" si="60"/>
        <v>X</v>
      </c>
      <c r="AV17" s="3" t="str">
        <f t="shared" si="60"/>
        <v>X</v>
      </c>
      <c r="AW17" s="3" t="str">
        <f t="shared" si="13"/>
        <v>X</v>
      </c>
      <c r="AX17" s="3" t="str">
        <f t="shared" si="14"/>
        <v>X</v>
      </c>
      <c r="AY17" s="3" t="str">
        <f t="shared" si="15"/>
        <v>X</v>
      </c>
      <c r="AZ17" s="3" t="str">
        <f t="shared" si="16"/>
        <v>X</v>
      </c>
      <c r="BA17" s="3">
        <f t="shared" si="61"/>
        <v>24</v>
      </c>
      <c r="BB17" s="3">
        <f t="shared" si="62"/>
        <v>25</v>
      </c>
      <c r="BC17" s="3">
        <f t="shared" si="63"/>
        <v>26</v>
      </c>
      <c r="BD17" s="3">
        <f t="shared" si="64"/>
        <v>27</v>
      </c>
      <c r="BE17" s="7" t="str">
        <f t="shared" si="65"/>
        <v>00000018</v>
      </c>
      <c r="BF17" s="7" t="str">
        <f t="shared" si="66"/>
        <v>00000019</v>
      </c>
      <c r="BG17" s="7" t="str">
        <f t="shared" si="67"/>
        <v>0000001A</v>
      </c>
      <c r="BH17" s="7" t="str">
        <f t="shared" si="68"/>
        <v>0000001B</v>
      </c>
      <c r="BI17" s="3" t="str">
        <f t="shared" si="69"/>
        <v/>
      </c>
      <c r="BJ17" s="3" t="str">
        <f t="shared" si="70"/>
        <v/>
      </c>
      <c r="BK17" s="3" t="str">
        <f t="shared" si="71"/>
        <v/>
      </c>
      <c r="BL17" s="3" t="str">
        <f t="shared" si="72"/>
        <v/>
      </c>
      <c r="BM17" s="3">
        <f t="shared" si="73"/>
        <v>31</v>
      </c>
      <c r="BN17" s="3">
        <f t="shared" si="74"/>
        <v>23</v>
      </c>
      <c r="BO17" s="3">
        <f t="shared" si="75"/>
        <v>15</v>
      </c>
      <c r="BP17" s="3">
        <f t="shared" si="76"/>
        <v>7</v>
      </c>
      <c r="BQ17" s="3" t="str">
        <f t="shared" si="77"/>
        <v>(31 downto 24)</v>
      </c>
      <c r="BR17" s="3" t="str">
        <f t="shared" si="78"/>
        <v>(23 downto 16)</v>
      </c>
      <c r="BS17" s="3" t="str">
        <f t="shared" si="79"/>
        <v>(15 downto 8)</v>
      </c>
      <c r="BT17" s="3" t="str">
        <f t="shared" si="80"/>
        <v>(7 downto 0)</v>
      </c>
    </row>
    <row r="18" spans="2:72" x14ac:dyDescent="0.25">
      <c r="B18" s="3" t="s">
        <v>277</v>
      </c>
      <c r="C18" s="3" t="s">
        <v>1700</v>
      </c>
      <c r="D18" s="3" t="s">
        <v>1</v>
      </c>
      <c r="E18" s="3" t="s">
        <v>115</v>
      </c>
      <c r="F18" s="3" t="s">
        <v>344</v>
      </c>
      <c r="G18" s="3" t="s">
        <v>411</v>
      </c>
      <c r="H18" s="18" t="s">
        <v>1694</v>
      </c>
      <c r="I18" s="3" t="s">
        <v>24</v>
      </c>
      <c r="J18" s="3">
        <v>32</v>
      </c>
      <c r="K18" s="3" t="s">
        <v>1702</v>
      </c>
      <c r="L18" s="3" t="s">
        <v>23</v>
      </c>
      <c r="M18" s="3">
        <v>7</v>
      </c>
      <c r="N18" s="3" t="str">
        <f t="shared" si="81"/>
        <v>00000007</v>
      </c>
      <c r="O18" s="3">
        <v>31</v>
      </c>
      <c r="P18" s="3">
        <v>0</v>
      </c>
      <c r="Q18" s="3" t="str">
        <f t="shared" si="59"/>
        <v>X</v>
      </c>
      <c r="R18" s="3" t="str">
        <f t="shared" si="59"/>
        <v>X</v>
      </c>
      <c r="S18" s="3" t="str">
        <f t="shared" si="59"/>
        <v>X</v>
      </c>
      <c r="T18" s="3" t="str">
        <f t="shared" si="59"/>
        <v>X</v>
      </c>
      <c r="U18" s="3" t="str">
        <f t="shared" si="59"/>
        <v>X</v>
      </c>
      <c r="V18" s="3" t="str">
        <f t="shared" si="59"/>
        <v>X</v>
      </c>
      <c r="W18" s="3" t="str">
        <f t="shared" si="59"/>
        <v>X</v>
      </c>
      <c r="X18" s="3" t="str">
        <f t="shared" si="59"/>
        <v>X</v>
      </c>
      <c r="Y18" s="3" t="str">
        <f t="shared" si="59"/>
        <v>X</v>
      </c>
      <c r="Z18" s="3" t="str">
        <f t="shared" si="59"/>
        <v>X</v>
      </c>
      <c r="AA18" s="3" t="str">
        <f t="shared" si="59"/>
        <v>X</v>
      </c>
      <c r="AB18" s="3" t="str">
        <f t="shared" si="59"/>
        <v>X</v>
      </c>
      <c r="AC18" s="3" t="str">
        <f t="shared" si="59"/>
        <v>X</v>
      </c>
      <c r="AD18" s="3" t="str">
        <f t="shared" si="59"/>
        <v>X</v>
      </c>
      <c r="AE18" s="3" t="str">
        <f t="shared" si="59"/>
        <v>X</v>
      </c>
      <c r="AF18" s="3" t="str">
        <f t="shared" si="59"/>
        <v>X</v>
      </c>
      <c r="AG18" s="3" t="str">
        <f t="shared" si="60"/>
        <v>X</v>
      </c>
      <c r="AH18" s="3" t="str">
        <f t="shared" si="60"/>
        <v>X</v>
      </c>
      <c r="AI18" s="3" t="str">
        <f t="shared" si="60"/>
        <v>X</v>
      </c>
      <c r="AJ18" s="3" t="str">
        <f t="shared" si="60"/>
        <v>X</v>
      </c>
      <c r="AK18" s="3" t="str">
        <f t="shared" si="60"/>
        <v>X</v>
      </c>
      <c r="AL18" s="3" t="str">
        <f t="shared" si="60"/>
        <v>X</v>
      </c>
      <c r="AM18" s="3" t="str">
        <f t="shared" si="60"/>
        <v>X</v>
      </c>
      <c r="AN18" s="3" t="str">
        <f t="shared" si="60"/>
        <v>X</v>
      </c>
      <c r="AO18" s="3" t="str">
        <f t="shared" si="60"/>
        <v>X</v>
      </c>
      <c r="AP18" s="3" t="str">
        <f t="shared" si="60"/>
        <v>X</v>
      </c>
      <c r="AQ18" s="3" t="str">
        <f t="shared" si="60"/>
        <v>X</v>
      </c>
      <c r="AR18" s="3" t="str">
        <f t="shared" si="60"/>
        <v>X</v>
      </c>
      <c r="AS18" s="3" t="str">
        <f t="shared" si="60"/>
        <v>X</v>
      </c>
      <c r="AT18" s="3" t="str">
        <f t="shared" si="60"/>
        <v>X</v>
      </c>
      <c r="AU18" s="3" t="str">
        <f t="shared" si="60"/>
        <v>X</v>
      </c>
      <c r="AV18" s="3" t="str">
        <f t="shared" si="60"/>
        <v>X</v>
      </c>
      <c r="AW18" s="3" t="str">
        <f t="shared" si="13"/>
        <v>X</v>
      </c>
      <c r="AX18" s="3" t="str">
        <f t="shared" si="14"/>
        <v>X</v>
      </c>
      <c r="AY18" s="3" t="str">
        <f t="shared" si="15"/>
        <v>X</v>
      </c>
      <c r="AZ18" s="3" t="str">
        <f t="shared" si="16"/>
        <v>X</v>
      </c>
      <c r="BA18" s="3">
        <f t="shared" si="61"/>
        <v>28</v>
      </c>
      <c r="BB18" s="3">
        <f t="shared" si="62"/>
        <v>29</v>
      </c>
      <c r="BC18" s="3">
        <f t="shared" si="63"/>
        <v>30</v>
      </c>
      <c r="BD18" s="3">
        <f t="shared" si="64"/>
        <v>31</v>
      </c>
      <c r="BE18" s="7" t="str">
        <f t="shared" si="65"/>
        <v>0000001C</v>
      </c>
      <c r="BF18" s="7" t="str">
        <f t="shared" si="66"/>
        <v>0000001D</v>
      </c>
      <c r="BG18" s="7" t="str">
        <f t="shared" si="67"/>
        <v>0000001E</v>
      </c>
      <c r="BH18" s="7" t="str">
        <f t="shared" si="68"/>
        <v>0000001F</v>
      </c>
      <c r="BI18" s="3" t="str">
        <f t="shared" si="69"/>
        <v/>
      </c>
      <c r="BJ18" s="3" t="str">
        <f t="shared" si="70"/>
        <v/>
      </c>
      <c r="BK18" s="3" t="str">
        <f t="shared" si="71"/>
        <v/>
      </c>
      <c r="BL18" s="3" t="str">
        <f t="shared" si="72"/>
        <v/>
      </c>
      <c r="BM18" s="3">
        <f t="shared" si="73"/>
        <v>31</v>
      </c>
      <c r="BN18" s="3">
        <f t="shared" si="74"/>
        <v>23</v>
      </c>
      <c r="BO18" s="3">
        <f t="shared" si="75"/>
        <v>15</v>
      </c>
      <c r="BP18" s="3">
        <f t="shared" si="76"/>
        <v>7</v>
      </c>
      <c r="BQ18" s="3" t="str">
        <f t="shared" si="77"/>
        <v>(31 downto 24)</v>
      </c>
      <c r="BR18" s="3" t="str">
        <f t="shared" si="78"/>
        <v>(23 downto 16)</v>
      </c>
      <c r="BS18" s="3" t="str">
        <f t="shared" si="79"/>
        <v>(15 downto 8)</v>
      </c>
      <c r="BT18" s="3" t="str">
        <f t="shared" si="80"/>
        <v>(7 downto 0)</v>
      </c>
    </row>
    <row r="19" spans="2:72" x14ac:dyDescent="0.25">
      <c r="B19" s="3" t="s">
        <v>278</v>
      </c>
      <c r="C19" s="3" t="s">
        <v>121</v>
      </c>
      <c r="D19" s="3" t="s">
        <v>1</v>
      </c>
      <c r="E19" s="3" t="s">
        <v>115</v>
      </c>
      <c r="F19" s="3" t="s">
        <v>345</v>
      </c>
      <c r="G19" s="3" t="s">
        <v>412</v>
      </c>
      <c r="H19" s="18" t="s">
        <v>122</v>
      </c>
      <c r="I19" s="3" t="s">
        <v>24</v>
      </c>
      <c r="J19" s="3">
        <v>32</v>
      </c>
      <c r="K19" s="3" t="s">
        <v>119</v>
      </c>
      <c r="L19" s="3" t="s">
        <v>23</v>
      </c>
      <c r="M19" s="3">
        <v>8</v>
      </c>
      <c r="N19" s="3" t="str">
        <f t="shared" si="81"/>
        <v>00000008</v>
      </c>
      <c r="O19" s="3">
        <v>31</v>
      </c>
      <c r="P19" s="3">
        <v>0</v>
      </c>
      <c r="Q19" s="3" t="str">
        <f t="shared" si="59"/>
        <v>X</v>
      </c>
      <c r="R19" s="3" t="str">
        <f t="shared" si="59"/>
        <v>X</v>
      </c>
      <c r="S19" s="3" t="str">
        <f t="shared" si="59"/>
        <v>X</v>
      </c>
      <c r="T19" s="3" t="str">
        <f t="shared" si="59"/>
        <v>X</v>
      </c>
      <c r="U19" s="3" t="str">
        <f t="shared" si="59"/>
        <v>X</v>
      </c>
      <c r="V19" s="3" t="str">
        <f t="shared" si="59"/>
        <v>X</v>
      </c>
      <c r="W19" s="3" t="str">
        <f t="shared" si="59"/>
        <v>X</v>
      </c>
      <c r="X19" s="3" t="str">
        <f t="shared" si="59"/>
        <v>X</v>
      </c>
      <c r="Y19" s="3" t="str">
        <f t="shared" si="59"/>
        <v>X</v>
      </c>
      <c r="Z19" s="3" t="str">
        <f t="shared" si="59"/>
        <v>X</v>
      </c>
      <c r="AA19" s="3" t="str">
        <f t="shared" si="59"/>
        <v>X</v>
      </c>
      <c r="AB19" s="3" t="str">
        <f t="shared" si="59"/>
        <v>X</v>
      </c>
      <c r="AC19" s="3" t="str">
        <f t="shared" si="59"/>
        <v>X</v>
      </c>
      <c r="AD19" s="3" t="str">
        <f t="shared" si="59"/>
        <v>X</v>
      </c>
      <c r="AE19" s="3" t="str">
        <f t="shared" si="59"/>
        <v>X</v>
      </c>
      <c r="AF19" s="3" t="str">
        <f t="shared" si="59"/>
        <v>X</v>
      </c>
      <c r="AG19" s="3" t="str">
        <f t="shared" si="60"/>
        <v>X</v>
      </c>
      <c r="AH19" s="3" t="str">
        <f t="shared" si="60"/>
        <v>X</v>
      </c>
      <c r="AI19" s="3" t="str">
        <f t="shared" si="60"/>
        <v>X</v>
      </c>
      <c r="AJ19" s="3" t="str">
        <f t="shared" si="60"/>
        <v>X</v>
      </c>
      <c r="AK19" s="3" t="str">
        <f t="shared" si="60"/>
        <v>X</v>
      </c>
      <c r="AL19" s="3" t="str">
        <f t="shared" si="60"/>
        <v>X</v>
      </c>
      <c r="AM19" s="3" t="str">
        <f t="shared" si="60"/>
        <v>X</v>
      </c>
      <c r="AN19" s="3" t="str">
        <f t="shared" si="60"/>
        <v>X</v>
      </c>
      <c r="AO19" s="3" t="str">
        <f t="shared" si="60"/>
        <v>X</v>
      </c>
      <c r="AP19" s="3" t="str">
        <f t="shared" si="60"/>
        <v>X</v>
      </c>
      <c r="AQ19" s="3" t="str">
        <f t="shared" si="60"/>
        <v>X</v>
      </c>
      <c r="AR19" s="3" t="str">
        <f t="shared" si="60"/>
        <v>X</v>
      </c>
      <c r="AS19" s="3" t="str">
        <f t="shared" si="60"/>
        <v>X</v>
      </c>
      <c r="AT19" s="3" t="str">
        <f t="shared" si="60"/>
        <v>X</v>
      </c>
      <c r="AU19" s="3" t="str">
        <f t="shared" si="60"/>
        <v>X</v>
      </c>
      <c r="AV19" s="3" t="str">
        <f t="shared" si="60"/>
        <v>X</v>
      </c>
      <c r="AW19" s="3" t="str">
        <f t="shared" si="13"/>
        <v>X</v>
      </c>
      <c r="AX19" s="3" t="str">
        <f t="shared" si="14"/>
        <v>X</v>
      </c>
      <c r="AY19" s="3" t="str">
        <f t="shared" si="15"/>
        <v>X</v>
      </c>
      <c r="AZ19" s="3" t="str">
        <f t="shared" si="16"/>
        <v>X</v>
      </c>
      <c r="BA19" s="3">
        <f t="shared" si="61"/>
        <v>32</v>
      </c>
      <c r="BB19" s="3">
        <f t="shared" si="62"/>
        <v>33</v>
      </c>
      <c r="BC19" s="3">
        <f t="shared" si="63"/>
        <v>34</v>
      </c>
      <c r="BD19" s="3">
        <f t="shared" si="64"/>
        <v>35</v>
      </c>
      <c r="BE19" s="7" t="str">
        <f t="shared" si="65"/>
        <v>00000020</v>
      </c>
      <c r="BF19" s="7" t="str">
        <f t="shared" si="66"/>
        <v>00000021</v>
      </c>
      <c r="BG19" s="7" t="str">
        <f t="shared" si="67"/>
        <v>00000022</v>
      </c>
      <c r="BH19" s="7" t="str">
        <f t="shared" si="68"/>
        <v>00000023</v>
      </c>
      <c r="BI19" s="3" t="str">
        <f t="shared" si="69"/>
        <v/>
      </c>
      <c r="BJ19" s="3" t="str">
        <f t="shared" si="70"/>
        <v/>
      </c>
      <c r="BK19" s="3" t="str">
        <f t="shared" si="71"/>
        <v/>
      </c>
      <c r="BL19" s="3" t="str">
        <f t="shared" si="72"/>
        <v/>
      </c>
      <c r="BM19" s="3">
        <f t="shared" si="73"/>
        <v>31</v>
      </c>
      <c r="BN19" s="3">
        <f t="shared" si="74"/>
        <v>23</v>
      </c>
      <c r="BO19" s="3">
        <f t="shared" si="75"/>
        <v>15</v>
      </c>
      <c r="BP19" s="3">
        <f t="shared" si="76"/>
        <v>7</v>
      </c>
      <c r="BQ19" s="3" t="str">
        <f t="shared" si="77"/>
        <v>(31 downto 24)</v>
      </c>
      <c r="BR19" s="3" t="str">
        <f t="shared" si="78"/>
        <v>(23 downto 16)</v>
      </c>
      <c r="BS19" s="3" t="str">
        <f t="shared" si="79"/>
        <v>(15 downto 8)</v>
      </c>
      <c r="BT19" s="3" t="str">
        <f t="shared" si="80"/>
        <v>(7 downto 0)</v>
      </c>
    </row>
    <row r="20" spans="2:72" x14ac:dyDescent="0.25">
      <c r="B20" s="3" t="s">
        <v>279</v>
      </c>
      <c r="C20" s="3" t="s">
        <v>206</v>
      </c>
      <c r="D20" s="3" t="s">
        <v>1</v>
      </c>
      <c r="E20" s="3" t="s">
        <v>115</v>
      </c>
      <c r="F20" s="3" t="s">
        <v>346</v>
      </c>
      <c r="G20" s="3" t="s">
        <v>413</v>
      </c>
      <c r="H20" s="18" t="s">
        <v>207</v>
      </c>
      <c r="I20" s="3" t="s">
        <v>24</v>
      </c>
      <c r="J20" s="3">
        <v>8</v>
      </c>
      <c r="K20" s="3" t="s">
        <v>208</v>
      </c>
      <c r="L20" s="3" t="s">
        <v>23</v>
      </c>
      <c r="M20" s="3">
        <v>9</v>
      </c>
      <c r="N20" s="3" t="str">
        <f t="shared" ref="N20:N30" si="82">DEC2HEX($M20,8)</f>
        <v>00000009</v>
      </c>
      <c r="O20" s="3">
        <v>31</v>
      </c>
      <c r="P20" s="3">
        <v>24</v>
      </c>
      <c r="Q20" s="3" t="str">
        <f t="shared" si="59"/>
        <v>X</v>
      </c>
      <c r="R20" s="3" t="str">
        <f t="shared" si="59"/>
        <v>X</v>
      </c>
      <c r="S20" s="3" t="str">
        <f t="shared" si="59"/>
        <v>X</v>
      </c>
      <c r="T20" s="3" t="str">
        <f t="shared" si="59"/>
        <v>X</v>
      </c>
      <c r="U20" s="3" t="str">
        <f t="shared" si="59"/>
        <v>X</v>
      </c>
      <c r="V20" s="3" t="str">
        <f t="shared" si="59"/>
        <v>X</v>
      </c>
      <c r="W20" s="3" t="str">
        <f t="shared" si="59"/>
        <v>X</v>
      </c>
      <c r="X20" s="3" t="str">
        <f t="shared" si="59"/>
        <v>X</v>
      </c>
      <c r="Y20" s="3" t="str">
        <f t="shared" si="59"/>
        <v/>
      </c>
      <c r="Z20" s="3" t="str">
        <f t="shared" si="59"/>
        <v/>
      </c>
      <c r="AA20" s="3" t="str">
        <f t="shared" si="59"/>
        <v/>
      </c>
      <c r="AB20" s="3" t="str">
        <f t="shared" si="59"/>
        <v/>
      </c>
      <c r="AC20" s="3" t="str">
        <f t="shared" si="59"/>
        <v/>
      </c>
      <c r="AD20" s="3" t="str">
        <f t="shared" si="59"/>
        <v/>
      </c>
      <c r="AE20" s="3" t="str">
        <f t="shared" si="59"/>
        <v/>
      </c>
      <c r="AF20" s="3" t="str">
        <f t="shared" si="59"/>
        <v/>
      </c>
      <c r="AG20" s="3" t="str">
        <f t="shared" si="60"/>
        <v/>
      </c>
      <c r="AH20" s="3" t="str">
        <f t="shared" si="60"/>
        <v/>
      </c>
      <c r="AI20" s="3" t="str">
        <f t="shared" si="60"/>
        <v/>
      </c>
      <c r="AJ20" s="3" t="str">
        <f t="shared" si="60"/>
        <v/>
      </c>
      <c r="AK20" s="3" t="str">
        <f t="shared" si="60"/>
        <v/>
      </c>
      <c r="AL20" s="3" t="str">
        <f t="shared" si="60"/>
        <v/>
      </c>
      <c r="AM20" s="3" t="str">
        <f t="shared" si="60"/>
        <v/>
      </c>
      <c r="AN20" s="3" t="str">
        <f t="shared" si="60"/>
        <v/>
      </c>
      <c r="AO20" s="3" t="str">
        <f t="shared" si="60"/>
        <v/>
      </c>
      <c r="AP20" s="3" t="str">
        <f t="shared" si="60"/>
        <v/>
      </c>
      <c r="AQ20" s="3" t="str">
        <f t="shared" si="60"/>
        <v/>
      </c>
      <c r="AR20" s="3" t="str">
        <f t="shared" si="60"/>
        <v/>
      </c>
      <c r="AS20" s="3" t="str">
        <f t="shared" si="60"/>
        <v/>
      </c>
      <c r="AT20" s="3" t="str">
        <f t="shared" si="60"/>
        <v/>
      </c>
      <c r="AU20" s="3" t="str">
        <f t="shared" si="60"/>
        <v/>
      </c>
      <c r="AV20" s="3" t="str">
        <f t="shared" si="60"/>
        <v/>
      </c>
      <c r="AW20" s="3" t="str">
        <f t="shared" si="13"/>
        <v>X</v>
      </c>
      <c r="AX20" s="3" t="str">
        <f t="shared" si="14"/>
        <v/>
      </c>
      <c r="AY20" s="3" t="str">
        <f t="shared" si="15"/>
        <v/>
      </c>
      <c r="AZ20" s="3" t="str">
        <f t="shared" si="16"/>
        <v/>
      </c>
      <c r="BA20" s="3">
        <f t="shared" si="61"/>
        <v>36</v>
      </c>
      <c r="BB20" s="3" t="str">
        <f t="shared" si="62"/>
        <v/>
      </c>
      <c r="BC20" s="3" t="str">
        <f t="shared" si="63"/>
        <v/>
      </c>
      <c r="BD20" s="3" t="str">
        <f t="shared" si="64"/>
        <v/>
      </c>
      <c r="BE20" s="7" t="str">
        <f t="shared" si="65"/>
        <v>00000024</v>
      </c>
      <c r="BF20" s="7" t="str">
        <f t="shared" si="66"/>
        <v/>
      </c>
      <c r="BG20" s="7" t="str">
        <f t="shared" si="67"/>
        <v/>
      </c>
      <c r="BH20" s="7" t="str">
        <f t="shared" si="68"/>
        <v/>
      </c>
      <c r="BI20" s="3" t="str">
        <f t="shared" si="69"/>
        <v/>
      </c>
      <c r="BJ20" s="3" t="str">
        <f t="shared" si="70"/>
        <v/>
      </c>
      <c r="BK20" s="3" t="str">
        <f t="shared" si="71"/>
        <v/>
      </c>
      <c r="BL20" s="3" t="str">
        <f t="shared" si="72"/>
        <v/>
      </c>
      <c r="BM20" s="3">
        <f t="shared" si="73"/>
        <v>7</v>
      </c>
      <c r="BN20" s="3" t="str">
        <f t="shared" si="74"/>
        <v/>
      </c>
      <c r="BO20" s="3" t="str">
        <f t="shared" si="75"/>
        <v/>
      </c>
      <c r="BP20" s="3" t="str">
        <f t="shared" si="76"/>
        <v/>
      </c>
      <c r="BQ20" s="3" t="str">
        <f t="shared" si="77"/>
        <v/>
      </c>
      <c r="BR20" s="3" t="str">
        <f t="shared" si="78"/>
        <v/>
      </c>
      <c r="BS20" s="3" t="str">
        <f t="shared" si="79"/>
        <v/>
      </c>
      <c r="BT20" s="3" t="str">
        <f t="shared" si="80"/>
        <v/>
      </c>
    </row>
    <row r="21" spans="2:72" x14ac:dyDescent="0.25">
      <c r="B21" s="3" t="s">
        <v>279</v>
      </c>
      <c r="C21" s="3" t="s">
        <v>209</v>
      </c>
      <c r="D21" s="3" t="s">
        <v>1</v>
      </c>
      <c r="E21" s="3" t="s">
        <v>115</v>
      </c>
      <c r="F21" s="3" t="s">
        <v>346</v>
      </c>
      <c r="G21" s="3" t="s">
        <v>413</v>
      </c>
      <c r="H21" s="18" t="s">
        <v>210</v>
      </c>
      <c r="I21" s="3" t="s">
        <v>24</v>
      </c>
      <c r="J21" s="3">
        <v>8</v>
      </c>
      <c r="K21" s="3" t="s">
        <v>211</v>
      </c>
      <c r="L21" s="3" t="s">
        <v>23</v>
      </c>
      <c r="M21" s="3">
        <v>9</v>
      </c>
      <c r="N21" s="3" t="str">
        <f t="shared" si="82"/>
        <v>00000009</v>
      </c>
      <c r="O21" s="3">
        <v>23</v>
      </c>
      <c r="P21" s="3">
        <v>16</v>
      </c>
      <c r="Q21" s="3" t="str">
        <f t="shared" si="59"/>
        <v/>
      </c>
      <c r="R21" s="3" t="str">
        <f t="shared" si="59"/>
        <v/>
      </c>
      <c r="S21" s="3" t="str">
        <f t="shared" si="59"/>
        <v/>
      </c>
      <c r="T21" s="3" t="str">
        <f t="shared" si="59"/>
        <v/>
      </c>
      <c r="U21" s="3" t="str">
        <f t="shared" si="59"/>
        <v/>
      </c>
      <c r="V21" s="3" t="str">
        <f t="shared" si="59"/>
        <v/>
      </c>
      <c r="W21" s="3" t="str">
        <f t="shared" si="59"/>
        <v/>
      </c>
      <c r="X21" s="3" t="str">
        <f t="shared" si="59"/>
        <v/>
      </c>
      <c r="Y21" s="3" t="str">
        <f t="shared" si="59"/>
        <v>X</v>
      </c>
      <c r="Z21" s="3" t="str">
        <f t="shared" si="59"/>
        <v>X</v>
      </c>
      <c r="AA21" s="3" t="str">
        <f t="shared" si="59"/>
        <v>X</v>
      </c>
      <c r="AB21" s="3" t="str">
        <f t="shared" si="59"/>
        <v>X</v>
      </c>
      <c r="AC21" s="3" t="str">
        <f t="shared" si="59"/>
        <v>X</v>
      </c>
      <c r="AD21" s="3" t="str">
        <f t="shared" si="59"/>
        <v>X</v>
      </c>
      <c r="AE21" s="3" t="str">
        <f t="shared" si="59"/>
        <v>X</v>
      </c>
      <c r="AF21" s="3" t="str">
        <f t="shared" si="59"/>
        <v>X</v>
      </c>
      <c r="AG21" s="3" t="str">
        <f t="shared" si="60"/>
        <v/>
      </c>
      <c r="AH21" s="3" t="str">
        <f t="shared" si="60"/>
        <v/>
      </c>
      <c r="AI21" s="3" t="str">
        <f t="shared" si="60"/>
        <v/>
      </c>
      <c r="AJ21" s="3" t="str">
        <f t="shared" si="60"/>
        <v/>
      </c>
      <c r="AK21" s="3" t="str">
        <f t="shared" si="60"/>
        <v/>
      </c>
      <c r="AL21" s="3" t="str">
        <f t="shared" si="60"/>
        <v/>
      </c>
      <c r="AM21" s="3" t="str">
        <f t="shared" si="60"/>
        <v/>
      </c>
      <c r="AN21" s="3" t="str">
        <f t="shared" si="60"/>
        <v/>
      </c>
      <c r="AO21" s="3" t="str">
        <f t="shared" si="60"/>
        <v/>
      </c>
      <c r="AP21" s="3" t="str">
        <f t="shared" si="60"/>
        <v/>
      </c>
      <c r="AQ21" s="3" t="str">
        <f t="shared" si="60"/>
        <v/>
      </c>
      <c r="AR21" s="3" t="str">
        <f t="shared" si="60"/>
        <v/>
      </c>
      <c r="AS21" s="3" t="str">
        <f t="shared" si="60"/>
        <v/>
      </c>
      <c r="AT21" s="3" t="str">
        <f t="shared" si="60"/>
        <v/>
      </c>
      <c r="AU21" s="3" t="str">
        <f t="shared" si="60"/>
        <v/>
      </c>
      <c r="AV21" s="3" t="str">
        <f t="shared" si="60"/>
        <v/>
      </c>
      <c r="AW21" s="3" t="str">
        <f t="shared" si="13"/>
        <v/>
      </c>
      <c r="AX21" s="3" t="str">
        <f t="shared" si="14"/>
        <v>X</v>
      </c>
      <c r="AY21" s="3" t="str">
        <f t="shared" si="15"/>
        <v/>
      </c>
      <c r="AZ21" s="3" t="str">
        <f t="shared" si="16"/>
        <v/>
      </c>
      <c r="BA21" s="3" t="str">
        <f t="shared" si="61"/>
        <v/>
      </c>
      <c r="BB21" s="3">
        <f t="shared" si="62"/>
        <v>37</v>
      </c>
      <c r="BC21" s="3" t="str">
        <f t="shared" si="63"/>
        <v/>
      </c>
      <c r="BD21" s="3" t="str">
        <f t="shared" si="64"/>
        <v/>
      </c>
      <c r="BE21" s="7" t="str">
        <f t="shared" si="65"/>
        <v/>
      </c>
      <c r="BF21" s="7" t="str">
        <f t="shared" si="66"/>
        <v>00000025</v>
      </c>
      <c r="BG21" s="7" t="str">
        <f t="shared" si="67"/>
        <v/>
      </c>
      <c r="BH21" s="7" t="str">
        <f t="shared" si="68"/>
        <v/>
      </c>
      <c r="BI21" s="3" t="str">
        <f t="shared" si="69"/>
        <v/>
      </c>
      <c r="BJ21" s="3" t="str">
        <f t="shared" si="70"/>
        <v/>
      </c>
      <c r="BK21" s="3" t="str">
        <f t="shared" si="71"/>
        <v/>
      </c>
      <c r="BL21" s="3" t="str">
        <f t="shared" si="72"/>
        <v/>
      </c>
      <c r="BM21" s="3" t="str">
        <f t="shared" si="73"/>
        <v/>
      </c>
      <c r="BN21" s="3">
        <f t="shared" si="74"/>
        <v>7</v>
      </c>
      <c r="BO21" s="3" t="str">
        <f t="shared" si="75"/>
        <v/>
      </c>
      <c r="BP21" s="3" t="str">
        <f t="shared" si="76"/>
        <v/>
      </c>
      <c r="BQ21" s="3" t="str">
        <f t="shared" si="77"/>
        <v/>
      </c>
      <c r="BR21" s="3" t="str">
        <f t="shared" si="78"/>
        <v/>
      </c>
      <c r="BS21" s="3" t="str">
        <f t="shared" si="79"/>
        <v/>
      </c>
      <c r="BT21" s="3" t="str">
        <f t="shared" si="80"/>
        <v/>
      </c>
    </row>
    <row r="22" spans="2:72" x14ac:dyDescent="0.25">
      <c r="B22" s="3" t="s">
        <v>279</v>
      </c>
      <c r="C22" s="3" t="s">
        <v>212</v>
      </c>
      <c r="D22" s="3" t="s">
        <v>1</v>
      </c>
      <c r="E22" s="3" t="s">
        <v>115</v>
      </c>
      <c r="F22" s="3" t="s">
        <v>346</v>
      </c>
      <c r="G22" s="3" t="s">
        <v>413</v>
      </c>
      <c r="H22" s="18" t="s">
        <v>213</v>
      </c>
      <c r="I22" s="3" t="s">
        <v>24</v>
      </c>
      <c r="J22" s="3">
        <v>8</v>
      </c>
      <c r="K22" s="3" t="s">
        <v>214</v>
      </c>
      <c r="L22" s="3" t="s">
        <v>23</v>
      </c>
      <c r="M22" s="3">
        <v>9</v>
      </c>
      <c r="N22" s="3" t="str">
        <f t="shared" si="82"/>
        <v>00000009</v>
      </c>
      <c r="O22" s="3">
        <v>15</v>
      </c>
      <c r="P22" s="3">
        <v>8</v>
      </c>
      <c r="Q22" s="3" t="str">
        <f t="shared" si="59"/>
        <v/>
      </c>
      <c r="R22" s="3" t="str">
        <f t="shared" si="59"/>
        <v/>
      </c>
      <c r="S22" s="3" t="str">
        <f t="shared" si="59"/>
        <v/>
      </c>
      <c r="T22" s="3" t="str">
        <f t="shared" si="59"/>
        <v/>
      </c>
      <c r="U22" s="3" t="str">
        <f t="shared" si="59"/>
        <v/>
      </c>
      <c r="V22" s="3" t="str">
        <f t="shared" si="59"/>
        <v/>
      </c>
      <c r="W22" s="3" t="str">
        <f t="shared" si="59"/>
        <v/>
      </c>
      <c r="X22" s="3" t="str">
        <f t="shared" si="59"/>
        <v/>
      </c>
      <c r="Y22" s="3" t="str">
        <f t="shared" si="59"/>
        <v/>
      </c>
      <c r="Z22" s="3" t="str">
        <f t="shared" si="59"/>
        <v/>
      </c>
      <c r="AA22" s="3" t="str">
        <f t="shared" si="59"/>
        <v/>
      </c>
      <c r="AB22" s="3" t="str">
        <f t="shared" si="59"/>
        <v/>
      </c>
      <c r="AC22" s="3" t="str">
        <f t="shared" si="59"/>
        <v/>
      </c>
      <c r="AD22" s="3" t="str">
        <f t="shared" si="59"/>
        <v/>
      </c>
      <c r="AE22" s="3" t="str">
        <f t="shared" si="59"/>
        <v/>
      </c>
      <c r="AF22" s="3" t="str">
        <f t="shared" si="59"/>
        <v/>
      </c>
      <c r="AG22" s="3" t="str">
        <f t="shared" si="60"/>
        <v>X</v>
      </c>
      <c r="AH22" s="3" t="str">
        <f t="shared" si="60"/>
        <v>X</v>
      </c>
      <c r="AI22" s="3" t="str">
        <f t="shared" si="60"/>
        <v>X</v>
      </c>
      <c r="AJ22" s="3" t="str">
        <f t="shared" si="60"/>
        <v>X</v>
      </c>
      <c r="AK22" s="3" t="str">
        <f t="shared" si="60"/>
        <v>X</v>
      </c>
      <c r="AL22" s="3" t="str">
        <f t="shared" si="60"/>
        <v>X</v>
      </c>
      <c r="AM22" s="3" t="str">
        <f t="shared" si="60"/>
        <v>X</v>
      </c>
      <c r="AN22" s="3" t="str">
        <f t="shared" si="60"/>
        <v>X</v>
      </c>
      <c r="AO22" s="3" t="str">
        <f t="shared" si="60"/>
        <v/>
      </c>
      <c r="AP22" s="3" t="str">
        <f t="shared" si="60"/>
        <v/>
      </c>
      <c r="AQ22" s="3" t="str">
        <f t="shared" si="60"/>
        <v/>
      </c>
      <c r="AR22" s="3" t="str">
        <f t="shared" si="60"/>
        <v/>
      </c>
      <c r="AS22" s="3" t="str">
        <f t="shared" si="60"/>
        <v/>
      </c>
      <c r="AT22" s="3" t="str">
        <f t="shared" si="60"/>
        <v/>
      </c>
      <c r="AU22" s="3" t="str">
        <f t="shared" si="60"/>
        <v/>
      </c>
      <c r="AV22" s="3" t="str">
        <f t="shared" si="60"/>
        <v/>
      </c>
      <c r="AW22" s="3" t="str">
        <f t="shared" si="13"/>
        <v/>
      </c>
      <c r="AX22" s="3" t="str">
        <f t="shared" si="14"/>
        <v/>
      </c>
      <c r="AY22" s="3" t="str">
        <f t="shared" si="15"/>
        <v>X</v>
      </c>
      <c r="AZ22" s="3" t="str">
        <f t="shared" si="16"/>
        <v/>
      </c>
      <c r="BA22" s="3" t="str">
        <f t="shared" si="61"/>
        <v/>
      </c>
      <c r="BB22" s="3" t="str">
        <f t="shared" si="62"/>
        <v/>
      </c>
      <c r="BC22" s="3">
        <f t="shared" si="63"/>
        <v>38</v>
      </c>
      <c r="BD22" s="3" t="str">
        <f t="shared" si="64"/>
        <v/>
      </c>
      <c r="BE22" s="7" t="str">
        <f t="shared" si="65"/>
        <v/>
      </c>
      <c r="BF22" s="7" t="str">
        <f t="shared" si="66"/>
        <v/>
      </c>
      <c r="BG22" s="7" t="str">
        <f t="shared" si="67"/>
        <v>00000026</v>
      </c>
      <c r="BH22" s="7" t="str">
        <f t="shared" si="68"/>
        <v/>
      </c>
      <c r="BI22" s="3" t="str">
        <f t="shared" si="69"/>
        <v/>
      </c>
      <c r="BJ22" s="3" t="str">
        <f t="shared" si="70"/>
        <v/>
      </c>
      <c r="BK22" s="3" t="str">
        <f t="shared" si="71"/>
        <v/>
      </c>
      <c r="BL22" s="3" t="str">
        <f t="shared" si="72"/>
        <v/>
      </c>
      <c r="BM22" s="3" t="str">
        <f t="shared" si="73"/>
        <v/>
      </c>
      <c r="BN22" s="3" t="str">
        <f t="shared" si="74"/>
        <v/>
      </c>
      <c r="BO22" s="3">
        <f t="shared" si="75"/>
        <v>7</v>
      </c>
      <c r="BP22" s="3" t="str">
        <f t="shared" si="76"/>
        <v/>
      </c>
      <c r="BQ22" s="3" t="str">
        <f t="shared" si="77"/>
        <v/>
      </c>
      <c r="BR22" s="3" t="str">
        <f t="shared" si="78"/>
        <v/>
      </c>
      <c r="BS22" s="3" t="str">
        <f t="shared" si="79"/>
        <v/>
      </c>
      <c r="BT22" s="3" t="str">
        <f t="shared" si="80"/>
        <v/>
      </c>
    </row>
    <row r="23" spans="2:72" x14ac:dyDescent="0.25">
      <c r="B23" s="3" t="s">
        <v>279</v>
      </c>
      <c r="C23" s="3" t="s">
        <v>215</v>
      </c>
      <c r="D23" s="3" t="s">
        <v>1</v>
      </c>
      <c r="E23" s="3" t="s">
        <v>115</v>
      </c>
      <c r="F23" s="3" t="s">
        <v>346</v>
      </c>
      <c r="G23" s="3" t="s">
        <v>413</v>
      </c>
      <c r="H23" s="18" t="s">
        <v>216</v>
      </c>
      <c r="I23" s="3" t="s">
        <v>24</v>
      </c>
      <c r="J23" s="3">
        <v>8</v>
      </c>
      <c r="K23" s="3" t="s">
        <v>214</v>
      </c>
      <c r="L23" s="3" t="s">
        <v>23</v>
      </c>
      <c r="M23" s="3">
        <v>9</v>
      </c>
      <c r="N23" s="3" t="str">
        <f t="shared" si="82"/>
        <v>00000009</v>
      </c>
      <c r="O23" s="3">
        <v>7</v>
      </c>
      <c r="P23" s="3">
        <v>0</v>
      </c>
      <c r="Q23" s="3" t="str">
        <f t="shared" si="59"/>
        <v/>
      </c>
      <c r="R23" s="3" t="str">
        <f t="shared" si="59"/>
        <v/>
      </c>
      <c r="S23" s="3" t="str">
        <f t="shared" si="59"/>
        <v/>
      </c>
      <c r="T23" s="3" t="str">
        <f t="shared" si="59"/>
        <v/>
      </c>
      <c r="U23" s="3" t="str">
        <f t="shared" si="59"/>
        <v/>
      </c>
      <c r="V23" s="3" t="str">
        <f t="shared" si="59"/>
        <v/>
      </c>
      <c r="W23" s="3" t="str">
        <f t="shared" si="59"/>
        <v/>
      </c>
      <c r="X23" s="3" t="str">
        <f t="shared" si="59"/>
        <v/>
      </c>
      <c r="Y23" s="3" t="str">
        <f t="shared" si="59"/>
        <v/>
      </c>
      <c r="Z23" s="3" t="str">
        <f t="shared" si="59"/>
        <v/>
      </c>
      <c r="AA23" s="3" t="str">
        <f t="shared" si="59"/>
        <v/>
      </c>
      <c r="AB23" s="3" t="str">
        <f t="shared" si="59"/>
        <v/>
      </c>
      <c r="AC23" s="3" t="str">
        <f t="shared" si="59"/>
        <v/>
      </c>
      <c r="AD23" s="3" t="str">
        <f t="shared" si="59"/>
        <v/>
      </c>
      <c r="AE23" s="3" t="str">
        <f t="shared" si="59"/>
        <v/>
      </c>
      <c r="AF23" s="3" t="str">
        <f t="shared" ref="Q23:AF39" si="83">IF(AND($O23&gt;=AF$3,AF$3&gt;=$P23),"X","")</f>
        <v/>
      </c>
      <c r="AG23" s="3" t="str">
        <f t="shared" si="60"/>
        <v/>
      </c>
      <c r="AH23" s="3" t="str">
        <f t="shared" si="60"/>
        <v/>
      </c>
      <c r="AI23" s="3" t="str">
        <f t="shared" si="60"/>
        <v/>
      </c>
      <c r="AJ23" s="3" t="str">
        <f t="shared" si="60"/>
        <v/>
      </c>
      <c r="AK23" s="3" t="str">
        <f t="shared" si="60"/>
        <v/>
      </c>
      <c r="AL23" s="3" t="str">
        <f t="shared" si="60"/>
        <v/>
      </c>
      <c r="AM23" s="3" t="str">
        <f t="shared" si="60"/>
        <v/>
      </c>
      <c r="AN23" s="3" t="str">
        <f t="shared" si="60"/>
        <v/>
      </c>
      <c r="AO23" s="3" t="str">
        <f t="shared" si="60"/>
        <v>X</v>
      </c>
      <c r="AP23" s="3" t="str">
        <f t="shared" si="60"/>
        <v>X</v>
      </c>
      <c r="AQ23" s="3" t="str">
        <f t="shared" si="60"/>
        <v>X</v>
      </c>
      <c r="AR23" s="3" t="str">
        <f t="shared" si="60"/>
        <v>X</v>
      </c>
      <c r="AS23" s="3" t="str">
        <f t="shared" si="60"/>
        <v>X</v>
      </c>
      <c r="AT23" s="3" t="str">
        <f t="shared" si="60"/>
        <v>X</v>
      </c>
      <c r="AU23" s="3" t="str">
        <f t="shared" si="60"/>
        <v>X</v>
      </c>
      <c r="AV23" s="3" t="str">
        <f t="shared" ref="AG23:AV39" si="84">IF(AND($O23&gt;=AV$3,AV$3&gt;=$P23),"X","")</f>
        <v>X</v>
      </c>
      <c r="AW23" s="3" t="str">
        <f t="shared" si="13"/>
        <v/>
      </c>
      <c r="AX23" s="3" t="str">
        <f t="shared" si="14"/>
        <v/>
      </c>
      <c r="AY23" s="3" t="str">
        <f t="shared" si="15"/>
        <v/>
      </c>
      <c r="AZ23" s="3" t="str">
        <f t="shared" si="16"/>
        <v>X</v>
      </c>
      <c r="BA23" s="3" t="str">
        <f t="shared" si="61"/>
        <v/>
      </c>
      <c r="BB23" s="3" t="str">
        <f t="shared" si="62"/>
        <v/>
      </c>
      <c r="BC23" s="3" t="str">
        <f t="shared" si="63"/>
        <v/>
      </c>
      <c r="BD23" s="3">
        <f t="shared" si="64"/>
        <v>39</v>
      </c>
      <c r="BE23" s="7" t="str">
        <f t="shared" si="65"/>
        <v/>
      </c>
      <c r="BF23" s="7" t="str">
        <f t="shared" si="66"/>
        <v/>
      </c>
      <c r="BG23" s="7" t="str">
        <f t="shared" si="67"/>
        <v/>
      </c>
      <c r="BH23" s="7" t="str">
        <f t="shared" si="68"/>
        <v>00000027</v>
      </c>
      <c r="BI23" s="3" t="str">
        <f t="shared" si="69"/>
        <v/>
      </c>
      <c r="BJ23" s="3" t="str">
        <f t="shared" si="70"/>
        <v/>
      </c>
      <c r="BK23" s="3" t="str">
        <f t="shared" si="71"/>
        <v/>
      </c>
      <c r="BL23" s="3" t="str">
        <f t="shared" si="72"/>
        <v/>
      </c>
      <c r="BM23" s="3" t="str">
        <f t="shared" si="73"/>
        <v/>
      </c>
      <c r="BN23" s="3" t="str">
        <f t="shared" si="74"/>
        <v/>
      </c>
      <c r="BO23" s="3" t="str">
        <f t="shared" si="75"/>
        <v/>
      </c>
      <c r="BP23" s="3">
        <f t="shared" si="76"/>
        <v>7</v>
      </c>
      <c r="BQ23" s="3" t="str">
        <f t="shared" si="77"/>
        <v/>
      </c>
      <c r="BR23" s="3" t="str">
        <f t="shared" si="78"/>
        <v/>
      </c>
      <c r="BS23" s="3" t="str">
        <f t="shared" si="79"/>
        <v/>
      </c>
      <c r="BT23" s="3" t="str">
        <f t="shared" si="80"/>
        <v/>
      </c>
    </row>
    <row r="24" spans="2:72" x14ac:dyDescent="0.25">
      <c r="B24" s="3" t="s">
        <v>280</v>
      </c>
      <c r="C24" s="3" t="s">
        <v>217</v>
      </c>
      <c r="D24" s="3" t="s">
        <v>1</v>
      </c>
      <c r="E24" s="3" t="s">
        <v>115</v>
      </c>
      <c r="F24" s="3" t="s">
        <v>347</v>
      </c>
      <c r="G24" s="3" t="s">
        <v>414</v>
      </c>
      <c r="H24" s="18" t="s">
        <v>218</v>
      </c>
      <c r="I24" s="3" t="s">
        <v>24</v>
      </c>
      <c r="J24" s="3">
        <v>8</v>
      </c>
      <c r="K24" s="3" t="s">
        <v>214</v>
      </c>
      <c r="L24" s="3" t="s">
        <v>23</v>
      </c>
      <c r="M24" s="3">
        <v>10</v>
      </c>
      <c r="N24" s="3" t="str">
        <f t="shared" si="82"/>
        <v>0000000A</v>
      </c>
      <c r="O24" s="3">
        <v>31</v>
      </c>
      <c r="P24" s="3">
        <v>24</v>
      </c>
      <c r="Q24" s="3" t="str">
        <f t="shared" si="83"/>
        <v>X</v>
      </c>
      <c r="R24" s="3" t="str">
        <f t="shared" si="83"/>
        <v>X</v>
      </c>
      <c r="S24" s="3" t="str">
        <f t="shared" si="83"/>
        <v>X</v>
      </c>
      <c r="T24" s="3" t="str">
        <f t="shared" si="83"/>
        <v>X</v>
      </c>
      <c r="U24" s="3" t="str">
        <f t="shared" si="83"/>
        <v>X</v>
      </c>
      <c r="V24" s="3" t="str">
        <f t="shared" si="83"/>
        <v>X</v>
      </c>
      <c r="W24" s="3" t="str">
        <f t="shared" si="83"/>
        <v>X</v>
      </c>
      <c r="X24" s="3" t="str">
        <f t="shared" si="83"/>
        <v>X</v>
      </c>
      <c r="Y24" s="3" t="str">
        <f t="shared" si="83"/>
        <v/>
      </c>
      <c r="Z24" s="3" t="str">
        <f t="shared" si="83"/>
        <v/>
      </c>
      <c r="AA24" s="3" t="str">
        <f t="shared" si="83"/>
        <v/>
      </c>
      <c r="AB24" s="3" t="str">
        <f t="shared" si="83"/>
        <v/>
      </c>
      <c r="AC24" s="3" t="str">
        <f t="shared" si="83"/>
        <v/>
      </c>
      <c r="AD24" s="3" t="str">
        <f t="shared" si="83"/>
        <v/>
      </c>
      <c r="AE24" s="3" t="str">
        <f t="shared" si="83"/>
        <v/>
      </c>
      <c r="AF24" s="3" t="str">
        <f t="shared" si="83"/>
        <v/>
      </c>
      <c r="AG24" s="3" t="str">
        <f t="shared" si="84"/>
        <v/>
      </c>
      <c r="AH24" s="3" t="str">
        <f t="shared" si="84"/>
        <v/>
      </c>
      <c r="AI24" s="3" t="str">
        <f t="shared" si="84"/>
        <v/>
      </c>
      <c r="AJ24" s="3" t="str">
        <f t="shared" si="84"/>
        <v/>
      </c>
      <c r="AK24" s="3" t="str">
        <f t="shared" si="84"/>
        <v/>
      </c>
      <c r="AL24" s="3" t="str">
        <f t="shared" si="84"/>
        <v/>
      </c>
      <c r="AM24" s="3" t="str">
        <f t="shared" si="84"/>
        <v/>
      </c>
      <c r="AN24" s="3" t="str">
        <f t="shared" si="84"/>
        <v/>
      </c>
      <c r="AO24" s="3" t="str">
        <f t="shared" si="84"/>
        <v/>
      </c>
      <c r="AP24" s="3" t="str">
        <f t="shared" si="84"/>
        <v/>
      </c>
      <c r="AQ24" s="3" t="str">
        <f t="shared" si="84"/>
        <v/>
      </c>
      <c r="AR24" s="3" t="str">
        <f t="shared" si="84"/>
        <v/>
      </c>
      <c r="AS24" s="3" t="str">
        <f t="shared" si="84"/>
        <v/>
      </c>
      <c r="AT24" s="3" t="str">
        <f t="shared" si="84"/>
        <v/>
      </c>
      <c r="AU24" s="3" t="str">
        <f t="shared" si="84"/>
        <v/>
      </c>
      <c r="AV24" s="3" t="str">
        <f t="shared" si="84"/>
        <v/>
      </c>
      <c r="AW24" s="3" t="str">
        <f t="shared" si="13"/>
        <v>X</v>
      </c>
      <c r="AX24" s="3" t="str">
        <f t="shared" si="14"/>
        <v/>
      </c>
      <c r="AY24" s="3" t="str">
        <f t="shared" si="15"/>
        <v/>
      </c>
      <c r="AZ24" s="3" t="str">
        <f t="shared" si="16"/>
        <v/>
      </c>
      <c r="BA24" s="3">
        <f t="shared" si="61"/>
        <v>40</v>
      </c>
      <c r="BB24" s="3" t="str">
        <f t="shared" si="62"/>
        <v/>
      </c>
      <c r="BC24" s="3" t="str">
        <f t="shared" si="63"/>
        <v/>
      </c>
      <c r="BD24" s="3" t="str">
        <f t="shared" si="64"/>
        <v/>
      </c>
      <c r="BE24" s="7" t="str">
        <f t="shared" si="65"/>
        <v>00000028</v>
      </c>
      <c r="BF24" s="7" t="str">
        <f t="shared" si="66"/>
        <v/>
      </c>
      <c r="BG24" s="7" t="str">
        <f t="shared" si="67"/>
        <v/>
      </c>
      <c r="BH24" s="7" t="str">
        <f t="shared" si="68"/>
        <v/>
      </c>
      <c r="BI24" s="3" t="str">
        <f t="shared" si="69"/>
        <v/>
      </c>
      <c r="BJ24" s="3" t="str">
        <f t="shared" si="70"/>
        <v/>
      </c>
      <c r="BK24" s="3" t="str">
        <f t="shared" si="71"/>
        <v/>
      </c>
      <c r="BL24" s="3" t="str">
        <f t="shared" si="72"/>
        <v/>
      </c>
      <c r="BM24" s="3">
        <f t="shared" si="73"/>
        <v>7</v>
      </c>
      <c r="BN24" s="3" t="str">
        <f t="shared" si="74"/>
        <v/>
      </c>
      <c r="BO24" s="3" t="str">
        <f t="shared" si="75"/>
        <v/>
      </c>
      <c r="BP24" s="3" t="str">
        <f t="shared" si="76"/>
        <v/>
      </c>
      <c r="BQ24" s="3" t="str">
        <f t="shared" si="77"/>
        <v/>
      </c>
      <c r="BR24" s="3" t="str">
        <f t="shared" si="78"/>
        <v/>
      </c>
      <c r="BS24" s="3" t="str">
        <f t="shared" si="79"/>
        <v/>
      </c>
      <c r="BT24" s="3" t="str">
        <f t="shared" si="80"/>
        <v/>
      </c>
    </row>
    <row r="25" spans="2:72" x14ac:dyDescent="0.25">
      <c r="B25" s="3" t="s">
        <v>280</v>
      </c>
      <c r="C25" s="3" t="s">
        <v>219</v>
      </c>
      <c r="D25" s="3" t="s">
        <v>1</v>
      </c>
      <c r="E25" s="3" t="s">
        <v>115</v>
      </c>
      <c r="F25" s="3" t="s">
        <v>347</v>
      </c>
      <c r="G25" s="3" t="s">
        <v>414</v>
      </c>
      <c r="H25" s="18" t="s">
        <v>220</v>
      </c>
      <c r="I25" s="3" t="s">
        <v>24</v>
      </c>
      <c r="J25" s="3">
        <v>8</v>
      </c>
      <c r="K25" s="3" t="s">
        <v>214</v>
      </c>
      <c r="L25" s="3" t="s">
        <v>23</v>
      </c>
      <c r="M25" s="3">
        <v>10</v>
      </c>
      <c r="N25" s="3" t="str">
        <f t="shared" si="82"/>
        <v>0000000A</v>
      </c>
      <c r="O25" s="3">
        <v>23</v>
      </c>
      <c r="P25" s="3">
        <v>16</v>
      </c>
      <c r="Q25" s="3" t="str">
        <f t="shared" si="83"/>
        <v/>
      </c>
      <c r="R25" s="3" t="str">
        <f t="shared" si="83"/>
        <v/>
      </c>
      <c r="S25" s="3" t="str">
        <f t="shared" si="83"/>
        <v/>
      </c>
      <c r="T25" s="3" t="str">
        <f t="shared" si="83"/>
        <v/>
      </c>
      <c r="U25" s="3" t="str">
        <f t="shared" si="83"/>
        <v/>
      </c>
      <c r="V25" s="3" t="str">
        <f t="shared" si="83"/>
        <v/>
      </c>
      <c r="W25" s="3" t="str">
        <f t="shared" si="83"/>
        <v/>
      </c>
      <c r="X25" s="3" t="str">
        <f t="shared" si="83"/>
        <v/>
      </c>
      <c r="Y25" s="3" t="str">
        <f t="shared" si="83"/>
        <v>X</v>
      </c>
      <c r="Z25" s="3" t="str">
        <f t="shared" si="83"/>
        <v>X</v>
      </c>
      <c r="AA25" s="3" t="str">
        <f t="shared" si="83"/>
        <v>X</v>
      </c>
      <c r="AB25" s="3" t="str">
        <f t="shared" si="83"/>
        <v>X</v>
      </c>
      <c r="AC25" s="3" t="str">
        <f t="shared" si="83"/>
        <v>X</v>
      </c>
      <c r="AD25" s="3" t="str">
        <f t="shared" si="83"/>
        <v>X</v>
      </c>
      <c r="AE25" s="3" t="str">
        <f t="shared" si="83"/>
        <v>X</v>
      </c>
      <c r="AF25" s="3" t="str">
        <f t="shared" si="83"/>
        <v>X</v>
      </c>
      <c r="AG25" s="3" t="str">
        <f t="shared" si="84"/>
        <v/>
      </c>
      <c r="AH25" s="3" t="str">
        <f t="shared" si="84"/>
        <v/>
      </c>
      <c r="AI25" s="3" t="str">
        <f t="shared" si="84"/>
        <v/>
      </c>
      <c r="AJ25" s="3" t="str">
        <f t="shared" si="84"/>
        <v/>
      </c>
      <c r="AK25" s="3" t="str">
        <f t="shared" si="84"/>
        <v/>
      </c>
      <c r="AL25" s="3" t="str">
        <f t="shared" si="84"/>
        <v/>
      </c>
      <c r="AM25" s="3" t="str">
        <f t="shared" si="84"/>
        <v/>
      </c>
      <c r="AN25" s="3" t="str">
        <f t="shared" si="84"/>
        <v/>
      </c>
      <c r="AO25" s="3" t="str">
        <f t="shared" si="84"/>
        <v/>
      </c>
      <c r="AP25" s="3" t="str">
        <f t="shared" si="84"/>
        <v/>
      </c>
      <c r="AQ25" s="3" t="str">
        <f t="shared" si="84"/>
        <v/>
      </c>
      <c r="AR25" s="3" t="str">
        <f t="shared" si="84"/>
        <v/>
      </c>
      <c r="AS25" s="3" t="str">
        <f t="shared" si="84"/>
        <v/>
      </c>
      <c r="AT25" s="3" t="str">
        <f t="shared" si="84"/>
        <v/>
      </c>
      <c r="AU25" s="3" t="str">
        <f t="shared" si="84"/>
        <v/>
      </c>
      <c r="AV25" s="3" t="str">
        <f t="shared" si="84"/>
        <v/>
      </c>
      <c r="AW25" s="3" t="str">
        <f t="shared" si="13"/>
        <v/>
      </c>
      <c r="AX25" s="3" t="str">
        <f t="shared" si="14"/>
        <v>X</v>
      </c>
      <c r="AY25" s="3" t="str">
        <f t="shared" si="15"/>
        <v/>
      </c>
      <c r="AZ25" s="3" t="str">
        <f t="shared" si="16"/>
        <v/>
      </c>
      <c r="BA25" s="3" t="str">
        <f t="shared" si="61"/>
        <v/>
      </c>
      <c r="BB25" s="3">
        <f t="shared" si="62"/>
        <v>41</v>
      </c>
      <c r="BC25" s="3" t="str">
        <f t="shared" si="63"/>
        <v/>
      </c>
      <c r="BD25" s="3" t="str">
        <f t="shared" si="64"/>
        <v/>
      </c>
      <c r="BE25" s="7" t="str">
        <f t="shared" si="65"/>
        <v/>
      </c>
      <c r="BF25" s="7" t="str">
        <f t="shared" si="66"/>
        <v>00000029</v>
      </c>
      <c r="BG25" s="7" t="str">
        <f t="shared" si="67"/>
        <v/>
      </c>
      <c r="BH25" s="7" t="str">
        <f t="shared" si="68"/>
        <v/>
      </c>
      <c r="BI25" s="3" t="str">
        <f t="shared" si="69"/>
        <v/>
      </c>
      <c r="BJ25" s="3" t="str">
        <f t="shared" si="70"/>
        <v/>
      </c>
      <c r="BK25" s="3" t="str">
        <f t="shared" si="71"/>
        <v/>
      </c>
      <c r="BL25" s="3" t="str">
        <f t="shared" si="72"/>
        <v/>
      </c>
      <c r="BM25" s="3" t="str">
        <f t="shared" si="73"/>
        <v/>
      </c>
      <c r="BN25" s="3">
        <f t="shared" si="74"/>
        <v>7</v>
      </c>
      <c r="BO25" s="3" t="str">
        <f t="shared" si="75"/>
        <v/>
      </c>
      <c r="BP25" s="3" t="str">
        <f t="shared" si="76"/>
        <v/>
      </c>
      <c r="BQ25" s="3" t="str">
        <f t="shared" si="77"/>
        <v/>
      </c>
      <c r="BR25" s="3" t="str">
        <f t="shared" si="78"/>
        <v/>
      </c>
      <c r="BS25" s="3" t="str">
        <f t="shared" si="79"/>
        <v/>
      </c>
      <c r="BT25" s="3" t="str">
        <f t="shared" si="80"/>
        <v/>
      </c>
    </row>
    <row r="26" spans="2:72" x14ac:dyDescent="0.25">
      <c r="B26" s="3" t="s">
        <v>280</v>
      </c>
      <c r="C26" s="3" t="s">
        <v>221</v>
      </c>
      <c r="D26" s="3" t="s">
        <v>1</v>
      </c>
      <c r="E26" s="3" t="s">
        <v>115</v>
      </c>
      <c r="F26" s="3" t="s">
        <v>347</v>
      </c>
      <c r="G26" s="3" t="s">
        <v>414</v>
      </c>
      <c r="H26" s="18" t="s">
        <v>222</v>
      </c>
      <c r="I26" s="3" t="s">
        <v>24</v>
      </c>
      <c r="J26" s="3">
        <v>8</v>
      </c>
      <c r="K26" s="3" t="s">
        <v>211</v>
      </c>
      <c r="L26" s="3" t="s">
        <v>23</v>
      </c>
      <c r="M26" s="3">
        <v>10</v>
      </c>
      <c r="N26" s="3" t="str">
        <f t="shared" si="82"/>
        <v>0000000A</v>
      </c>
      <c r="O26" s="3">
        <v>15</v>
      </c>
      <c r="P26" s="3">
        <v>8</v>
      </c>
      <c r="Q26" s="3" t="str">
        <f t="shared" si="83"/>
        <v/>
      </c>
      <c r="R26" s="3" t="str">
        <f t="shared" si="83"/>
        <v/>
      </c>
      <c r="S26" s="3" t="str">
        <f t="shared" si="83"/>
        <v/>
      </c>
      <c r="T26" s="3" t="str">
        <f t="shared" si="83"/>
        <v/>
      </c>
      <c r="U26" s="3" t="str">
        <f t="shared" si="83"/>
        <v/>
      </c>
      <c r="V26" s="3" t="str">
        <f t="shared" si="83"/>
        <v/>
      </c>
      <c r="W26" s="3" t="str">
        <f t="shared" si="83"/>
        <v/>
      </c>
      <c r="X26" s="3" t="str">
        <f t="shared" si="83"/>
        <v/>
      </c>
      <c r="Y26" s="3" t="str">
        <f t="shared" si="83"/>
        <v/>
      </c>
      <c r="Z26" s="3" t="str">
        <f t="shared" si="83"/>
        <v/>
      </c>
      <c r="AA26" s="3" t="str">
        <f t="shared" si="83"/>
        <v/>
      </c>
      <c r="AB26" s="3" t="str">
        <f t="shared" si="83"/>
        <v/>
      </c>
      <c r="AC26" s="3" t="str">
        <f t="shared" si="83"/>
        <v/>
      </c>
      <c r="AD26" s="3" t="str">
        <f t="shared" si="83"/>
        <v/>
      </c>
      <c r="AE26" s="3" t="str">
        <f t="shared" si="83"/>
        <v/>
      </c>
      <c r="AF26" s="3" t="str">
        <f t="shared" si="83"/>
        <v/>
      </c>
      <c r="AG26" s="3" t="str">
        <f t="shared" si="84"/>
        <v>X</v>
      </c>
      <c r="AH26" s="3" t="str">
        <f t="shared" si="84"/>
        <v>X</v>
      </c>
      <c r="AI26" s="3" t="str">
        <f t="shared" si="84"/>
        <v>X</v>
      </c>
      <c r="AJ26" s="3" t="str">
        <f t="shared" si="84"/>
        <v>X</v>
      </c>
      <c r="AK26" s="3" t="str">
        <f t="shared" si="84"/>
        <v>X</v>
      </c>
      <c r="AL26" s="3" t="str">
        <f t="shared" si="84"/>
        <v>X</v>
      </c>
      <c r="AM26" s="3" t="str">
        <f t="shared" si="84"/>
        <v>X</v>
      </c>
      <c r="AN26" s="3" t="str">
        <f t="shared" si="84"/>
        <v>X</v>
      </c>
      <c r="AO26" s="3" t="str">
        <f t="shared" si="84"/>
        <v/>
      </c>
      <c r="AP26" s="3" t="str">
        <f t="shared" si="84"/>
        <v/>
      </c>
      <c r="AQ26" s="3" t="str">
        <f t="shared" si="84"/>
        <v/>
      </c>
      <c r="AR26" s="3" t="str">
        <f t="shared" si="84"/>
        <v/>
      </c>
      <c r="AS26" s="3" t="str">
        <f t="shared" si="84"/>
        <v/>
      </c>
      <c r="AT26" s="3" t="str">
        <f t="shared" si="84"/>
        <v/>
      </c>
      <c r="AU26" s="3" t="str">
        <f t="shared" si="84"/>
        <v/>
      </c>
      <c r="AV26" s="3" t="str">
        <f t="shared" si="84"/>
        <v/>
      </c>
      <c r="AW26" s="3" t="str">
        <f t="shared" si="13"/>
        <v/>
      </c>
      <c r="AX26" s="3" t="str">
        <f t="shared" si="14"/>
        <v/>
      </c>
      <c r="AY26" s="3" t="str">
        <f t="shared" si="15"/>
        <v>X</v>
      </c>
      <c r="AZ26" s="3" t="str">
        <f t="shared" si="16"/>
        <v/>
      </c>
      <c r="BA26" s="3" t="str">
        <f t="shared" si="61"/>
        <v/>
      </c>
      <c r="BB26" s="3" t="str">
        <f t="shared" si="62"/>
        <v/>
      </c>
      <c r="BC26" s="3">
        <f t="shared" si="63"/>
        <v>42</v>
      </c>
      <c r="BD26" s="3" t="str">
        <f t="shared" si="64"/>
        <v/>
      </c>
      <c r="BE26" s="7" t="str">
        <f t="shared" si="65"/>
        <v/>
      </c>
      <c r="BF26" s="7" t="str">
        <f t="shared" si="66"/>
        <v/>
      </c>
      <c r="BG26" s="7" t="str">
        <f t="shared" si="67"/>
        <v>0000002A</v>
      </c>
      <c r="BH26" s="7" t="str">
        <f t="shared" si="68"/>
        <v/>
      </c>
      <c r="BI26" s="3" t="str">
        <f t="shared" si="69"/>
        <v/>
      </c>
      <c r="BJ26" s="3" t="str">
        <f t="shared" si="70"/>
        <v/>
      </c>
      <c r="BK26" s="3" t="str">
        <f t="shared" si="71"/>
        <v/>
      </c>
      <c r="BL26" s="3" t="str">
        <f t="shared" si="72"/>
        <v/>
      </c>
      <c r="BM26" s="3" t="str">
        <f t="shared" si="73"/>
        <v/>
      </c>
      <c r="BN26" s="3" t="str">
        <f t="shared" si="74"/>
        <v/>
      </c>
      <c r="BO26" s="3">
        <f t="shared" si="75"/>
        <v>7</v>
      </c>
      <c r="BP26" s="3" t="str">
        <f t="shared" si="76"/>
        <v/>
      </c>
      <c r="BQ26" s="3" t="str">
        <f t="shared" si="77"/>
        <v/>
      </c>
      <c r="BR26" s="3" t="str">
        <f t="shared" si="78"/>
        <v/>
      </c>
      <c r="BS26" s="3" t="str">
        <f t="shared" si="79"/>
        <v/>
      </c>
      <c r="BT26" s="3" t="str">
        <f t="shared" si="80"/>
        <v/>
      </c>
    </row>
    <row r="27" spans="2:72" x14ac:dyDescent="0.25">
      <c r="B27" s="3" t="s">
        <v>280</v>
      </c>
      <c r="C27" s="3" t="s">
        <v>223</v>
      </c>
      <c r="D27" s="3" t="s">
        <v>1</v>
      </c>
      <c r="E27" s="3" t="s">
        <v>115</v>
      </c>
      <c r="F27" s="3" t="s">
        <v>347</v>
      </c>
      <c r="G27" s="3" t="s">
        <v>414</v>
      </c>
      <c r="H27" s="18" t="s">
        <v>224</v>
      </c>
      <c r="I27" s="3" t="s">
        <v>24</v>
      </c>
      <c r="J27" s="3">
        <v>8</v>
      </c>
      <c r="K27" s="3" t="s">
        <v>208</v>
      </c>
      <c r="L27" s="3" t="s">
        <v>23</v>
      </c>
      <c r="M27" s="3">
        <v>10</v>
      </c>
      <c r="N27" s="3" t="str">
        <f t="shared" si="82"/>
        <v>0000000A</v>
      </c>
      <c r="O27" s="3">
        <v>7</v>
      </c>
      <c r="P27" s="3">
        <v>0</v>
      </c>
      <c r="Q27" s="3" t="str">
        <f t="shared" si="83"/>
        <v/>
      </c>
      <c r="R27" s="3" t="str">
        <f t="shared" si="83"/>
        <v/>
      </c>
      <c r="S27" s="3" t="str">
        <f t="shared" si="83"/>
        <v/>
      </c>
      <c r="T27" s="3" t="str">
        <f t="shared" si="83"/>
        <v/>
      </c>
      <c r="U27" s="3" t="str">
        <f t="shared" si="83"/>
        <v/>
      </c>
      <c r="V27" s="3" t="str">
        <f t="shared" si="83"/>
        <v/>
      </c>
      <c r="W27" s="3" t="str">
        <f t="shared" si="83"/>
        <v/>
      </c>
      <c r="X27" s="3" t="str">
        <f t="shared" si="83"/>
        <v/>
      </c>
      <c r="Y27" s="3" t="str">
        <f t="shared" si="83"/>
        <v/>
      </c>
      <c r="Z27" s="3" t="str">
        <f t="shared" si="83"/>
        <v/>
      </c>
      <c r="AA27" s="3" t="str">
        <f t="shared" si="83"/>
        <v/>
      </c>
      <c r="AB27" s="3" t="str">
        <f t="shared" si="83"/>
        <v/>
      </c>
      <c r="AC27" s="3" t="str">
        <f t="shared" si="83"/>
        <v/>
      </c>
      <c r="AD27" s="3" t="str">
        <f t="shared" si="83"/>
        <v/>
      </c>
      <c r="AE27" s="3" t="str">
        <f t="shared" si="83"/>
        <v/>
      </c>
      <c r="AF27" s="3" t="str">
        <f t="shared" si="83"/>
        <v/>
      </c>
      <c r="AG27" s="3" t="str">
        <f t="shared" si="84"/>
        <v/>
      </c>
      <c r="AH27" s="3" t="str">
        <f t="shared" si="84"/>
        <v/>
      </c>
      <c r="AI27" s="3" t="str">
        <f t="shared" si="84"/>
        <v/>
      </c>
      <c r="AJ27" s="3" t="str">
        <f t="shared" si="84"/>
        <v/>
      </c>
      <c r="AK27" s="3" t="str">
        <f t="shared" si="84"/>
        <v/>
      </c>
      <c r="AL27" s="3" t="str">
        <f t="shared" si="84"/>
        <v/>
      </c>
      <c r="AM27" s="3" t="str">
        <f t="shared" si="84"/>
        <v/>
      </c>
      <c r="AN27" s="3" t="str">
        <f t="shared" si="84"/>
        <v/>
      </c>
      <c r="AO27" s="3" t="str">
        <f t="shared" si="84"/>
        <v>X</v>
      </c>
      <c r="AP27" s="3" t="str">
        <f t="shared" si="84"/>
        <v>X</v>
      </c>
      <c r="AQ27" s="3" t="str">
        <f t="shared" si="84"/>
        <v>X</v>
      </c>
      <c r="AR27" s="3" t="str">
        <f t="shared" si="84"/>
        <v>X</v>
      </c>
      <c r="AS27" s="3" t="str">
        <f t="shared" si="84"/>
        <v>X</v>
      </c>
      <c r="AT27" s="3" t="str">
        <f t="shared" si="84"/>
        <v>X</v>
      </c>
      <c r="AU27" s="3" t="str">
        <f t="shared" si="84"/>
        <v>X</v>
      </c>
      <c r="AV27" s="3" t="str">
        <f t="shared" si="84"/>
        <v>X</v>
      </c>
      <c r="AW27" s="3" t="str">
        <f t="shared" si="13"/>
        <v/>
      </c>
      <c r="AX27" s="3" t="str">
        <f t="shared" si="14"/>
        <v/>
      </c>
      <c r="AY27" s="3" t="str">
        <f t="shared" si="15"/>
        <v/>
      </c>
      <c r="AZ27" s="3" t="str">
        <f t="shared" si="16"/>
        <v>X</v>
      </c>
      <c r="BA27" s="3" t="str">
        <f t="shared" si="61"/>
        <v/>
      </c>
      <c r="BB27" s="3" t="str">
        <f t="shared" si="62"/>
        <v/>
      </c>
      <c r="BC27" s="3" t="str">
        <f t="shared" si="63"/>
        <v/>
      </c>
      <c r="BD27" s="3">
        <f t="shared" si="64"/>
        <v>43</v>
      </c>
      <c r="BE27" s="7" t="str">
        <f t="shared" si="65"/>
        <v/>
      </c>
      <c r="BF27" s="7" t="str">
        <f t="shared" si="66"/>
        <v/>
      </c>
      <c r="BG27" s="7" t="str">
        <f t="shared" si="67"/>
        <v/>
      </c>
      <c r="BH27" s="7" t="str">
        <f t="shared" si="68"/>
        <v>0000002B</v>
      </c>
      <c r="BI27" s="3" t="str">
        <f t="shared" si="69"/>
        <v/>
      </c>
      <c r="BJ27" s="3" t="str">
        <f t="shared" si="70"/>
        <v/>
      </c>
      <c r="BK27" s="3" t="str">
        <f t="shared" si="71"/>
        <v/>
      </c>
      <c r="BL27" s="3" t="str">
        <f t="shared" si="72"/>
        <v/>
      </c>
      <c r="BM27" s="3" t="str">
        <f t="shared" si="73"/>
        <v/>
      </c>
      <c r="BN27" s="3" t="str">
        <f t="shared" si="74"/>
        <v/>
      </c>
      <c r="BO27" s="3" t="str">
        <f t="shared" si="75"/>
        <v/>
      </c>
      <c r="BP27" s="3">
        <f t="shared" si="76"/>
        <v>7</v>
      </c>
      <c r="BQ27" s="3" t="str">
        <f t="shared" si="77"/>
        <v/>
      </c>
      <c r="BR27" s="3" t="str">
        <f t="shared" si="78"/>
        <v/>
      </c>
      <c r="BS27" s="3" t="str">
        <f t="shared" si="79"/>
        <v/>
      </c>
      <c r="BT27" s="3" t="str">
        <f t="shared" si="80"/>
        <v/>
      </c>
    </row>
    <row r="28" spans="2:72" x14ac:dyDescent="0.25">
      <c r="B28" s="3" t="s">
        <v>281</v>
      </c>
      <c r="C28" s="3" t="s">
        <v>225</v>
      </c>
      <c r="D28" s="3" t="s">
        <v>1</v>
      </c>
      <c r="E28" s="3" t="s">
        <v>115</v>
      </c>
      <c r="F28" s="3" t="s">
        <v>348</v>
      </c>
      <c r="G28" s="3" t="s">
        <v>415</v>
      </c>
      <c r="H28" s="18" t="s">
        <v>226</v>
      </c>
      <c r="I28" s="3" t="s">
        <v>24</v>
      </c>
      <c r="J28" s="3">
        <v>8</v>
      </c>
      <c r="K28" s="3" t="s">
        <v>208</v>
      </c>
      <c r="L28" s="3" t="s">
        <v>23</v>
      </c>
      <c r="M28" s="3">
        <v>11</v>
      </c>
      <c r="N28" s="3" t="str">
        <f t="shared" si="82"/>
        <v>0000000B</v>
      </c>
      <c r="O28" s="3">
        <v>31</v>
      </c>
      <c r="P28" s="3">
        <v>24</v>
      </c>
      <c r="Q28" s="3" t="str">
        <f t="shared" si="83"/>
        <v>X</v>
      </c>
      <c r="R28" s="3" t="str">
        <f t="shared" si="83"/>
        <v>X</v>
      </c>
      <c r="S28" s="3" t="str">
        <f t="shared" si="83"/>
        <v>X</v>
      </c>
      <c r="T28" s="3" t="str">
        <f t="shared" si="83"/>
        <v>X</v>
      </c>
      <c r="U28" s="3" t="str">
        <f t="shared" si="83"/>
        <v>X</v>
      </c>
      <c r="V28" s="3" t="str">
        <f t="shared" si="83"/>
        <v>X</v>
      </c>
      <c r="W28" s="3" t="str">
        <f t="shared" si="83"/>
        <v>X</v>
      </c>
      <c r="X28" s="3" t="str">
        <f t="shared" si="83"/>
        <v>X</v>
      </c>
      <c r="Y28" s="3" t="str">
        <f t="shared" si="83"/>
        <v/>
      </c>
      <c r="Z28" s="3" t="str">
        <f t="shared" si="83"/>
        <v/>
      </c>
      <c r="AA28" s="3" t="str">
        <f t="shared" si="83"/>
        <v/>
      </c>
      <c r="AB28" s="3" t="str">
        <f t="shared" si="83"/>
        <v/>
      </c>
      <c r="AC28" s="3" t="str">
        <f t="shared" si="83"/>
        <v/>
      </c>
      <c r="AD28" s="3" t="str">
        <f t="shared" si="83"/>
        <v/>
      </c>
      <c r="AE28" s="3" t="str">
        <f t="shared" si="83"/>
        <v/>
      </c>
      <c r="AF28" s="3" t="str">
        <f t="shared" si="83"/>
        <v/>
      </c>
      <c r="AG28" s="3" t="str">
        <f t="shared" si="84"/>
        <v/>
      </c>
      <c r="AH28" s="3" t="str">
        <f t="shared" si="84"/>
        <v/>
      </c>
      <c r="AI28" s="3" t="str">
        <f t="shared" si="84"/>
        <v/>
      </c>
      <c r="AJ28" s="3" t="str">
        <f t="shared" si="84"/>
        <v/>
      </c>
      <c r="AK28" s="3" t="str">
        <f t="shared" si="84"/>
        <v/>
      </c>
      <c r="AL28" s="3" t="str">
        <f t="shared" si="84"/>
        <v/>
      </c>
      <c r="AM28" s="3" t="str">
        <f t="shared" si="84"/>
        <v/>
      </c>
      <c r="AN28" s="3" t="str">
        <f t="shared" si="84"/>
        <v/>
      </c>
      <c r="AO28" s="3" t="str">
        <f t="shared" si="84"/>
        <v/>
      </c>
      <c r="AP28" s="3" t="str">
        <f t="shared" si="84"/>
        <v/>
      </c>
      <c r="AQ28" s="3" t="str">
        <f t="shared" si="84"/>
        <v/>
      </c>
      <c r="AR28" s="3" t="str">
        <f t="shared" si="84"/>
        <v/>
      </c>
      <c r="AS28" s="3" t="str">
        <f t="shared" si="84"/>
        <v/>
      </c>
      <c r="AT28" s="3" t="str">
        <f t="shared" si="84"/>
        <v/>
      </c>
      <c r="AU28" s="3" t="str">
        <f t="shared" si="84"/>
        <v/>
      </c>
      <c r="AV28" s="3" t="str">
        <f t="shared" si="84"/>
        <v/>
      </c>
      <c r="AW28" s="3" t="str">
        <f t="shared" si="13"/>
        <v>X</v>
      </c>
      <c r="AX28" s="3" t="str">
        <f t="shared" si="14"/>
        <v/>
      </c>
      <c r="AY28" s="3" t="str">
        <f t="shared" si="15"/>
        <v/>
      </c>
      <c r="AZ28" s="3" t="str">
        <f t="shared" si="16"/>
        <v/>
      </c>
      <c r="BA28" s="3">
        <f t="shared" si="61"/>
        <v>44</v>
      </c>
      <c r="BB28" s="3" t="str">
        <f t="shared" si="62"/>
        <v/>
      </c>
      <c r="BC28" s="3" t="str">
        <f t="shared" si="63"/>
        <v/>
      </c>
      <c r="BD28" s="3" t="str">
        <f t="shared" si="64"/>
        <v/>
      </c>
      <c r="BE28" s="7" t="str">
        <f t="shared" si="65"/>
        <v>0000002C</v>
      </c>
      <c r="BF28" s="7" t="str">
        <f t="shared" si="66"/>
        <v/>
      </c>
      <c r="BG28" s="7" t="str">
        <f t="shared" si="67"/>
        <v/>
      </c>
      <c r="BH28" s="7" t="str">
        <f t="shared" si="68"/>
        <v/>
      </c>
      <c r="BI28" s="3" t="str">
        <f t="shared" si="69"/>
        <v/>
      </c>
      <c r="BJ28" s="3" t="str">
        <f t="shared" si="70"/>
        <v/>
      </c>
      <c r="BK28" s="3" t="str">
        <f t="shared" si="71"/>
        <v/>
      </c>
      <c r="BL28" s="3" t="str">
        <f t="shared" si="72"/>
        <v/>
      </c>
      <c r="BM28" s="3">
        <f t="shared" si="73"/>
        <v>7</v>
      </c>
      <c r="BN28" s="3" t="str">
        <f t="shared" si="74"/>
        <v/>
      </c>
      <c r="BO28" s="3" t="str">
        <f t="shared" si="75"/>
        <v/>
      </c>
      <c r="BP28" s="3" t="str">
        <f t="shared" si="76"/>
        <v/>
      </c>
      <c r="BQ28" s="3" t="str">
        <f t="shared" si="77"/>
        <v/>
      </c>
      <c r="BR28" s="3" t="str">
        <f t="shared" si="78"/>
        <v/>
      </c>
      <c r="BS28" s="3" t="str">
        <f t="shared" si="79"/>
        <v/>
      </c>
      <c r="BT28" s="3" t="str">
        <f t="shared" si="80"/>
        <v/>
      </c>
    </row>
    <row r="29" spans="2:72" x14ac:dyDescent="0.25">
      <c r="B29" s="3" t="s">
        <v>281</v>
      </c>
      <c r="C29" s="3" t="s">
        <v>227</v>
      </c>
      <c r="D29" s="3" t="s">
        <v>1</v>
      </c>
      <c r="E29" s="3" t="s">
        <v>115</v>
      </c>
      <c r="F29" s="3" t="s">
        <v>348</v>
      </c>
      <c r="G29" s="3" t="s">
        <v>415</v>
      </c>
      <c r="H29" s="18" t="s">
        <v>228</v>
      </c>
      <c r="I29" s="3" t="s">
        <v>24</v>
      </c>
      <c r="J29" s="3">
        <v>8</v>
      </c>
      <c r="K29" s="3" t="s">
        <v>208</v>
      </c>
      <c r="L29" s="3" t="s">
        <v>23</v>
      </c>
      <c r="M29" s="3">
        <v>11</v>
      </c>
      <c r="N29" s="3" t="str">
        <f t="shared" si="82"/>
        <v>0000000B</v>
      </c>
      <c r="O29" s="3">
        <v>23</v>
      </c>
      <c r="P29" s="3">
        <v>16</v>
      </c>
      <c r="Q29" s="3" t="str">
        <f t="shared" si="83"/>
        <v/>
      </c>
      <c r="R29" s="3" t="str">
        <f t="shared" si="83"/>
        <v/>
      </c>
      <c r="S29" s="3" t="str">
        <f t="shared" si="83"/>
        <v/>
      </c>
      <c r="T29" s="3" t="str">
        <f t="shared" si="83"/>
        <v/>
      </c>
      <c r="U29" s="3" t="str">
        <f t="shared" si="83"/>
        <v/>
      </c>
      <c r="V29" s="3" t="str">
        <f t="shared" si="83"/>
        <v/>
      </c>
      <c r="W29" s="3" t="str">
        <f t="shared" si="83"/>
        <v/>
      </c>
      <c r="X29" s="3" t="str">
        <f t="shared" si="83"/>
        <v/>
      </c>
      <c r="Y29" s="3" t="str">
        <f t="shared" si="83"/>
        <v>X</v>
      </c>
      <c r="Z29" s="3" t="str">
        <f t="shared" si="83"/>
        <v>X</v>
      </c>
      <c r="AA29" s="3" t="str">
        <f t="shared" si="83"/>
        <v>X</v>
      </c>
      <c r="AB29" s="3" t="str">
        <f t="shared" si="83"/>
        <v>X</v>
      </c>
      <c r="AC29" s="3" t="str">
        <f t="shared" si="83"/>
        <v>X</v>
      </c>
      <c r="AD29" s="3" t="str">
        <f t="shared" si="83"/>
        <v>X</v>
      </c>
      <c r="AE29" s="3" t="str">
        <f t="shared" si="83"/>
        <v>X</v>
      </c>
      <c r="AF29" s="3" t="str">
        <f t="shared" si="83"/>
        <v>X</v>
      </c>
      <c r="AG29" s="3" t="str">
        <f t="shared" si="84"/>
        <v/>
      </c>
      <c r="AH29" s="3" t="str">
        <f t="shared" si="84"/>
        <v/>
      </c>
      <c r="AI29" s="3" t="str">
        <f t="shared" si="84"/>
        <v/>
      </c>
      <c r="AJ29" s="3" t="str">
        <f t="shared" si="84"/>
        <v/>
      </c>
      <c r="AK29" s="3" t="str">
        <f t="shared" si="84"/>
        <v/>
      </c>
      <c r="AL29" s="3" t="str">
        <f t="shared" si="84"/>
        <v/>
      </c>
      <c r="AM29" s="3" t="str">
        <f t="shared" si="84"/>
        <v/>
      </c>
      <c r="AN29" s="3" t="str">
        <f t="shared" si="84"/>
        <v/>
      </c>
      <c r="AO29" s="3" t="str">
        <f t="shared" si="84"/>
        <v/>
      </c>
      <c r="AP29" s="3" t="str">
        <f t="shared" si="84"/>
        <v/>
      </c>
      <c r="AQ29" s="3" t="str">
        <f t="shared" si="84"/>
        <v/>
      </c>
      <c r="AR29" s="3" t="str">
        <f t="shared" si="84"/>
        <v/>
      </c>
      <c r="AS29" s="3" t="str">
        <f t="shared" si="84"/>
        <v/>
      </c>
      <c r="AT29" s="3" t="str">
        <f t="shared" si="84"/>
        <v/>
      </c>
      <c r="AU29" s="3" t="str">
        <f t="shared" si="84"/>
        <v/>
      </c>
      <c r="AV29" s="3" t="str">
        <f t="shared" si="84"/>
        <v/>
      </c>
      <c r="AW29" s="3" t="str">
        <f t="shared" si="13"/>
        <v/>
      </c>
      <c r="AX29" s="3" t="str">
        <f t="shared" si="14"/>
        <v>X</v>
      </c>
      <c r="AY29" s="3" t="str">
        <f t="shared" si="15"/>
        <v/>
      </c>
      <c r="AZ29" s="3" t="str">
        <f t="shared" si="16"/>
        <v/>
      </c>
      <c r="BA29" s="3" t="str">
        <f t="shared" si="61"/>
        <v/>
      </c>
      <c r="BB29" s="3">
        <f t="shared" si="62"/>
        <v>45</v>
      </c>
      <c r="BC29" s="3" t="str">
        <f t="shared" si="63"/>
        <v/>
      </c>
      <c r="BD29" s="3" t="str">
        <f t="shared" si="64"/>
        <v/>
      </c>
      <c r="BE29" s="7" t="str">
        <f t="shared" si="65"/>
        <v/>
      </c>
      <c r="BF29" s="7" t="str">
        <f t="shared" si="66"/>
        <v>0000002D</v>
      </c>
      <c r="BG29" s="7" t="str">
        <f t="shared" si="67"/>
        <v/>
      </c>
      <c r="BH29" s="7" t="str">
        <f t="shared" si="68"/>
        <v/>
      </c>
      <c r="BI29" s="3" t="str">
        <f t="shared" si="69"/>
        <v/>
      </c>
      <c r="BJ29" s="3" t="str">
        <f t="shared" si="70"/>
        <v/>
      </c>
      <c r="BK29" s="3" t="str">
        <f t="shared" si="71"/>
        <v/>
      </c>
      <c r="BL29" s="3" t="str">
        <f t="shared" si="72"/>
        <v/>
      </c>
      <c r="BM29" s="3" t="str">
        <f t="shared" si="73"/>
        <v/>
      </c>
      <c r="BN29" s="3">
        <f t="shared" si="74"/>
        <v>7</v>
      </c>
      <c r="BO29" s="3" t="str">
        <f t="shared" si="75"/>
        <v/>
      </c>
      <c r="BP29" s="3" t="str">
        <f t="shared" si="76"/>
        <v/>
      </c>
      <c r="BQ29" s="3" t="str">
        <f t="shared" si="77"/>
        <v/>
      </c>
      <c r="BR29" s="3" t="str">
        <f t="shared" si="78"/>
        <v/>
      </c>
      <c r="BS29" s="3" t="str">
        <f t="shared" si="79"/>
        <v/>
      </c>
      <c r="BT29" s="3" t="str">
        <f t="shared" si="80"/>
        <v/>
      </c>
    </row>
    <row r="30" spans="2:72" x14ac:dyDescent="0.25">
      <c r="B30" s="3" t="s">
        <v>282</v>
      </c>
      <c r="C30" s="3" t="s">
        <v>1703</v>
      </c>
      <c r="D30" s="3" t="s">
        <v>1</v>
      </c>
      <c r="E30" s="3" t="s">
        <v>115</v>
      </c>
      <c r="F30" s="3" t="s">
        <v>349</v>
      </c>
      <c r="G30" s="3" t="s">
        <v>416</v>
      </c>
      <c r="H30" s="18" t="s">
        <v>1694</v>
      </c>
      <c r="I30" s="3" t="s">
        <v>24</v>
      </c>
      <c r="J30" s="3">
        <v>32</v>
      </c>
      <c r="K30" s="3" t="s">
        <v>1705</v>
      </c>
      <c r="L30" s="3" t="s">
        <v>23</v>
      </c>
      <c r="M30" s="3">
        <v>64</v>
      </c>
      <c r="N30" s="3" t="str">
        <f t="shared" si="82"/>
        <v>00000040</v>
      </c>
      <c r="O30" s="3">
        <v>31</v>
      </c>
      <c r="P30" s="3">
        <v>0</v>
      </c>
      <c r="Q30" s="3" t="str">
        <f t="shared" si="83"/>
        <v>X</v>
      </c>
      <c r="R30" s="3" t="str">
        <f t="shared" si="83"/>
        <v>X</v>
      </c>
      <c r="S30" s="3" t="str">
        <f t="shared" si="83"/>
        <v>X</v>
      </c>
      <c r="T30" s="3" t="str">
        <f t="shared" si="83"/>
        <v>X</v>
      </c>
      <c r="U30" s="3" t="str">
        <f t="shared" si="83"/>
        <v>X</v>
      </c>
      <c r="V30" s="3" t="str">
        <f t="shared" si="83"/>
        <v>X</v>
      </c>
      <c r="W30" s="3" t="str">
        <f t="shared" si="83"/>
        <v>X</v>
      </c>
      <c r="X30" s="3" t="str">
        <f t="shared" si="83"/>
        <v>X</v>
      </c>
      <c r="Y30" s="3" t="str">
        <f t="shared" si="83"/>
        <v>X</v>
      </c>
      <c r="Z30" s="3" t="str">
        <f t="shared" si="83"/>
        <v>X</v>
      </c>
      <c r="AA30" s="3" t="str">
        <f t="shared" si="83"/>
        <v>X</v>
      </c>
      <c r="AB30" s="3" t="str">
        <f t="shared" si="83"/>
        <v>X</v>
      </c>
      <c r="AC30" s="3" t="str">
        <f t="shared" si="83"/>
        <v>X</v>
      </c>
      <c r="AD30" s="3" t="str">
        <f t="shared" si="83"/>
        <v>X</v>
      </c>
      <c r="AE30" s="3" t="str">
        <f t="shared" si="83"/>
        <v>X</v>
      </c>
      <c r="AF30" s="3" t="str">
        <f t="shared" si="83"/>
        <v>X</v>
      </c>
      <c r="AG30" s="3" t="str">
        <f t="shared" si="84"/>
        <v>X</v>
      </c>
      <c r="AH30" s="3" t="str">
        <f t="shared" si="84"/>
        <v>X</v>
      </c>
      <c r="AI30" s="3" t="str">
        <f t="shared" si="84"/>
        <v>X</v>
      </c>
      <c r="AJ30" s="3" t="str">
        <f t="shared" si="84"/>
        <v>X</v>
      </c>
      <c r="AK30" s="3" t="str">
        <f t="shared" si="84"/>
        <v>X</v>
      </c>
      <c r="AL30" s="3" t="str">
        <f t="shared" si="84"/>
        <v>X</v>
      </c>
      <c r="AM30" s="3" t="str">
        <f t="shared" si="84"/>
        <v>X</v>
      </c>
      <c r="AN30" s="3" t="str">
        <f t="shared" si="84"/>
        <v>X</v>
      </c>
      <c r="AO30" s="3" t="str">
        <f t="shared" si="84"/>
        <v>X</v>
      </c>
      <c r="AP30" s="3" t="str">
        <f t="shared" si="84"/>
        <v>X</v>
      </c>
      <c r="AQ30" s="3" t="str">
        <f t="shared" si="84"/>
        <v>X</v>
      </c>
      <c r="AR30" s="3" t="str">
        <f t="shared" si="84"/>
        <v>X</v>
      </c>
      <c r="AS30" s="3" t="str">
        <f t="shared" si="84"/>
        <v>X</v>
      </c>
      <c r="AT30" s="3" t="str">
        <f t="shared" si="84"/>
        <v>X</v>
      </c>
      <c r="AU30" s="3" t="str">
        <f t="shared" si="84"/>
        <v>X</v>
      </c>
      <c r="AV30" s="3" t="str">
        <f t="shared" si="84"/>
        <v>X</v>
      </c>
      <c r="AW30" s="3" t="str">
        <f t="shared" si="13"/>
        <v>X</v>
      </c>
      <c r="AX30" s="3" t="str">
        <f t="shared" si="14"/>
        <v>X</v>
      </c>
      <c r="AY30" s="3" t="str">
        <f t="shared" si="15"/>
        <v>X</v>
      </c>
      <c r="AZ30" s="3" t="str">
        <f t="shared" si="16"/>
        <v>X</v>
      </c>
      <c r="BA30" s="3">
        <f t="shared" si="61"/>
        <v>256</v>
      </c>
      <c r="BB30" s="3">
        <f t="shared" si="62"/>
        <v>257</v>
      </c>
      <c r="BC30" s="3">
        <f t="shared" si="63"/>
        <v>258</v>
      </c>
      <c r="BD30" s="3">
        <f t="shared" si="64"/>
        <v>259</v>
      </c>
      <c r="BE30" s="7" t="str">
        <f t="shared" si="65"/>
        <v>00000100</v>
      </c>
      <c r="BF30" s="7" t="str">
        <f t="shared" si="66"/>
        <v>00000101</v>
      </c>
      <c r="BG30" s="7" t="str">
        <f t="shared" si="67"/>
        <v>00000102</v>
      </c>
      <c r="BH30" s="7" t="str">
        <f t="shared" si="68"/>
        <v>00000103</v>
      </c>
      <c r="BI30" s="3" t="str">
        <f t="shared" si="69"/>
        <v/>
      </c>
      <c r="BJ30" s="3" t="str">
        <f t="shared" si="70"/>
        <v/>
      </c>
      <c r="BK30" s="3" t="str">
        <f t="shared" si="71"/>
        <v/>
      </c>
      <c r="BL30" s="3" t="str">
        <f t="shared" si="72"/>
        <v/>
      </c>
      <c r="BM30" s="3">
        <f t="shared" si="73"/>
        <v>31</v>
      </c>
      <c r="BN30" s="3">
        <f t="shared" si="74"/>
        <v>23</v>
      </c>
      <c r="BO30" s="3">
        <f t="shared" si="75"/>
        <v>15</v>
      </c>
      <c r="BP30" s="3">
        <f t="shared" si="76"/>
        <v>7</v>
      </c>
      <c r="BQ30" s="3" t="str">
        <f t="shared" si="77"/>
        <v>(31 downto 24)</v>
      </c>
      <c r="BR30" s="3" t="str">
        <f t="shared" si="78"/>
        <v>(23 downto 16)</v>
      </c>
      <c r="BS30" s="3" t="str">
        <f t="shared" si="79"/>
        <v>(15 downto 8)</v>
      </c>
      <c r="BT30" s="3" t="str">
        <f t="shared" si="80"/>
        <v>(7 downto 0)</v>
      </c>
    </row>
    <row r="31" spans="2:72" x14ac:dyDescent="0.25">
      <c r="B31" s="3" t="s">
        <v>283</v>
      </c>
      <c r="C31" s="3" t="s">
        <v>1704</v>
      </c>
      <c r="D31" s="3" t="s">
        <v>1</v>
      </c>
      <c r="E31" s="3" t="s">
        <v>115</v>
      </c>
      <c r="F31" s="3" t="s">
        <v>350</v>
      </c>
      <c r="G31" s="3" t="s">
        <v>417</v>
      </c>
      <c r="H31" s="18" t="s">
        <v>1694</v>
      </c>
      <c r="I31" s="3" t="s">
        <v>24</v>
      </c>
      <c r="J31" s="3">
        <v>32</v>
      </c>
      <c r="K31" s="3" t="s">
        <v>1706</v>
      </c>
      <c r="L31" s="3" t="s">
        <v>23</v>
      </c>
      <c r="M31" s="3">
        <v>65</v>
      </c>
      <c r="N31" s="3" t="str">
        <f t="shared" ref="N31:N33" si="85">DEC2HEX($M31,8)</f>
        <v>00000041</v>
      </c>
      <c r="O31" s="3">
        <v>31</v>
      </c>
      <c r="P31" s="3">
        <v>0</v>
      </c>
      <c r="Q31" s="3" t="str">
        <f t="shared" si="83"/>
        <v>X</v>
      </c>
      <c r="R31" s="3" t="str">
        <f t="shared" si="83"/>
        <v>X</v>
      </c>
      <c r="S31" s="3" t="str">
        <f t="shared" si="83"/>
        <v>X</v>
      </c>
      <c r="T31" s="3" t="str">
        <f t="shared" si="83"/>
        <v>X</v>
      </c>
      <c r="U31" s="3" t="str">
        <f t="shared" si="83"/>
        <v>X</v>
      </c>
      <c r="V31" s="3" t="str">
        <f t="shared" si="83"/>
        <v>X</v>
      </c>
      <c r="W31" s="3" t="str">
        <f t="shared" si="83"/>
        <v>X</v>
      </c>
      <c r="X31" s="3" t="str">
        <f t="shared" si="83"/>
        <v>X</v>
      </c>
      <c r="Y31" s="3" t="str">
        <f t="shared" si="83"/>
        <v>X</v>
      </c>
      <c r="Z31" s="3" t="str">
        <f t="shared" si="83"/>
        <v>X</v>
      </c>
      <c r="AA31" s="3" t="str">
        <f t="shared" si="83"/>
        <v>X</v>
      </c>
      <c r="AB31" s="3" t="str">
        <f t="shared" si="83"/>
        <v>X</v>
      </c>
      <c r="AC31" s="3" t="str">
        <f t="shared" si="83"/>
        <v>X</v>
      </c>
      <c r="AD31" s="3" t="str">
        <f t="shared" si="83"/>
        <v>X</v>
      </c>
      <c r="AE31" s="3" t="str">
        <f t="shared" si="83"/>
        <v>X</v>
      </c>
      <c r="AF31" s="3" t="str">
        <f t="shared" si="83"/>
        <v>X</v>
      </c>
      <c r="AG31" s="3" t="str">
        <f t="shared" si="84"/>
        <v>X</v>
      </c>
      <c r="AH31" s="3" t="str">
        <f t="shared" si="84"/>
        <v>X</v>
      </c>
      <c r="AI31" s="3" t="str">
        <f t="shared" si="84"/>
        <v>X</v>
      </c>
      <c r="AJ31" s="3" t="str">
        <f t="shared" si="84"/>
        <v>X</v>
      </c>
      <c r="AK31" s="3" t="str">
        <f t="shared" si="84"/>
        <v>X</v>
      </c>
      <c r="AL31" s="3" t="str">
        <f t="shared" si="84"/>
        <v>X</v>
      </c>
      <c r="AM31" s="3" t="str">
        <f t="shared" si="84"/>
        <v>X</v>
      </c>
      <c r="AN31" s="3" t="str">
        <f t="shared" si="84"/>
        <v>X</v>
      </c>
      <c r="AO31" s="3" t="str">
        <f t="shared" si="84"/>
        <v>X</v>
      </c>
      <c r="AP31" s="3" t="str">
        <f t="shared" si="84"/>
        <v>X</v>
      </c>
      <c r="AQ31" s="3" t="str">
        <f t="shared" si="84"/>
        <v>X</v>
      </c>
      <c r="AR31" s="3" t="str">
        <f t="shared" si="84"/>
        <v>X</v>
      </c>
      <c r="AS31" s="3" t="str">
        <f t="shared" si="84"/>
        <v>X</v>
      </c>
      <c r="AT31" s="3" t="str">
        <f t="shared" si="84"/>
        <v>X</v>
      </c>
      <c r="AU31" s="3" t="str">
        <f t="shared" si="84"/>
        <v>X</v>
      </c>
      <c r="AV31" s="3" t="str">
        <f t="shared" si="84"/>
        <v>X</v>
      </c>
      <c r="AW31" s="3" t="str">
        <f t="shared" si="13"/>
        <v>X</v>
      </c>
      <c r="AX31" s="3" t="str">
        <f t="shared" si="14"/>
        <v>X</v>
      </c>
      <c r="AY31" s="3" t="str">
        <f t="shared" si="15"/>
        <v>X</v>
      </c>
      <c r="AZ31" s="3" t="str">
        <f t="shared" si="16"/>
        <v>X</v>
      </c>
      <c r="BA31" s="3">
        <f t="shared" si="61"/>
        <v>260</v>
      </c>
      <c r="BB31" s="3">
        <f t="shared" si="62"/>
        <v>261</v>
      </c>
      <c r="BC31" s="3">
        <f t="shared" si="63"/>
        <v>262</v>
      </c>
      <c r="BD31" s="3">
        <f t="shared" si="64"/>
        <v>263</v>
      </c>
      <c r="BE31" s="7" t="str">
        <f t="shared" si="65"/>
        <v>00000104</v>
      </c>
      <c r="BF31" s="7" t="str">
        <f t="shared" si="66"/>
        <v>00000105</v>
      </c>
      <c r="BG31" s="7" t="str">
        <f t="shared" si="67"/>
        <v>00000106</v>
      </c>
      <c r="BH31" s="7" t="str">
        <f t="shared" si="68"/>
        <v>00000107</v>
      </c>
      <c r="BI31" s="3" t="str">
        <f t="shared" si="69"/>
        <v/>
      </c>
      <c r="BJ31" s="3" t="str">
        <f t="shared" si="70"/>
        <v/>
      </c>
      <c r="BK31" s="3" t="str">
        <f t="shared" si="71"/>
        <v/>
      </c>
      <c r="BL31" s="3" t="str">
        <f t="shared" si="72"/>
        <v/>
      </c>
      <c r="BM31" s="3">
        <f t="shared" si="73"/>
        <v>31</v>
      </c>
      <c r="BN31" s="3">
        <f t="shared" si="74"/>
        <v>23</v>
      </c>
      <c r="BO31" s="3">
        <f t="shared" si="75"/>
        <v>15</v>
      </c>
      <c r="BP31" s="3">
        <f t="shared" si="76"/>
        <v>7</v>
      </c>
      <c r="BQ31" s="3" t="str">
        <f t="shared" si="77"/>
        <v>(31 downto 24)</v>
      </c>
      <c r="BR31" s="3" t="str">
        <f t="shared" si="78"/>
        <v>(23 downto 16)</v>
      </c>
      <c r="BS31" s="3" t="str">
        <f t="shared" si="79"/>
        <v>(15 downto 8)</v>
      </c>
      <c r="BT31" s="3" t="str">
        <f t="shared" si="80"/>
        <v>(7 downto 0)</v>
      </c>
    </row>
    <row r="32" spans="2:72" x14ac:dyDescent="0.25">
      <c r="B32" s="3" t="s">
        <v>284</v>
      </c>
      <c r="C32" s="3" t="s">
        <v>1707</v>
      </c>
      <c r="D32" s="3" t="s">
        <v>1</v>
      </c>
      <c r="E32" s="3" t="s">
        <v>115</v>
      </c>
      <c r="F32" s="3" t="s">
        <v>351</v>
      </c>
      <c r="G32" s="3" t="s">
        <v>418</v>
      </c>
      <c r="H32" s="18" t="s">
        <v>1694</v>
      </c>
      <c r="I32" s="3" t="s">
        <v>24</v>
      </c>
      <c r="J32" s="3">
        <v>32</v>
      </c>
      <c r="K32" s="3" t="s">
        <v>119</v>
      </c>
      <c r="L32" s="3" t="s">
        <v>23</v>
      </c>
      <c r="M32" s="3">
        <v>66</v>
      </c>
      <c r="N32" s="3" t="str">
        <f t="shared" si="85"/>
        <v>00000042</v>
      </c>
      <c r="O32" s="3">
        <v>31</v>
      </c>
      <c r="P32" s="3">
        <v>0</v>
      </c>
      <c r="Q32" s="3" t="str">
        <f t="shared" si="83"/>
        <v>X</v>
      </c>
      <c r="R32" s="3" t="str">
        <f t="shared" si="83"/>
        <v>X</v>
      </c>
      <c r="S32" s="3" t="str">
        <f t="shared" si="83"/>
        <v>X</v>
      </c>
      <c r="T32" s="3" t="str">
        <f t="shared" si="83"/>
        <v>X</v>
      </c>
      <c r="U32" s="3" t="str">
        <f t="shared" si="83"/>
        <v>X</v>
      </c>
      <c r="V32" s="3" t="str">
        <f t="shared" si="83"/>
        <v>X</v>
      </c>
      <c r="W32" s="3" t="str">
        <f t="shared" si="83"/>
        <v>X</v>
      </c>
      <c r="X32" s="3" t="str">
        <f t="shared" si="83"/>
        <v>X</v>
      </c>
      <c r="Y32" s="3" t="str">
        <f t="shared" si="83"/>
        <v>X</v>
      </c>
      <c r="Z32" s="3" t="str">
        <f t="shared" si="83"/>
        <v>X</v>
      </c>
      <c r="AA32" s="3" t="str">
        <f t="shared" si="83"/>
        <v>X</v>
      </c>
      <c r="AB32" s="3" t="str">
        <f t="shared" si="83"/>
        <v>X</v>
      </c>
      <c r="AC32" s="3" t="str">
        <f t="shared" si="83"/>
        <v>X</v>
      </c>
      <c r="AD32" s="3" t="str">
        <f t="shared" si="83"/>
        <v>X</v>
      </c>
      <c r="AE32" s="3" t="str">
        <f t="shared" si="83"/>
        <v>X</v>
      </c>
      <c r="AF32" s="3" t="str">
        <f t="shared" si="83"/>
        <v>X</v>
      </c>
      <c r="AG32" s="3" t="str">
        <f t="shared" si="84"/>
        <v>X</v>
      </c>
      <c r="AH32" s="3" t="str">
        <f t="shared" si="84"/>
        <v>X</v>
      </c>
      <c r="AI32" s="3" t="str">
        <f t="shared" si="84"/>
        <v>X</v>
      </c>
      <c r="AJ32" s="3" t="str">
        <f t="shared" si="84"/>
        <v>X</v>
      </c>
      <c r="AK32" s="3" t="str">
        <f t="shared" si="84"/>
        <v>X</v>
      </c>
      <c r="AL32" s="3" t="str">
        <f t="shared" si="84"/>
        <v>X</v>
      </c>
      <c r="AM32" s="3" t="str">
        <f t="shared" si="84"/>
        <v>X</v>
      </c>
      <c r="AN32" s="3" t="str">
        <f t="shared" si="84"/>
        <v>X</v>
      </c>
      <c r="AO32" s="3" t="str">
        <f t="shared" si="84"/>
        <v>X</v>
      </c>
      <c r="AP32" s="3" t="str">
        <f t="shared" si="84"/>
        <v>X</v>
      </c>
      <c r="AQ32" s="3" t="str">
        <f t="shared" si="84"/>
        <v>X</v>
      </c>
      <c r="AR32" s="3" t="str">
        <f t="shared" si="84"/>
        <v>X</v>
      </c>
      <c r="AS32" s="3" t="str">
        <f t="shared" si="84"/>
        <v>X</v>
      </c>
      <c r="AT32" s="3" t="str">
        <f t="shared" si="84"/>
        <v>X</v>
      </c>
      <c r="AU32" s="3" t="str">
        <f t="shared" si="84"/>
        <v>X</v>
      </c>
      <c r="AV32" s="3" t="str">
        <f t="shared" si="84"/>
        <v>X</v>
      </c>
      <c r="AW32" s="3" t="str">
        <f t="shared" si="13"/>
        <v>X</v>
      </c>
      <c r="AX32" s="3" t="str">
        <f t="shared" si="14"/>
        <v>X</v>
      </c>
      <c r="AY32" s="3" t="str">
        <f t="shared" si="15"/>
        <v>X</v>
      </c>
      <c r="AZ32" s="3" t="str">
        <f t="shared" si="16"/>
        <v>X</v>
      </c>
      <c r="BA32" s="3">
        <f t="shared" si="61"/>
        <v>264</v>
      </c>
      <c r="BB32" s="3">
        <f t="shared" si="62"/>
        <v>265</v>
      </c>
      <c r="BC32" s="3">
        <f t="shared" si="63"/>
        <v>266</v>
      </c>
      <c r="BD32" s="3">
        <f t="shared" si="64"/>
        <v>267</v>
      </c>
      <c r="BE32" s="7" t="str">
        <f t="shared" si="65"/>
        <v>00000108</v>
      </c>
      <c r="BF32" s="7" t="str">
        <f t="shared" si="66"/>
        <v>00000109</v>
      </c>
      <c r="BG32" s="7" t="str">
        <f t="shared" si="67"/>
        <v>0000010A</v>
      </c>
      <c r="BH32" s="7" t="str">
        <f t="shared" si="68"/>
        <v>0000010B</v>
      </c>
      <c r="BI32" s="3" t="str">
        <f t="shared" si="69"/>
        <v/>
      </c>
      <c r="BJ32" s="3" t="str">
        <f t="shared" si="70"/>
        <v/>
      </c>
      <c r="BK32" s="3" t="str">
        <f t="shared" si="71"/>
        <v/>
      </c>
      <c r="BL32" s="3" t="str">
        <f t="shared" si="72"/>
        <v/>
      </c>
      <c r="BM32" s="3">
        <f t="shared" si="73"/>
        <v>31</v>
      </c>
      <c r="BN32" s="3">
        <f t="shared" si="74"/>
        <v>23</v>
      </c>
      <c r="BO32" s="3">
        <f t="shared" si="75"/>
        <v>15</v>
      </c>
      <c r="BP32" s="3">
        <f t="shared" si="76"/>
        <v>7</v>
      </c>
      <c r="BQ32" s="3" t="str">
        <f t="shared" si="77"/>
        <v>(31 downto 24)</v>
      </c>
      <c r="BR32" s="3" t="str">
        <f t="shared" si="78"/>
        <v>(23 downto 16)</v>
      </c>
      <c r="BS32" s="3" t="str">
        <f t="shared" si="79"/>
        <v>(15 downto 8)</v>
      </c>
      <c r="BT32" s="3" t="str">
        <f t="shared" si="80"/>
        <v>(7 downto 0)</v>
      </c>
    </row>
    <row r="33" spans="2:72" x14ac:dyDescent="0.25">
      <c r="B33" s="3" t="s">
        <v>285</v>
      </c>
      <c r="C33" s="3" t="s">
        <v>1703</v>
      </c>
      <c r="D33" s="3" t="s">
        <v>1</v>
      </c>
      <c r="E33" s="3" t="s">
        <v>115</v>
      </c>
      <c r="F33" s="3" t="s">
        <v>352</v>
      </c>
      <c r="G33" s="3" t="s">
        <v>419</v>
      </c>
      <c r="H33" s="18" t="s">
        <v>1694</v>
      </c>
      <c r="I33" s="3" t="s">
        <v>24</v>
      </c>
      <c r="J33" s="3">
        <v>32</v>
      </c>
      <c r="K33" s="3" t="s">
        <v>1708</v>
      </c>
      <c r="L33" s="3" t="s">
        <v>23</v>
      </c>
      <c r="M33" s="3">
        <v>67</v>
      </c>
      <c r="N33" s="3" t="str">
        <f t="shared" si="85"/>
        <v>00000043</v>
      </c>
      <c r="O33" s="3">
        <v>31</v>
      </c>
      <c r="P33" s="3">
        <v>0</v>
      </c>
      <c r="Q33" s="3" t="str">
        <f t="shared" si="83"/>
        <v>X</v>
      </c>
      <c r="R33" s="3" t="str">
        <f t="shared" si="83"/>
        <v>X</v>
      </c>
      <c r="S33" s="3" t="str">
        <f t="shared" si="83"/>
        <v>X</v>
      </c>
      <c r="T33" s="3" t="str">
        <f t="shared" si="83"/>
        <v>X</v>
      </c>
      <c r="U33" s="3" t="str">
        <f t="shared" si="83"/>
        <v>X</v>
      </c>
      <c r="V33" s="3" t="str">
        <f t="shared" si="83"/>
        <v>X</v>
      </c>
      <c r="W33" s="3" t="str">
        <f t="shared" si="83"/>
        <v>X</v>
      </c>
      <c r="X33" s="3" t="str">
        <f t="shared" si="83"/>
        <v>X</v>
      </c>
      <c r="Y33" s="3" t="str">
        <f t="shared" si="83"/>
        <v>X</v>
      </c>
      <c r="Z33" s="3" t="str">
        <f t="shared" si="83"/>
        <v>X</v>
      </c>
      <c r="AA33" s="3" t="str">
        <f t="shared" si="83"/>
        <v>X</v>
      </c>
      <c r="AB33" s="3" t="str">
        <f t="shared" si="83"/>
        <v>X</v>
      </c>
      <c r="AC33" s="3" t="str">
        <f t="shared" si="83"/>
        <v>X</v>
      </c>
      <c r="AD33" s="3" t="str">
        <f t="shared" si="83"/>
        <v>X</v>
      </c>
      <c r="AE33" s="3" t="str">
        <f t="shared" si="83"/>
        <v>X</v>
      </c>
      <c r="AF33" s="3" t="str">
        <f t="shared" si="83"/>
        <v>X</v>
      </c>
      <c r="AG33" s="3" t="str">
        <f t="shared" si="84"/>
        <v>X</v>
      </c>
      <c r="AH33" s="3" t="str">
        <f t="shared" si="84"/>
        <v>X</v>
      </c>
      <c r="AI33" s="3" t="str">
        <f t="shared" si="84"/>
        <v>X</v>
      </c>
      <c r="AJ33" s="3" t="str">
        <f t="shared" si="84"/>
        <v>X</v>
      </c>
      <c r="AK33" s="3" t="str">
        <f t="shared" si="84"/>
        <v>X</v>
      </c>
      <c r="AL33" s="3" t="str">
        <f t="shared" si="84"/>
        <v>X</v>
      </c>
      <c r="AM33" s="3" t="str">
        <f t="shared" si="84"/>
        <v>X</v>
      </c>
      <c r="AN33" s="3" t="str">
        <f t="shared" si="84"/>
        <v>X</v>
      </c>
      <c r="AO33" s="3" t="str">
        <f t="shared" si="84"/>
        <v>X</v>
      </c>
      <c r="AP33" s="3" t="str">
        <f t="shared" si="84"/>
        <v>X</v>
      </c>
      <c r="AQ33" s="3" t="str">
        <f t="shared" si="84"/>
        <v>X</v>
      </c>
      <c r="AR33" s="3" t="str">
        <f t="shared" si="84"/>
        <v>X</v>
      </c>
      <c r="AS33" s="3" t="str">
        <f t="shared" si="84"/>
        <v>X</v>
      </c>
      <c r="AT33" s="3" t="str">
        <f t="shared" si="84"/>
        <v>X</v>
      </c>
      <c r="AU33" s="3" t="str">
        <f t="shared" si="84"/>
        <v>X</v>
      </c>
      <c r="AV33" s="3" t="str">
        <f t="shared" si="84"/>
        <v>X</v>
      </c>
      <c r="AW33" s="3" t="str">
        <f t="shared" si="13"/>
        <v>X</v>
      </c>
      <c r="AX33" s="3" t="str">
        <f t="shared" si="14"/>
        <v>X</v>
      </c>
      <c r="AY33" s="3" t="str">
        <f t="shared" si="15"/>
        <v>X</v>
      </c>
      <c r="AZ33" s="3" t="str">
        <f t="shared" si="16"/>
        <v>X</v>
      </c>
      <c r="BA33" s="3">
        <f t="shared" si="61"/>
        <v>268</v>
      </c>
      <c r="BB33" s="3">
        <f t="shared" si="62"/>
        <v>269</v>
      </c>
      <c r="BC33" s="3">
        <f t="shared" si="63"/>
        <v>270</v>
      </c>
      <c r="BD33" s="3">
        <f t="shared" si="64"/>
        <v>271</v>
      </c>
      <c r="BE33" s="7" t="str">
        <f t="shared" si="65"/>
        <v>0000010C</v>
      </c>
      <c r="BF33" s="7" t="str">
        <f t="shared" si="66"/>
        <v>0000010D</v>
      </c>
      <c r="BG33" s="7" t="str">
        <f t="shared" si="67"/>
        <v>0000010E</v>
      </c>
      <c r="BH33" s="7" t="str">
        <f t="shared" si="68"/>
        <v>0000010F</v>
      </c>
      <c r="BI33" s="3" t="str">
        <f t="shared" si="69"/>
        <v/>
      </c>
      <c r="BJ33" s="3" t="str">
        <f t="shared" si="70"/>
        <v/>
      </c>
      <c r="BK33" s="3" t="str">
        <f t="shared" si="71"/>
        <v/>
      </c>
      <c r="BL33" s="3" t="str">
        <f t="shared" si="72"/>
        <v/>
      </c>
      <c r="BM33" s="3">
        <f t="shared" si="73"/>
        <v>31</v>
      </c>
      <c r="BN33" s="3">
        <f t="shared" si="74"/>
        <v>23</v>
      </c>
      <c r="BO33" s="3">
        <f t="shared" si="75"/>
        <v>15</v>
      </c>
      <c r="BP33" s="3">
        <f t="shared" si="76"/>
        <v>7</v>
      </c>
      <c r="BQ33" s="3" t="str">
        <f t="shared" si="77"/>
        <v>(31 downto 24)</v>
      </c>
      <c r="BR33" s="3" t="str">
        <f t="shared" si="78"/>
        <v>(23 downto 16)</v>
      </c>
      <c r="BS33" s="3" t="str">
        <f t="shared" si="79"/>
        <v>(15 downto 8)</v>
      </c>
      <c r="BT33" s="3" t="str">
        <f t="shared" si="80"/>
        <v>(7 downto 0)</v>
      </c>
    </row>
    <row r="34" spans="2:72" x14ac:dyDescent="0.25">
      <c r="B34" s="3" t="s">
        <v>286</v>
      </c>
      <c r="C34" s="3" t="s">
        <v>1704</v>
      </c>
      <c r="D34" s="3" t="s">
        <v>1</v>
      </c>
      <c r="E34" s="3" t="s">
        <v>115</v>
      </c>
      <c r="F34" s="3" t="s">
        <v>353</v>
      </c>
      <c r="G34" s="3" t="s">
        <v>420</v>
      </c>
      <c r="H34" s="18" t="s">
        <v>1694</v>
      </c>
      <c r="I34" s="3" t="s">
        <v>24</v>
      </c>
      <c r="J34" s="3">
        <v>32</v>
      </c>
      <c r="K34" s="3" t="s">
        <v>1709</v>
      </c>
      <c r="L34" s="3" t="s">
        <v>23</v>
      </c>
      <c r="M34" s="3">
        <v>68</v>
      </c>
      <c r="N34" s="3" t="str">
        <f t="shared" ref="N34:N38" si="86">DEC2HEX($M34,8)</f>
        <v>00000044</v>
      </c>
      <c r="O34" s="3">
        <v>31</v>
      </c>
      <c r="P34" s="3">
        <v>0</v>
      </c>
      <c r="Q34" s="3" t="str">
        <f t="shared" si="83"/>
        <v>X</v>
      </c>
      <c r="R34" s="3" t="str">
        <f t="shared" si="83"/>
        <v>X</v>
      </c>
      <c r="S34" s="3" t="str">
        <f t="shared" si="83"/>
        <v>X</v>
      </c>
      <c r="T34" s="3" t="str">
        <f t="shared" si="83"/>
        <v>X</v>
      </c>
      <c r="U34" s="3" t="str">
        <f t="shared" si="83"/>
        <v>X</v>
      </c>
      <c r="V34" s="3" t="str">
        <f t="shared" si="83"/>
        <v>X</v>
      </c>
      <c r="W34" s="3" t="str">
        <f t="shared" si="83"/>
        <v>X</v>
      </c>
      <c r="X34" s="3" t="str">
        <f t="shared" si="83"/>
        <v>X</v>
      </c>
      <c r="Y34" s="3" t="str">
        <f t="shared" si="83"/>
        <v>X</v>
      </c>
      <c r="Z34" s="3" t="str">
        <f t="shared" si="83"/>
        <v>X</v>
      </c>
      <c r="AA34" s="3" t="str">
        <f t="shared" si="83"/>
        <v>X</v>
      </c>
      <c r="AB34" s="3" t="str">
        <f t="shared" si="83"/>
        <v>X</v>
      </c>
      <c r="AC34" s="3" t="str">
        <f t="shared" si="83"/>
        <v>X</v>
      </c>
      <c r="AD34" s="3" t="str">
        <f t="shared" si="83"/>
        <v>X</v>
      </c>
      <c r="AE34" s="3" t="str">
        <f t="shared" si="83"/>
        <v>X</v>
      </c>
      <c r="AF34" s="3" t="str">
        <f t="shared" si="83"/>
        <v>X</v>
      </c>
      <c r="AG34" s="3" t="str">
        <f t="shared" si="84"/>
        <v>X</v>
      </c>
      <c r="AH34" s="3" t="str">
        <f t="shared" si="84"/>
        <v>X</v>
      </c>
      <c r="AI34" s="3" t="str">
        <f t="shared" si="84"/>
        <v>X</v>
      </c>
      <c r="AJ34" s="3" t="str">
        <f t="shared" si="84"/>
        <v>X</v>
      </c>
      <c r="AK34" s="3" t="str">
        <f t="shared" si="84"/>
        <v>X</v>
      </c>
      <c r="AL34" s="3" t="str">
        <f t="shared" si="84"/>
        <v>X</v>
      </c>
      <c r="AM34" s="3" t="str">
        <f t="shared" si="84"/>
        <v>X</v>
      </c>
      <c r="AN34" s="3" t="str">
        <f t="shared" si="84"/>
        <v>X</v>
      </c>
      <c r="AO34" s="3" t="str">
        <f t="shared" si="84"/>
        <v>X</v>
      </c>
      <c r="AP34" s="3" t="str">
        <f t="shared" si="84"/>
        <v>X</v>
      </c>
      <c r="AQ34" s="3" t="str">
        <f t="shared" si="84"/>
        <v>X</v>
      </c>
      <c r="AR34" s="3" t="str">
        <f t="shared" si="84"/>
        <v>X</v>
      </c>
      <c r="AS34" s="3" t="str">
        <f t="shared" si="84"/>
        <v>X</v>
      </c>
      <c r="AT34" s="3" t="str">
        <f t="shared" si="84"/>
        <v>X</v>
      </c>
      <c r="AU34" s="3" t="str">
        <f t="shared" si="84"/>
        <v>X</v>
      </c>
      <c r="AV34" s="3" t="str">
        <f t="shared" si="84"/>
        <v>X</v>
      </c>
      <c r="AW34" s="3" t="str">
        <f t="shared" si="13"/>
        <v>X</v>
      </c>
      <c r="AX34" s="3" t="str">
        <f t="shared" si="14"/>
        <v>X</v>
      </c>
      <c r="AY34" s="3" t="str">
        <f t="shared" si="15"/>
        <v>X</v>
      </c>
      <c r="AZ34" s="3" t="str">
        <f t="shared" si="16"/>
        <v>X</v>
      </c>
      <c r="BA34" s="3">
        <f t="shared" si="61"/>
        <v>272</v>
      </c>
      <c r="BB34" s="3">
        <f t="shared" si="62"/>
        <v>273</v>
      </c>
      <c r="BC34" s="3">
        <f t="shared" si="63"/>
        <v>274</v>
      </c>
      <c r="BD34" s="3">
        <f t="shared" si="64"/>
        <v>275</v>
      </c>
      <c r="BE34" s="7" t="str">
        <f t="shared" si="65"/>
        <v>00000110</v>
      </c>
      <c r="BF34" s="7" t="str">
        <f t="shared" si="66"/>
        <v>00000111</v>
      </c>
      <c r="BG34" s="7" t="str">
        <f t="shared" si="67"/>
        <v>00000112</v>
      </c>
      <c r="BH34" s="7" t="str">
        <f t="shared" si="68"/>
        <v>00000113</v>
      </c>
      <c r="BI34" s="3" t="str">
        <f t="shared" si="69"/>
        <v/>
      </c>
      <c r="BJ34" s="3" t="str">
        <f t="shared" si="70"/>
        <v/>
      </c>
      <c r="BK34" s="3" t="str">
        <f t="shared" si="71"/>
        <v/>
      </c>
      <c r="BL34" s="3" t="str">
        <f t="shared" si="72"/>
        <v/>
      </c>
      <c r="BM34" s="3">
        <f t="shared" si="73"/>
        <v>31</v>
      </c>
      <c r="BN34" s="3">
        <f t="shared" si="74"/>
        <v>23</v>
      </c>
      <c r="BO34" s="3">
        <f t="shared" si="75"/>
        <v>15</v>
      </c>
      <c r="BP34" s="3">
        <f t="shared" si="76"/>
        <v>7</v>
      </c>
      <c r="BQ34" s="3" t="str">
        <f t="shared" si="77"/>
        <v>(31 downto 24)</v>
      </c>
      <c r="BR34" s="3" t="str">
        <f t="shared" si="78"/>
        <v>(23 downto 16)</v>
      </c>
      <c r="BS34" s="3" t="str">
        <f t="shared" si="79"/>
        <v>(15 downto 8)</v>
      </c>
      <c r="BT34" s="3" t="str">
        <f t="shared" si="80"/>
        <v>(7 downto 0)</v>
      </c>
    </row>
    <row r="35" spans="2:72" x14ac:dyDescent="0.25">
      <c r="B35" s="3" t="s">
        <v>287</v>
      </c>
      <c r="C35" s="3" t="s">
        <v>1707</v>
      </c>
      <c r="D35" s="3" t="s">
        <v>1</v>
      </c>
      <c r="E35" s="3" t="s">
        <v>115</v>
      </c>
      <c r="F35" s="3" t="s">
        <v>354</v>
      </c>
      <c r="G35" s="3" t="s">
        <v>421</v>
      </c>
      <c r="H35" s="18" t="s">
        <v>1694</v>
      </c>
      <c r="I35" s="3" t="s">
        <v>24</v>
      </c>
      <c r="J35" s="3">
        <v>32</v>
      </c>
      <c r="K35" s="3" t="s">
        <v>119</v>
      </c>
      <c r="L35" s="3" t="s">
        <v>23</v>
      </c>
      <c r="M35" s="3">
        <v>69</v>
      </c>
      <c r="N35" s="3" t="str">
        <f t="shared" si="86"/>
        <v>00000045</v>
      </c>
      <c r="O35" s="3">
        <v>31</v>
      </c>
      <c r="P35" s="3">
        <v>0</v>
      </c>
      <c r="Q35" s="3" t="str">
        <f t="shared" si="83"/>
        <v>X</v>
      </c>
      <c r="R35" s="3" t="str">
        <f t="shared" si="83"/>
        <v>X</v>
      </c>
      <c r="S35" s="3" t="str">
        <f t="shared" si="83"/>
        <v>X</v>
      </c>
      <c r="T35" s="3" t="str">
        <f t="shared" si="83"/>
        <v>X</v>
      </c>
      <c r="U35" s="3" t="str">
        <f t="shared" si="83"/>
        <v>X</v>
      </c>
      <c r="V35" s="3" t="str">
        <f t="shared" si="83"/>
        <v>X</v>
      </c>
      <c r="W35" s="3" t="str">
        <f t="shared" si="83"/>
        <v>X</v>
      </c>
      <c r="X35" s="3" t="str">
        <f t="shared" si="83"/>
        <v>X</v>
      </c>
      <c r="Y35" s="3" t="str">
        <f t="shared" si="83"/>
        <v>X</v>
      </c>
      <c r="Z35" s="3" t="str">
        <f t="shared" si="83"/>
        <v>X</v>
      </c>
      <c r="AA35" s="3" t="str">
        <f t="shared" si="83"/>
        <v>X</v>
      </c>
      <c r="AB35" s="3" t="str">
        <f t="shared" si="83"/>
        <v>X</v>
      </c>
      <c r="AC35" s="3" t="str">
        <f t="shared" si="83"/>
        <v>X</v>
      </c>
      <c r="AD35" s="3" t="str">
        <f t="shared" si="83"/>
        <v>X</v>
      </c>
      <c r="AE35" s="3" t="str">
        <f t="shared" si="83"/>
        <v>X</v>
      </c>
      <c r="AF35" s="3" t="str">
        <f t="shared" si="83"/>
        <v>X</v>
      </c>
      <c r="AG35" s="3" t="str">
        <f t="shared" si="84"/>
        <v>X</v>
      </c>
      <c r="AH35" s="3" t="str">
        <f t="shared" si="84"/>
        <v>X</v>
      </c>
      <c r="AI35" s="3" t="str">
        <f t="shared" si="84"/>
        <v>X</v>
      </c>
      <c r="AJ35" s="3" t="str">
        <f t="shared" si="84"/>
        <v>X</v>
      </c>
      <c r="AK35" s="3" t="str">
        <f t="shared" si="84"/>
        <v>X</v>
      </c>
      <c r="AL35" s="3" t="str">
        <f t="shared" si="84"/>
        <v>X</v>
      </c>
      <c r="AM35" s="3" t="str">
        <f t="shared" si="84"/>
        <v>X</v>
      </c>
      <c r="AN35" s="3" t="str">
        <f t="shared" si="84"/>
        <v>X</v>
      </c>
      <c r="AO35" s="3" t="str">
        <f t="shared" si="84"/>
        <v>X</v>
      </c>
      <c r="AP35" s="3" t="str">
        <f t="shared" si="84"/>
        <v>X</v>
      </c>
      <c r="AQ35" s="3" t="str">
        <f t="shared" si="84"/>
        <v>X</v>
      </c>
      <c r="AR35" s="3" t="str">
        <f t="shared" si="84"/>
        <v>X</v>
      </c>
      <c r="AS35" s="3" t="str">
        <f t="shared" si="84"/>
        <v>X</v>
      </c>
      <c r="AT35" s="3" t="str">
        <f t="shared" si="84"/>
        <v>X</v>
      </c>
      <c r="AU35" s="3" t="str">
        <f t="shared" si="84"/>
        <v>X</v>
      </c>
      <c r="AV35" s="3" t="str">
        <f t="shared" si="84"/>
        <v>X</v>
      </c>
      <c r="AW35" s="3" t="str">
        <f t="shared" si="13"/>
        <v>X</v>
      </c>
      <c r="AX35" s="3" t="str">
        <f t="shared" si="14"/>
        <v>X</v>
      </c>
      <c r="AY35" s="3" t="str">
        <f t="shared" si="15"/>
        <v>X</v>
      </c>
      <c r="AZ35" s="3" t="str">
        <f t="shared" si="16"/>
        <v>X</v>
      </c>
      <c r="BA35" s="3">
        <f t="shared" si="61"/>
        <v>276</v>
      </c>
      <c r="BB35" s="3">
        <f t="shared" si="62"/>
        <v>277</v>
      </c>
      <c r="BC35" s="3">
        <f t="shared" si="63"/>
        <v>278</v>
      </c>
      <c r="BD35" s="3">
        <f t="shared" si="64"/>
        <v>279</v>
      </c>
      <c r="BE35" s="7" t="str">
        <f t="shared" si="65"/>
        <v>00000114</v>
      </c>
      <c r="BF35" s="7" t="str">
        <f t="shared" si="66"/>
        <v>00000115</v>
      </c>
      <c r="BG35" s="7" t="str">
        <f t="shared" si="67"/>
        <v>00000116</v>
      </c>
      <c r="BH35" s="7" t="str">
        <f t="shared" si="68"/>
        <v>00000117</v>
      </c>
      <c r="BI35" s="3" t="str">
        <f t="shared" si="69"/>
        <v/>
      </c>
      <c r="BJ35" s="3" t="str">
        <f t="shared" si="70"/>
        <v/>
      </c>
      <c r="BK35" s="3" t="str">
        <f t="shared" si="71"/>
        <v/>
      </c>
      <c r="BL35" s="3" t="str">
        <f t="shared" si="72"/>
        <v/>
      </c>
      <c r="BM35" s="3">
        <f t="shared" si="73"/>
        <v>31</v>
      </c>
      <c r="BN35" s="3">
        <f t="shared" si="74"/>
        <v>23</v>
      </c>
      <c r="BO35" s="3">
        <f t="shared" si="75"/>
        <v>15</v>
      </c>
      <c r="BP35" s="3">
        <f t="shared" si="76"/>
        <v>7</v>
      </c>
      <c r="BQ35" s="3" t="str">
        <f t="shared" si="77"/>
        <v>(31 downto 24)</v>
      </c>
      <c r="BR35" s="3" t="str">
        <f t="shared" si="78"/>
        <v>(23 downto 16)</v>
      </c>
      <c r="BS35" s="3" t="str">
        <f t="shared" si="79"/>
        <v>(15 downto 8)</v>
      </c>
      <c r="BT35" s="3" t="str">
        <f t="shared" si="80"/>
        <v>(7 downto 0)</v>
      </c>
    </row>
    <row r="36" spans="2:72" x14ac:dyDescent="0.25">
      <c r="B36" s="3" t="s">
        <v>288</v>
      </c>
      <c r="C36" s="3" t="s">
        <v>121</v>
      </c>
      <c r="D36" s="3" t="s">
        <v>1</v>
      </c>
      <c r="E36" s="3" t="s">
        <v>115</v>
      </c>
      <c r="F36" s="3" t="s">
        <v>355</v>
      </c>
      <c r="G36" s="3" t="s">
        <v>422</v>
      </c>
      <c r="H36" s="18" t="s">
        <v>122</v>
      </c>
      <c r="I36" s="3" t="s">
        <v>24</v>
      </c>
      <c r="J36" s="3">
        <v>32</v>
      </c>
      <c r="K36" s="3" t="s">
        <v>119</v>
      </c>
      <c r="L36" s="3" t="s">
        <v>23</v>
      </c>
      <c r="M36" s="3">
        <v>70</v>
      </c>
      <c r="N36" s="3" t="str">
        <f t="shared" si="86"/>
        <v>00000046</v>
      </c>
      <c r="O36" s="3">
        <v>31</v>
      </c>
      <c r="P36" s="3">
        <v>0</v>
      </c>
      <c r="Q36" s="3" t="str">
        <f t="shared" si="83"/>
        <v>X</v>
      </c>
      <c r="R36" s="3" t="str">
        <f t="shared" si="83"/>
        <v>X</v>
      </c>
      <c r="S36" s="3" t="str">
        <f t="shared" si="83"/>
        <v>X</v>
      </c>
      <c r="T36" s="3" t="str">
        <f t="shared" si="83"/>
        <v>X</v>
      </c>
      <c r="U36" s="3" t="str">
        <f t="shared" si="83"/>
        <v>X</v>
      </c>
      <c r="V36" s="3" t="str">
        <f t="shared" si="83"/>
        <v>X</v>
      </c>
      <c r="W36" s="3" t="str">
        <f t="shared" si="83"/>
        <v>X</v>
      </c>
      <c r="X36" s="3" t="str">
        <f t="shared" si="83"/>
        <v>X</v>
      </c>
      <c r="Y36" s="3" t="str">
        <f t="shared" si="83"/>
        <v>X</v>
      </c>
      <c r="Z36" s="3" t="str">
        <f t="shared" si="83"/>
        <v>X</v>
      </c>
      <c r="AA36" s="3" t="str">
        <f t="shared" si="83"/>
        <v>X</v>
      </c>
      <c r="AB36" s="3" t="str">
        <f t="shared" si="83"/>
        <v>X</v>
      </c>
      <c r="AC36" s="3" t="str">
        <f t="shared" si="83"/>
        <v>X</v>
      </c>
      <c r="AD36" s="3" t="str">
        <f t="shared" si="83"/>
        <v>X</v>
      </c>
      <c r="AE36" s="3" t="str">
        <f t="shared" si="83"/>
        <v>X</v>
      </c>
      <c r="AF36" s="3" t="str">
        <f t="shared" si="83"/>
        <v>X</v>
      </c>
      <c r="AG36" s="3" t="str">
        <f t="shared" si="84"/>
        <v>X</v>
      </c>
      <c r="AH36" s="3" t="str">
        <f t="shared" si="84"/>
        <v>X</v>
      </c>
      <c r="AI36" s="3" t="str">
        <f t="shared" si="84"/>
        <v>X</v>
      </c>
      <c r="AJ36" s="3" t="str">
        <f t="shared" si="84"/>
        <v>X</v>
      </c>
      <c r="AK36" s="3" t="str">
        <f t="shared" si="84"/>
        <v>X</v>
      </c>
      <c r="AL36" s="3" t="str">
        <f t="shared" si="84"/>
        <v>X</v>
      </c>
      <c r="AM36" s="3" t="str">
        <f t="shared" si="84"/>
        <v>X</v>
      </c>
      <c r="AN36" s="3" t="str">
        <f t="shared" si="84"/>
        <v>X</v>
      </c>
      <c r="AO36" s="3" t="str">
        <f t="shared" si="84"/>
        <v>X</v>
      </c>
      <c r="AP36" s="3" t="str">
        <f t="shared" si="84"/>
        <v>X</v>
      </c>
      <c r="AQ36" s="3" t="str">
        <f t="shared" si="84"/>
        <v>X</v>
      </c>
      <c r="AR36" s="3" t="str">
        <f t="shared" si="84"/>
        <v>X</v>
      </c>
      <c r="AS36" s="3" t="str">
        <f t="shared" si="84"/>
        <v>X</v>
      </c>
      <c r="AT36" s="3" t="str">
        <f t="shared" si="84"/>
        <v>X</v>
      </c>
      <c r="AU36" s="3" t="str">
        <f t="shared" si="84"/>
        <v>X</v>
      </c>
      <c r="AV36" s="3" t="str">
        <f t="shared" si="84"/>
        <v>X</v>
      </c>
      <c r="AW36" s="3" t="str">
        <f t="shared" si="13"/>
        <v>X</v>
      </c>
      <c r="AX36" s="3" t="str">
        <f t="shared" si="14"/>
        <v>X</v>
      </c>
      <c r="AY36" s="3" t="str">
        <f t="shared" si="15"/>
        <v>X</v>
      </c>
      <c r="AZ36" s="3" t="str">
        <f t="shared" si="16"/>
        <v>X</v>
      </c>
      <c r="BA36" s="3">
        <f t="shared" si="61"/>
        <v>280</v>
      </c>
      <c r="BB36" s="3">
        <f t="shared" si="62"/>
        <v>281</v>
      </c>
      <c r="BC36" s="3">
        <f t="shared" si="63"/>
        <v>282</v>
      </c>
      <c r="BD36" s="3">
        <f t="shared" si="64"/>
        <v>283</v>
      </c>
      <c r="BE36" s="7" t="str">
        <f t="shared" si="65"/>
        <v>00000118</v>
      </c>
      <c r="BF36" s="7" t="str">
        <f t="shared" si="66"/>
        <v>00000119</v>
      </c>
      <c r="BG36" s="7" t="str">
        <f t="shared" si="67"/>
        <v>0000011A</v>
      </c>
      <c r="BH36" s="7" t="str">
        <f t="shared" si="68"/>
        <v>0000011B</v>
      </c>
      <c r="BI36" s="3" t="str">
        <f t="shared" si="69"/>
        <v/>
      </c>
      <c r="BJ36" s="3" t="str">
        <f t="shared" si="70"/>
        <v/>
      </c>
      <c r="BK36" s="3" t="str">
        <f t="shared" si="71"/>
        <v/>
      </c>
      <c r="BL36" s="3" t="str">
        <f t="shared" si="72"/>
        <v/>
      </c>
      <c r="BM36" s="3">
        <f t="shared" si="73"/>
        <v>31</v>
      </c>
      <c r="BN36" s="3">
        <f t="shared" si="74"/>
        <v>23</v>
      </c>
      <c r="BO36" s="3">
        <f t="shared" si="75"/>
        <v>15</v>
      </c>
      <c r="BP36" s="3">
        <f t="shared" si="76"/>
        <v>7</v>
      </c>
      <c r="BQ36" s="3" t="str">
        <f t="shared" si="77"/>
        <v>(31 downto 24)</v>
      </c>
      <c r="BR36" s="3" t="str">
        <f t="shared" si="78"/>
        <v>(23 downto 16)</v>
      </c>
      <c r="BS36" s="3" t="str">
        <f t="shared" si="79"/>
        <v>(15 downto 8)</v>
      </c>
      <c r="BT36" s="3" t="str">
        <f t="shared" si="80"/>
        <v>(7 downto 0)</v>
      </c>
    </row>
    <row r="37" spans="2:72" x14ac:dyDescent="0.25">
      <c r="B37" s="3" t="s">
        <v>289</v>
      </c>
      <c r="C37" s="3" t="s">
        <v>121</v>
      </c>
      <c r="D37" s="3" t="s">
        <v>1</v>
      </c>
      <c r="E37" s="3" t="s">
        <v>115</v>
      </c>
      <c r="F37" s="3" t="s">
        <v>356</v>
      </c>
      <c r="G37" s="3" t="s">
        <v>423</v>
      </c>
      <c r="H37" s="18" t="s">
        <v>122</v>
      </c>
      <c r="I37" s="3" t="s">
        <v>24</v>
      </c>
      <c r="J37" s="3">
        <v>32</v>
      </c>
      <c r="K37" s="3" t="s">
        <v>119</v>
      </c>
      <c r="L37" s="3" t="s">
        <v>23</v>
      </c>
      <c r="M37" s="3">
        <v>71</v>
      </c>
      <c r="N37" s="3" t="str">
        <f t="shared" si="86"/>
        <v>00000047</v>
      </c>
      <c r="O37" s="3">
        <v>31</v>
      </c>
      <c r="P37" s="3">
        <v>0</v>
      </c>
      <c r="Q37" s="3" t="str">
        <f t="shared" si="83"/>
        <v>X</v>
      </c>
      <c r="R37" s="3" t="str">
        <f t="shared" si="83"/>
        <v>X</v>
      </c>
      <c r="S37" s="3" t="str">
        <f t="shared" si="83"/>
        <v>X</v>
      </c>
      <c r="T37" s="3" t="str">
        <f t="shared" si="83"/>
        <v>X</v>
      </c>
      <c r="U37" s="3" t="str">
        <f t="shared" si="83"/>
        <v>X</v>
      </c>
      <c r="V37" s="3" t="str">
        <f t="shared" si="83"/>
        <v>X</v>
      </c>
      <c r="W37" s="3" t="str">
        <f t="shared" si="83"/>
        <v>X</v>
      </c>
      <c r="X37" s="3" t="str">
        <f t="shared" si="83"/>
        <v>X</v>
      </c>
      <c r="Y37" s="3" t="str">
        <f t="shared" si="83"/>
        <v>X</v>
      </c>
      <c r="Z37" s="3" t="str">
        <f t="shared" si="83"/>
        <v>X</v>
      </c>
      <c r="AA37" s="3" t="str">
        <f t="shared" si="83"/>
        <v>X</v>
      </c>
      <c r="AB37" s="3" t="str">
        <f t="shared" si="83"/>
        <v>X</v>
      </c>
      <c r="AC37" s="3" t="str">
        <f t="shared" si="83"/>
        <v>X</v>
      </c>
      <c r="AD37" s="3" t="str">
        <f t="shared" si="83"/>
        <v>X</v>
      </c>
      <c r="AE37" s="3" t="str">
        <f t="shared" si="83"/>
        <v>X</v>
      </c>
      <c r="AF37" s="3" t="str">
        <f t="shared" si="83"/>
        <v>X</v>
      </c>
      <c r="AG37" s="3" t="str">
        <f t="shared" si="84"/>
        <v>X</v>
      </c>
      <c r="AH37" s="3" t="str">
        <f t="shared" si="84"/>
        <v>X</v>
      </c>
      <c r="AI37" s="3" t="str">
        <f t="shared" si="84"/>
        <v>X</v>
      </c>
      <c r="AJ37" s="3" t="str">
        <f t="shared" si="84"/>
        <v>X</v>
      </c>
      <c r="AK37" s="3" t="str">
        <f t="shared" si="84"/>
        <v>X</v>
      </c>
      <c r="AL37" s="3" t="str">
        <f t="shared" si="84"/>
        <v>X</v>
      </c>
      <c r="AM37" s="3" t="str">
        <f t="shared" si="84"/>
        <v>X</v>
      </c>
      <c r="AN37" s="3" t="str">
        <f t="shared" si="84"/>
        <v>X</v>
      </c>
      <c r="AO37" s="3" t="str">
        <f t="shared" si="84"/>
        <v>X</v>
      </c>
      <c r="AP37" s="3" t="str">
        <f t="shared" si="84"/>
        <v>X</v>
      </c>
      <c r="AQ37" s="3" t="str">
        <f t="shared" si="84"/>
        <v>X</v>
      </c>
      <c r="AR37" s="3" t="str">
        <f t="shared" si="84"/>
        <v>X</v>
      </c>
      <c r="AS37" s="3" t="str">
        <f t="shared" si="84"/>
        <v>X</v>
      </c>
      <c r="AT37" s="3" t="str">
        <f t="shared" si="84"/>
        <v>X</v>
      </c>
      <c r="AU37" s="3" t="str">
        <f t="shared" si="84"/>
        <v>X</v>
      </c>
      <c r="AV37" s="3" t="str">
        <f t="shared" si="84"/>
        <v>X</v>
      </c>
      <c r="AW37" s="3" t="str">
        <f t="shared" si="13"/>
        <v>X</v>
      </c>
      <c r="AX37" s="3" t="str">
        <f t="shared" si="14"/>
        <v>X</v>
      </c>
      <c r="AY37" s="3" t="str">
        <f t="shared" si="15"/>
        <v>X</v>
      </c>
      <c r="AZ37" s="3" t="str">
        <f t="shared" si="16"/>
        <v>X</v>
      </c>
      <c r="BA37" s="3">
        <f t="shared" si="61"/>
        <v>284</v>
      </c>
      <c r="BB37" s="3">
        <f t="shared" si="62"/>
        <v>285</v>
      </c>
      <c r="BC37" s="3">
        <f t="shared" si="63"/>
        <v>286</v>
      </c>
      <c r="BD37" s="3">
        <f t="shared" si="64"/>
        <v>287</v>
      </c>
      <c r="BE37" s="7" t="str">
        <f t="shared" si="65"/>
        <v>0000011C</v>
      </c>
      <c r="BF37" s="7" t="str">
        <f t="shared" si="66"/>
        <v>0000011D</v>
      </c>
      <c r="BG37" s="7" t="str">
        <f t="shared" si="67"/>
        <v>0000011E</v>
      </c>
      <c r="BH37" s="7" t="str">
        <f t="shared" si="68"/>
        <v>0000011F</v>
      </c>
      <c r="BI37" s="3" t="str">
        <f t="shared" si="69"/>
        <v/>
      </c>
      <c r="BJ37" s="3" t="str">
        <f t="shared" si="70"/>
        <v/>
      </c>
      <c r="BK37" s="3" t="str">
        <f t="shared" si="71"/>
        <v/>
      </c>
      <c r="BL37" s="3" t="str">
        <f t="shared" si="72"/>
        <v/>
      </c>
      <c r="BM37" s="3">
        <f t="shared" si="73"/>
        <v>31</v>
      </c>
      <c r="BN37" s="3">
        <f t="shared" si="74"/>
        <v>23</v>
      </c>
      <c r="BO37" s="3">
        <f t="shared" si="75"/>
        <v>15</v>
      </c>
      <c r="BP37" s="3">
        <f t="shared" si="76"/>
        <v>7</v>
      </c>
      <c r="BQ37" s="3" t="str">
        <f t="shared" si="77"/>
        <v>(31 downto 24)</v>
      </c>
      <c r="BR37" s="3" t="str">
        <f t="shared" si="78"/>
        <v>(23 downto 16)</v>
      </c>
      <c r="BS37" s="3" t="str">
        <f t="shared" si="79"/>
        <v>(15 downto 8)</v>
      </c>
      <c r="BT37" s="3" t="str">
        <f t="shared" si="80"/>
        <v>(7 downto 0)</v>
      </c>
    </row>
    <row r="38" spans="2:72" x14ac:dyDescent="0.25">
      <c r="B38" s="3" t="s">
        <v>290</v>
      </c>
      <c r="C38" s="3" t="s">
        <v>1710</v>
      </c>
      <c r="D38" s="3" t="s">
        <v>1</v>
      </c>
      <c r="E38" s="3" t="s">
        <v>115</v>
      </c>
      <c r="F38" s="3" t="s">
        <v>357</v>
      </c>
      <c r="G38" s="3" t="s">
        <v>424</v>
      </c>
      <c r="H38" s="18" t="s">
        <v>1694</v>
      </c>
      <c r="I38" s="3" t="s">
        <v>24</v>
      </c>
      <c r="J38" s="3">
        <v>32</v>
      </c>
      <c r="K38" s="3" t="s">
        <v>1711</v>
      </c>
      <c r="L38" s="3" t="s">
        <v>23</v>
      </c>
      <c r="M38" s="3">
        <v>72</v>
      </c>
      <c r="N38" s="3" t="str">
        <f t="shared" si="86"/>
        <v>00000048</v>
      </c>
      <c r="O38" s="3">
        <v>31</v>
      </c>
      <c r="P38" s="3">
        <v>0</v>
      </c>
      <c r="Q38" s="3" t="str">
        <f t="shared" si="83"/>
        <v>X</v>
      </c>
      <c r="R38" s="3" t="str">
        <f t="shared" si="83"/>
        <v>X</v>
      </c>
      <c r="S38" s="3" t="str">
        <f t="shared" si="83"/>
        <v>X</v>
      </c>
      <c r="T38" s="3" t="str">
        <f t="shared" si="83"/>
        <v>X</v>
      </c>
      <c r="U38" s="3" t="str">
        <f t="shared" si="83"/>
        <v>X</v>
      </c>
      <c r="V38" s="3" t="str">
        <f t="shared" si="83"/>
        <v>X</v>
      </c>
      <c r="W38" s="3" t="str">
        <f t="shared" si="83"/>
        <v>X</v>
      </c>
      <c r="X38" s="3" t="str">
        <f t="shared" si="83"/>
        <v>X</v>
      </c>
      <c r="Y38" s="3" t="str">
        <f t="shared" si="83"/>
        <v>X</v>
      </c>
      <c r="Z38" s="3" t="str">
        <f t="shared" si="83"/>
        <v>X</v>
      </c>
      <c r="AA38" s="3" t="str">
        <f t="shared" si="83"/>
        <v>X</v>
      </c>
      <c r="AB38" s="3" t="str">
        <f t="shared" si="83"/>
        <v>X</v>
      </c>
      <c r="AC38" s="3" t="str">
        <f t="shared" si="83"/>
        <v>X</v>
      </c>
      <c r="AD38" s="3" t="str">
        <f t="shared" si="83"/>
        <v>X</v>
      </c>
      <c r="AE38" s="3" t="str">
        <f t="shared" si="83"/>
        <v>X</v>
      </c>
      <c r="AF38" s="3" t="str">
        <f t="shared" si="83"/>
        <v>X</v>
      </c>
      <c r="AG38" s="3" t="str">
        <f t="shared" si="84"/>
        <v>X</v>
      </c>
      <c r="AH38" s="3" t="str">
        <f t="shared" si="84"/>
        <v>X</v>
      </c>
      <c r="AI38" s="3" t="str">
        <f t="shared" si="84"/>
        <v>X</v>
      </c>
      <c r="AJ38" s="3" t="str">
        <f t="shared" si="84"/>
        <v>X</v>
      </c>
      <c r="AK38" s="3" t="str">
        <f t="shared" si="84"/>
        <v>X</v>
      </c>
      <c r="AL38" s="3" t="str">
        <f t="shared" si="84"/>
        <v>X</v>
      </c>
      <c r="AM38" s="3" t="str">
        <f t="shared" si="84"/>
        <v>X</v>
      </c>
      <c r="AN38" s="3" t="str">
        <f t="shared" si="84"/>
        <v>X</v>
      </c>
      <c r="AO38" s="3" t="str">
        <f t="shared" si="84"/>
        <v>X</v>
      </c>
      <c r="AP38" s="3" t="str">
        <f t="shared" si="84"/>
        <v>X</v>
      </c>
      <c r="AQ38" s="3" t="str">
        <f t="shared" si="84"/>
        <v>X</v>
      </c>
      <c r="AR38" s="3" t="str">
        <f t="shared" si="84"/>
        <v>X</v>
      </c>
      <c r="AS38" s="3" t="str">
        <f t="shared" si="84"/>
        <v>X</v>
      </c>
      <c r="AT38" s="3" t="str">
        <f t="shared" si="84"/>
        <v>X</v>
      </c>
      <c r="AU38" s="3" t="str">
        <f t="shared" si="84"/>
        <v>X</v>
      </c>
      <c r="AV38" s="3" t="str">
        <f t="shared" si="84"/>
        <v>X</v>
      </c>
      <c r="AW38" s="3" t="str">
        <f t="shared" si="13"/>
        <v>X</v>
      </c>
      <c r="AX38" s="3" t="str">
        <f t="shared" si="14"/>
        <v>X</v>
      </c>
      <c r="AY38" s="3" t="str">
        <f t="shared" si="15"/>
        <v>X</v>
      </c>
      <c r="AZ38" s="3" t="str">
        <f t="shared" si="16"/>
        <v>X</v>
      </c>
      <c r="BA38" s="3">
        <f t="shared" si="61"/>
        <v>288</v>
      </c>
      <c r="BB38" s="3">
        <f t="shared" si="62"/>
        <v>289</v>
      </c>
      <c r="BC38" s="3">
        <f t="shared" si="63"/>
        <v>290</v>
      </c>
      <c r="BD38" s="3">
        <f t="shared" si="64"/>
        <v>291</v>
      </c>
      <c r="BE38" s="7" t="str">
        <f t="shared" si="65"/>
        <v>00000120</v>
      </c>
      <c r="BF38" s="7" t="str">
        <f t="shared" si="66"/>
        <v>00000121</v>
      </c>
      <c r="BG38" s="7" t="str">
        <f t="shared" si="67"/>
        <v>00000122</v>
      </c>
      <c r="BH38" s="7" t="str">
        <f t="shared" si="68"/>
        <v>00000123</v>
      </c>
      <c r="BI38" s="3" t="str">
        <f t="shared" si="69"/>
        <v/>
      </c>
      <c r="BJ38" s="3" t="str">
        <f t="shared" si="70"/>
        <v/>
      </c>
      <c r="BK38" s="3" t="str">
        <f t="shared" si="71"/>
        <v/>
      </c>
      <c r="BL38" s="3" t="str">
        <f t="shared" si="72"/>
        <v/>
      </c>
      <c r="BM38" s="3">
        <f t="shared" si="73"/>
        <v>31</v>
      </c>
      <c r="BN38" s="3">
        <f t="shared" si="74"/>
        <v>23</v>
      </c>
      <c r="BO38" s="3">
        <f t="shared" si="75"/>
        <v>15</v>
      </c>
      <c r="BP38" s="3">
        <f t="shared" si="76"/>
        <v>7</v>
      </c>
      <c r="BQ38" s="3" t="str">
        <f t="shared" si="77"/>
        <v>(31 downto 24)</v>
      </c>
      <c r="BR38" s="3" t="str">
        <f t="shared" si="78"/>
        <v>(23 downto 16)</v>
      </c>
      <c r="BS38" s="3" t="str">
        <f t="shared" si="79"/>
        <v>(15 downto 8)</v>
      </c>
      <c r="BT38" s="3" t="str">
        <f t="shared" si="80"/>
        <v>(7 downto 0)</v>
      </c>
    </row>
    <row r="39" spans="2:72" x14ac:dyDescent="0.25">
      <c r="B39" s="3" t="s">
        <v>291</v>
      </c>
      <c r="C39" s="3" t="s">
        <v>1713</v>
      </c>
      <c r="D39" s="3" t="s">
        <v>1</v>
      </c>
      <c r="E39" s="3" t="s">
        <v>115</v>
      </c>
      <c r="F39" s="3" t="s">
        <v>358</v>
      </c>
      <c r="G39" s="3" t="s">
        <v>425</v>
      </c>
      <c r="H39" s="18" t="s">
        <v>1694</v>
      </c>
      <c r="I39" s="3" t="s">
        <v>24</v>
      </c>
      <c r="J39" s="3">
        <v>32</v>
      </c>
      <c r="K39" s="3" t="s">
        <v>1712</v>
      </c>
      <c r="L39" s="3" t="s">
        <v>23</v>
      </c>
      <c r="M39" s="3">
        <v>73</v>
      </c>
      <c r="N39" s="3" t="str">
        <f t="shared" ref="N39:N69" si="87">DEC2HEX($M39,8)</f>
        <v>00000049</v>
      </c>
      <c r="O39" s="3">
        <v>31</v>
      </c>
      <c r="P39" s="3">
        <v>0</v>
      </c>
      <c r="Q39" s="3" t="str">
        <f t="shared" si="83"/>
        <v>X</v>
      </c>
      <c r="R39" s="3" t="str">
        <f t="shared" si="83"/>
        <v>X</v>
      </c>
      <c r="S39" s="3" t="str">
        <f t="shared" si="83"/>
        <v>X</v>
      </c>
      <c r="T39" s="3" t="str">
        <f t="shared" si="83"/>
        <v>X</v>
      </c>
      <c r="U39" s="3" t="str">
        <f t="shared" si="83"/>
        <v>X</v>
      </c>
      <c r="V39" s="3" t="str">
        <f t="shared" si="83"/>
        <v>X</v>
      </c>
      <c r="W39" s="3" t="str">
        <f t="shared" si="83"/>
        <v>X</v>
      </c>
      <c r="X39" s="3" t="str">
        <f t="shared" si="83"/>
        <v>X</v>
      </c>
      <c r="Y39" s="3" t="str">
        <f t="shared" si="83"/>
        <v>X</v>
      </c>
      <c r="Z39" s="3" t="str">
        <f t="shared" si="83"/>
        <v>X</v>
      </c>
      <c r="AA39" s="3" t="str">
        <f t="shared" si="83"/>
        <v>X</v>
      </c>
      <c r="AB39" s="3" t="str">
        <f t="shared" si="83"/>
        <v>X</v>
      </c>
      <c r="AC39" s="3" t="str">
        <f t="shared" si="83"/>
        <v>X</v>
      </c>
      <c r="AD39" s="3" t="str">
        <f t="shared" si="83"/>
        <v>X</v>
      </c>
      <c r="AE39" s="3" t="str">
        <f t="shared" ref="Q39:AF55" si="88">IF(AND($O39&gt;=AE$3,AE$3&gt;=$P39),"X","")</f>
        <v>X</v>
      </c>
      <c r="AF39" s="3" t="str">
        <f t="shared" si="88"/>
        <v>X</v>
      </c>
      <c r="AG39" s="3" t="str">
        <f t="shared" si="84"/>
        <v>X</v>
      </c>
      <c r="AH39" s="3" t="str">
        <f t="shared" si="84"/>
        <v>X</v>
      </c>
      <c r="AI39" s="3" t="str">
        <f t="shared" si="84"/>
        <v>X</v>
      </c>
      <c r="AJ39" s="3" t="str">
        <f t="shared" si="84"/>
        <v>X</v>
      </c>
      <c r="AK39" s="3" t="str">
        <f t="shared" si="84"/>
        <v>X</v>
      </c>
      <c r="AL39" s="3" t="str">
        <f t="shared" si="84"/>
        <v>X</v>
      </c>
      <c r="AM39" s="3" t="str">
        <f t="shared" si="84"/>
        <v>X</v>
      </c>
      <c r="AN39" s="3" t="str">
        <f t="shared" si="84"/>
        <v>X</v>
      </c>
      <c r="AO39" s="3" t="str">
        <f t="shared" si="84"/>
        <v>X</v>
      </c>
      <c r="AP39" s="3" t="str">
        <f t="shared" si="84"/>
        <v>X</v>
      </c>
      <c r="AQ39" s="3" t="str">
        <f t="shared" si="84"/>
        <v>X</v>
      </c>
      <c r="AR39" s="3" t="str">
        <f t="shared" si="84"/>
        <v>X</v>
      </c>
      <c r="AS39" s="3" t="str">
        <f t="shared" si="84"/>
        <v>X</v>
      </c>
      <c r="AT39" s="3" t="str">
        <f t="shared" si="84"/>
        <v>X</v>
      </c>
      <c r="AU39" s="3" t="str">
        <f t="shared" ref="AG39:AV55" si="89">IF(AND($O39&gt;=AU$3,AU$3&gt;=$P39),"X","")</f>
        <v>X</v>
      </c>
      <c r="AV39" s="3" t="str">
        <f t="shared" si="89"/>
        <v>X</v>
      </c>
      <c r="AW39" s="3" t="str">
        <f t="shared" si="13"/>
        <v>X</v>
      </c>
      <c r="AX39" s="3" t="str">
        <f t="shared" si="14"/>
        <v>X</v>
      </c>
      <c r="AY39" s="3" t="str">
        <f t="shared" si="15"/>
        <v>X</v>
      </c>
      <c r="AZ39" s="3" t="str">
        <f t="shared" si="16"/>
        <v>X</v>
      </c>
      <c r="BA39" s="3">
        <f t="shared" si="61"/>
        <v>292</v>
      </c>
      <c r="BB39" s="3">
        <f t="shared" si="62"/>
        <v>293</v>
      </c>
      <c r="BC39" s="3">
        <f t="shared" si="63"/>
        <v>294</v>
      </c>
      <c r="BD39" s="3">
        <f t="shared" si="64"/>
        <v>295</v>
      </c>
      <c r="BE39" s="7" t="str">
        <f t="shared" si="65"/>
        <v>00000124</v>
      </c>
      <c r="BF39" s="7" t="str">
        <f t="shared" si="66"/>
        <v>00000125</v>
      </c>
      <c r="BG39" s="7" t="str">
        <f t="shared" si="67"/>
        <v>00000126</v>
      </c>
      <c r="BH39" s="7" t="str">
        <f t="shared" si="68"/>
        <v>00000127</v>
      </c>
      <c r="BI39" s="3" t="str">
        <f t="shared" si="69"/>
        <v/>
      </c>
      <c r="BJ39" s="3" t="str">
        <f t="shared" si="70"/>
        <v/>
      </c>
      <c r="BK39" s="3" t="str">
        <f t="shared" si="71"/>
        <v/>
      </c>
      <c r="BL39" s="3" t="str">
        <f t="shared" si="72"/>
        <v/>
      </c>
      <c r="BM39" s="3">
        <f t="shared" si="73"/>
        <v>31</v>
      </c>
      <c r="BN39" s="3">
        <f t="shared" si="74"/>
        <v>23</v>
      </c>
      <c r="BO39" s="3">
        <f t="shared" si="75"/>
        <v>15</v>
      </c>
      <c r="BP39" s="3">
        <f t="shared" si="76"/>
        <v>7</v>
      </c>
      <c r="BQ39" s="3" t="str">
        <f t="shared" si="77"/>
        <v>(31 downto 24)</v>
      </c>
      <c r="BR39" s="3" t="str">
        <f t="shared" si="78"/>
        <v>(23 downto 16)</v>
      </c>
      <c r="BS39" s="3" t="str">
        <f t="shared" si="79"/>
        <v>(15 downto 8)</v>
      </c>
      <c r="BT39" s="3" t="str">
        <f t="shared" si="80"/>
        <v>(7 downto 0)</v>
      </c>
    </row>
    <row r="40" spans="2:72" x14ac:dyDescent="0.25">
      <c r="B40" s="3" t="s">
        <v>292</v>
      </c>
      <c r="C40" s="3" t="s">
        <v>1714</v>
      </c>
      <c r="D40" s="3" t="s">
        <v>1</v>
      </c>
      <c r="E40" s="3" t="s">
        <v>115</v>
      </c>
      <c r="F40" s="3" t="s">
        <v>359</v>
      </c>
      <c r="G40" s="3" t="s">
        <v>426</v>
      </c>
      <c r="H40" s="18" t="s">
        <v>1694</v>
      </c>
      <c r="I40" s="3" t="s">
        <v>24</v>
      </c>
      <c r="J40" s="3">
        <v>32</v>
      </c>
      <c r="K40" s="3" t="s">
        <v>119</v>
      </c>
      <c r="L40" s="3" t="s">
        <v>23</v>
      </c>
      <c r="M40" s="3">
        <v>74</v>
      </c>
      <c r="N40" s="3" t="str">
        <f t="shared" si="87"/>
        <v>0000004A</v>
      </c>
      <c r="O40" s="3">
        <v>31</v>
      </c>
      <c r="P40" s="3">
        <v>0</v>
      </c>
      <c r="Q40" s="3" t="str">
        <f t="shared" si="88"/>
        <v>X</v>
      </c>
      <c r="R40" s="3" t="str">
        <f t="shared" si="88"/>
        <v>X</v>
      </c>
      <c r="S40" s="3" t="str">
        <f t="shared" si="88"/>
        <v>X</v>
      </c>
      <c r="T40" s="3" t="str">
        <f t="shared" si="88"/>
        <v>X</v>
      </c>
      <c r="U40" s="3" t="str">
        <f t="shared" si="88"/>
        <v>X</v>
      </c>
      <c r="V40" s="3" t="str">
        <f t="shared" si="88"/>
        <v>X</v>
      </c>
      <c r="W40" s="3" t="str">
        <f t="shared" si="88"/>
        <v>X</v>
      </c>
      <c r="X40" s="3" t="str">
        <f t="shared" si="88"/>
        <v>X</v>
      </c>
      <c r="Y40" s="3" t="str">
        <f t="shared" si="88"/>
        <v>X</v>
      </c>
      <c r="Z40" s="3" t="str">
        <f t="shared" si="88"/>
        <v>X</v>
      </c>
      <c r="AA40" s="3" t="str">
        <f t="shared" si="88"/>
        <v>X</v>
      </c>
      <c r="AB40" s="3" t="str">
        <f t="shared" si="88"/>
        <v>X</v>
      </c>
      <c r="AC40" s="3" t="str">
        <f t="shared" si="88"/>
        <v>X</v>
      </c>
      <c r="AD40" s="3" t="str">
        <f t="shared" si="88"/>
        <v>X</v>
      </c>
      <c r="AE40" s="3" t="str">
        <f t="shared" si="88"/>
        <v>X</v>
      </c>
      <c r="AF40" s="3" t="str">
        <f t="shared" si="88"/>
        <v>X</v>
      </c>
      <c r="AG40" s="3" t="str">
        <f t="shared" si="89"/>
        <v>X</v>
      </c>
      <c r="AH40" s="3" t="str">
        <f t="shared" si="89"/>
        <v>X</v>
      </c>
      <c r="AI40" s="3" t="str">
        <f t="shared" si="89"/>
        <v>X</v>
      </c>
      <c r="AJ40" s="3" t="str">
        <f t="shared" si="89"/>
        <v>X</v>
      </c>
      <c r="AK40" s="3" t="str">
        <f t="shared" si="89"/>
        <v>X</v>
      </c>
      <c r="AL40" s="3" t="str">
        <f t="shared" si="89"/>
        <v>X</v>
      </c>
      <c r="AM40" s="3" t="str">
        <f t="shared" si="89"/>
        <v>X</v>
      </c>
      <c r="AN40" s="3" t="str">
        <f t="shared" si="89"/>
        <v>X</v>
      </c>
      <c r="AO40" s="3" t="str">
        <f t="shared" si="89"/>
        <v>X</v>
      </c>
      <c r="AP40" s="3" t="str">
        <f t="shared" si="89"/>
        <v>X</v>
      </c>
      <c r="AQ40" s="3" t="str">
        <f t="shared" si="89"/>
        <v>X</v>
      </c>
      <c r="AR40" s="3" t="str">
        <f t="shared" si="89"/>
        <v>X</v>
      </c>
      <c r="AS40" s="3" t="str">
        <f t="shared" si="89"/>
        <v>X</v>
      </c>
      <c r="AT40" s="3" t="str">
        <f t="shared" si="89"/>
        <v>X</v>
      </c>
      <c r="AU40" s="3" t="str">
        <f t="shared" si="89"/>
        <v>X</v>
      </c>
      <c r="AV40" s="3" t="str">
        <f t="shared" si="89"/>
        <v>X</v>
      </c>
      <c r="AW40" s="3" t="str">
        <f t="shared" si="13"/>
        <v>X</v>
      </c>
      <c r="AX40" s="3" t="str">
        <f t="shared" si="14"/>
        <v>X</v>
      </c>
      <c r="AY40" s="3" t="str">
        <f t="shared" si="15"/>
        <v>X</v>
      </c>
      <c r="AZ40" s="3" t="str">
        <f t="shared" si="16"/>
        <v>X</v>
      </c>
      <c r="BA40" s="3">
        <f t="shared" si="61"/>
        <v>296</v>
      </c>
      <c r="BB40" s="3">
        <f t="shared" si="62"/>
        <v>297</v>
      </c>
      <c r="BC40" s="3">
        <f t="shared" si="63"/>
        <v>298</v>
      </c>
      <c r="BD40" s="3">
        <f t="shared" si="64"/>
        <v>299</v>
      </c>
      <c r="BE40" s="7" t="str">
        <f t="shared" si="65"/>
        <v>00000128</v>
      </c>
      <c r="BF40" s="7" t="str">
        <f t="shared" si="66"/>
        <v>00000129</v>
      </c>
      <c r="BG40" s="7" t="str">
        <f t="shared" si="67"/>
        <v>0000012A</v>
      </c>
      <c r="BH40" s="7" t="str">
        <f t="shared" si="68"/>
        <v>0000012B</v>
      </c>
      <c r="BI40" s="3" t="str">
        <f t="shared" si="69"/>
        <v/>
      </c>
      <c r="BJ40" s="3" t="str">
        <f t="shared" si="70"/>
        <v/>
      </c>
      <c r="BK40" s="3" t="str">
        <f t="shared" si="71"/>
        <v/>
      </c>
      <c r="BL40" s="3" t="str">
        <f t="shared" si="72"/>
        <v/>
      </c>
      <c r="BM40" s="3">
        <f t="shared" si="73"/>
        <v>31</v>
      </c>
      <c r="BN40" s="3">
        <f t="shared" si="74"/>
        <v>23</v>
      </c>
      <c r="BO40" s="3">
        <f t="shared" si="75"/>
        <v>15</v>
      </c>
      <c r="BP40" s="3">
        <f t="shared" si="76"/>
        <v>7</v>
      </c>
      <c r="BQ40" s="3" t="str">
        <f t="shared" si="77"/>
        <v>(31 downto 24)</v>
      </c>
      <c r="BR40" s="3" t="str">
        <f t="shared" si="78"/>
        <v>(23 downto 16)</v>
      </c>
      <c r="BS40" s="3" t="str">
        <f t="shared" si="79"/>
        <v>(15 downto 8)</v>
      </c>
      <c r="BT40" s="3" t="str">
        <f t="shared" si="80"/>
        <v>(7 downto 0)</v>
      </c>
    </row>
    <row r="41" spans="2:72" x14ac:dyDescent="0.25">
      <c r="B41" s="3" t="s">
        <v>293</v>
      </c>
      <c r="C41" s="3" t="s">
        <v>1715</v>
      </c>
      <c r="D41" s="3" t="s">
        <v>1</v>
      </c>
      <c r="E41" s="3" t="s">
        <v>115</v>
      </c>
      <c r="F41" s="3" t="s">
        <v>360</v>
      </c>
      <c r="G41" s="3" t="s">
        <v>427</v>
      </c>
      <c r="H41" s="18" t="s">
        <v>1694</v>
      </c>
      <c r="I41" s="3" t="s">
        <v>24</v>
      </c>
      <c r="J41" s="3">
        <v>32</v>
      </c>
      <c r="K41" s="3" t="s">
        <v>119</v>
      </c>
      <c r="L41" s="3" t="s">
        <v>23</v>
      </c>
      <c r="M41" s="3">
        <v>75</v>
      </c>
      <c r="N41" s="3" t="str">
        <f t="shared" si="87"/>
        <v>0000004B</v>
      </c>
      <c r="O41" s="3">
        <v>31</v>
      </c>
      <c r="P41" s="3">
        <v>0</v>
      </c>
      <c r="Q41" s="3" t="str">
        <f t="shared" si="88"/>
        <v>X</v>
      </c>
      <c r="R41" s="3" t="str">
        <f t="shared" si="88"/>
        <v>X</v>
      </c>
      <c r="S41" s="3" t="str">
        <f t="shared" si="88"/>
        <v>X</v>
      </c>
      <c r="T41" s="3" t="str">
        <f t="shared" si="88"/>
        <v>X</v>
      </c>
      <c r="U41" s="3" t="str">
        <f t="shared" si="88"/>
        <v>X</v>
      </c>
      <c r="V41" s="3" t="str">
        <f t="shared" si="88"/>
        <v>X</v>
      </c>
      <c r="W41" s="3" t="str">
        <f t="shared" si="88"/>
        <v>X</v>
      </c>
      <c r="X41" s="3" t="str">
        <f t="shared" si="88"/>
        <v>X</v>
      </c>
      <c r="Y41" s="3" t="str">
        <f t="shared" si="88"/>
        <v>X</v>
      </c>
      <c r="Z41" s="3" t="str">
        <f t="shared" si="88"/>
        <v>X</v>
      </c>
      <c r="AA41" s="3" t="str">
        <f t="shared" si="88"/>
        <v>X</v>
      </c>
      <c r="AB41" s="3" t="str">
        <f t="shared" si="88"/>
        <v>X</v>
      </c>
      <c r="AC41" s="3" t="str">
        <f t="shared" si="88"/>
        <v>X</v>
      </c>
      <c r="AD41" s="3" t="str">
        <f t="shared" si="88"/>
        <v>X</v>
      </c>
      <c r="AE41" s="3" t="str">
        <f t="shared" si="88"/>
        <v>X</v>
      </c>
      <c r="AF41" s="3" t="str">
        <f t="shared" si="88"/>
        <v>X</v>
      </c>
      <c r="AG41" s="3" t="str">
        <f t="shared" si="89"/>
        <v>X</v>
      </c>
      <c r="AH41" s="3" t="str">
        <f t="shared" si="89"/>
        <v>X</v>
      </c>
      <c r="AI41" s="3" t="str">
        <f t="shared" si="89"/>
        <v>X</v>
      </c>
      <c r="AJ41" s="3" t="str">
        <f t="shared" si="89"/>
        <v>X</v>
      </c>
      <c r="AK41" s="3" t="str">
        <f t="shared" si="89"/>
        <v>X</v>
      </c>
      <c r="AL41" s="3" t="str">
        <f t="shared" si="89"/>
        <v>X</v>
      </c>
      <c r="AM41" s="3" t="str">
        <f t="shared" si="89"/>
        <v>X</v>
      </c>
      <c r="AN41" s="3" t="str">
        <f t="shared" si="89"/>
        <v>X</v>
      </c>
      <c r="AO41" s="3" t="str">
        <f t="shared" si="89"/>
        <v>X</v>
      </c>
      <c r="AP41" s="3" t="str">
        <f t="shared" si="89"/>
        <v>X</v>
      </c>
      <c r="AQ41" s="3" t="str">
        <f t="shared" si="89"/>
        <v>X</v>
      </c>
      <c r="AR41" s="3" t="str">
        <f t="shared" si="89"/>
        <v>X</v>
      </c>
      <c r="AS41" s="3" t="str">
        <f t="shared" si="89"/>
        <v>X</v>
      </c>
      <c r="AT41" s="3" t="str">
        <f t="shared" si="89"/>
        <v>X</v>
      </c>
      <c r="AU41" s="3" t="str">
        <f t="shared" si="89"/>
        <v>X</v>
      </c>
      <c r="AV41" s="3" t="str">
        <f t="shared" si="89"/>
        <v>X</v>
      </c>
      <c r="AW41" s="3" t="str">
        <f t="shared" si="13"/>
        <v>X</v>
      </c>
      <c r="AX41" s="3" t="str">
        <f t="shared" si="14"/>
        <v>X</v>
      </c>
      <c r="AY41" s="3" t="str">
        <f t="shared" si="15"/>
        <v>X</v>
      </c>
      <c r="AZ41" s="3" t="str">
        <f t="shared" si="16"/>
        <v>X</v>
      </c>
      <c r="BA41" s="3">
        <f t="shared" si="61"/>
        <v>300</v>
      </c>
      <c r="BB41" s="3">
        <f t="shared" si="62"/>
        <v>301</v>
      </c>
      <c r="BC41" s="3">
        <f t="shared" si="63"/>
        <v>302</v>
      </c>
      <c r="BD41" s="3">
        <f t="shared" si="64"/>
        <v>303</v>
      </c>
      <c r="BE41" s="7" t="str">
        <f t="shared" si="65"/>
        <v>0000012C</v>
      </c>
      <c r="BF41" s="7" t="str">
        <f t="shared" si="66"/>
        <v>0000012D</v>
      </c>
      <c r="BG41" s="7" t="str">
        <f t="shared" si="67"/>
        <v>0000012E</v>
      </c>
      <c r="BH41" s="7" t="str">
        <f t="shared" si="68"/>
        <v>0000012F</v>
      </c>
      <c r="BI41" s="3" t="str">
        <f t="shared" si="69"/>
        <v/>
      </c>
      <c r="BJ41" s="3" t="str">
        <f t="shared" si="70"/>
        <v/>
      </c>
      <c r="BK41" s="3" t="str">
        <f t="shared" si="71"/>
        <v/>
      </c>
      <c r="BL41" s="3" t="str">
        <f t="shared" si="72"/>
        <v/>
      </c>
      <c r="BM41" s="3">
        <f t="shared" si="73"/>
        <v>31</v>
      </c>
      <c r="BN41" s="3">
        <f t="shared" si="74"/>
        <v>23</v>
      </c>
      <c r="BO41" s="3">
        <f t="shared" si="75"/>
        <v>15</v>
      </c>
      <c r="BP41" s="3">
        <f t="shared" si="76"/>
        <v>7</v>
      </c>
      <c r="BQ41" s="3" t="str">
        <f t="shared" si="77"/>
        <v>(31 downto 24)</v>
      </c>
      <c r="BR41" s="3" t="str">
        <f t="shared" si="78"/>
        <v>(23 downto 16)</v>
      </c>
      <c r="BS41" s="3" t="str">
        <f t="shared" si="79"/>
        <v>(15 downto 8)</v>
      </c>
      <c r="BT41" s="3" t="str">
        <f t="shared" si="80"/>
        <v>(7 downto 0)</v>
      </c>
    </row>
    <row r="42" spans="2:72" x14ac:dyDescent="0.25">
      <c r="B42" s="3" t="s">
        <v>294</v>
      </c>
      <c r="C42" s="3" t="s">
        <v>1716</v>
      </c>
      <c r="D42" s="3" t="s">
        <v>1</v>
      </c>
      <c r="E42" s="3" t="s">
        <v>115</v>
      </c>
      <c r="F42" s="3" t="s">
        <v>361</v>
      </c>
      <c r="G42" s="3" t="s">
        <v>428</v>
      </c>
      <c r="H42" s="18" t="s">
        <v>1694</v>
      </c>
      <c r="I42" s="3" t="s">
        <v>24</v>
      </c>
      <c r="J42" s="3">
        <v>32</v>
      </c>
      <c r="K42" s="3" t="s">
        <v>119</v>
      </c>
      <c r="L42" s="3" t="s">
        <v>23</v>
      </c>
      <c r="M42" s="3">
        <v>76</v>
      </c>
      <c r="N42" s="3" t="str">
        <f t="shared" si="87"/>
        <v>0000004C</v>
      </c>
      <c r="O42" s="3">
        <v>31</v>
      </c>
      <c r="P42" s="3">
        <v>0</v>
      </c>
      <c r="Q42" s="3" t="str">
        <f t="shared" si="88"/>
        <v>X</v>
      </c>
      <c r="R42" s="3" t="str">
        <f t="shared" si="88"/>
        <v>X</v>
      </c>
      <c r="S42" s="3" t="str">
        <f t="shared" si="88"/>
        <v>X</v>
      </c>
      <c r="T42" s="3" t="str">
        <f t="shared" si="88"/>
        <v>X</v>
      </c>
      <c r="U42" s="3" t="str">
        <f t="shared" si="88"/>
        <v>X</v>
      </c>
      <c r="V42" s="3" t="str">
        <f t="shared" si="88"/>
        <v>X</v>
      </c>
      <c r="W42" s="3" t="str">
        <f t="shared" si="88"/>
        <v>X</v>
      </c>
      <c r="X42" s="3" t="str">
        <f t="shared" si="88"/>
        <v>X</v>
      </c>
      <c r="Y42" s="3" t="str">
        <f t="shared" si="88"/>
        <v>X</v>
      </c>
      <c r="Z42" s="3" t="str">
        <f t="shared" si="88"/>
        <v>X</v>
      </c>
      <c r="AA42" s="3" t="str">
        <f t="shared" si="88"/>
        <v>X</v>
      </c>
      <c r="AB42" s="3" t="str">
        <f t="shared" si="88"/>
        <v>X</v>
      </c>
      <c r="AC42" s="3" t="str">
        <f t="shared" si="88"/>
        <v>X</v>
      </c>
      <c r="AD42" s="3" t="str">
        <f t="shared" si="88"/>
        <v>X</v>
      </c>
      <c r="AE42" s="3" t="str">
        <f t="shared" si="88"/>
        <v>X</v>
      </c>
      <c r="AF42" s="3" t="str">
        <f t="shared" si="88"/>
        <v>X</v>
      </c>
      <c r="AG42" s="3" t="str">
        <f t="shared" si="89"/>
        <v>X</v>
      </c>
      <c r="AH42" s="3" t="str">
        <f t="shared" si="89"/>
        <v>X</v>
      </c>
      <c r="AI42" s="3" t="str">
        <f t="shared" si="89"/>
        <v>X</v>
      </c>
      <c r="AJ42" s="3" t="str">
        <f t="shared" si="89"/>
        <v>X</v>
      </c>
      <c r="AK42" s="3" t="str">
        <f t="shared" si="89"/>
        <v>X</v>
      </c>
      <c r="AL42" s="3" t="str">
        <f t="shared" si="89"/>
        <v>X</v>
      </c>
      <c r="AM42" s="3" t="str">
        <f t="shared" si="89"/>
        <v>X</v>
      </c>
      <c r="AN42" s="3" t="str">
        <f t="shared" si="89"/>
        <v>X</v>
      </c>
      <c r="AO42" s="3" t="str">
        <f t="shared" si="89"/>
        <v>X</v>
      </c>
      <c r="AP42" s="3" t="str">
        <f t="shared" si="89"/>
        <v>X</v>
      </c>
      <c r="AQ42" s="3" t="str">
        <f t="shared" si="89"/>
        <v>X</v>
      </c>
      <c r="AR42" s="3" t="str">
        <f t="shared" si="89"/>
        <v>X</v>
      </c>
      <c r="AS42" s="3" t="str">
        <f t="shared" si="89"/>
        <v>X</v>
      </c>
      <c r="AT42" s="3" t="str">
        <f t="shared" si="89"/>
        <v>X</v>
      </c>
      <c r="AU42" s="3" t="str">
        <f t="shared" si="89"/>
        <v>X</v>
      </c>
      <c r="AV42" s="3" t="str">
        <f t="shared" si="89"/>
        <v>X</v>
      </c>
      <c r="AW42" s="3" t="str">
        <f t="shared" si="13"/>
        <v>X</v>
      </c>
      <c r="AX42" s="3" t="str">
        <f t="shared" si="14"/>
        <v>X</v>
      </c>
      <c r="AY42" s="3" t="str">
        <f t="shared" si="15"/>
        <v>X</v>
      </c>
      <c r="AZ42" s="3" t="str">
        <f t="shared" si="16"/>
        <v>X</v>
      </c>
      <c r="BA42" s="3">
        <f t="shared" si="61"/>
        <v>304</v>
      </c>
      <c r="BB42" s="3">
        <f t="shared" si="62"/>
        <v>305</v>
      </c>
      <c r="BC42" s="3">
        <f t="shared" si="63"/>
        <v>306</v>
      </c>
      <c r="BD42" s="3">
        <f t="shared" si="64"/>
        <v>307</v>
      </c>
      <c r="BE42" s="7" t="str">
        <f t="shared" si="65"/>
        <v>00000130</v>
      </c>
      <c r="BF42" s="7" t="str">
        <f t="shared" si="66"/>
        <v>00000131</v>
      </c>
      <c r="BG42" s="7" t="str">
        <f t="shared" si="67"/>
        <v>00000132</v>
      </c>
      <c r="BH42" s="7" t="str">
        <f t="shared" si="68"/>
        <v>00000133</v>
      </c>
      <c r="BI42" s="3" t="str">
        <f t="shared" si="69"/>
        <v/>
      </c>
      <c r="BJ42" s="3" t="str">
        <f t="shared" si="70"/>
        <v/>
      </c>
      <c r="BK42" s="3" t="str">
        <f t="shared" si="71"/>
        <v/>
      </c>
      <c r="BL42" s="3" t="str">
        <f t="shared" si="72"/>
        <v/>
      </c>
      <c r="BM42" s="3">
        <f t="shared" si="73"/>
        <v>31</v>
      </c>
      <c r="BN42" s="3">
        <f t="shared" si="74"/>
        <v>23</v>
      </c>
      <c r="BO42" s="3">
        <f t="shared" si="75"/>
        <v>15</v>
      </c>
      <c r="BP42" s="3">
        <f t="shared" si="76"/>
        <v>7</v>
      </c>
      <c r="BQ42" s="3" t="str">
        <f t="shared" si="77"/>
        <v>(31 downto 24)</v>
      </c>
      <c r="BR42" s="3" t="str">
        <f t="shared" si="78"/>
        <v>(23 downto 16)</v>
      </c>
      <c r="BS42" s="3" t="str">
        <f t="shared" si="79"/>
        <v>(15 downto 8)</v>
      </c>
      <c r="BT42" s="3" t="str">
        <f t="shared" si="80"/>
        <v>(7 downto 0)</v>
      </c>
    </row>
    <row r="43" spans="2:72" x14ac:dyDescent="0.25">
      <c r="B43" s="3" t="s">
        <v>295</v>
      </c>
      <c r="C43" s="3" t="s">
        <v>1717</v>
      </c>
      <c r="D43" s="3" t="s">
        <v>1</v>
      </c>
      <c r="E43" s="3" t="s">
        <v>115</v>
      </c>
      <c r="F43" s="3" t="s">
        <v>362</v>
      </c>
      <c r="G43" s="3" t="s">
        <v>429</v>
      </c>
      <c r="H43" s="18" t="s">
        <v>1694</v>
      </c>
      <c r="I43" s="3" t="s">
        <v>24</v>
      </c>
      <c r="J43" s="3">
        <v>32</v>
      </c>
      <c r="K43" s="3" t="s">
        <v>119</v>
      </c>
      <c r="L43" s="3" t="s">
        <v>23</v>
      </c>
      <c r="M43" s="3">
        <v>77</v>
      </c>
      <c r="N43" s="3" t="str">
        <f t="shared" si="87"/>
        <v>0000004D</v>
      </c>
      <c r="O43" s="3">
        <v>31</v>
      </c>
      <c r="P43" s="3">
        <v>0</v>
      </c>
      <c r="Q43" s="3" t="str">
        <f t="shared" si="88"/>
        <v>X</v>
      </c>
      <c r="R43" s="3" t="str">
        <f t="shared" si="88"/>
        <v>X</v>
      </c>
      <c r="S43" s="3" t="str">
        <f t="shared" si="88"/>
        <v>X</v>
      </c>
      <c r="T43" s="3" t="str">
        <f t="shared" si="88"/>
        <v>X</v>
      </c>
      <c r="U43" s="3" t="str">
        <f t="shared" si="88"/>
        <v>X</v>
      </c>
      <c r="V43" s="3" t="str">
        <f t="shared" si="88"/>
        <v>X</v>
      </c>
      <c r="W43" s="3" t="str">
        <f t="shared" si="88"/>
        <v>X</v>
      </c>
      <c r="X43" s="3" t="str">
        <f t="shared" si="88"/>
        <v>X</v>
      </c>
      <c r="Y43" s="3" t="str">
        <f t="shared" si="88"/>
        <v>X</v>
      </c>
      <c r="Z43" s="3" t="str">
        <f t="shared" si="88"/>
        <v>X</v>
      </c>
      <c r="AA43" s="3" t="str">
        <f t="shared" si="88"/>
        <v>X</v>
      </c>
      <c r="AB43" s="3" t="str">
        <f t="shared" si="88"/>
        <v>X</v>
      </c>
      <c r="AC43" s="3" t="str">
        <f t="shared" si="88"/>
        <v>X</v>
      </c>
      <c r="AD43" s="3" t="str">
        <f t="shared" si="88"/>
        <v>X</v>
      </c>
      <c r="AE43" s="3" t="str">
        <f t="shared" si="88"/>
        <v>X</v>
      </c>
      <c r="AF43" s="3" t="str">
        <f t="shared" si="88"/>
        <v>X</v>
      </c>
      <c r="AG43" s="3" t="str">
        <f t="shared" si="89"/>
        <v>X</v>
      </c>
      <c r="AH43" s="3" t="str">
        <f t="shared" si="89"/>
        <v>X</v>
      </c>
      <c r="AI43" s="3" t="str">
        <f t="shared" si="89"/>
        <v>X</v>
      </c>
      <c r="AJ43" s="3" t="str">
        <f t="shared" si="89"/>
        <v>X</v>
      </c>
      <c r="AK43" s="3" t="str">
        <f t="shared" si="89"/>
        <v>X</v>
      </c>
      <c r="AL43" s="3" t="str">
        <f t="shared" si="89"/>
        <v>X</v>
      </c>
      <c r="AM43" s="3" t="str">
        <f t="shared" si="89"/>
        <v>X</v>
      </c>
      <c r="AN43" s="3" t="str">
        <f t="shared" si="89"/>
        <v>X</v>
      </c>
      <c r="AO43" s="3" t="str">
        <f t="shared" si="89"/>
        <v>X</v>
      </c>
      <c r="AP43" s="3" t="str">
        <f t="shared" si="89"/>
        <v>X</v>
      </c>
      <c r="AQ43" s="3" t="str">
        <f t="shared" si="89"/>
        <v>X</v>
      </c>
      <c r="AR43" s="3" t="str">
        <f t="shared" si="89"/>
        <v>X</v>
      </c>
      <c r="AS43" s="3" t="str">
        <f t="shared" si="89"/>
        <v>X</v>
      </c>
      <c r="AT43" s="3" t="str">
        <f t="shared" si="89"/>
        <v>X</v>
      </c>
      <c r="AU43" s="3" t="str">
        <f t="shared" si="89"/>
        <v>X</v>
      </c>
      <c r="AV43" s="3" t="str">
        <f t="shared" si="89"/>
        <v>X</v>
      </c>
      <c r="AW43" s="3" t="str">
        <f t="shared" si="13"/>
        <v>X</v>
      </c>
      <c r="AX43" s="3" t="str">
        <f t="shared" si="14"/>
        <v>X</v>
      </c>
      <c r="AY43" s="3" t="str">
        <f t="shared" si="15"/>
        <v>X</v>
      </c>
      <c r="AZ43" s="3" t="str">
        <f t="shared" si="16"/>
        <v>X</v>
      </c>
      <c r="BA43" s="3">
        <f t="shared" si="61"/>
        <v>308</v>
      </c>
      <c r="BB43" s="3">
        <f t="shared" si="62"/>
        <v>309</v>
      </c>
      <c r="BC43" s="3">
        <f t="shared" si="63"/>
        <v>310</v>
      </c>
      <c r="BD43" s="3">
        <f t="shared" si="64"/>
        <v>311</v>
      </c>
      <c r="BE43" s="7" t="str">
        <f t="shared" si="65"/>
        <v>00000134</v>
      </c>
      <c r="BF43" s="7" t="str">
        <f t="shared" si="66"/>
        <v>00000135</v>
      </c>
      <c r="BG43" s="7" t="str">
        <f t="shared" si="67"/>
        <v>00000136</v>
      </c>
      <c r="BH43" s="7" t="str">
        <f t="shared" si="68"/>
        <v>00000137</v>
      </c>
      <c r="BI43" s="3" t="str">
        <f t="shared" si="69"/>
        <v/>
      </c>
      <c r="BJ43" s="3" t="str">
        <f t="shared" si="70"/>
        <v/>
      </c>
      <c r="BK43" s="3" t="str">
        <f t="shared" si="71"/>
        <v/>
      </c>
      <c r="BL43" s="3" t="str">
        <f t="shared" si="72"/>
        <v/>
      </c>
      <c r="BM43" s="3">
        <f t="shared" si="73"/>
        <v>31</v>
      </c>
      <c r="BN43" s="3">
        <f t="shared" si="74"/>
        <v>23</v>
      </c>
      <c r="BO43" s="3">
        <f t="shared" si="75"/>
        <v>15</v>
      </c>
      <c r="BP43" s="3">
        <f t="shared" si="76"/>
        <v>7</v>
      </c>
      <c r="BQ43" s="3" t="str">
        <f t="shared" si="77"/>
        <v>(31 downto 24)</v>
      </c>
      <c r="BR43" s="3" t="str">
        <f t="shared" si="78"/>
        <v>(23 downto 16)</v>
      </c>
      <c r="BS43" s="3" t="str">
        <f t="shared" si="79"/>
        <v>(15 downto 8)</v>
      </c>
      <c r="BT43" s="3" t="str">
        <f t="shared" si="80"/>
        <v>(7 downto 0)</v>
      </c>
    </row>
    <row r="44" spans="2:72" x14ac:dyDescent="0.25">
      <c r="B44" s="3" t="s">
        <v>296</v>
      </c>
      <c r="C44" s="3" t="s">
        <v>121</v>
      </c>
      <c r="D44" s="3" t="s">
        <v>1</v>
      </c>
      <c r="E44" s="3" t="s">
        <v>115</v>
      </c>
      <c r="F44" s="3" t="s">
        <v>363</v>
      </c>
      <c r="G44" s="3" t="s">
        <v>430</v>
      </c>
      <c r="H44" s="18" t="s">
        <v>122</v>
      </c>
      <c r="I44" s="3" t="s">
        <v>24</v>
      </c>
      <c r="J44" s="3">
        <v>32</v>
      </c>
      <c r="K44" s="3" t="s">
        <v>119</v>
      </c>
      <c r="L44" s="3" t="s">
        <v>23</v>
      </c>
      <c r="M44" s="3">
        <v>78</v>
      </c>
      <c r="N44" s="3" t="str">
        <f t="shared" si="87"/>
        <v>0000004E</v>
      </c>
      <c r="O44" s="3">
        <v>31</v>
      </c>
      <c r="P44" s="3">
        <v>0</v>
      </c>
      <c r="Q44" s="3" t="str">
        <f t="shared" si="88"/>
        <v>X</v>
      </c>
      <c r="R44" s="3" t="str">
        <f t="shared" si="88"/>
        <v>X</v>
      </c>
      <c r="S44" s="3" t="str">
        <f t="shared" si="88"/>
        <v>X</v>
      </c>
      <c r="T44" s="3" t="str">
        <f t="shared" si="88"/>
        <v>X</v>
      </c>
      <c r="U44" s="3" t="str">
        <f t="shared" si="88"/>
        <v>X</v>
      </c>
      <c r="V44" s="3" t="str">
        <f t="shared" si="88"/>
        <v>X</v>
      </c>
      <c r="W44" s="3" t="str">
        <f t="shared" si="88"/>
        <v>X</v>
      </c>
      <c r="X44" s="3" t="str">
        <f t="shared" si="88"/>
        <v>X</v>
      </c>
      <c r="Y44" s="3" t="str">
        <f t="shared" si="88"/>
        <v>X</v>
      </c>
      <c r="Z44" s="3" t="str">
        <f t="shared" si="88"/>
        <v>X</v>
      </c>
      <c r="AA44" s="3" t="str">
        <f t="shared" si="88"/>
        <v>X</v>
      </c>
      <c r="AB44" s="3" t="str">
        <f t="shared" si="88"/>
        <v>X</v>
      </c>
      <c r="AC44" s="3" t="str">
        <f t="shared" si="88"/>
        <v>X</v>
      </c>
      <c r="AD44" s="3" t="str">
        <f t="shared" si="88"/>
        <v>X</v>
      </c>
      <c r="AE44" s="3" t="str">
        <f t="shared" si="88"/>
        <v>X</v>
      </c>
      <c r="AF44" s="3" t="str">
        <f t="shared" si="88"/>
        <v>X</v>
      </c>
      <c r="AG44" s="3" t="str">
        <f t="shared" si="89"/>
        <v>X</v>
      </c>
      <c r="AH44" s="3" t="str">
        <f t="shared" si="89"/>
        <v>X</v>
      </c>
      <c r="AI44" s="3" t="str">
        <f t="shared" si="89"/>
        <v>X</v>
      </c>
      <c r="AJ44" s="3" t="str">
        <f t="shared" si="89"/>
        <v>X</v>
      </c>
      <c r="AK44" s="3" t="str">
        <f t="shared" si="89"/>
        <v>X</v>
      </c>
      <c r="AL44" s="3" t="str">
        <f t="shared" si="89"/>
        <v>X</v>
      </c>
      <c r="AM44" s="3" t="str">
        <f t="shared" si="89"/>
        <v>X</v>
      </c>
      <c r="AN44" s="3" t="str">
        <f t="shared" si="89"/>
        <v>X</v>
      </c>
      <c r="AO44" s="3" t="str">
        <f t="shared" si="89"/>
        <v>X</v>
      </c>
      <c r="AP44" s="3" t="str">
        <f t="shared" si="89"/>
        <v>X</v>
      </c>
      <c r="AQ44" s="3" t="str">
        <f t="shared" si="89"/>
        <v>X</v>
      </c>
      <c r="AR44" s="3" t="str">
        <f t="shared" si="89"/>
        <v>X</v>
      </c>
      <c r="AS44" s="3" t="str">
        <f t="shared" si="89"/>
        <v>X</v>
      </c>
      <c r="AT44" s="3" t="str">
        <f t="shared" si="89"/>
        <v>X</v>
      </c>
      <c r="AU44" s="3" t="str">
        <f t="shared" si="89"/>
        <v>X</v>
      </c>
      <c r="AV44" s="3" t="str">
        <f t="shared" si="89"/>
        <v>X</v>
      </c>
      <c r="AW44" s="3" t="str">
        <f t="shared" si="13"/>
        <v>X</v>
      </c>
      <c r="AX44" s="3" t="str">
        <f t="shared" si="14"/>
        <v>X</v>
      </c>
      <c r="AY44" s="3" t="str">
        <f t="shared" si="15"/>
        <v>X</v>
      </c>
      <c r="AZ44" s="3" t="str">
        <f t="shared" si="16"/>
        <v>X</v>
      </c>
      <c r="BA44" s="3">
        <f t="shared" si="61"/>
        <v>312</v>
      </c>
      <c r="BB44" s="3">
        <f t="shared" si="62"/>
        <v>313</v>
      </c>
      <c r="BC44" s="3">
        <f t="shared" si="63"/>
        <v>314</v>
      </c>
      <c r="BD44" s="3">
        <f t="shared" si="64"/>
        <v>315</v>
      </c>
      <c r="BE44" s="7" t="str">
        <f t="shared" si="65"/>
        <v>00000138</v>
      </c>
      <c r="BF44" s="7" t="str">
        <f t="shared" si="66"/>
        <v>00000139</v>
      </c>
      <c r="BG44" s="7" t="str">
        <f t="shared" si="67"/>
        <v>0000013A</v>
      </c>
      <c r="BH44" s="7" t="str">
        <f t="shared" si="68"/>
        <v>0000013B</v>
      </c>
      <c r="BI44" s="3" t="str">
        <f t="shared" si="69"/>
        <v/>
      </c>
      <c r="BJ44" s="3" t="str">
        <f t="shared" si="70"/>
        <v/>
      </c>
      <c r="BK44" s="3" t="str">
        <f t="shared" si="71"/>
        <v/>
      </c>
      <c r="BL44" s="3" t="str">
        <f t="shared" si="72"/>
        <v/>
      </c>
      <c r="BM44" s="3">
        <f t="shared" si="73"/>
        <v>31</v>
      </c>
      <c r="BN44" s="3">
        <f t="shared" si="74"/>
        <v>23</v>
      </c>
      <c r="BO44" s="3">
        <f t="shared" si="75"/>
        <v>15</v>
      </c>
      <c r="BP44" s="3">
        <f t="shared" si="76"/>
        <v>7</v>
      </c>
      <c r="BQ44" s="3" t="str">
        <f t="shared" si="77"/>
        <v>(31 downto 24)</v>
      </c>
      <c r="BR44" s="3" t="str">
        <f t="shared" si="78"/>
        <v>(23 downto 16)</v>
      </c>
      <c r="BS44" s="3" t="str">
        <f t="shared" si="79"/>
        <v>(15 downto 8)</v>
      </c>
      <c r="BT44" s="3" t="str">
        <f t="shared" si="80"/>
        <v>(7 downto 0)</v>
      </c>
    </row>
    <row r="45" spans="2:72" x14ac:dyDescent="0.25">
      <c r="B45" s="3" t="s">
        <v>297</v>
      </c>
      <c r="C45" s="3" t="s">
        <v>121</v>
      </c>
      <c r="D45" s="3" t="s">
        <v>1</v>
      </c>
      <c r="E45" s="3" t="s">
        <v>115</v>
      </c>
      <c r="F45" s="3" t="s">
        <v>364</v>
      </c>
      <c r="G45" s="3" t="s">
        <v>431</v>
      </c>
      <c r="H45" s="18" t="s">
        <v>122</v>
      </c>
      <c r="I45" s="3" t="s">
        <v>24</v>
      </c>
      <c r="J45" s="3">
        <v>32</v>
      </c>
      <c r="K45" s="3" t="s">
        <v>119</v>
      </c>
      <c r="L45" s="3" t="s">
        <v>23</v>
      </c>
      <c r="M45" s="3">
        <v>79</v>
      </c>
      <c r="N45" s="3" t="str">
        <f t="shared" si="87"/>
        <v>0000004F</v>
      </c>
      <c r="O45" s="3">
        <v>31</v>
      </c>
      <c r="P45" s="3">
        <v>0</v>
      </c>
      <c r="Q45" s="3" t="str">
        <f t="shared" si="88"/>
        <v>X</v>
      </c>
      <c r="R45" s="3" t="str">
        <f t="shared" si="88"/>
        <v>X</v>
      </c>
      <c r="S45" s="3" t="str">
        <f t="shared" si="88"/>
        <v>X</v>
      </c>
      <c r="T45" s="3" t="str">
        <f t="shared" si="88"/>
        <v>X</v>
      </c>
      <c r="U45" s="3" t="str">
        <f t="shared" si="88"/>
        <v>X</v>
      </c>
      <c r="V45" s="3" t="str">
        <f t="shared" si="88"/>
        <v>X</v>
      </c>
      <c r="W45" s="3" t="str">
        <f t="shared" si="88"/>
        <v>X</v>
      </c>
      <c r="X45" s="3" t="str">
        <f t="shared" si="88"/>
        <v>X</v>
      </c>
      <c r="Y45" s="3" t="str">
        <f t="shared" si="88"/>
        <v>X</v>
      </c>
      <c r="Z45" s="3" t="str">
        <f t="shared" si="88"/>
        <v>X</v>
      </c>
      <c r="AA45" s="3" t="str">
        <f t="shared" si="88"/>
        <v>X</v>
      </c>
      <c r="AB45" s="3" t="str">
        <f t="shared" si="88"/>
        <v>X</v>
      </c>
      <c r="AC45" s="3" t="str">
        <f t="shared" si="88"/>
        <v>X</v>
      </c>
      <c r="AD45" s="3" t="str">
        <f t="shared" si="88"/>
        <v>X</v>
      </c>
      <c r="AE45" s="3" t="str">
        <f t="shared" si="88"/>
        <v>X</v>
      </c>
      <c r="AF45" s="3" t="str">
        <f t="shared" si="88"/>
        <v>X</v>
      </c>
      <c r="AG45" s="3" t="str">
        <f t="shared" si="89"/>
        <v>X</v>
      </c>
      <c r="AH45" s="3" t="str">
        <f t="shared" si="89"/>
        <v>X</v>
      </c>
      <c r="AI45" s="3" t="str">
        <f t="shared" si="89"/>
        <v>X</v>
      </c>
      <c r="AJ45" s="3" t="str">
        <f t="shared" si="89"/>
        <v>X</v>
      </c>
      <c r="AK45" s="3" t="str">
        <f t="shared" si="89"/>
        <v>X</v>
      </c>
      <c r="AL45" s="3" t="str">
        <f t="shared" si="89"/>
        <v>X</v>
      </c>
      <c r="AM45" s="3" t="str">
        <f t="shared" si="89"/>
        <v>X</v>
      </c>
      <c r="AN45" s="3" t="str">
        <f t="shared" si="89"/>
        <v>X</v>
      </c>
      <c r="AO45" s="3" t="str">
        <f t="shared" si="89"/>
        <v>X</v>
      </c>
      <c r="AP45" s="3" t="str">
        <f t="shared" si="89"/>
        <v>X</v>
      </c>
      <c r="AQ45" s="3" t="str">
        <f t="shared" si="89"/>
        <v>X</v>
      </c>
      <c r="AR45" s="3" t="str">
        <f t="shared" si="89"/>
        <v>X</v>
      </c>
      <c r="AS45" s="3" t="str">
        <f t="shared" si="89"/>
        <v>X</v>
      </c>
      <c r="AT45" s="3" t="str">
        <f t="shared" si="89"/>
        <v>X</v>
      </c>
      <c r="AU45" s="3" t="str">
        <f t="shared" si="89"/>
        <v>X</v>
      </c>
      <c r="AV45" s="3" t="str">
        <f t="shared" si="89"/>
        <v>X</v>
      </c>
      <c r="AW45" s="3" t="str">
        <f t="shared" si="13"/>
        <v>X</v>
      </c>
      <c r="AX45" s="3" t="str">
        <f t="shared" si="14"/>
        <v>X</v>
      </c>
      <c r="AY45" s="3" t="str">
        <f t="shared" si="15"/>
        <v>X</v>
      </c>
      <c r="AZ45" s="3" t="str">
        <f t="shared" si="16"/>
        <v>X</v>
      </c>
      <c r="BA45" s="3">
        <f t="shared" si="61"/>
        <v>316</v>
      </c>
      <c r="BB45" s="3">
        <f t="shared" si="62"/>
        <v>317</v>
      </c>
      <c r="BC45" s="3">
        <f t="shared" si="63"/>
        <v>318</v>
      </c>
      <c r="BD45" s="3">
        <f t="shared" si="64"/>
        <v>319</v>
      </c>
      <c r="BE45" s="7" t="str">
        <f t="shared" si="65"/>
        <v>0000013C</v>
      </c>
      <c r="BF45" s="7" t="str">
        <f t="shared" si="66"/>
        <v>0000013D</v>
      </c>
      <c r="BG45" s="7" t="str">
        <f t="shared" si="67"/>
        <v>0000013E</v>
      </c>
      <c r="BH45" s="7" t="str">
        <f t="shared" si="68"/>
        <v>0000013F</v>
      </c>
      <c r="BI45" s="3" t="str">
        <f t="shared" si="69"/>
        <v/>
      </c>
      <c r="BJ45" s="3" t="str">
        <f t="shared" si="70"/>
        <v/>
      </c>
      <c r="BK45" s="3" t="str">
        <f t="shared" si="71"/>
        <v/>
      </c>
      <c r="BL45" s="3" t="str">
        <f t="shared" si="72"/>
        <v/>
      </c>
      <c r="BM45" s="3">
        <f t="shared" si="73"/>
        <v>31</v>
      </c>
      <c r="BN45" s="3">
        <f t="shared" si="74"/>
        <v>23</v>
      </c>
      <c r="BO45" s="3">
        <f t="shared" si="75"/>
        <v>15</v>
      </c>
      <c r="BP45" s="3">
        <f t="shared" si="76"/>
        <v>7</v>
      </c>
      <c r="BQ45" s="3" t="str">
        <f t="shared" si="77"/>
        <v>(31 downto 24)</v>
      </c>
      <c r="BR45" s="3" t="str">
        <f t="shared" si="78"/>
        <v>(23 downto 16)</v>
      </c>
      <c r="BS45" s="3" t="str">
        <f t="shared" si="79"/>
        <v>(15 downto 8)</v>
      </c>
      <c r="BT45" s="3" t="str">
        <f t="shared" si="80"/>
        <v>(7 downto 0)</v>
      </c>
    </row>
    <row r="46" spans="2:72" x14ac:dyDescent="0.25">
      <c r="B46" s="3" t="s">
        <v>298</v>
      </c>
      <c r="C46" s="3" t="s">
        <v>186</v>
      </c>
      <c r="D46" s="3" t="s">
        <v>1</v>
      </c>
      <c r="E46" s="3" t="s">
        <v>115</v>
      </c>
      <c r="F46" s="3" t="s">
        <v>365</v>
      </c>
      <c r="G46" s="3" t="s">
        <v>432</v>
      </c>
      <c r="H46" s="18" t="s">
        <v>187</v>
      </c>
      <c r="I46" s="3" t="s">
        <v>24</v>
      </c>
      <c r="J46" s="3">
        <v>2</v>
      </c>
      <c r="K46" s="3" t="s">
        <v>119</v>
      </c>
      <c r="L46" s="3" t="s">
        <v>23</v>
      </c>
      <c r="M46" s="3">
        <v>80</v>
      </c>
      <c r="N46" s="3" t="str">
        <f t="shared" si="87"/>
        <v>00000050</v>
      </c>
      <c r="O46" s="3">
        <v>31</v>
      </c>
      <c r="P46" s="3">
        <v>30</v>
      </c>
      <c r="Q46" s="3" t="str">
        <f t="shared" si="88"/>
        <v>X</v>
      </c>
      <c r="R46" s="3" t="str">
        <f t="shared" si="88"/>
        <v>X</v>
      </c>
      <c r="S46" s="3" t="str">
        <f t="shared" si="88"/>
        <v/>
      </c>
      <c r="T46" s="3" t="str">
        <f t="shared" si="88"/>
        <v/>
      </c>
      <c r="U46" s="3" t="str">
        <f t="shared" si="88"/>
        <v/>
      </c>
      <c r="V46" s="3" t="str">
        <f t="shared" si="88"/>
        <v/>
      </c>
      <c r="W46" s="3" t="str">
        <f t="shared" si="88"/>
        <v/>
      </c>
      <c r="X46" s="3" t="str">
        <f t="shared" si="88"/>
        <v/>
      </c>
      <c r="Y46" s="3" t="str">
        <f t="shared" si="88"/>
        <v/>
      </c>
      <c r="Z46" s="3" t="str">
        <f t="shared" si="88"/>
        <v/>
      </c>
      <c r="AA46" s="3" t="str">
        <f t="shared" si="88"/>
        <v/>
      </c>
      <c r="AB46" s="3" t="str">
        <f t="shared" si="88"/>
        <v/>
      </c>
      <c r="AC46" s="3" t="str">
        <f t="shared" si="88"/>
        <v/>
      </c>
      <c r="AD46" s="3" t="str">
        <f t="shared" si="88"/>
        <v/>
      </c>
      <c r="AE46" s="3" t="str">
        <f t="shared" si="88"/>
        <v/>
      </c>
      <c r="AF46" s="3" t="str">
        <f t="shared" si="88"/>
        <v/>
      </c>
      <c r="AG46" s="3" t="str">
        <f t="shared" si="89"/>
        <v/>
      </c>
      <c r="AH46" s="3" t="str">
        <f t="shared" si="89"/>
        <v/>
      </c>
      <c r="AI46" s="3" t="str">
        <f t="shared" si="89"/>
        <v/>
      </c>
      <c r="AJ46" s="3" t="str">
        <f t="shared" si="89"/>
        <v/>
      </c>
      <c r="AK46" s="3" t="str">
        <f t="shared" si="89"/>
        <v/>
      </c>
      <c r="AL46" s="3" t="str">
        <f t="shared" si="89"/>
        <v/>
      </c>
      <c r="AM46" s="3" t="str">
        <f t="shared" si="89"/>
        <v/>
      </c>
      <c r="AN46" s="3" t="str">
        <f t="shared" si="89"/>
        <v/>
      </c>
      <c r="AO46" s="3" t="str">
        <f t="shared" si="89"/>
        <v/>
      </c>
      <c r="AP46" s="3" t="str">
        <f t="shared" si="89"/>
        <v/>
      </c>
      <c r="AQ46" s="3" t="str">
        <f t="shared" si="89"/>
        <v/>
      </c>
      <c r="AR46" s="3" t="str">
        <f t="shared" si="89"/>
        <v/>
      </c>
      <c r="AS46" s="3" t="str">
        <f t="shared" si="89"/>
        <v/>
      </c>
      <c r="AT46" s="3" t="str">
        <f t="shared" si="89"/>
        <v/>
      </c>
      <c r="AU46" s="3" t="str">
        <f t="shared" si="89"/>
        <v/>
      </c>
      <c r="AV46" s="3" t="str">
        <f t="shared" si="89"/>
        <v/>
      </c>
      <c r="AW46" s="3" t="str">
        <f t="shared" si="13"/>
        <v>X</v>
      </c>
      <c r="AX46" s="3" t="str">
        <f t="shared" si="14"/>
        <v/>
      </c>
      <c r="AY46" s="3" t="str">
        <f t="shared" si="15"/>
        <v/>
      </c>
      <c r="AZ46" s="3" t="str">
        <f t="shared" si="16"/>
        <v/>
      </c>
      <c r="BA46" s="3">
        <f t="shared" si="61"/>
        <v>320</v>
      </c>
      <c r="BB46" s="3" t="str">
        <f t="shared" si="62"/>
        <v/>
      </c>
      <c r="BC46" s="3" t="str">
        <f t="shared" si="63"/>
        <v/>
      </c>
      <c r="BD46" s="3" t="str">
        <f t="shared" si="64"/>
        <v/>
      </c>
      <c r="BE46" s="7" t="str">
        <f t="shared" si="65"/>
        <v>00000140</v>
      </c>
      <c r="BF46" s="7" t="str">
        <f t="shared" si="66"/>
        <v/>
      </c>
      <c r="BG46" s="7" t="str">
        <f t="shared" si="67"/>
        <v/>
      </c>
      <c r="BH46" s="7" t="str">
        <f t="shared" si="68"/>
        <v/>
      </c>
      <c r="BI46" s="3" t="str">
        <f t="shared" si="69"/>
        <v>(7 downto 6)</v>
      </c>
      <c r="BJ46" s="3" t="str">
        <f t="shared" si="70"/>
        <v/>
      </c>
      <c r="BK46" s="3" t="str">
        <f t="shared" si="71"/>
        <v/>
      </c>
      <c r="BL46" s="3" t="str">
        <f t="shared" si="72"/>
        <v/>
      </c>
      <c r="BM46" s="3">
        <f t="shared" si="73"/>
        <v>1</v>
      </c>
      <c r="BN46" s="3" t="str">
        <f t="shared" si="74"/>
        <v/>
      </c>
      <c r="BO46" s="3" t="str">
        <f t="shared" si="75"/>
        <v/>
      </c>
      <c r="BP46" s="3" t="str">
        <f t="shared" si="76"/>
        <v/>
      </c>
      <c r="BQ46" s="3" t="str">
        <f t="shared" si="77"/>
        <v/>
      </c>
      <c r="BR46" s="3" t="str">
        <f t="shared" si="78"/>
        <v/>
      </c>
      <c r="BS46" s="3" t="str">
        <f t="shared" si="79"/>
        <v/>
      </c>
      <c r="BT46" s="3" t="str">
        <f t="shared" si="80"/>
        <v/>
      </c>
    </row>
    <row r="47" spans="2:72" x14ac:dyDescent="0.25">
      <c r="B47" s="3" t="s">
        <v>298</v>
      </c>
      <c r="C47" s="3" t="s">
        <v>229</v>
      </c>
      <c r="D47" s="3" t="s">
        <v>1</v>
      </c>
      <c r="E47" s="3" t="s">
        <v>115</v>
      </c>
      <c r="F47" s="3" t="s">
        <v>365</v>
      </c>
      <c r="G47" s="3" t="s">
        <v>432</v>
      </c>
      <c r="H47" s="18" t="s">
        <v>230</v>
      </c>
      <c r="I47" s="3" t="s">
        <v>24</v>
      </c>
      <c r="J47" s="3">
        <v>14</v>
      </c>
      <c r="K47" s="3" t="s">
        <v>231</v>
      </c>
      <c r="L47" s="3" t="s">
        <v>23</v>
      </c>
      <c r="M47" s="3">
        <v>80</v>
      </c>
      <c r="N47" s="3" t="str">
        <f t="shared" si="87"/>
        <v>00000050</v>
      </c>
      <c r="O47" s="3">
        <v>29</v>
      </c>
      <c r="P47" s="3">
        <v>16</v>
      </c>
      <c r="Q47" s="3" t="str">
        <f t="shared" si="88"/>
        <v/>
      </c>
      <c r="R47" s="3" t="str">
        <f t="shared" si="88"/>
        <v/>
      </c>
      <c r="S47" s="3" t="str">
        <f t="shared" si="88"/>
        <v>X</v>
      </c>
      <c r="T47" s="3" t="str">
        <f t="shared" si="88"/>
        <v>X</v>
      </c>
      <c r="U47" s="3" t="str">
        <f t="shared" si="88"/>
        <v>X</v>
      </c>
      <c r="V47" s="3" t="str">
        <f t="shared" si="88"/>
        <v>X</v>
      </c>
      <c r="W47" s="3" t="str">
        <f t="shared" si="88"/>
        <v>X</v>
      </c>
      <c r="X47" s="3" t="str">
        <f t="shared" si="88"/>
        <v>X</v>
      </c>
      <c r="Y47" s="3" t="str">
        <f t="shared" si="88"/>
        <v>X</v>
      </c>
      <c r="Z47" s="3" t="str">
        <f t="shared" si="88"/>
        <v>X</v>
      </c>
      <c r="AA47" s="3" t="str">
        <f t="shared" si="88"/>
        <v>X</v>
      </c>
      <c r="AB47" s="3" t="str">
        <f t="shared" si="88"/>
        <v>X</v>
      </c>
      <c r="AC47" s="3" t="str">
        <f t="shared" si="88"/>
        <v>X</v>
      </c>
      <c r="AD47" s="3" t="str">
        <f t="shared" si="88"/>
        <v>X</v>
      </c>
      <c r="AE47" s="3" t="str">
        <f t="shared" si="88"/>
        <v>X</v>
      </c>
      <c r="AF47" s="3" t="str">
        <f t="shared" si="88"/>
        <v>X</v>
      </c>
      <c r="AG47" s="3" t="str">
        <f t="shared" si="89"/>
        <v/>
      </c>
      <c r="AH47" s="3" t="str">
        <f t="shared" si="89"/>
        <v/>
      </c>
      <c r="AI47" s="3" t="str">
        <f t="shared" si="89"/>
        <v/>
      </c>
      <c r="AJ47" s="3" t="str">
        <f t="shared" si="89"/>
        <v/>
      </c>
      <c r="AK47" s="3" t="str">
        <f t="shared" si="89"/>
        <v/>
      </c>
      <c r="AL47" s="3" t="str">
        <f t="shared" si="89"/>
        <v/>
      </c>
      <c r="AM47" s="3" t="str">
        <f t="shared" si="89"/>
        <v/>
      </c>
      <c r="AN47" s="3" t="str">
        <f t="shared" si="89"/>
        <v/>
      </c>
      <c r="AO47" s="3" t="str">
        <f t="shared" si="89"/>
        <v/>
      </c>
      <c r="AP47" s="3" t="str">
        <f t="shared" si="89"/>
        <v/>
      </c>
      <c r="AQ47" s="3" t="str">
        <f t="shared" si="89"/>
        <v/>
      </c>
      <c r="AR47" s="3" t="str">
        <f t="shared" si="89"/>
        <v/>
      </c>
      <c r="AS47" s="3" t="str">
        <f t="shared" si="89"/>
        <v/>
      </c>
      <c r="AT47" s="3" t="str">
        <f t="shared" si="89"/>
        <v/>
      </c>
      <c r="AU47" s="3" t="str">
        <f t="shared" si="89"/>
        <v/>
      </c>
      <c r="AV47" s="3" t="str">
        <f t="shared" si="89"/>
        <v/>
      </c>
      <c r="AW47" s="3" t="str">
        <f t="shared" si="13"/>
        <v>X</v>
      </c>
      <c r="AX47" s="3" t="str">
        <f t="shared" si="14"/>
        <v>X</v>
      </c>
      <c r="AY47" s="3" t="str">
        <f t="shared" si="15"/>
        <v/>
      </c>
      <c r="AZ47" s="3" t="str">
        <f t="shared" si="16"/>
        <v/>
      </c>
      <c r="BA47" s="3">
        <f t="shared" si="61"/>
        <v>320</v>
      </c>
      <c r="BB47" s="3">
        <f t="shared" si="62"/>
        <v>321</v>
      </c>
      <c r="BC47" s="3" t="str">
        <f t="shared" si="63"/>
        <v/>
      </c>
      <c r="BD47" s="3" t="str">
        <f t="shared" si="64"/>
        <v/>
      </c>
      <c r="BE47" s="7" t="str">
        <f t="shared" si="65"/>
        <v>00000140</v>
      </c>
      <c r="BF47" s="7" t="str">
        <f t="shared" si="66"/>
        <v>00000141</v>
      </c>
      <c r="BG47" s="7" t="str">
        <f t="shared" si="67"/>
        <v/>
      </c>
      <c r="BH47" s="7" t="str">
        <f t="shared" si="68"/>
        <v/>
      </c>
      <c r="BI47" s="3" t="str">
        <f t="shared" si="69"/>
        <v>(5 downto 0)</v>
      </c>
      <c r="BJ47" s="3" t="str">
        <f t="shared" si="70"/>
        <v/>
      </c>
      <c r="BK47" s="3" t="str">
        <f t="shared" si="71"/>
        <v/>
      </c>
      <c r="BL47" s="3" t="str">
        <f t="shared" si="72"/>
        <v/>
      </c>
      <c r="BM47" s="3">
        <f t="shared" si="73"/>
        <v>13</v>
      </c>
      <c r="BN47" s="3">
        <f t="shared" si="74"/>
        <v>7</v>
      </c>
      <c r="BO47" s="3" t="str">
        <f t="shared" si="75"/>
        <v/>
      </c>
      <c r="BP47" s="3" t="str">
        <f t="shared" si="76"/>
        <v/>
      </c>
      <c r="BQ47" s="3" t="str">
        <f t="shared" si="77"/>
        <v>(13 downto 8)</v>
      </c>
      <c r="BR47" s="3" t="str">
        <f t="shared" si="78"/>
        <v>(7 downto 0)</v>
      </c>
      <c r="BS47" s="3" t="str">
        <f t="shared" si="79"/>
        <v/>
      </c>
      <c r="BT47" s="3" t="str">
        <f t="shared" si="80"/>
        <v/>
      </c>
    </row>
    <row r="48" spans="2:72" x14ac:dyDescent="0.25">
      <c r="B48" s="3" t="s">
        <v>298</v>
      </c>
      <c r="C48" s="3" t="s">
        <v>232</v>
      </c>
      <c r="D48" s="3" t="s">
        <v>1</v>
      </c>
      <c r="E48" s="3" t="s">
        <v>115</v>
      </c>
      <c r="F48" s="3" t="s">
        <v>365</v>
      </c>
      <c r="G48" s="3" t="s">
        <v>432</v>
      </c>
      <c r="H48" s="18" t="s">
        <v>233</v>
      </c>
      <c r="I48" s="3" t="s">
        <v>24</v>
      </c>
      <c r="J48" s="3">
        <v>1</v>
      </c>
      <c r="K48" s="3" t="s">
        <v>58</v>
      </c>
      <c r="L48" s="3" t="s">
        <v>23</v>
      </c>
      <c r="M48" s="3">
        <v>80</v>
      </c>
      <c r="N48" s="3" t="str">
        <f t="shared" si="87"/>
        <v>00000050</v>
      </c>
      <c r="O48" s="3">
        <v>15</v>
      </c>
      <c r="P48" s="3">
        <v>15</v>
      </c>
      <c r="Q48" s="3" t="str">
        <f t="shared" si="88"/>
        <v/>
      </c>
      <c r="R48" s="3" t="str">
        <f t="shared" si="88"/>
        <v/>
      </c>
      <c r="S48" s="3" t="str">
        <f t="shared" si="88"/>
        <v/>
      </c>
      <c r="T48" s="3" t="str">
        <f t="shared" si="88"/>
        <v/>
      </c>
      <c r="U48" s="3" t="str">
        <f t="shared" si="88"/>
        <v/>
      </c>
      <c r="V48" s="3" t="str">
        <f t="shared" si="88"/>
        <v/>
      </c>
      <c r="W48" s="3" t="str">
        <f t="shared" si="88"/>
        <v/>
      </c>
      <c r="X48" s="3" t="str">
        <f t="shared" si="88"/>
        <v/>
      </c>
      <c r="Y48" s="3" t="str">
        <f t="shared" si="88"/>
        <v/>
      </c>
      <c r="Z48" s="3" t="str">
        <f t="shared" si="88"/>
        <v/>
      </c>
      <c r="AA48" s="3" t="str">
        <f t="shared" si="88"/>
        <v/>
      </c>
      <c r="AB48" s="3" t="str">
        <f t="shared" si="88"/>
        <v/>
      </c>
      <c r="AC48" s="3" t="str">
        <f t="shared" si="88"/>
        <v/>
      </c>
      <c r="AD48" s="3" t="str">
        <f t="shared" si="88"/>
        <v/>
      </c>
      <c r="AE48" s="3" t="str">
        <f t="shared" si="88"/>
        <v/>
      </c>
      <c r="AF48" s="3" t="str">
        <f t="shared" si="88"/>
        <v/>
      </c>
      <c r="AG48" s="3" t="str">
        <f t="shared" si="89"/>
        <v>X</v>
      </c>
      <c r="AH48" s="3" t="str">
        <f t="shared" si="89"/>
        <v/>
      </c>
      <c r="AI48" s="3" t="str">
        <f t="shared" si="89"/>
        <v/>
      </c>
      <c r="AJ48" s="3" t="str">
        <f t="shared" si="89"/>
        <v/>
      </c>
      <c r="AK48" s="3" t="str">
        <f t="shared" si="89"/>
        <v/>
      </c>
      <c r="AL48" s="3" t="str">
        <f t="shared" si="89"/>
        <v/>
      </c>
      <c r="AM48" s="3" t="str">
        <f t="shared" si="89"/>
        <v/>
      </c>
      <c r="AN48" s="3" t="str">
        <f t="shared" si="89"/>
        <v/>
      </c>
      <c r="AO48" s="3" t="str">
        <f t="shared" si="89"/>
        <v/>
      </c>
      <c r="AP48" s="3" t="str">
        <f t="shared" si="89"/>
        <v/>
      </c>
      <c r="AQ48" s="3" t="str">
        <f t="shared" si="89"/>
        <v/>
      </c>
      <c r="AR48" s="3" t="str">
        <f t="shared" si="89"/>
        <v/>
      </c>
      <c r="AS48" s="3" t="str">
        <f t="shared" si="89"/>
        <v/>
      </c>
      <c r="AT48" s="3" t="str">
        <f t="shared" si="89"/>
        <v/>
      </c>
      <c r="AU48" s="3" t="str">
        <f t="shared" si="89"/>
        <v/>
      </c>
      <c r="AV48" s="3" t="str">
        <f t="shared" si="89"/>
        <v/>
      </c>
      <c r="AW48" s="3" t="str">
        <f t="shared" si="13"/>
        <v/>
      </c>
      <c r="AX48" s="3" t="str">
        <f t="shared" si="14"/>
        <v/>
      </c>
      <c r="AY48" s="3" t="str">
        <f t="shared" si="15"/>
        <v>X</v>
      </c>
      <c r="AZ48" s="3" t="str">
        <f t="shared" si="16"/>
        <v/>
      </c>
      <c r="BA48" s="3" t="str">
        <f t="shared" si="61"/>
        <v/>
      </c>
      <c r="BB48" s="3" t="str">
        <f t="shared" si="62"/>
        <v/>
      </c>
      <c r="BC48" s="3">
        <f t="shared" si="63"/>
        <v>322</v>
      </c>
      <c r="BD48" s="3" t="str">
        <f t="shared" si="64"/>
        <v/>
      </c>
      <c r="BE48" s="7" t="str">
        <f t="shared" si="65"/>
        <v/>
      </c>
      <c r="BF48" s="7" t="str">
        <f t="shared" si="66"/>
        <v/>
      </c>
      <c r="BG48" s="7" t="str">
        <f t="shared" si="67"/>
        <v>00000142</v>
      </c>
      <c r="BH48" s="7" t="str">
        <f t="shared" si="68"/>
        <v/>
      </c>
      <c r="BI48" s="3" t="str">
        <f t="shared" si="69"/>
        <v/>
      </c>
      <c r="BJ48" s="3" t="str">
        <f t="shared" si="70"/>
        <v/>
      </c>
      <c r="BK48" s="3" t="str">
        <f t="shared" si="71"/>
        <v>(7)</v>
      </c>
      <c r="BL48" s="3" t="str">
        <f t="shared" si="72"/>
        <v/>
      </c>
      <c r="BM48" s="3" t="str">
        <f t="shared" si="73"/>
        <v/>
      </c>
      <c r="BN48" s="3" t="str">
        <f t="shared" si="74"/>
        <v/>
      </c>
      <c r="BO48" s="3">
        <f t="shared" si="75"/>
        <v>0</v>
      </c>
      <c r="BP48" s="3" t="str">
        <f t="shared" si="76"/>
        <v/>
      </c>
      <c r="BQ48" s="3" t="str">
        <f t="shared" si="77"/>
        <v/>
      </c>
      <c r="BR48" s="3" t="str">
        <f t="shared" si="78"/>
        <v/>
      </c>
      <c r="BS48" s="3" t="str">
        <f t="shared" si="79"/>
        <v/>
      </c>
      <c r="BT48" s="3" t="str">
        <f t="shared" si="80"/>
        <v/>
      </c>
    </row>
    <row r="49" spans="2:72" x14ac:dyDescent="0.25">
      <c r="B49" s="3" t="s">
        <v>298</v>
      </c>
      <c r="C49" s="3" t="s">
        <v>195</v>
      </c>
      <c r="D49" s="3" t="s">
        <v>1</v>
      </c>
      <c r="E49" s="3" t="s">
        <v>115</v>
      </c>
      <c r="F49" s="3" t="s">
        <v>365</v>
      </c>
      <c r="G49" s="3" t="s">
        <v>432</v>
      </c>
      <c r="H49" s="18" t="s">
        <v>196</v>
      </c>
      <c r="I49" s="3" t="s">
        <v>24</v>
      </c>
      <c r="J49" s="3">
        <v>1</v>
      </c>
      <c r="K49" s="3" t="s">
        <v>58</v>
      </c>
      <c r="L49" s="3" t="s">
        <v>23</v>
      </c>
      <c r="M49" s="3">
        <v>80</v>
      </c>
      <c r="N49" s="3" t="str">
        <f t="shared" si="87"/>
        <v>00000050</v>
      </c>
      <c r="O49" s="3">
        <v>14</v>
      </c>
      <c r="P49" s="3">
        <v>14</v>
      </c>
      <c r="Q49" s="3" t="str">
        <f t="shared" si="88"/>
        <v/>
      </c>
      <c r="R49" s="3" t="str">
        <f t="shared" si="88"/>
        <v/>
      </c>
      <c r="S49" s="3" t="str">
        <f t="shared" si="88"/>
        <v/>
      </c>
      <c r="T49" s="3" t="str">
        <f t="shared" si="88"/>
        <v/>
      </c>
      <c r="U49" s="3" t="str">
        <f t="shared" si="88"/>
        <v/>
      </c>
      <c r="V49" s="3" t="str">
        <f t="shared" si="88"/>
        <v/>
      </c>
      <c r="W49" s="3" t="str">
        <f t="shared" si="88"/>
        <v/>
      </c>
      <c r="X49" s="3" t="str">
        <f t="shared" si="88"/>
        <v/>
      </c>
      <c r="Y49" s="3" t="str">
        <f t="shared" si="88"/>
        <v/>
      </c>
      <c r="Z49" s="3" t="str">
        <f t="shared" si="88"/>
        <v/>
      </c>
      <c r="AA49" s="3" t="str">
        <f t="shared" si="88"/>
        <v/>
      </c>
      <c r="AB49" s="3" t="str">
        <f t="shared" si="88"/>
        <v/>
      </c>
      <c r="AC49" s="3" t="str">
        <f t="shared" si="88"/>
        <v/>
      </c>
      <c r="AD49" s="3" t="str">
        <f t="shared" si="88"/>
        <v/>
      </c>
      <c r="AE49" s="3" t="str">
        <f t="shared" si="88"/>
        <v/>
      </c>
      <c r="AF49" s="3" t="str">
        <f t="shared" si="88"/>
        <v/>
      </c>
      <c r="AG49" s="3" t="str">
        <f t="shared" si="89"/>
        <v/>
      </c>
      <c r="AH49" s="3" t="str">
        <f t="shared" si="89"/>
        <v>X</v>
      </c>
      <c r="AI49" s="3" t="str">
        <f t="shared" si="89"/>
        <v/>
      </c>
      <c r="AJ49" s="3" t="str">
        <f t="shared" si="89"/>
        <v/>
      </c>
      <c r="AK49" s="3" t="str">
        <f t="shared" si="89"/>
        <v/>
      </c>
      <c r="AL49" s="3" t="str">
        <f t="shared" si="89"/>
        <v/>
      </c>
      <c r="AM49" s="3" t="str">
        <f t="shared" si="89"/>
        <v/>
      </c>
      <c r="AN49" s="3" t="str">
        <f t="shared" si="89"/>
        <v/>
      </c>
      <c r="AO49" s="3" t="str">
        <f t="shared" si="89"/>
        <v/>
      </c>
      <c r="AP49" s="3" t="str">
        <f t="shared" si="89"/>
        <v/>
      </c>
      <c r="AQ49" s="3" t="str">
        <f t="shared" si="89"/>
        <v/>
      </c>
      <c r="AR49" s="3" t="str">
        <f t="shared" si="89"/>
        <v/>
      </c>
      <c r="AS49" s="3" t="str">
        <f t="shared" si="89"/>
        <v/>
      </c>
      <c r="AT49" s="3" t="str">
        <f t="shared" si="89"/>
        <v/>
      </c>
      <c r="AU49" s="3" t="str">
        <f t="shared" si="89"/>
        <v/>
      </c>
      <c r="AV49" s="3" t="str">
        <f t="shared" si="89"/>
        <v/>
      </c>
      <c r="AW49" s="3" t="str">
        <f t="shared" si="13"/>
        <v/>
      </c>
      <c r="AX49" s="3" t="str">
        <f t="shared" si="14"/>
        <v/>
      </c>
      <c r="AY49" s="3" t="str">
        <f t="shared" si="15"/>
        <v>X</v>
      </c>
      <c r="AZ49" s="3" t="str">
        <f t="shared" si="16"/>
        <v/>
      </c>
      <c r="BA49" s="3" t="str">
        <f t="shared" si="61"/>
        <v/>
      </c>
      <c r="BB49" s="3" t="str">
        <f t="shared" si="62"/>
        <v/>
      </c>
      <c r="BC49" s="3">
        <f t="shared" si="63"/>
        <v>322</v>
      </c>
      <c r="BD49" s="3" t="str">
        <f t="shared" si="64"/>
        <v/>
      </c>
      <c r="BE49" s="7" t="str">
        <f t="shared" si="65"/>
        <v/>
      </c>
      <c r="BF49" s="7" t="str">
        <f t="shared" si="66"/>
        <v/>
      </c>
      <c r="BG49" s="7" t="str">
        <f t="shared" si="67"/>
        <v>00000142</v>
      </c>
      <c r="BH49" s="7" t="str">
        <f t="shared" si="68"/>
        <v/>
      </c>
      <c r="BI49" s="3" t="str">
        <f t="shared" si="69"/>
        <v/>
      </c>
      <c r="BJ49" s="3" t="str">
        <f t="shared" si="70"/>
        <v/>
      </c>
      <c r="BK49" s="3" t="str">
        <f t="shared" si="71"/>
        <v>(6)</v>
      </c>
      <c r="BL49" s="3" t="str">
        <f t="shared" si="72"/>
        <v/>
      </c>
      <c r="BM49" s="3" t="str">
        <f t="shared" si="73"/>
        <v/>
      </c>
      <c r="BN49" s="3" t="str">
        <f t="shared" si="74"/>
        <v/>
      </c>
      <c r="BO49" s="3">
        <f t="shared" si="75"/>
        <v>0</v>
      </c>
      <c r="BP49" s="3" t="str">
        <f t="shared" si="76"/>
        <v/>
      </c>
      <c r="BQ49" s="3" t="str">
        <f t="shared" si="77"/>
        <v/>
      </c>
      <c r="BR49" s="3" t="str">
        <f t="shared" si="78"/>
        <v/>
      </c>
      <c r="BS49" s="3" t="str">
        <f t="shared" si="79"/>
        <v/>
      </c>
      <c r="BT49" s="3" t="str">
        <f t="shared" si="80"/>
        <v/>
      </c>
    </row>
    <row r="50" spans="2:72" x14ac:dyDescent="0.25">
      <c r="B50" s="3" t="s">
        <v>298</v>
      </c>
      <c r="C50" s="3" t="s">
        <v>234</v>
      </c>
      <c r="D50" s="3" t="s">
        <v>1</v>
      </c>
      <c r="E50" s="3" t="s">
        <v>115</v>
      </c>
      <c r="F50" s="3" t="s">
        <v>365</v>
      </c>
      <c r="G50" s="3" t="s">
        <v>432</v>
      </c>
      <c r="H50" s="18" t="s">
        <v>235</v>
      </c>
      <c r="I50" s="3" t="s">
        <v>24</v>
      </c>
      <c r="J50" s="3">
        <v>14</v>
      </c>
      <c r="K50" s="3" t="s">
        <v>119</v>
      </c>
      <c r="L50" s="3" t="s">
        <v>23</v>
      </c>
      <c r="M50" s="3">
        <v>80</v>
      </c>
      <c r="N50" s="3" t="str">
        <f t="shared" si="87"/>
        <v>00000050</v>
      </c>
      <c r="O50" s="3">
        <v>13</v>
      </c>
      <c r="P50" s="3">
        <v>0</v>
      </c>
      <c r="Q50" s="3" t="str">
        <f t="shared" si="88"/>
        <v/>
      </c>
      <c r="R50" s="3" t="str">
        <f t="shared" si="88"/>
        <v/>
      </c>
      <c r="S50" s="3" t="str">
        <f t="shared" si="88"/>
        <v/>
      </c>
      <c r="T50" s="3" t="str">
        <f t="shared" si="88"/>
        <v/>
      </c>
      <c r="U50" s="3" t="str">
        <f t="shared" si="88"/>
        <v/>
      </c>
      <c r="V50" s="3" t="str">
        <f t="shared" si="88"/>
        <v/>
      </c>
      <c r="W50" s="3" t="str">
        <f t="shared" si="88"/>
        <v/>
      </c>
      <c r="X50" s="3" t="str">
        <f t="shared" si="88"/>
        <v/>
      </c>
      <c r="Y50" s="3" t="str">
        <f t="shared" si="88"/>
        <v/>
      </c>
      <c r="Z50" s="3" t="str">
        <f t="shared" si="88"/>
        <v/>
      </c>
      <c r="AA50" s="3" t="str">
        <f t="shared" si="88"/>
        <v/>
      </c>
      <c r="AB50" s="3" t="str">
        <f t="shared" si="88"/>
        <v/>
      </c>
      <c r="AC50" s="3" t="str">
        <f t="shared" si="88"/>
        <v/>
      </c>
      <c r="AD50" s="3" t="str">
        <f t="shared" si="88"/>
        <v/>
      </c>
      <c r="AE50" s="3" t="str">
        <f t="shared" si="88"/>
        <v/>
      </c>
      <c r="AF50" s="3" t="str">
        <f t="shared" si="88"/>
        <v/>
      </c>
      <c r="AG50" s="3" t="str">
        <f t="shared" si="89"/>
        <v/>
      </c>
      <c r="AH50" s="3" t="str">
        <f t="shared" si="89"/>
        <v/>
      </c>
      <c r="AI50" s="3" t="str">
        <f t="shared" si="89"/>
        <v>X</v>
      </c>
      <c r="AJ50" s="3" t="str">
        <f t="shared" si="89"/>
        <v>X</v>
      </c>
      <c r="AK50" s="3" t="str">
        <f t="shared" si="89"/>
        <v>X</v>
      </c>
      <c r="AL50" s="3" t="str">
        <f t="shared" si="89"/>
        <v>X</v>
      </c>
      <c r="AM50" s="3" t="str">
        <f t="shared" si="89"/>
        <v>X</v>
      </c>
      <c r="AN50" s="3" t="str">
        <f t="shared" si="89"/>
        <v>X</v>
      </c>
      <c r="AO50" s="3" t="str">
        <f t="shared" si="89"/>
        <v>X</v>
      </c>
      <c r="AP50" s="3" t="str">
        <f t="shared" si="89"/>
        <v>X</v>
      </c>
      <c r="AQ50" s="3" t="str">
        <f t="shared" si="89"/>
        <v>X</v>
      </c>
      <c r="AR50" s="3" t="str">
        <f t="shared" si="89"/>
        <v>X</v>
      </c>
      <c r="AS50" s="3" t="str">
        <f t="shared" si="89"/>
        <v>X</v>
      </c>
      <c r="AT50" s="3" t="str">
        <f t="shared" si="89"/>
        <v>X</v>
      </c>
      <c r="AU50" s="3" t="str">
        <f t="shared" si="89"/>
        <v>X</v>
      </c>
      <c r="AV50" s="3" t="str">
        <f t="shared" si="89"/>
        <v>X</v>
      </c>
      <c r="AW50" s="3" t="str">
        <f t="shared" si="13"/>
        <v/>
      </c>
      <c r="AX50" s="3" t="str">
        <f t="shared" si="14"/>
        <v/>
      </c>
      <c r="AY50" s="3" t="str">
        <f t="shared" si="15"/>
        <v>X</v>
      </c>
      <c r="AZ50" s="3" t="str">
        <f t="shared" si="16"/>
        <v>X</v>
      </c>
      <c r="BA50" s="3" t="str">
        <f t="shared" si="61"/>
        <v/>
      </c>
      <c r="BB50" s="3" t="str">
        <f t="shared" si="62"/>
        <v/>
      </c>
      <c r="BC50" s="3">
        <f t="shared" si="63"/>
        <v>322</v>
      </c>
      <c r="BD50" s="3">
        <f t="shared" si="64"/>
        <v>323</v>
      </c>
      <c r="BE50" s="7" t="str">
        <f t="shared" si="65"/>
        <v/>
      </c>
      <c r="BF50" s="7" t="str">
        <f t="shared" si="66"/>
        <v/>
      </c>
      <c r="BG50" s="7" t="str">
        <f t="shared" si="67"/>
        <v>00000142</v>
      </c>
      <c r="BH50" s="7" t="str">
        <f t="shared" si="68"/>
        <v>00000143</v>
      </c>
      <c r="BI50" s="3" t="str">
        <f t="shared" si="69"/>
        <v/>
      </c>
      <c r="BJ50" s="3" t="str">
        <f t="shared" si="70"/>
        <v/>
      </c>
      <c r="BK50" s="3" t="str">
        <f t="shared" si="71"/>
        <v>(5 downto 0)</v>
      </c>
      <c r="BL50" s="3" t="str">
        <f t="shared" si="72"/>
        <v/>
      </c>
      <c r="BM50" s="3" t="str">
        <f t="shared" si="73"/>
        <v/>
      </c>
      <c r="BN50" s="3" t="str">
        <f t="shared" si="74"/>
        <v/>
      </c>
      <c r="BO50" s="3">
        <f t="shared" si="75"/>
        <v>13</v>
      </c>
      <c r="BP50" s="3">
        <f t="shared" si="76"/>
        <v>7</v>
      </c>
      <c r="BQ50" s="3" t="str">
        <f t="shared" si="77"/>
        <v/>
      </c>
      <c r="BR50" s="3" t="str">
        <f t="shared" si="78"/>
        <v/>
      </c>
      <c r="BS50" s="3" t="str">
        <f t="shared" si="79"/>
        <v>(13 downto 8)</v>
      </c>
      <c r="BT50" s="3" t="str">
        <f t="shared" si="80"/>
        <v>(7 downto 0)</v>
      </c>
    </row>
    <row r="51" spans="2:72" x14ac:dyDescent="0.25">
      <c r="B51" s="3" t="s">
        <v>299</v>
      </c>
      <c r="C51" s="3" t="s">
        <v>236</v>
      </c>
      <c r="D51" s="3" t="s">
        <v>1</v>
      </c>
      <c r="E51" s="3" t="s">
        <v>115</v>
      </c>
      <c r="F51" s="3" t="s">
        <v>366</v>
      </c>
      <c r="G51" s="3" t="s">
        <v>433</v>
      </c>
      <c r="H51" s="18" t="s">
        <v>237</v>
      </c>
      <c r="I51" s="3" t="s">
        <v>24</v>
      </c>
      <c r="J51" s="3">
        <v>1</v>
      </c>
      <c r="K51" s="3" t="s">
        <v>57</v>
      </c>
      <c r="L51" s="3" t="s">
        <v>23</v>
      </c>
      <c r="M51" s="3">
        <v>81</v>
      </c>
      <c r="N51" s="3" t="str">
        <f t="shared" si="87"/>
        <v>00000051</v>
      </c>
      <c r="O51" s="3">
        <v>31</v>
      </c>
      <c r="P51" s="3">
        <v>31</v>
      </c>
      <c r="Q51" s="3" t="str">
        <f t="shared" si="88"/>
        <v>X</v>
      </c>
      <c r="R51" s="3" t="str">
        <f t="shared" si="88"/>
        <v/>
      </c>
      <c r="S51" s="3" t="str">
        <f t="shared" si="88"/>
        <v/>
      </c>
      <c r="T51" s="3" t="str">
        <f t="shared" si="88"/>
        <v/>
      </c>
      <c r="U51" s="3" t="str">
        <f t="shared" si="88"/>
        <v/>
      </c>
      <c r="V51" s="3" t="str">
        <f t="shared" si="88"/>
        <v/>
      </c>
      <c r="W51" s="3" t="str">
        <f t="shared" si="88"/>
        <v/>
      </c>
      <c r="X51" s="3" t="str">
        <f t="shared" si="88"/>
        <v/>
      </c>
      <c r="Y51" s="3" t="str">
        <f t="shared" si="88"/>
        <v/>
      </c>
      <c r="Z51" s="3" t="str">
        <f t="shared" si="88"/>
        <v/>
      </c>
      <c r="AA51" s="3" t="str">
        <f t="shared" si="88"/>
        <v/>
      </c>
      <c r="AB51" s="3" t="str">
        <f t="shared" si="88"/>
        <v/>
      </c>
      <c r="AC51" s="3" t="str">
        <f t="shared" si="88"/>
        <v/>
      </c>
      <c r="AD51" s="3" t="str">
        <f t="shared" si="88"/>
        <v/>
      </c>
      <c r="AE51" s="3" t="str">
        <f t="shared" si="88"/>
        <v/>
      </c>
      <c r="AF51" s="3" t="str">
        <f t="shared" si="88"/>
        <v/>
      </c>
      <c r="AG51" s="3" t="str">
        <f t="shared" si="89"/>
        <v/>
      </c>
      <c r="AH51" s="3" t="str">
        <f t="shared" si="89"/>
        <v/>
      </c>
      <c r="AI51" s="3" t="str">
        <f t="shared" si="89"/>
        <v/>
      </c>
      <c r="AJ51" s="3" t="str">
        <f t="shared" si="89"/>
        <v/>
      </c>
      <c r="AK51" s="3" t="str">
        <f t="shared" si="89"/>
        <v/>
      </c>
      <c r="AL51" s="3" t="str">
        <f t="shared" si="89"/>
        <v/>
      </c>
      <c r="AM51" s="3" t="str">
        <f t="shared" si="89"/>
        <v/>
      </c>
      <c r="AN51" s="3" t="str">
        <f t="shared" si="89"/>
        <v/>
      </c>
      <c r="AO51" s="3" t="str">
        <f t="shared" si="89"/>
        <v/>
      </c>
      <c r="AP51" s="3" t="str">
        <f t="shared" si="89"/>
        <v/>
      </c>
      <c r="AQ51" s="3" t="str">
        <f t="shared" si="89"/>
        <v/>
      </c>
      <c r="AR51" s="3" t="str">
        <f t="shared" si="89"/>
        <v/>
      </c>
      <c r="AS51" s="3" t="str">
        <f t="shared" si="89"/>
        <v/>
      </c>
      <c r="AT51" s="3" t="str">
        <f t="shared" si="89"/>
        <v/>
      </c>
      <c r="AU51" s="3" t="str">
        <f t="shared" si="89"/>
        <v/>
      </c>
      <c r="AV51" s="3" t="str">
        <f t="shared" si="89"/>
        <v/>
      </c>
      <c r="AW51" s="3" t="str">
        <f t="shared" si="13"/>
        <v>X</v>
      </c>
      <c r="AX51" s="3" t="str">
        <f t="shared" si="14"/>
        <v/>
      </c>
      <c r="AY51" s="3" t="str">
        <f t="shared" si="15"/>
        <v/>
      </c>
      <c r="AZ51" s="3" t="str">
        <f t="shared" si="16"/>
        <v/>
      </c>
      <c r="BA51" s="3">
        <f t="shared" si="61"/>
        <v>324</v>
      </c>
      <c r="BB51" s="3" t="str">
        <f t="shared" si="62"/>
        <v/>
      </c>
      <c r="BC51" s="3" t="str">
        <f t="shared" si="63"/>
        <v/>
      </c>
      <c r="BD51" s="3" t="str">
        <f t="shared" si="64"/>
        <v/>
      </c>
      <c r="BE51" s="7" t="str">
        <f t="shared" si="65"/>
        <v>00000144</v>
      </c>
      <c r="BF51" s="7" t="str">
        <f t="shared" si="66"/>
        <v/>
      </c>
      <c r="BG51" s="7" t="str">
        <f t="shared" si="67"/>
        <v/>
      </c>
      <c r="BH51" s="7" t="str">
        <f t="shared" si="68"/>
        <v/>
      </c>
      <c r="BI51" s="3" t="str">
        <f t="shared" si="69"/>
        <v>(7)</v>
      </c>
      <c r="BJ51" s="3" t="str">
        <f t="shared" si="70"/>
        <v/>
      </c>
      <c r="BK51" s="3" t="str">
        <f t="shared" si="71"/>
        <v/>
      </c>
      <c r="BL51" s="3" t="str">
        <f t="shared" si="72"/>
        <v/>
      </c>
      <c r="BM51" s="3">
        <f t="shared" si="73"/>
        <v>0</v>
      </c>
      <c r="BN51" s="3" t="str">
        <f t="shared" si="74"/>
        <v/>
      </c>
      <c r="BO51" s="3" t="str">
        <f t="shared" si="75"/>
        <v/>
      </c>
      <c r="BP51" s="3" t="str">
        <f t="shared" si="76"/>
        <v/>
      </c>
      <c r="BQ51" s="3" t="str">
        <f t="shared" si="77"/>
        <v/>
      </c>
      <c r="BR51" s="3" t="str">
        <f t="shared" si="78"/>
        <v/>
      </c>
      <c r="BS51" s="3" t="str">
        <f t="shared" si="79"/>
        <v/>
      </c>
      <c r="BT51" s="3" t="str">
        <f t="shared" si="80"/>
        <v/>
      </c>
    </row>
    <row r="52" spans="2:72" x14ac:dyDescent="0.25">
      <c r="B52" s="3" t="s">
        <v>299</v>
      </c>
      <c r="C52" s="3" t="s">
        <v>186</v>
      </c>
      <c r="D52" s="3" t="s">
        <v>1</v>
      </c>
      <c r="E52" s="3" t="s">
        <v>115</v>
      </c>
      <c r="F52" s="3" t="s">
        <v>366</v>
      </c>
      <c r="G52" s="3" t="s">
        <v>433</v>
      </c>
      <c r="H52" s="18" t="s">
        <v>187</v>
      </c>
      <c r="I52" s="3" t="s">
        <v>24</v>
      </c>
      <c r="J52" s="3">
        <v>1</v>
      </c>
      <c r="K52" s="3" t="s">
        <v>58</v>
      </c>
      <c r="L52" s="3" t="s">
        <v>23</v>
      </c>
      <c r="M52" s="3">
        <v>81</v>
      </c>
      <c r="N52" s="3" t="str">
        <f t="shared" si="87"/>
        <v>00000051</v>
      </c>
      <c r="O52" s="3">
        <v>30</v>
      </c>
      <c r="P52" s="3">
        <v>30</v>
      </c>
      <c r="Q52" s="3" t="str">
        <f t="shared" si="88"/>
        <v/>
      </c>
      <c r="R52" s="3" t="str">
        <f t="shared" si="88"/>
        <v>X</v>
      </c>
      <c r="S52" s="3" t="str">
        <f t="shared" si="88"/>
        <v/>
      </c>
      <c r="T52" s="3" t="str">
        <f t="shared" si="88"/>
        <v/>
      </c>
      <c r="U52" s="3" t="str">
        <f t="shared" si="88"/>
        <v/>
      </c>
      <c r="V52" s="3" t="str">
        <f t="shared" si="88"/>
        <v/>
      </c>
      <c r="W52" s="3" t="str">
        <f t="shared" si="88"/>
        <v/>
      </c>
      <c r="X52" s="3" t="str">
        <f t="shared" si="88"/>
        <v/>
      </c>
      <c r="Y52" s="3" t="str">
        <f t="shared" si="88"/>
        <v/>
      </c>
      <c r="Z52" s="3" t="str">
        <f t="shared" si="88"/>
        <v/>
      </c>
      <c r="AA52" s="3" t="str">
        <f t="shared" si="88"/>
        <v/>
      </c>
      <c r="AB52" s="3" t="str">
        <f t="shared" si="88"/>
        <v/>
      </c>
      <c r="AC52" s="3" t="str">
        <f t="shared" si="88"/>
        <v/>
      </c>
      <c r="AD52" s="3" t="str">
        <f t="shared" si="88"/>
        <v/>
      </c>
      <c r="AE52" s="3" t="str">
        <f t="shared" si="88"/>
        <v/>
      </c>
      <c r="AF52" s="3" t="str">
        <f t="shared" si="88"/>
        <v/>
      </c>
      <c r="AG52" s="3" t="str">
        <f t="shared" si="89"/>
        <v/>
      </c>
      <c r="AH52" s="3" t="str">
        <f t="shared" si="89"/>
        <v/>
      </c>
      <c r="AI52" s="3" t="str">
        <f t="shared" si="89"/>
        <v/>
      </c>
      <c r="AJ52" s="3" t="str">
        <f t="shared" si="89"/>
        <v/>
      </c>
      <c r="AK52" s="3" t="str">
        <f t="shared" si="89"/>
        <v/>
      </c>
      <c r="AL52" s="3" t="str">
        <f t="shared" si="89"/>
        <v/>
      </c>
      <c r="AM52" s="3" t="str">
        <f t="shared" si="89"/>
        <v/>
      </c>
      <c r="AN52" s="3" t="str">
        <f t="shared" si="89"/>
        <v/>
      </c>
      <c r="AO52" s="3" t="str">
        <f t="shared" si="89"/>
        <v/>
      </c>
      <c r="AP52" s="3" t="str">
        <f t="shared" si="89"/>
        <v/>
      </c>
      <c r="AQ52" s="3" t="str">
        <f t="shared" si="89"/>
        <v/>
      </c>
      <c r="AR52" s="3" t="str">
        <f t="shared" si="89"/>
        <v/>
      </c>
      <c r="AS52" s="3" t="str">
        <f t="shared" si="89"/>
        <v/>
      </c>
      <c r="AT52" s="3" t="str">
        <f t="shared" si="89"/>
        <v/>
      </c>
      <c r="AU52" s="3" t="str">
        <f t="shared" si="89"/>
        <v/>
      </c>
      <c r="AV52" s="3" t="str">
        <f t="shared" si="89"/>
        <v/>
      </c>
      <c r="AW52" s="3" t="str">
        <f t="shared" si="13"/>
        <v>X</v>
      </c>
      <c r="AX52" s="3" t="str">
        <f t="shared" si="14"/>
        <v/>
      </c>
      <c r="AY52" s="3" t="str">
        <f t="shared" si="15"/>
        <v/>
      </c>
      <c r="AZ52" s="3" t="str">
        <f t="shared" si="16"/>
        <v/>
      </c>
      <c r="BA52" s="3">
        <f t="shared" si="61"/>
        <v>324</v>
      </c>
      <c r="BB52" s="3" t="str">
        <f t="shared" si="62"/>
        <v/>
      </c>
      <c r="BC52" s="3" t="str">
        <f t="shared" si="63"/>
        <v/>
      </c>
      <c r="BD52" s="3" t="str">
        <f t="shared" si="64"/>
        <v/>
      </c>
      <c r="BE52" s="7" t="str">
        <f t="shared" si="65"/>
        <v>00000144</v>
      </c>
      <c r="BF52" s="7" t="str">
        <f t="shared" si="66"/>
        <v/>
      </c>
      <c r="BG52" s="7" t="str">
        <f t="shared" si="67"/>
        <v/>
      </c>
      <c r="BH52" s="7" t="str">
        <f t="shared" si="68"/>
        <v/>
      </c>
      <c r="BI52" s="3" t="str">
        <f t="shared" si="69"/>
        <v>(6)</v>
      </c>
      <c r="BJ52" s="3" t="str">
        <f t="shared" si="70"/>
        <v/>
      </c>
      <c r="BK52" s="3" t="str">
        <f t="shared" si="71"/>
        <v/>
      </c>
      <c r="BL52" s="3" t="str">
        <f t="shared" si="72"/>
        <v/>
      </c>
      <c r="BM52" s="3">
        <f t="shared" si="73"/>
        <v>0</v>
      </c>
      <c r="BN52" s="3" t="str">
        <f t="shared" si="74"/>
        <v/>
      </c>
      <c r="BO52" s="3" t="str">
        <f t="shared" si="75"/>
        <v/>
      </c>
      <c r="BP52" s="3" t="str">
        <f t="shared" si="76"/>
        <v/>
      </c>
      <c r="BQ52" s="3" t="str">
        <f t="shared" si="77"/>
        <v/>
      </c>
      <c r="BR52" s="3" t="str">
        <f t="shared" si="78"/>
        <v/>
      </c>
      <c r="BS52" s="3" t="str">
        <f t="shared" si="79"/>
        <v/>
      </c>
      <c r="BT52" s="3" t="str">
        <f t="shared" si="80"/>
        <v/>
      </c>
    </row>
    <row r="53" spans="2:72" x14ac:dyDescent="0.25">
      <c r="B53" s="3" t="s">
        <v>299</v>
      </c>
      <c r="C53" s="3" t="s">
        <v>238</v>
      </c>
      <c r="D53" s="3" t="s">
        <v>1</v>
      </c>
      <c r="E53" s="3" t="s">
        <v>115</v>
      </c>
      <c r="F53" s="3" t="s">
        <v>366</v>
      </c>
      <c r="G53" s="3" t="s">
        <v>433</v>
      </c>
      <c r="H53" s="18" t="s">
        <v>239</v>
      </c>
      <c r="I53" s="3" t="s">
        <v>24</v>
      </c>
      <c r="J53" s="3">
        <v>14</v>
      </c>
      <c r="K53" s="3" t="s">
        <v>231</v>
      </c>
      <c r="L53" s="3" t="s">
        <v>23</v>
      </c>
      <c r="M53" s="3">
        <v>81</v>
      </c>
      <c r="N53" s="3" t="str">
        <f t="shared" si="87"/>
        <v>00000051</v>
      </c>
      <c r="O53" s="3">
        <v>29</v>
      </c>
      <c r="P53" s="3">
        <v>16</v>
      </c>
      <c r="Q53" s="3" t="str">
        <f t="shared" si="88"/>
        <v/>
      </c>
      <c r="R53" s="3" t="str">
        <f t="shared" si="88"/>
        <v/>
      </c>
      <c r="S53" s="3" t="str">
        <f t="shared" si="88"/>
        <v>X</v>
      </c>
      <c r="T53" s="3" t="str">
        <f t="shared" si="88"/>
        <v>X</v>
      </c>
      <c r="U53" s="3" t="str">
        <f t="shared" si="88"/>
        <v>X</v>
      </c>
      <c r="V53" s="3" t="str">
        <f t="shared" si="88"/>
        <v>X</v>
      </c>
      <c r="W53" s="3" t="str">
        <f t="shared" si="88"/>
        <v>X</v>
      </c>
      <c r="X53" s="3" t="str">
        <f t="shared" si="88"/>
        <v>X</v>
      </c>
      <c r="Y53" s="3" t="str">
        <f t="shared" si="88"/>
        <v>X</v>
      </c>
      <c r="Z53" s="3" t="str">
        <f t="shared" si="88"/>
        <v>X</v>
      </c>
      <c r="AA53" s="3" t="str">
        <f t="shared" si="88"/>
        <v>X</v>
      </c>
      <c r="AB53" s="3" t="str">
        <f t="shared" si="88"/>
        <v>X</v>
      </c>
      <c r="AC53" s="3" t="str">
        <f t="shared" si="88"/>
        <v>X</v>
      </c>
      <c r="AD53" s="3" t="str">
        <f t="shared" si="88"/>
        <v>X</v>
      </c>
      <c r="AE53" s="3" t="str">
        <f t="shared" si="88"/>
        <v>X</v>
      </c>
      <c r="AF53" s="3" t="str">
        <f t="shared" si="88"/>
        <v>X</v>
      </c>
      <c r="AG53" s="3" t="str">
        <f t="shared" si="89"/>
        <v/>
      </c>
      <c r="AH53" s="3" t="str">
        <f t="shared" si="89"/>
        <v/>
      </c>
      <c r="AI53" s="3" t="str">
        <f t="shared" si="89"/>
        <v/>
      </c>
      <c r="AJ53" s="3" t="str">
        <f t="shared" si="89"/>
        <v/>
      </c>
      <c r="AK53" s="3" t="str">
        <f t="shared" si="89"/>
        <v/>
      </c>
      <c r="AL53" s="3" t="str">
        <f t="shared" si="89"/>
        <v/>
      </c>
      <c r="AM53" s="3" t="str">
        <f t="shared" si="89"/>
        <v/>
      </c>
      <c r="AN53" s="3" t="str">
        <f t="shared" si="89"/>
        <v/>
      </c>
      <c r="AO53" s="3" t="str">
        <f t="shared" si="89"/>
        <v/>
      </c>
      <c r="AP53" s="3" t="str">
        <f t="shared" si="89"/>
        <v/>
      </c>
      <c r="AQ53" s="3" t="str">
        <f t="shared" si="89"/>
        <v/>
      </c>
      <c r="AR53" s="3" t="str">
        <f t="shared" si="89"/>
        <v/>
      </c>
      <c r="AS53" s="3" t="str">
        <f t="shared" si="89"/>
        <v/>
      </c>
      <c r="AT53" s="3" t="str">
        <f t="shared" si="89"/>
        <v/>
      </c>
      <c r="AU53" s="3" t="str">
        <f t="shared" si="89"/>
        <v/>
      </c>
      <c r="AV53" s="3" t="str">
        <f t="shared" si="89"/>
        <v/>
      </c>
      <c r="AW53" s="3" t="str">
        <f t="shared" si="13"/>
        <v>X</v>
      </c>
      <c r="AX53" s="3" t="str">
        <f t="shared" si="14"/>
        <v>X</v>
      </c>
      <c r="AY53" s="3" t="str">
        <f t="shared" si="15"/>
        <v/>
      </c>
      <c r="AZ53" s="3" t="str">
        <f t="shared" si="16"/>
        <v/>
      </c>
      <c r="BA53" s="3">
        <f t="shared" si="61"/>
        <v>324</v>
      </c>
      <c r="BB53" s="3">
        <f t="shared" si="62"/>
        <v>325</v>
      </c>
      <c r="BC53" s="3" t="str">
        <f t="shared" si="63"/>
        <v/>
      </c>
      <c r="BD53" s="3" t="str">
        <f t="shared" si="64"/>
        <v/>
      </c>
      <c r="BE53" s="7" t="str">
        <f t="shared" si="65"/>
        <v>00000144</v>
      </c>
      <c r="BF53" s="7" t="str">
        <f t="shared" si="66"/>
        <v>00000145</v>
      </c>
      <c r="BG53" s="7" t="str">
        <f t="shared" si="67"/>
        <v/>
      </c>
      <c r="BH53" s="7" t="str">
        <f t="shared" si="68"/>
        <v/>
      </c>
      <c r="BI53" s="3" t="str">
        <f t="shared" si="69"/>
        <v>(5 downto 0)</v>
      </c>
      <c r="BJ53" s="3" t="str">
        <f t="shared" si="70"/>
        <v/>
      </c>
      <c r="BK53" s="3" t="str">
        <f t="shared" si="71"/>
        <v/>
      </c>
      <c r="BL53" s="3" t="str">
        <f t="shared" si="72"/>
        <v/>
      </c>
      <c r="BM53" s="3">
        <f t="shared" si="73"/>
        <v>13</v>
      </c>
      <c r="BN53" s="3">
        <f t="shared" si="74"/>
        <v>7</v>
      </c>
      <c r="BO53" s="3" t="str">
        <f t="shared" si="75"/>
        <v/>
      </c>
      <c r="BP53" s="3" t="str">
        <f t="shared" si="76"/>
        <v/>
      </c>
      <c r="BQ53" s="3" t="str">
        <f t="shared" si="77"/>
        <v>(13 downto 8)</v>
      </c>
      <c r="BR53" s="3" t="str">
        <f t="shared" si="78"/>
        <v>(7 downto 0)</v>
      </c>
      <c r="BS53" s="3" t="str">
        <f t="shared" si="79"/>
        <v/>
      </c>
      <c r="BT53" s="3" t="str">
        <f t="shared" si="80"/>
        <v/>
      </c>
    </row>
    <row r="54" spans="2:72" x14ac:dyDescent="0.25">
      <c r="B54" s="3" t="s">
        <v>299</v>
      </c>
      <c r="C54" s="3" t="s">
        <v>240</v>
      </c>
      <c r="D54" s="3" t="s">
        <v>1</v>
      </c>
      <c r="E54" s="3" t="s">
        <v>115</v>
      </c>
      <c r="F54" s="3" t="s">
        <v>366</v>
      </c>
      <c r="G54" s="3" t="s">
        <v>433</v>
      </c>
      <c r="H54" s="18" t="s">
        <v>241</v>
      </c>
      <c r="I54" s="3" t="s">
        <v>24</v>
      </c>
      <c r="J54" s="3">
        <v>1</v>
      </c>
      <c r="K54" s="3" t="s">
        <v>58</v>
      </c>
      <c r="L54" s="3" t="s">
        <v>23</v>
      </c>
      <c r="M54" s="3">
        <v>81</v>
      </c>
      <c r="N54" s="3" t="str">
        <f t="shared" si="87"/>
        <v>00000051</v>
      </c>
      <c r="O54" s="3">
        <v>15</v>
      </c>
      <c r="P54" s="3">
        <v>15</v>
      </c>
      <c r="Q54" s="3" t="str">
        <f t="shared" si="88"/>
        <v/>
      </c>
      <c r="R54" s="3" t="str">
        <f t="shared" si="88"/>
        <v/>
      </c>
      <c r="S54" s="3" t="str">
        <f t="shared" si="88"/>
        <v/>
      </c>
      <c r="T54" s="3" t="str">
        <f t="shared" si="88"/>
        <v/>
      </c>
      <c r="U54" s="3" t="str">
        <f t="shared" si="88"/>
        <v/>
      </c>
      <c r="V54" s="3" t="str">
        <f t="shared" si="88"/>
        <v/>
      </c>
      <c r="W54" s="3" t="str">
        <f t="shared" si="88"/>
        <v/>
      </c>
      <c r="X54" s="3" t="str">
        <f t="shared" si="88"/>
        <v/>
      </c>
      <c r="Y54" s="3" t="str">
        <f t="shared" si="88"/>
        <v/>
      </c>
      <c r="Z54" s="3" t="str">
        <f t="shared" si="88"/>
        <v/>
      </c>
      <c r="AA54" s="3" t="str">
        <f t="shared" si="88"/>
        <v/>
      </c>
      <c r="AB54" s="3" t="str">
        <f t="shared" si="88"/>
        <v/>
      </c>
      <c r="AC54" s="3" t="str">
        <f t="shared" si="88"/>
        <v/>
      </c>
      <c r="AD54" s="3" t="str">
        <f t="shared" si="88"/>
        <v/>
      </c>
      <c r="AE54" s="3" t="str">
        <f t="shared" si="88"/>
        <v/>
      </c>
      <c r="AF54" s="3" t="str">
        <f t="shared" si="88"/>
        <v/>
      </c>
      <c r="AG54" s="3" t="str">
        <f t="shared" si="89"/>
        <v>X</v>
      </c>
      <c r="AH54" s="3" t="str">
        <f t="shared" si="89"/>
        <v/>
      </c>
      <c r="AI54" s="3" t="str">
        <f t="shared" si="89"/>
        <v/>
      </c>
      <c r="AJ54" s="3" t="str">
        <f t="shared" si="89"/>
        <v/>
      </c>
      <c r="AK54" s="3" t="str">
        <f t="shared" si="89"/>
        <v/>
      </c>
      <c r="AL54" s="3" t="str">
        <f t="shared" si="89"/>
        <v/>
      </c>
      <c r="AM54" s="3" t="str">
        <f t="shared" si="89"/>
        <v/>
      </c>
      <c r="AN54" s="3" t="str">
        <f t="shared" si="89"/>
        <v/>
      </c>
      <c r="AO54" s="3" t="str">
        <f t="shared" si="89"/>
        <v/>
      </c>
      <c r="AP54" s="3" t="str">
        <f t="shared" si="89"/>
        <v/>
      </c>
      <c r="AQ54" s="3" t="str">
        <f t="shared" si="89"/>
        <v/>
      </c>
      <c r="AR54" s="3" t="str">
        <f t="shared" si="89"/>
        <v/>
      </c>
      <c r="AS54" s="3" t="str">
        <f t="shared" si="89"/>
        <v/>
      </c>
      <c r="AT54" s="3" t="str">
        <f t="shared" si="89"/>
        <v/>
      </c>
      <c r="AU54" s="3" t="str">
        <f t="shared" si="89"/>
        <v/>
      </c>
      <c r="AV54" s="3" t="str">
        <f t="shared" si="89"/>
        <v/>
      </c>
      <c r="AW54" s="3" t="str">
        <f t="shared" si="13"/>
        <v/>
      </c>
      <c r="AX54" s="3" t="str">
        <f t="shared" si="14"/>
        <v/>
      </c>
      <c r="AY54" s="3" t="str">
        <f t="shared" si="15"/>
        <v>X</v>
      </c>
      <c r="AZ54" s="3" t="str">
        <f t="shared" si="16"/>
        <v/>
      </c>
      <c r="BA54" s="3" t="str">
        <f t="shared" si="61"/>
        <v/>
      </c>
      <c r="BB54" s="3" t="str">
        <f t="shared" si="62"/>
        <v/>
      </c>
      <c r="BC54" s="3">
        <f t="shared" si="63"/>
        <v>326</v>
      </c>
      <c r="BD54" s="3" t="str">
        <f t="shared" si="64"/>
        <v/>
      </c>
      <c r="BE54" s="7" t="str">
        <f t="shared" si="65"/>
        <v/>
      </c>
      <c r="BF54" s="7" t="str">
        <f t="shared" si="66"/>
        <v/>
      </c>
      <c r="BG54" s="7" t="str">
        <f t="shared" si="67"/>
        <v>00000146</v>
      </c>
      <c r="BH54" s="7" t="str">
        <f t="shared" si="68"/>
        <v/>
      </c>
      <c r="BI54" s="3" t="str">
        <f t="shared" si="69"/>
        <v/>
      </c>
      <c r="BJ54" s="3" t="str">
        <f t="shared" si="70"/>
        <v/>
      </c>
      <c r="BK54" s="3" t="str">
        <f t="shared" si="71"/>
        <v>(7)</v>
      </c>
      <c r="BL54" s="3" t="str">
        <f t="shared" si="72"/>
        <v/>
      </c>
      <c r="BM54" s="3" t="str">
        <f t="shared" si="73"/>
        <v/>
      </c>
      <c r="BN54" s="3" t="str">
        <f t="shared" si="74"/>
        <v/>
      </c>
      <c r="BO54" s="3">
        <f t="shared" si="75"/>
        <v>0</v>
      </c>
      <c r="BP54" s="3" t="str">
        <f t="shared" si="76"/>
        <v/>
      </c>
      <c r="BQ54" s="3" t="str">
        <f t="shared" si="77"/>
        <v/>
      </c>
      <c r="BR54" s="3" t="str">
        <f t="shared" si="78"/>
        <v/>
      </c>
      <c r="BS54" s="3" t="str">
        <f t="shared" si="79"/>
        <v/>
      </c>
      <c r="BT54" s="3" t="str">
        <f t="shared" si="80"/>
        <v/>
      </c>
    </row>
    <row r="55" spans="2:72" x14ac:dyDescent="0.25">
      <c r="B55" s="3" t="s">
        <v>299</v>
      </c>
      <c r="C55" s="3" t="s">
        <v>195</v>
      </c>
      <c r="D55" s="3" t="s">
        <v>1</v>
      </c>
      <c r="E55" s="3" t="s">
        <v>115</v>
      </c>
      <c r="F55" s="3" t="s">
        <v>366</v>
      </c>
      <c r="G55" s="3" t="s">
        <v>433</v>
      </c>
      <c r="H55" s="18" t="s">
        <v>196</v>
      </c>
      <c r="I55" s="3" t="s">
        <v>24</v>
      </c>
      <c r="J55" s="3">
        <v>1</v>
      </c>
      <c r="K55" s="3" t="s">
        <v>58</v>
      </c>
      <c r="L55" s="3" t="s">
        <v>23</v>
      </c>
      <c r="M55" s="3">
        <v>81</v>
      </c>
      <c r="N55" s="3" t="str">
        <f t="shared" si="87"/>
        <v>00000051</v>
      </c>
      <c r="O55" s="3">
        <v>14</v>
      </c>
      <c r="P55" s="3">
        <v>14</v>
      </c>
      <c r="Q55" s="3" t="str">
        <f t="shared" si="88"/>
        <v/>
      </c>
      <c r="R55" s="3" t="str">
        <f t="shared" si="88"/>
        <v/>
      </c>
      <c r="S55" s="3" t="str">
        <f t="shared" si="88"/>
        <v/>
      </c>
      <c r="T55" s="3" t="str">
        <f t="shared" si="88"/>
        <v/>
      </c>
      <c r="U55" s="3" t="str">
        <f t="shared" si="88"/>
        <v/>
      </c>
      <c r="V55" s="3" t="str">
        <f t="shared" si="88"/>
        <v/>
      </c>
      <c r="W55" s="3" t="str">
        <f t="shared" si="88"/>
        <v/>
      </c>
      <c r="X55" s="3" t="str">
        <f t="shared" si="88"/>
        <v/>
      </c>
      <c r="Y55" s="3" t="str">
        <f t="shared" si="88"/>
        <v/>
      </c>
      <c r="Z55" s="3" t="str">
        <f t="shared" si="88"/>
        <v/>
      </c>
      <c r="AA55" s="3" t="str">
        <f t="shared" si="88"/>
        <v/>
      </c>
      <c r="AB55" s="3" t="str">
        <f t="shared" si="88"/>
        <v/>
      </c>
      <c r="AC55" s="3" t="str">
        <f t="shared" si="88"/>
        <v/>
      </c>
      <c r="AD55" s="3" t="str">
        <f t="shared" ref="Q55:AF71" si="90">IF(AND($O55&gt;=AD$3,AD$3&gt;=$P55),"X","")</f>
        <v/>
      </c>
      <c r="AE55" s="3" t="str">
        <f t="shared" si="90"/>
        <v/>
      </c>
      <c r="AF55" s="3" t="str">
        <f t="shared" si="90"/>
        <v/>
      </c>
      <c r="AG55" s="3" t="str">
        <f t="shared" si="89"/>
        <v/>
      </c>
      <c r="AH55" s="3" t="str">
        <f t="shared" si="89"/>
        <v>X</v>
      </c>
      <c r="AI55" s="3" t="str">
        <f t="shared" si="89"/>
        <v/>
      </c>
      <c r="AJ55" s="3" t="str">
        <f t="shared" si="89"/>
        <v/>
      </c>
      <c r="AK55" s="3" t="str">
        <f t="shared" si="89"/>
        <v/>
      </c>
      <c r="AL55" s="3" t="str">
        <f t="shared" si="89"/>
        <v/>
      </c>
      <c r="AM55" s="3" t="str">
        <f t="shared" si="89"/>
        <v/>
      </c>
      <c r="AN55" s="3" t="str">
        <f t="shared" si="89"/>
        <v/>
      </c>
      <c r="AO55" s="3" t="str">
        <f t="shared" si="89"/>
        <v/>
      </c>
      <c r="AP55" s="3" t="str">
        <f t="shared" si="89"/>
        <v/>
      </c>
      <c r="AQ55" s="3" t="str">
        <f t="shared" si="89"/>
        <v/>
      </c>
      <c r="AR55" s="3" t="str">
        <f t="shared" si="89"/>
        <v/>
      </c>
      <c r="AS55" s="3" t="str">
        <f t="shared" si="89"/>
        <v/>
      </c>
      <c r="AT55" s="3" t="str">
        <f t="shared" ref="AG55:AV71" si="91">IF(AND($O55&gt;=AT$3,AT$3&gt;=$P55),"X","")</f>
        <v/>
      </c>
      <c r="AU55" s="3" t="str">
        <f t="shared" si="91"/>
        <v/>
      </c>
      <c r="AV55" s="3" t="str">
        <f t="shared" si="91"/>
        <v/>
      </c>
      <c r="AW55" s="3" t="str">
        <f t="shared" si="13"/>
        <v/>
      </c>
      <c r="AX55" s="3" t="str">
        <f t="shared" si="14"/>
        <v/>
      </c>
      <c r="AY55" s="3" t="str">
        <f t="shared" si="15"/>
        <v>X</v>
      </c>
      <c r="AZ55" s="3" t="str">
        <f t="shared" si="16"/>
        <v/>
      </c>
      <c r="BA55" s="3" t="str">
        <f t="shared" si="61"/>
        <v/>
      </c>
      <c r="BB55" s="3" t="str">
        <f t="shared" si="62"/>
        <v/>
      </c>
      <c r="BC55" s="3">
        <f t="shared" si="63"/>
        <v>326</v>
      </c>
      <c r="BD55" s="3" t="str">
        <f t="shared" si="64"/>
        <v/>
      </c>
      <c r="BE55" s="7" t="str">
        <f t="shared" si="65"/>
        <v/>
      </c>
      <c r="BF55" s="7" t="str">
        <f t="shared" si="66"/>
        <v/>
      </c>
      <c r="BG55" s="7" t="str">
        <f t="shared" si="67"/>
        <v>00000146</v>
      </c>
      <c r="BH55" s="7" t="str">
        <f t="shared" si="68"/>
        <v/>
      </c>
      <c r="BI55" s="3" t="str">
        <f t="shared" si="69"/>
        <v/>
      </c>
      <c r="BJ55" s="3" t="str">
        <f t="shared" si="70"/>
        <v/>
      </c>
      <c r="BK55" s="3" t="str">
        <f t="shared" si="71"/>
        <v>(6)</v>
      </c>
      <c r="BL55" s="3" t="str">
        <f t="shared" si="72"/>
        <v/>
      </c>
      <c r="BM55" s="3" t="str">
        <f t="shared" si="73"/>
        <v/>
      </c>
      <c r="BN55" s="3" t="str">
        <f t="shared" si="74"/>
        <v/>
      </c>
      <c r="BO55" s="3">
        <f t="shared" si="75"/>
        <v>0</v>
      </c>
      <c r="BP55" s="3" t="str">
        <f t="shared" si="76"/>
        <v/>
      </c>
      <c r="BQ55" s="3" t="str">
        <f t="shared" si="77"/>
        <v/>
      </c>
      <c r="BR55" s="3" t="str">
        <f t="shared" si="78"/>
        <v/>
      </c>
      <c r="BS55" s="3" t="str">
        <f t="shared" si="79"/>
        <v/>
      </c>
      <c r="BT55" s="3" t="str">
        <f t="shared" si="80"/>
        <v/>
      </c>
    </row>
    <row r="56" spans="2:72" x14ac:dyDescent="0.25">
      <c r="B56" s="3" t="s">
        <v>299</v>
      </c>
      <c r="C56" s="3" t="s">
        <v>242</v>
      </c>
      <c r="D56" s="3" t="s">
        <v>1</v>
      </c>
      <c r="E56" s="3" t="s">
        <v>115</v>
      </c>
      <c r="F56" s="3" t="s">
        <v>366</v>
      </c>
      <c r="G56" s="3" t="s">
        <v>433</v>
      </c>
      <c r="H56" s="18" t="s">
        <v>243</v>
      </c>
      <c r="I56" s="3" t="s">
        <v>24</v>
      </c>
      <c r="J56" s="3">
        <v>14</v>
      </c>
      <c r="K56" s="3" t="s">
        <v>119</v>
      </c>
      <c r="L56" s="3" t="s">
        <v>23</v>
      </c>
      <c r="M56" s="3">
        <v>81</v>
      </c>
      <c r="N56" s="3" t="str">
        <f t="shared" si="87"/>
        <v>00000051</v>
      </c>
      <c r="O56" s="3">
        <v>13</v>
      </c>
      <c r="P56" s="3">
        <v>0</v>
      </c>
      <c r="Q56" s="3" t="str">
        <f t="shared" si="90"/>
        <v/>
      </c>
      <c r="R56" s="3" t="str">
        <f t="shared" si="90"/>
        <v/>
      </c>
      <c r="S56" s="3" t="str">
        <f t="shared" si="90"/>
        <v/>
      </c>
      <c r="T56" s="3" t="str">
        <f t="shared" si="90"/>
        <v/>
      </c>
      <c r="U56" s="3" t="str">
        <f t="shared" si="90"/>
        <v/>
      </c>
      <c r="V56" s="3" t="str">
        <f t="shared" si="90"/>
        <v/>
      </c>
      <c r="W56" s="3" t="str">
        <f t="shared" si="90"/>
        <v/>
      </c>
      <c r="X56" s="3" t="str">
        <f t="shared" si="90"/>
        <v/>
      </c>
      <c r="Y56" s="3" t="str">
        <f t="shared" si="90"/>
        <v/>
      </c>
      <c r="Z56" s="3" t="str">
        <f t="shared" si="90"/>
        <v/>
      </c>
      <c r="AA56" s="3" t="str">
        <f t="shared" si="90"/>
        <v/>
      </c>
      <c r="AB56" s="3" t="str">
        <f t="shared" si="90"/>
        <v/>
      </c>
      <c r="AC56" s="3" t="str">
        <f t="shared" si="90"/>
        <v/>
      </c>
      <c r="AD56" s="3" t="str">
        <f t="shared" si="90"/>
        <v/>
      </c>
      <c r="AE56" s="3" t="str">
        <f t="shared" si="90"/>
        <v/>
      </c>
      <c r="AF56" s="3" t="str">
        <f t="shared" si="90"/>
        <v/>
      </c>
      <c r="AG56" s="3" t="str">
        <f t="shared" si="91"/>
        <v/>
      </c>
      <c r="AH56" s="3" t="str">
        <f t="shared" si="91"/>
        <v/>
      </c>
      <c r="AI56" s="3" t="str">
        <f t="shared" si="91"/>
        <v>X</v>
      </c>
      <c r="AJ56" s="3" t="str">
        <f t="shared" si="91"/>
        <v>X</v>
      </c>
      <c r="AK56" s="3" t="str">
        <f t="shared" si="91"/>
        <v>X</v>
      </c>
      <c r="AL56" s="3" t="str">
        <f t="shared" si="91"/>
        <v>X</v>
      </c>
      <c r="AM56" s="3" t="str">
        <f t="shared" si="91"/>
        <v>X</v>
      </c>
      <c r="AN56" s="3" t="str">
        <f t="shared" si="91"/>
        <v>X</v>
      </c>
      <c r="AO56" s="3" t="str">
        <f t="shared" si="91"/>
        <v>X</v>
      </c>
      <c r="AP56" s="3" t="str">
        <f t="shared" si="91"/>
        <v>X</v>
      </c>
      <c r="AQ56" s="3" t="str">
        <f t="shared" si="91"/>
        <v>X</v>
      </c>
      <c r="AR56" s="3" t="str">
        <f t="shared" si="91"/>
        <v>X</v>
      </c>
      <c r="AS56" s="3" t="str">
        <f t="shared" si="91"/>
        <v>X</v>
      </c>
      <c r="AT56" s="3" t="str">
        <f t="shared" si="91"/>
        <v>X</v>
      </c>
      <c r="AU56" s="3" t="str">
        <f t="shared" si="91"/>
        <v>X</v>
      </c>
      <c r="AV56" s="3" t="str">
        <f t="shared" si="91"/>
        <v>X</v>
      </c>
      <c r="AW56" s="3" t="str">
        <f t="shared" si="13"/>
        <v/>
      </c>
      <c r="AX56" s="3" t="str">
        <f t="shared" si="14"/>
        <v/>
      </c>
      <c r="AY56" s="3" t="str">
        <f t="shared" si="15"/>
        <v>X</v>
      </c>
      <c r="AZ56" s="3" t="str">
        <f t="shared" si="16"/>
        <v>X</v>
      </c>
      <c r="BA56" s="3" t="str">
        <f t="shared" si="61"/>
        <v/>
      </c>
      <c r="BB56" s="3" t="str">
        <f t="shared" si="62"/>
        <v/>
      </c>
      <c r="BC56" s="3">
        <f t="shared" si="63"/>
        <v>326</v>
      </c>
      <c r="BD56" s="3">
        <f t="shared" si="64"/>
        <v>327</v>
      </c>
      <c r="BE56" s="7" t="str">
        <f t="shared" si="65"/>
        <v/>
      </c>
      <c r="BF56" s="7" t="str">
        <f t="shared" si="66"/>
        <v/>
      </c>
      <c r="BG56" s="7" t="str">
        <f t="shared" si="67"/>
        <v>00000146</v>
      </c>
      <c r="BH56" s="7" t="str">
        <f t="shared" si="68"/>
        <v>00000147</v>
      </c>
      <c r="BI56" s="3" t="str">
        <f t="shared" si="69"/>
        <v/>
      </c>
      <c r="BJ56" s="3" t="str">
        <f t="shared" si="70"/>
        <v/>
      </c>
      <c r="BK56" s="3" t="str">
        <f t="shared" si="71"/>
        <v>(5 downto 0)</v>
      </c>
      <c r="BL56" s="3" t="str">
        <f t="shared" si="72"/>
        <v/>
      </c>
      <c r="BM56" s="3" t="str">
        <f t="shared" si="73"/>
        <v/>
      </c>
      <c r="BN56" s="3" t="str">
        <f t="shared" si="74"/>
        <v/>
      </c>
      <c r="BO56" s="3">
        <f t="shared" si="75"/>
        <v>13</v>
      </c>
      <c r="BP56" s="3">
        <f t="shared" si="76"/>
        <v>7</v>
      </c>
      <c r="BQ56" s="3" t="str">
        <f t="shared" si="77"/>
        <v/>
      </c>
      <c r="BR56" s="3" t="str">
        <f t="shared" si="78"/>
        <v/>
      </c>
      <c r="BS56" s="3" t="str">
        <f t="shared" si="79"/>
        <v>(13 downto 8)</v>
      </c>
      <c r="BT56" s="3" t="str">
        <f t="shared" si="80"/>
        <v>(7 downto 0)</v>
      </c>
    </row>
    <row r="57" spans="2:72" x14ac:dyDescent="0.25">
      <c r="B57" s="3" t="s">
        <v>300</v>
      </c>
      <c r="C57" s="3" t="s">
        <v>244</v>
      </c>
      <c r="D57" s="3" t="s">
        <v>1</v>
      </c>
      <c r="E57" s="3" t="s">
        <v>115</v>
      </c>
      <c r="F57" s="3" t="s">
        <v>367</v>
      </c>
      <c r="G57" s="3" t="s">
        <v>434</v>
      </c>
      <c r="H57" s="18" t="s">
        <v>245</v>
      </c>
      <c r="I57" s="3" t="s">
        <v>24</v>
      </c>
      <c r="J57" s="3">
        <v>1</v>
      </c>
      <c r="K57" s="3" t="s">
        <v>58</v>
      </c>
      <c r="L57" s="3" t="s">
        <v>23</v>
      </c>
      <c r="M57" s="3">
        <v>82</v>
      </c>
      <c r="N57" s="3" t="str">
        <f t="shared" si="87"/>
        <v>00000052</v>
      </c>
      <c r="O57" s="3">
        <v>31</v>
      </c>
      <c r="P57" s="3">
        <v>31</v>
      </c>
      <c r="Q57" s="3" t="str">
        <f t="shared" si="90"/>
        <v>X</v>
      </c>
      <c r="R57" s="3" t="str">
        <f t="shared" si="90"/>
        <v/>
      </c>
      <c r="S57" s="3" t="str">
        <f t="shared" si="90"/>
        <v/>
      </c>
      <c r="T57" s="3" t="str">
        <f t="shared" si="90"/>
        <v/>
      </c>
      <c r="U57" s="3" t="str">
        <f t="shared" si="90"/>
        <v/>
      </c>
      <c r="V57" s="3" t="str">
        <f t="shared" si="90"/>
        <v/>
      </c>
      <c r="W57" s="3" t="str">
        <f t="shared" si="90"/>
        <v/>
      </c>
      <c r="X57" s="3" t="str">
        <f t="shared" si="90"/>
        <v/>
      </c>
      <c r="Y57" s="3" t="str">
        <f t="shared" si="90"/>
        <v/>
      </c>
      <c r="Z57" s="3" t="str">
        <f t="shared" si="90"/>
        <v/>
      </c>
      <c r="AA57" s="3" t="str">
        <f t="shared" si="90"/>
        <v/>
      </c>
      <c r="AB57" s="3" t="str">
        <f t="shared" si="90"/>
        <v/>
      </c>
      <c r="AC57" s="3" t="str">
        <f t="shared" si="90"/>
        <v/>
      </c>
      <c r="AD57" s="3" t="str">
        <f t="shared" si="90"/>
        <v/>
      </c>
      <c r="AE57" s="3" t="str">
        <f t="shared" si="90"/>
        <v/>
      </c>
      <c r="AF57" s="3" t="str">
        <f t="shared" si="90"/>
        <v/>
      </c>
      <c r="AG57" s="3" t="str">
        <f t="shared" si="91"/>
        <v/>
      </c>
      <c r="AH57" s="3" t="str">
        <f t="shared" si="91"/>
        <v/>
      </c>
      <c r="AI57" s="3" t="str">
        <f t="shared" si="91"/>
        <v/>
      </c>
      <c r="AJ57" s="3" t="str">
        <f t="shared" si="91"/>
        <v/>
      </c>
      <c r="AK57" s="3" t="str">
        <f t="shared" si="91"/>
        <v/>
      </c>
      <c r="AL57" s="3" t="str">
        <f t="shared" si="91"/>
        <v/>
      </c>
      <c r="AM57" s="3" t="str">
        <f t="shared" si="91"/>
        <v/>
      </c>
      <c r="AN57" s="3" t="str">
        <f t="shared" si="91"/>
        <v/>
      </c>
      <c r="AO57" s="3" t="str">
        <f t="shared" si="91"/>
        <v/>
      </c>
      <c r="AP57" s="3" t="str">
        <f t="shared" si="91"/>
        <v/>
      </c>
      <c r="AQ57" s="3" t="str">
        <f t="shared" si="91"/>
        <v/>
      </c>
      <c r="AR57" s="3" t="str">
        <f t="shared" si="91"/>
        <v/>
      </c>
      <c r="AS57" s="3" t="str">
        <f t="shared" si="91"/>
        <v/>
      </c>
      <c r="AT57" s="3" t="str">
        <f t="shared" si="91"/>
        <v/>
      </c>
      <c r="AU57" s="3" t="str">
        <f t="shared" si="91"/>
        <v/>
      </c>
      <c r="AV57" s="3" t="str">
        <f t="shared" si="91"/>
        <v/>
      </c>
      <c r="AW57" s="3" t="str">
        <f t="shared" si="13"/>
        <v>X</v>
      </c>
      <c r="AX57" s="3" t="str">
        <f t="shared" si="14"/>
        <v/>
      </c>
      <c r="AY57" s="3" t="str">
        <f t="shared" si="15"/>
        <v/>
      </c>
      <c r="AZ57" s="3" t="str">
        <f t="shared" si="16"/>
        <v/>
      </c>
      <c r="BA57" s="3">
        <f t="shared" si="61"/>
        <v>328</v>
      </c>
      <c r="BB57" s="3" t="str">
        <f t="shared" si="62"/>
        <v/>
      </c>
      <c r="BC57" s="3" t="str">
        <f t="shared" si="63"/>
        <v/>
      </c>
      <c r="BD57" s="3" t="str">
        <f t="shared" si="64"/>
        <v/>
      </c>
      <c r="BE57" s="7" t="str">
        <f t="shared" si="65"/>
        <v>00000148</v>
      </c>
      <c r="BF57" s="7" t="str">
        <f t="shared" si="66"/>
        <v/>
      </c>
      <c r="BG57" s="7" t="str">
        <f t="shared" si="67"/>
        <v/>
      </c>
      <c r="BH57" s="7" t="str">
        <f t="shared" si="68"/>
        <v/>
      </c>
      <c r="BI57" s="3" t="str">
        <f t="shared" si="69"/>
        <v>(7)</v>
      </c>
      <c r="BJ57" s="3" t="str">
        <f t="shared" si="70"/>
        <v/>
      </c>
      <c r="BK57" s="3" t="str">
        <f t="shared" si="71"/>
        <v/>
      </c>
      <c r="BL57" s="3" t="str">
        <f t="shared" si="72"/>
        <v/>
      </c>
      <c r="BM57" s="3">
        <f t="shared" si="73"/>
        <v>0</v>
      </c>
      <c r="BN57" s="3" t="str">
        <f t="shared" si="74"/>
        <v/>
      </c>
      <c r="BO57" s="3" t="str">
        <f t="shared" si="75"/>
        <v/>
      </c>
      <c r="BP57" s="3" t="str">
        <f t="shared" si="76"/>
        <v/>
      </c>
      <c r="BQ57" s="3" t="str">
        <f t="shared" si="77"/>
        <v/>
      </c>
      <c r="BR57" s="3" t="str">
        <f t="shared" si="78"/>
        <v/>
      </c>
      <c r="BS57" s="3" t="str">
        <f t="shared" si="79"/>
        <v/>
      </c>
      <c r="BT57" s="3" t="str">
        <f t="shared" si="80"/>
        <v/>
      </c>
    </row>
    <row r="58" spans="2:72" x14ac:dyDescent="0.25">
      <c r="B58" s="3" t="s">
        <v>300</v>
      </c>
      <c r="C58" s="3" t="s">
        <v>121</v>
      </c>
      <c r="D58" s="3" t="s">
        <v>1</v>
      </c>
      <c r="E58" s="3" t="s">
        <v>115</v>
      </c>
      <c r="F58" s="3" t="s">
        <v>367</v>
      </c>
      <c r="G58" s="3" t="s">
        <v>434</v>
      </c>
      <c r="H58" s="18" t="s">
        <v>122</v>
      </c>
      <c r="I58" s="3" t="s">
        <v>24</v>
      </c>
      <c r="J58" s="3">
        <v>1</v>
      </c>
      <c r="K58" s="3" t="s">
        <v>58</v>
      </c>
      <c r="L58" s="3" t="s">
        <v>23</v>
      </c>
      <c r="M58" s="3">
        <v>82</v>
      </c>
      <c r="N58" s="3" t="str">
        <f t="shared" si="87"/>
        <v>00000052</v>
      </c>
      <c r="O58" s="3">
        <v>30</v>
      </c>
      <c r="P58" s="3">
        <v>30</v>
      </c>
      <c r="Q58" s="3" t="str">
        <f t="shared" si="90"/>
        <v/>
      </c>
      <c r="R58" s="3" t="str">
        <f t="shared" si="90"/>
        <v>X</v>
      </c>
      <c r="S58" s="3" t="str">
        <f t="shared" si="90"/>
        <v/>
      </c>
      <c r="T58" s="3" t="str">
        <f t="shared" si="90"/>
        <v/>
      </c>
      <c r="U58" s="3" t="str">
        <f t="shared" si="90"/>
        <v/>
      </c>
      <c r="V58" s="3" t="str">
        <f t="shared" si="90"/>
        <v/>
      </c>
      <c r="W58" s="3" t="str">
        <f t="shared" si="90"/>
        <v/>
      </c>
      <c r="X58" s="3" t="str">
        <f t="shared" si="90"/>
        <v/>
      </c>
      <c r="Y58" s="3" t="str">
        <f t="shared" si="90"/>
        <v/>
      </c>
      <c r="Z58" s="3" t="str">
        <f t="shared" si="90"/>
        <v/>
      </c>
      <c r="AA58" s="3" t="str">
        <f t="shared" si="90"/>
        <v/>
      </c>
      <c r="AB58" s="3" t="str">
        <f t="shared" si="90"/>
        <v/>
      </c>
      <c r="AC58" s="3" t="str">
        <f t="shared" si="90"/>
        <v/>
      </c>
      <c r="AD58" s="3" t="str">
        <f t="shared" si="90"/>
        <v/>
      </c>
      <c r="AE58" s="3" t="str">
        <f t="shared" si="90"/>
        <v/>
      </c>
      <c r="AF58" s="3" t="str">
        <f t="shared" si="90"/>
        <v/>
      </c>
      <c r="AG58" s="3" t="str">
        <f t="shared" si="91"/>
        <v/>
      </c>
      <c r="AH58" s="3" t="str">
        <f t="shared" si="91"/>
        <v/>
      </c>
      <c r="AI58" s="3" t="str">
        <f t="shared" si="91"/>
        <v/>
      </c>
      <c r="AJ58" s="3" t="str">
        <f t="shared" si="91"/>
        <v/>
      </c>
      <c r="AK58" s="3" t="str">
        <f t="shared" si="91"/>
        <v/>
      </c>
      <c r="AL58" s="3" t="str">
        <f t="shared" si="91"/>
        <v/>
      </c>
      <c r="AM58" s="3" t="str">
        <f t="shared" si="91"/>
        <v/>
      </c>
      <c r="AN58" s="3" t="str">
        <f t="shared" si="91"/>
        <v/>
      </c>
      <c r="AO58" s="3" t="str">
        <f t="shared" si="91"/>
        <v/>
      </c>
      <c r="AP58" s="3" t="str">
        <f t="shared" si="91"/>
        <v/>
      </c>
      <c r="AQ58" s="3" t="str">
        <f t="shared" si="91"/>
        <v/>
      </c>
      <c r="AR58" s="3" t="str">
        <f t="shared" si="91"/>
        <v/>
      </c>
      <c r="AS58" s="3" t="str">
        <f t="shared" si="91"/>
        <v/>
      </c>
      <c r="AT58" s="3" t="str">
        <f t="shared" si="91"/>
        <v/>
      </c>
      <c r="AU58" s="3" t="str">
        <f t="shared" si="91"/>
        <v/>
      </c>
      <c r="AV58" s="3" t="str">
        <f t="shared" si="91"/>
        <v/>
      </c>
      <c r="AW58" s="3" t="str">
        <f t="shared" si="13"/>
        <v>X</v>
      </c>
      <c r="AX58" s="3" t="str">
        <f t="shared" si="14"/>
        <v/>
      </c>
      <c r="AY58" s="3" t="str">
        <f t="shared" si="15"/>
        <v/>
      </c>
      <c r="AZ58" s="3" t="str">
        <f t="shared" si="16"/>
        <v/>
      </c>
      <c r="BA58" s="3">
        <f t="shared" si="61"/>
        <v>328</v>
      </c>
      <c r="BB58" s="3" t="str">
        <f t="shared" si="62"/>
        <v/>
      </c>
      <c r="BC58" s="3" t="str">
        <f t="shared" si="63"/>
        <v/>
      </c>
      <c r="BD58" s="3" t="str">
        <f t="shared" si="64"/>
        <v/>
      </c>
      <c r="BE58" s="7" t="str">
        <f t="shared" si="65"/>
        <v>00000148</v>
      </c>
      <c r="BF58" s="7" t="str">
        <f t="shared" si="66"/>
        <v/>
      </c>
      <c r="BG58" s="7" t="str">
        <f t="shared" si="67"/>
        <v/>
      </c>
      <c r="BH58" s="7" t="str">
        <f t="shared" si="68"/>
        <v/>
      </c>
      <c r="BI58" s="3" t="str">
        <f t="shared" si="69"/>
        <v>(6)</v>
      </c>
      <c r="BJ58" s="3" t="str">
        <f t="shared" si="70"/>
        <v/>
      </c>
      <c r="BK58" s="3" t="str">
        <f t="shared" si="71"/>
        <v/>
      </c>
      <c r="BL58" s="3" t="str">
        <f t="shared" si="72"/>
        <v/>
      </c>
      <c r="BM58" s="3">
        <f t="shared" si="73"/>
        <v>0</v>
      </c>
      <c r="BN58" s="3" t="str">
        <f t="shared" si="74"/>
        <v/>
      </c>
      <c r="BO58" s="3" t="str">
        <f t="shared" si="75"/>
        <v/>
      </c>
      <c r="BP58" s="3" t="str">
        <f t="shared" si="76"/>
        <v/>
      </c>
      <c r="BQ58" s="3" t="str">
        <f t="shared" si="77"/>
        <v/>
      </c>
      <c r="BR58" s="3" t="str">
        <f t="shared" si="78"/>
        <v/>
      </c>
      <c r="BS58" s="3" t="str">
        <f t="shared" si="79"/>
        <v/>
      </c>
      <c r="BT58" s="3" t="str">
        <f t="shared" si="80"/>
        <v/>
      </c>
    </row>
    <row r="59" spans="2:72" x14ac:dyDescent="0.25">
      <c r="B59" s="3" t="s">
        <v>300</v>
      </c>
      <c r="C59" s="3" t="s">
        <v>246</v>
      </c>
      <c r="D59" s="3" t="s">
        <v>1</v>
      </c>
      <c r="E59" s="3" t="s">
        <v>115</v>
      </c>
      <c r="F59" s="3" t="s">
        <v>367</v>
      </c>
      <c r="G59" s="3" t="s">
        <v>434</v>
      </c>
      <c r="H59" s="18" t="s">
        <v>247</v>
      </c>
      <c r="I59" s="3" t="s">
        <v>24</v>
      </c>
      <c r="J59" s="3">
        <v>14</v>
      </c>
      <c r="K59" s="3" t="s">
        <v>248</v>
      </c>
      <c r="L59" s="3" t="s">
        <v>23</v>
      </c>
      <c r="M59" s="3">
        <v>82</v>
      </c>
      <c r="N59" s="3" t="str">
        <f t="shared" si="87"/>
        <v>00000052</v>
      </c>
      <c r="O59" s="3">
        <v>29</v>
      </c>
      <c r="P59" s="3">
        <v>16</v>
      </c>
      <c r="Q59" s="3" t="str">
        <f t="shared" si="90"/>
        <v/>
      </c>
      <c r="R59" s="3" t="str">
        <f t="shared" si="90"/>
        <v/>
      </c>
      <c r="S59" s="3" t="str">
        <f t="shared" si="90"/>
        <v>X</v>
      </c>
      <c r="T59" s="3" t="str">
        <f t="shared" si="90"/>
        <v>X</v>
      </c>
      <c r="U59" s="3" t="str">
        <f t="shared" si="90"/>
        <v>X</v>
      </c>
      <c r="V59" s="3" t="str">
        <f t="shared" si="90"/>
        <v>X</v>
      </c>
      <c r="W59" s="3" t="str">
        <f t="shared" si="90"/>
        <v>X</v>
      </c>
      <c r="X59" s="3" t="str">
        <f t="shared" si="90"/>
        <v>X</v>
      </c>
      <c r="Y59" s="3" t="str">
        <f t="shared" si="90"/>
        <v>X</v>
      </c>
      <c r="Z59" s="3" t="str">
        <f t="shared" si="90"/>
        <v>X</v>
      </c>
      <c r="AA59" s="3" t="str">
        <f t="shared" si="90"/>
        <v>X</v>
      </c>
      <c r="AB59" s="3" t="str">
        <f t="shared" si="90"/>
        <v>X</v>
      </c>
      <c r="AC59" s="3" t="str">
        <f t="shared" si="90"/>
        <v>X</v>
      </c>
      <c r="AD59" s="3" t="str">
        <f t="shared" si="90"/>
        <v>X</v>
      </c>
      <c r="AE59" s="3" t="str">
        <f t="shared" si="90"/>
        <v>X</v>
      </c>
      <c r="AF59" s="3" t="str">
        <f t="shared" si="90"/>
        <v>X</v>
      </c>
      <c r="AG59" s="3" t="str">
        <f t="shared" si="91"/>
        <v/>
      </c>
      <c r="AH59" s="3" t="str">
        <f t="shared" si="91"/>
        <v/>
      </c>
      <c r="AI59" s="3" t="str">
        <f t="shared" si="91"/>
        <v/>
      </c>
      <c r="AJ59" s="3" t="str">
        <f t="shared" si="91"/>
        <v/>
      </c>
      <c r="AK59" s="3" t="str">
        <f t="shared" si="91"/>
        <v/>
      </c>
      <c r="AL59" s="3" t="str">
        <f t="shared" si="91"/>
        <v/>
      </c>
      <c r="AM59" s="3" t="str">
        <f t="shared" si="91"/>
        <v/>
      </c>
      <c r="AN59" s="3" t="str">
        <f t="shared" si="91"/>
        <v/>
      </c>
      <c r="AO59" s="3" t="str">
        <f t="shared" si="91"/>
        <v/>
      </c>
      <c r="AP59" s="3" t="str">
        <f t="shared" si="91"/>
        <v/>
      </c>
      <c r="AQ59" s="3" t="str">
        <f t="shared" si="91"/>
        <v/>
      </c>
      <c r="AR59" s="3" t="str">
        <f t="shared" si="91"/>
        <v/>
      </c>
      <c r="AS59" s="3" t="str">
        <f t="shared" si="91"/>
        <v/>
      </c>
      <c r="AT59" s="3" t="str">
        <f t="shared" si="91"/>
        <v/>
      </c>
      <c r="AU59" s="3" t="str">
        <f t="shared" si="91"/>
        <v/>
      </c>
      <c r="AV59" s="3" t="str">
        <f t="shared" si="91"/>
        <v/>
      </c>
      <c r="AW59" s="3" t="str">
        <f t="shared" si="13"/>
        <v>X</v>
      </c>
      <c r="AX59" s="3" t="str">
        <f t="shared" si="14"/>
        <v>X</v>
      </c>
      <c r="AY59" s="3" t="str">
        <f t="shared" si="15"/>
        <v/>
      </c>
      <c r="AZ59" s="3" t="str">
        <f t="shared" si="16"/>
        <v/>
      </c>
      <c r="BA59" s="3">
        <f t="shared" si="61"/>
        <v>328</v>
      </c>
      <c r="BB59" s="3">
        <f t="shared" si="62"/>
        <v>329</v>
      </c>
      <c r="BC59" s="3" t="str">
        <f t="shared" si="63"/>
        <v/>
      </c>
      <c r="BD59" s="3" t="str">
        <f t="shared" si="64"/>
        <v/>
      </c>
      <c r="BE59" s="7" t="str">
        <f t="shared" si="65"/>
        <v>00000148</v>
      </c>
      <c r="BF59" s="7" t="str">
        <f t="shared" si="66"/>
        <v>00000149</v>
      </c>
      <c r="BG59" s="7" t="str">
        <f t="shared" si="67"/>
        <v/>
      </c>
      <c r="BH59" s="7" t="str">
        <f t="shared" si="68"/>
        <v/>
      </c>
      <c r="BI59" s="3" t="str">
        <f t="shared" si="69"/>
        <v>(5 downto 0)</v>
      </c>
      <c r="BJ59" s="3" t="str">
        <f t="shared" si="70"/>
        <v/>
      </c>
      <c r="BK59" s="3" t="str">
        <f t="shared" si="71"/>
        <v/>
      </c>
      <c r="BL59" s="3" t="str">
        <f t="shared" si="72"/>
        <v/>
      </c>
      <c r="BM59" s="3">
        <f t="shared" si="73"/>
        <v>13</v>
      </c>
      <c r="BN59" s="3">
        <f t="shared" si="74"/>
        <v>7</v>
      </c>
      <c r="BO59" s="3" t="str">
        <f t="shared" si="75"/>
        <v/>
      </c>
      <c r="BP59" s="3" t="str">
        <f t="shared" si="76"/>
        <v/>
      </c>
      <c r="BQ59" s="3" t="str">
        <f t="shared" si="77"/>
        <v>(13 downto 8)</v>
      </c>
      <c r="BR59" s="3" t="str">
        <f t="shared" si="78"/>
        <v>(7 downto 0)</v>
      </c>
      <c r="BS59" s="3" t="str">
        <f t="shared" si="79"/>
        <v/>
      </c>
      <c r="BT59" s="3" t="str">
        <f t="shared" si="80"/>
        <v/>
      </c>
    </row>
    <row r="60" spans="2:72" x14ac:dyDescent="0.25">
      <c r="B60" s="3" t="s">
        <v>300</v>
      </c>
      <c r="C60" s="3" t="s">
        <v>249</v>
      </c>
      <c r="D60" s="3" t="s">
        <v>1</v>
      </c>
      <c r="E60" s="3" t="s">
        <v>115</v>
      </c>
      <c r="F60" s="3" t="s">
        <v>367</v>
      </c>
      <c r="G60" s="3" t="s">
        <v>434</v>
      </c>
      <c r="H60" s="18" t="s">
        <v>250</v>
      </c>
      <c r="I60" s="3" t="s">
        <v>24</v>
      </c>
      <c r="J60" s="3">
        <v>16</v>
      </c>
      <c r="K60" s="3" t="s">
        <v>251</v>
      </c>
      <c r="L60" s="3" t="s">
        <v>23</v>
      </c>
      <c r="M60" s="3">
        <v>82</v>
      </c>
      <c r="N60" s="3" t="str">
        <f t="shared" si="87"/>
        <v>00000052</v>
      </c>
      <c r="O60" s="3">
        <v>15</v>
      </c>
      <c r="P60" s="3">
        <v>0</v>
      </c>
      <c r="Q60" s="3" t="str">
        <f t="shared" si="90"/>
        <v/>
      </c>
      <c r="R60" s="3" t="str">
        <f t="shared" si="90"/>
        <v/>
      </c>
      <c r="S60" s="3" t="str">
        <f t="shared" si="90"/>
        <v/>
      </c>
      <c r="T60" s="3" t="str">
        <f t="shared" si="90"/>
        <v/>
      </c>
      <c r="U60" s="3" t="str">
        <f t="shared" si="90"/>
        <v/>
      </c>
      <c r="V60" s="3" t="str">
        <f t="shared" si="90"/>
        <v/>
      </c>
      <c r="W60" s="3" t="str">
        <f t="shared" si="90"/>
        <v/>
      </c>
      <c r="X60" s="3" t="str">
        <f t="shared" si="90"/>
        <v/>
      </c>
      <c r="Y60" s="3" t="str">
        <f t="shared" si="90"/>
        <v/>
      </c>
      <c r="Z60" s="3" t="str">
        <f t="shared" si="90"/>
        <v/>
      </c>
      <c r="AA60" s="3" t="str">
        <f t="shared" si="90"/>
        <v/>
      </c>
      <c r="AB60" s="3" t="str">
        <f t="shared" si="90"/>
        <v/>
      </c>
      <c r="AC60" s="3" t="str">
        <f t="shared" si="90"/>
        <v/>
      </c>
      <c r="AD60" s="3" t="str">
        <f t="shared" si="90"/>
        <v/>
      </c>
      <c r="AE60" s="3" t="str">
        <f t="shared" si="90"/>
        <v/>
      </c>
      <c r="AF60" s="3" t="str">
        <f t="shared" si="90"/>
        <v/>
      </c>
      <c r="AG60" s="3" t="str">
        <f t="shared" si="91"/>
        <v>X</v>
      </c>
      <c r="AH60" s="3" t="str">
        <f t="shared" si="91"/>
        <v>X</v>
      </c>
      <c r="AI60" s="3" t="str">
        <f t="shared" si="91"/>
        <v>X</v>
      </c>
      <c r="AJ60" s="3" t="str">
        <f t="shared" si="91"/>
        <v>X</v>
      </c>
      <c r="AK60" s="3" t="str">
        <f t="shared" si="91"/>
        <v>X</v>
      </c>
      <c r="AL60" s="3" t="str">
        <f t="shared" si="91"/>
        <v>X</v>
      </c>
      <c r="AM60" s="3" t="str">
        <f t="shared" si="91"/>
        <v>X</v>
      </c>
      <c r="AN60" s="3" t="str">
        <f t="shared" si="91"/>
        <v>X</v>
      </c>
      <c r="AO60" s="3" t="str">
        <f t="shared" si="91"/>
        <v>X</v>
      </c>
      <c r="AP60" s="3" t="str">
        <f t="shared" si="91"/>
        <v>X</v>
      </c>
      <c r="AQ60" s="3" t="str">
        <f t="shared" si="91"/>
        <v>X</v>
      </c>
      <c r="AR60" s="3" t="str">
        <f t="shared" si="91"/>
        <v>X</v>
      </c>
      <c r="AS60" s="3" t="str">
        <f t="shared" si="91"/>
        <v>X</v>
      </c>
      <c r="AT60" s="3" t="str">
        <f t="shared" si="91"/>
        <v>X</v>
      </c>
      <c r="AU60" s="3" t="str">
        <f t="shared" si="91"/>
        <v>X</v>
      </c>
      <c r="AV60" s="3" t="str">
        <f t="shared" si="91"/>
        <v>X</v>
      </c>
      <c r="AW60" s="3" t="str">
        <f t="shared" si="13"/>
        <v/>
      </c>
      <c r="AX60" s="3" t="str">
        <f t="shared" si="14"/>
        <v/>
      </c>
      <c r="AY60" s="3" t="str">
        <f t="shared" si="15"/>
        <v>X</v>
      </c>
      <c r="AZ60" s="3" t="str">
        <f t="shared" si="16"/>
        <v>X</v>
      </c>
      <c r="BA60" s="3" t="str">
        <f t="shared" si="61"/>
        <v/>
      </c>
      <c r="BB60" s="3" t="str">
        <f t="shared" si="62"/>
        <v/>
      </c>
      <c r="BC60" s="3">
        <f t="shared" si="63"/>
        <v>330</v>
      </c>
      <c r="BD60" s="3">
        <f t="shared" si="64"/>
        <v>331</v>
      </c>
      <c r="BE60" s="7" t="str">
        <f t="shared" si="65"/>
        <v/>
      </c>
      <c r="BF60" s="7" t="str">
        <f t="shared" si="66"/>
        <v/>
      </c>
      <c r="BG60" s="7" t="str">
        <f t="shared" si="67"/>
        <v>0000014A</v>
      </c>
      <c r="BH60" s="7" t="str">
        <f t="shared" si="68"/>
        <v>0000014B</v>
      </c>
      <c r="BI60" s="3" t="str">
        <f t="shared" si="69"/>
        <v/>
      </c>
      <c r="BJ60" s="3" t="str">
        <f t="shared" si="70"/>
        <v/>
      </c>
      <c r="BK60" s="3" t="str">
        <f t="shared" si="71"/>
        <v/>
      </c>
      <c r="BL60" s="3" t="str">
        <f t="shared" si="72"/>
        <v/>
      </c>
      <c r="BM60" s="3" t="str">
        <f t="shared" si="73"/>
        <v/>
      </c>
      <c r="BN60" s="3" t="str">
        <f t="shared" si="74"/>
        <v/>
      </c>
      <c r="BO60" s="3">
        <f t="shared" si="75"/>
        <v>15</v>
      </c>
      <c r="BP60" s="3">
        <f t="shared" si="76"/>
        <v>7</v>
      </c>
      <c r="BQ60" s="3" t="str">
        <f t="shared" si="77"/>
        <v/>
      </c>
      <c r="BR60" s="3" t="str">
        <f t="shared" si="78"/>
        <v/>
      </c>
      <c r="BS60" s="3" t="str">
        <f t="shared" si="79"/>
        <v>(15 downto 8)</v>
      </c>
      <c r="BT60" s="3" t="str">
        <f t="shared" si="80"/>
        <v>(7 downto 0)</v>
      </c>
    </row>
    <row r="61" spans="2:72" x14ac:dyDescent="0.25">
      <c r="B61" s="3" t="s">
        <v>301</v>
      </c>
      <c r="C61" s="3" t="s">
        <v>252</v>
      </c>
      <c r="D61" s="3" t="s">
        <v>1</v>
      </c>
      <c r="E61" s="3" t="s">
        <v>115</v>
      </c>
      <c r="F61" s="3" t="s">
        <v>368</v>
      </c>
      <c r="G61" s="3" t="s">
        <v>435</v>
      </c>
      <c r="H61" s="18" t="s">
        <v>253</v>
      </c>
      <c r="I61" s="3" t="s">
        <v>24</v>
      </c>
      <c r="J61" s="3">
        <v>16</v>
      </c>
      <c r="K61" s="3" t="s">
        <v>254</v>
      </c>
      <c r="L61" s="3" t="s">
        <v>23</v>
      </c>
      <c r="M61" s="3">
        <v>83</v>
      </c>
      <c r="N61" s="3" t="str">
        <f t="shared" si="87"/>
        <v>00000053</v>
      </c>
      <c r="O61" s="3">
        <v>31</v>
      </c>
      <c r="P61" s="3">
        <v>16</v>
      </c>
      <c r="Q61" s="3" t="str">
        <f t="shared" si="90"/>
        <v>X</v>
      </c>
      <c r="R61" s="3" t="str">
        <f t="shared" si="90"/>
        <v>X</v>
      </c>
      <c r="S61" s="3" t="str">
        <f t="shared" si="90"/>
        <v>X</v>
      </c>
      <c r="T61" s="3" t="str">
        <f t="shared" si="90"/>
        <v>X</v>
      </c>
      <c r="U61" s="3" t="str">
        <f t="shared" si="90"/>
        <v>X</v>
      </c>
      <c r="V61" s="3" t="str">
        <f t="shared" si="90"/>
        <v>X</v>
      </c>
      <c r="W61" s="3" t="str">
        <f t="shared" si="90"/>
        <v>X</v>
      </c>
      <c r="X61" s="3" t="str">
        <f t="shared" si="90"/>
        <v>X</v>
      </c>
      <c r="Y61" s="3" t="str">
        <f t="shared" si="90"/>
        <v>X</v>
      </c>
      <c r="Z61" s="3" t="str">
        <f t="shared" si="90"/>
        <v>X</v>
      </c>
      <c r="AA61" s="3" t="str">
        <f t="shared" si="90"/>
        <v>X</v>
      </c>
      <c r="AB61" s="3" t="str">
        <f t="shared" si="90"/>
        <v>X</v>
      </c>
      <c r="AC61" s="3" t="str">
        <f t="shared" si="90"/>
        <v>X</v>
      </c>
      <c r="AD61" s="3" t="str">
        <f t="shared" si="90"/>
        <v>X</v>
      </c>
      <c r="AE61" s="3" t="str">
        <f t="shared" si="90"/>
        <v>X</v>
      </c>
      <c r="AF61" s="3" t="str">
        <f t="shared" si="90"/>
        <v>X</v>
      </c>
      <c r="AG61" s="3" t="str">
        <f t="shared" si="91"/>
        <v/>
      </c>
      <c r="AH61" s="3" t="str">
        <f t="shared" si="91"/>
        <v/>
      </c>
      <c r="AI61" s="3" t="str">
        <f t="shared" si="91"/>
        <v/>
      </c>
      <c r="AJ61" s="3" t="str">
        <f t="shared" si="91"/>
        <v/>
      </c>
      <c r="AK61" s="3" t="str">
        <f t="shared" si="91"/>
        <v/>
      </c>
      <c r="AL61" s="3" t="str">
        <f t="shared" si="91"/>
        <v/>
      </c>
      <c r="AM61" s="3" t="str">
        <f t="shared" si="91"/>
        <v/>
      </c>
      <c r="AN61" s="3" t="str">
        <f t="shared" si="91"/>
        <v/>
      </c>
      <c r="AO61" s="3" t="str">
        <f t="shared" si="91"/>
        <v/>
      </c>
      <c r="AP61" s="3" t="str">
        <f t="shared" si="91"/>
        <v/>
      </c>
      <c r="AQ61" s="3" t="str">
        <f t="shared" si="91"/>
        <v/>
      </c>
      <c r="AR61" s="3" t="str">
        <f t="shared" si="91"/>
        <v/>
      </c>
      <c r="AS61" s="3" t="str">
        <f t="shared" si="91"/>
        <v/>
      </c>
      <c r="AT61" s="3" t="str">
        <f t="shared" si="91"/>
        <v/>
      </c>
      <c r="AU61" s="3" t="str">
        <f t="shared" si="91"/>
        <v/>
      </c>
      <c r="AV61" s="3" t="str">
        <f t="shared" si="91"/>
        <v/>
      </c>
      <c r="AW61" s="3" t="str">
        <f t="shared" si="13"/>
        <v>X</v>
      </c>
      <c r="AX61" s="3" t="str">
        <f t="shared" si="14"/>
        <v>X</v>
      </c>
      <c r="AY61" s="3" t="str">
        <f t="shared" si="15"/>
        <v/>
      </c>
      <c r="AZ61" s="3" t="str">
        <f t="shared" si="16"/>
        <v/>
      </c>
      <c r="BA61" s="3">
        <f t="shared" si="61"/>
        <v>332</v>
      </c>
      <c r="BB61" s="3">
        <f t="shared" si="62"/>
        <v>333</v>
      </c>
      <c r="BC61" s="3" t="str">
        <f t="shared" si="63"/>
        <v/>
      </c>
      <c r="BD61" s="3" t="str">
        <f t="shared" si="64"/>
        <v/>
      </c>
      <c r="BE61" s="7" t="str">
        <f t="shared" si="65"/>
        <v>0000014C</v>
      </c>
      <c r="BF61" s="7" t="str">
        <f t="shared" si="66"/>
        <v>0000014D</v>
      </c>
      <c r="BG61" s="7" t="str">
        <f t="shared" si="67"/>
        <v/>
      </c>
      <c r="BH61" s="7" t="str">
        <f t="shared" si="68"/>
        <v/>
      </c>
      <c r="BI61" s="3" t="str">
        <f t="shared" si="69"/>
        <v/>
      </c>
      <c r="BJ61" s="3" t="str">
        <f t="shared" si="70"/>
        <v/>
      </c>
      <c r="BK61" s="3" t="str">
        <f t="shared" si="71"/>
        <v/>
      </c>
      <c r="BL61" s="3" t="str">
        <f t="shared" si="72"/>
        <v/>
      </c>
      <c r="BM61" s="3">
        <f t="shared" si="73"/>
        <v>15</v>
      </c>
      <c r="BN61" s="3">
        <f t="shared" si="74"/>
        <v>7</v>
      </c>
      <c r="BO61" s="3" t="str">
        <f t="shared" si="75"/>
        <v/>
      </c>
      <c r="BP61" s="3" t="str">
        <f t="shared" si="76"/>
        <v/>
      </c>
      <c r="BQ61" s="3" t="str">
        <f t="shared" si="77"/>
        <v>(15 downto 8)</v>
      </c>
      <c r="BR61" s="3" t="str">
        <f t="shared" si="78"/>
        <v>(7 downto 0)</v>
      </c>
      <c r="BS61" s="3" t="str">
        <f t="shared" si="79"/>
        <v/>
      </c>
      <c r="BT61" s="3" t="str">
        <f t="shared" si="80"/>
        <v/>
      </c>
    </row>
    <row r="62" spans="2:72" x14ac:dyDescent="0.25">
      <c r="B62" s="3" t="s">
        <v>301</v>
      </c>
      <c r="C62" s="3" t="s">
        <v>255</v>
      </c>
      <c r="D62" s="3" t="s">
        <v>1</v>
      </c>
      <c r="E62" s="3" t="s">
        <v>115</v>
      </c>
      <c r="F62" s="3" t="s">
        <v>368</v>
      </c>
      <c r="G62" s="3" t="s">
        <v>435</v>
      </c>
      <c r="H62" s="18" t="s">
        <v>256</v>
      </c>
      <c r="I62" s="3" t="s">
        <v>24</v>
      </c>
      <c r="J62" s="3">
        <v>1</v>
      </c>
      <c r="K62" s="3" t="s">
        <v>58</v>
      </c>
      <c r="L62" s="3" t="s">
        <v>23</v>
      </c>
      <c r="M62" s="3">
        <v>83</v>
      </c>
      <c r="N62" s="3" t="str">
        <f t="shared" si="87"/>
        <v>00000053</v>
      </c>
      <c r="O62" s="3">
        <v>15</v>
      </c>
      <c r="P62" s="3">
        <v>15</v>
      </c>
      <c r="Q62" s="3" t="str">
        <f t="shared" si="90"/>
        <v/>
      </c>
      <c r="R62" s="3" t="str">
        <f t="shared" si="90"/>
        <v/>
      </c>
      <c r="S62" s="3" t="str">
        <f t="shared" si="90"/>
        <v/>
      </c>
      <c r="T62" s="3" t="str">
        <f t="shared" si="90"/>
        <v/>
      </c>
      <c r="U62" s="3" t="str">
        <f t="shared" si="90"/>
        <v/>
      </c>
      <c r="V62" s="3" t="str">
        <f t="shared" si="90"/>
        <v/>
      </c>
      <c r="W62" s="3" t="str">
        <f t="shared" si="90"/>
        <v/>
      </c>
      <c r="X62" s="3" t="str">
        <f t="shared" si="90"/>
        <v/>
      </c>
      <c r="Y62" s="3" t="str">
        <f t="shared" si="90"/>
        <v/>
      </c>
      <c r="Z62" s="3" t="str">
        <f t="shared" si="90"/>
        <v/>
      </c>
      <c r="AA62" s="3" t="str">
        <f t="shared" si="90"/>
        <v/>
      </c>
      <c r="AB62" s="3" t="str">
        <f t="shared" si="90"/>
        <v/>
      </c>
      <c r="AC62" s="3" t="str">
        <f t="shared" si="90"/>
        <v/>
      </c>
      <c r="AD62" s="3" t="str">
        <f t="shared" si="90"/>
        <v/>
      </c>
      <c r="AE62" s="3" t="str">
        <f t="shared" si="90"/>
        <v/>
      </c>
      <c r="AF62" s="3" t="str">
        <f t="shared" si="90"/>
        <v/>
      </c>
      <c r="AG62" s="3" t="str">
        <f t="shared" si="91"/>
        <v>X</v>
      </c>
      <c r="AH62" s="3" t="str">
        <f t="shared" si="91"/>
        <v/>
      </c>
      <c r="AI62" s="3" t="str">
        <f t="shared" si="91"/>
        <v/>
      </c>
      <c r="AJ62" s="3" t="str">
        <f t="shared" si="91"/>
        <v/>
      </c>
      <c r="AK62" s="3" t="str">
        <f t="shared" si="91"/>
        <v/>
      </c>
      <c r="AL62" s="3" t="str">
        <f t="shared" si="91"/>
        <v/>
      </c>
      <c r="AM62" s="3" t="str">
        <f t="shared" si="91"/>
        <v/>
      </c>
      <c r="AN62" s="3" t="str">
        <f t="shared" si="91"/>
        <v/>
      </c>
      <c r="AO62" s="3" t="str">
        <f t="shared" si="91"/>
        <v/>
      </c>
      <c r="AP62" s="3" t="str">
        <f t="shared" si="91"/>
        <v/>
      </c>
      <c r="AQ62" s="3" t="str">
        <f t="shared" si="91"/>
        <v/>
      </c>
      <c r="AR62" s="3" t="str">
        <f t="shared" si="91"/>
        <v/>
      </c>
      <c r="AS62" s="3" t="str">
        <f t="shared" si="91"/>
        <v/>
      </c>
      <c r="AT62" s="3" t="str">
        <f t="shared" si="91"/>
        <v/>
      </c>
      <c r="AU62" s="3" t="str">
        <f t="shared" si="91"/>
        <v/>
      </c>
      <c r="AV62" s="3" t="str">
        <f t="shared" si="91"/>
        <v/>
      </c>
      <c r="AW62" s="3" t="str">
        <f t="shared" si="13"/>
        <v/>
      </c>
      <c r="AX62" s="3" t="str">
        <f t="shared" si="14"/>
        <v/>
      </c>
      <c r="AY62" s="3" t="str">
        <f t="shared" si="15"/>
        <v>X</v>
      </c>
      <c r="AZ62" s="3" t="str">
        <f t="shared" si="16"/>
        <v/>
      </c>
      <c r="BA62" s="3" t="str">
        <f t="shared" si="61"/>
        <v/>
      </c>
      <c r="BB62" s="3" t="str">
        <f t="shared" si="62"/>
        <v/>
      </c>
      <c r="BC62" s="3">
        <f t="shared" si="63"/>
        <v>334</v>
      </c>
      <c r="BD62" s="3" t="str">
        <f t="shared" si="64"/>
        <v/>
      </c>
      <c r="BE62" s="7" t="str">
        <f t="shared" si="65"/>
        <v/>
      </c>
      <c r="BF62" s="7" t="str">
        <f t="shared" si="66"/>
        <v/>
      </c>
      <c r="BG62" s="7" t="str">
        <f t="shared" si="67"/>
        <v>0000014E</v>
      </c>
      <c r="BH62" s="7" t="str">
        <f t="shared" si="68"/>
        <v/>
      </c>
      <c r="BI62" s="3" t="str">
        <f t="shared" si="69"/>
        <v/>
      </c>
      <c r="BJ62" s="3" t="str">
        <f t="shared" si="70"/>
        <v/>
      </c>
      <c r="BK62" s="3" t="str">
        <f t="shared" si="71"/>
        <v>(7)</v>
      </c>
      <c r="BL62" s="3" t="str">
        <f t="shared" si="72"/>
        <v/>
      </c>
      <c r="BM62" s="3" t="str">
        <f t="shared" si="73"/>
        <v/>
      </c>
      <c r="BN62" s="3" t="str">
        <f t="shared" si="74"/>
        <v/>
      </c>
      <c r="BO62" s="3">
        <f t="shared" si="75"/>
        <v>0</v>
      </c>
      <c r="BP62" s="3" t="str">
        <f t="shared" si="76"/>
        <v/>
      </c>
      <c r="BQ62" s="3" t="str">
        <f t="shared" si="77"/>
        <v/>
      </c>
      <c r="BR62" s="3" t="str">
        <f t="shared" si="78"/>
        <v/>
      </c>
      <c r="BS62" s="3" t="str">
        <f t="shared" si="79"/>
        <v/>
      </c>
      <c r="BT62" s="3" t="str">
        <f t="shared" si="80"/>
        <v/>
      </c>
    </row>
    <row r="63" spans="2:72" x14ac:dyDescent="0.25">
      <c r="B63" s="3" t="s">
        <v>301</v>
      </c>
      <c r="C63" s="3" t="s">
        <v>121</v>
      </c>
      <c r="D63" s="3" t="s">
        <v>1</v>
      </c>
      <c r="E63" s="3" t="s">
        <v>115</v>
      </c>
      <c r="F63" s="3" t="s">
        <v>368</v>
      </c>
      <c r="G63" s="3" t="s">
        <v>435</v>
      </c>
      <c r="H63" s="18" t="s">
        <v>122</v>
      </c>
      <c r="I63" s="3" t="s">
        <v>24</v>
      </c>
      <c r="J63" s="3">
        <v>1</v>
      </c>
      <c r="K63" s="3" t="s">
        <v>58</v>
      </c>
      <c r="L63" s="3" t="s">
        <v>23</v>
      </c>
      <c r="M63" s="3">
        <v>83</v>
      </c>
      <c r="N63" s="3" t="str">
        <f t="shared" si="87"/>
        <v>00000053</v>
      </c>
      <c r="O63" s="3">
        <v>14</v>
      </c>
      <c r="P63" s="3">
        <v>14</v>
      </c>
      <c r="Q63" s="3" t="str">
        <f t="shared" si="90"/>
        <v/>
      </c>
      <c r="R63" s="3" t="str">
        <f t="shared" si="90"/>
        <v/>
      </c>
      <c r="S63" s="3" t="str">
        <f t="shared" si="90"/>
        <v/>
      </c>
      <c r="T63" s="3" t="str">
        <f t="shared" si="90"/>
        <v/>
      </c>
      <c r="U63" s="3" t="str">
        <f t="shared" si="90"/>
        <v/>
      </c>
      <c r="V63" s="3" t="str">
        <f t="shared" si="90"/>
        <v/>
      </c>
      <c r="W63" s="3" t="str">
        <f t="shared" si="90"/>
        <v/>
      </c>
      <c r="X63" s="3" t="str">
        <f t="shared" si="90"/>
        <v/>
      </c>
      <c r="Y63" s="3" t="str">
        <f t="shared" si="90"/>
        <v/>
      </c>
      <c r="Z63" s="3" t="str">
        <f t="shared" si="90"/>
        <v/>
      </c>
      <c r="AA63" s="3" t="str">
        <f t="shared" si="90"/>
        <v/>
      </c>
      <c r="AB63" s="3" t="str">
        <f t="shared" si="90"/>
        <v/>
      </c>
      <c r="AC63" s="3" t="str">
        <f t="shared" si="90"/>
        <v/>
      </c>
      <c r="AD63" s="3" t="str">
        <f t="shared" si="90"/>
        <v/>
      </c>
      <c r="AE63" s="3" t="str">
        <f t="shared" si="90"/>
        <v/>
      </c>
      <c r="AF63" s="3" t="str">
        <f t="shared" si="90"/>
        <v/>
      </c>
      <c r="AG63" s="3" t="str">
        <f t="shared" si="91"/>
        <v/>
      </c>
      <c r="AH63" s="3" t="str">
        <f t="shared" si="91"/>
        <v>X</v>
      </c>
      <c r="AI63" s="3" t="str">
        <f t="shared" si="91"/>
        <v/>
      </c>
      <c r="AJ63" s="3" t="str">
        <f t="shared" si="91"/>
        <v/>
      </c>
      <c r="AK63" s="3" t="str">
        <f t="shared" si="91"/>
        <v/>
      </c>
      <c r="AL63" s="3" t="str">
        <f t="shared" si="91"/>
        <v/>
      </c>
      <c r="AM63" s="3" t="str">
        <f t="shared" si="91"/>
        <v/>
      </c>
      <c r="AN63" s="3" t="str">
        <f t="shared" si="91"/>
        <v/>
      </c>
      <c r="AO63" s="3" t="str">
        <f t="shared" si="91"/>
        <v/>
      </c>
      <c r="AP63" s="3" t="str">
        <f t="shared" si="91"/>
        <v/>
      </c>
      <c r="AQ63" s="3" t="str">
        <f t="shared" si="91"/>
        <v/>
      </c>
      <c r="AR63" s="3" t="str">
        <f t="shared" si="91"/>
        <v/>
      </c>
      <c r="AS63" s="3" t="str">
        <f t="shared" si="91"/>
        <v/>
      </c>
      <c r="AT63" s="3" t="str">
        <f t="shared" si="91"/>
        <v/>
      </c>
      <c r="AU63" s="3" t="str">
        <f t="shared" si="91"/>
        <v/>
      </c>
      <c r="AV63" s="3" t="str">
        <f t="shared" si="91"/>
        <v/>
      </c>
      <c r="AW63" s="3" t="str">
        <f t="shared" si="13"/>
        <v/>
      </c>
      <c r="AX63" s="3" t="str">
        <f t="shared" si="14"/>
        <v/>
      </c>
      <c r="AY63" s="3" t="str">
        <f t="shared" si="15"/>
        <v>X</v>
      </c>
      <c r="AZ63" s="3" t="str">
        <f t="shared" si="16"/>
        <v/>
      </c>
      <c r="BA63" s="3" t="str">
        <f t="shared" si="61"/>
        <v/>
      </c>
      <c r="BB63" s="3" t="str">
        <f t="shared" si="62"/>
        <v/>
      </c>
      <c r="BC63" s="3">
        <f t="shared" si="63"/>
        <v>334</v>
      </c>
      <c r="BD63" s="3" t="str">
        <f t="shared" si="64"/>
        <v/>
      </c>
      <c r="BE63" s="7" t="str">
        <f t="shared" si="65"/>
        <v/>
      </c>
      <c r="BF63" s="7" t="str">
        <f t="shared" si="66"/>
        <v/>
      </c>
      <c r="BG63" s="7" t="str">
        <f t="shared" si="67"/>
        <v>0000014E</v>
      </c>
      <c r="BH63" s="7" t="str">
        <f t="shared" si="68"/>
        <v/>
      </c>
      <c r="BI63" s="3" t="str">
        <f t="shared" si="69"/>
        <v/>
      </c>
      <c r="BJ63" s="3" t="str">
        <f t="shared" si="70"/>
        <v/>
      </c>
      <c r="BK63" s="3" t="str">
        <f t="shared" si="71"/>
        <v>(6)</v>
      </c>
      <c r="BL63" s="3" t="str">
        <f t="shared" si="72"/>
        <v/>
      </c>
      <c r="BM63" s="3" t="str">
        <f t="shared" si="73"/>
        <v/>
      </c>
      <c r="BN63" s="3" t="str">
        <f t="shared" si="74"/>
        <v/>
      </c>
      <c r="BO63" s="3">
        <f t="shared" si="75"/>
        <v>0</v>
      </c>
      <c r="BP63" s="3" t="str">
        <f t="shared" si="76"/>
        <v/>
      </c>
      <c r="BQ63" s="3" t="str">
        <f t="shared" si="77"/>
        <v/>
      </c>
      <c r="BR63" s="3" t="str">
        <f t="shared" si="78"/>
        <v/>
      </c>
      <c r="BS63" s="3" t="str">
        <f t="shared" si="79"/>
        <v/>
      </c>
      <c r="BT63" s="3" t="str">
        <f t="shared" si="80"/>
        <v/>
      </c>
    </row>
    <row r="64" spans="2:72" x14ac:dyDescent="0.25">
      <c r="B64" s="3" t="s">
        <v>301</v>
      </c>
      <c r="C64" s="3" t="s">
        <v>257</v>
      </c>
      <c r="D64" s="3" t="s">
        <v>1</v>
      </c>
      <c r="E64" s="3" t="s">
        <v>115</v>
      </c>
      <c r="F64" s="3" t="s">
        <v>368</v>
      </c>
      <c r="G64" s="3" t="s">
        <v>435</v>
      </c>
      <c r="H64" s="18" t="s">
        <v>258</v>
      </c>
      <c r="I64" s="3" t="s">
        <v>24</v>
      </c>
      <c r="J64" s="3">
        <v>14</v>
      </c>
      <c r="K64" s="3" t="s">
        <v>259</v>
      </c>
      <c r="L64" s="3" t="s">
        <v>23</v>
      </c>
      <c r="M64" s="3">
        <v>83</v>
      </c>
      <c r="N64" s="3" t="str">
        <f t="shared" si="87"/>
        <v>00000053</v>
      </c>
      <c r="O64" s="3">
        <v>13</v>
      </c>
      <c r="P64" s="3">
        <v>0</v>
      </c>
      <c r="Q64" s="3" t="str">
        <f t="shared" si="90"/>
        <v/>
      </c>
      <c r="R64" s="3" t="str">
        <f t="shared" si="90"/>
        <v/>
      </c>
      <c r="S64" s="3" t="str">
        <f t="shared" si="90"/>
        <v/>
      </c>
      <c r="T64" s="3" t="str">
        <f t="shared" si="90"/>
        <v/>
      </c>
      <c r="U64" s="3" t="str">
        <f t="shared" si="90"/>
        <v/>
      </c>
      <c r="V64" s="3" t="str">
        <f t="shared" si="90"/>
        <v/>
      </c>
      <c r="W64" s="3" t="str">
        <f t="shared" si="90"/>
        <v/>
      </c>
      <c r="X64" s="3" t="str">
        <f t="shared" si="90"/>
        <v/>
      </c>
      <c r="Y64" s="3" t="str">
        <f t="shared" si="90"/>
        <v/>
      </c>
      <c r="Z64" s="3" t="str">
        <f t="shared" si="90"/>
        <v/>
      </c>
      <c r="AA64" s="3" t="str">
        <f t="shared" si="90"/>
        <v/>
      </c>
      <c r="AB64" s="3" t="str">
        <f t="shared" si="90"/>
        <v/>
      </c>
      <c r="AC64" s="3" t="str">
        <f t="shared" si="90"/>
        <v/>
      </c>
      <c r="AD64" s="3" t="str">
        <f t="shared" si="90"/>
        <v/>
      </c>
      <c r="AE64" s="3" t="str">
        <f t="shared" si="90"/>
        <v/>
      </c>
      <c r="AF64" s="3" t="str">
        <f t="shared" si="90"/>
        <v/>
      </c>
      <c r="AG64" s="3" t="str">
        <f t="shared" si="91"/>
        <v/>
      </c>
      <c r="AH64" s="3" t="str">
        <f t="shared" si="91"/>
        <v/>
      </c>
      <c r="AI64" s="3" t="str">
        <f t="shared" si="91"/>
        <v>X</v>
      </c>
      <c r="AJ64" s="3" t="str">
        <f t="shared" si="91"/>
        <v>X</v>
      </c>
      <c r="AK64" s="3" t="str">
        <f t="shared" si="91"/>
        <v>X</v>
      </c>
      <c r="AL64" s="3" t="str">
        <f t="shared" si="91"/>
        <v>X</v>
      </c>
      <c r="AM64" s="3" t="str">
        <f t="shared" si="91"/>
        <v>X</v>
      </c>
      <c r="AN64" s="3" t="str">
        <f t="shared" si="91"/>
        <v>X</v>
      </c>
      <c r="AO64" s="3" t="str">
        <f t="shared" si="91"/>
        <v>X</v>
      </c>
      <c r="AP64" s="3" t="str">
        <f t="shared" si="91"/>
        <v>X</v>
      </c>
      <c r="AQ64" s="3" t="str">
        <f t="shared" si="91"/>
        <v>X</v>
      </c>
      <c r="AR64" s="3" t="str">
        <f t="shared" si="91"/>
        <v>X</v>
      </c>
      <c r="AS64" s="3" t="str">
        <f t="shared" si="91"/>
        <v>X</v>
      </c>
      <c r="AT64" s="3" t="str">
        <f t="shared" si="91"/>
        <v>X</v>
      </c>
      <c r="AU64" s="3" t="str">
        <f t="shared" si="91"/>
        <v>X</v>
      </c>
      <c r="AV64" s="3" t="str">
        <f t="shared" si="91"/>
        <v>X</v>
      </c>
      <c r="AW64" s="3" t="str">
        <f t="shared" si="13"/>
        <v/>
      </c>
      <c r="AX64" s="3" t="str">
        <f t="shared" si="14"/>
        <v/>
      </c>
      <c r="AY64" s="3" t="str">
        <f t="shared" si="15"/>
        <v>X</v>
      </c>
      <c r="AZ64" s="3" t="str">
        <f t="shared" si="16"/>
        <v>X</v>
      </c>
      <c r="BA64" s="3" t="str">
        <f t="shared" si="61"/>
        <v/>
      </c>
      <c r="BB64" s="3" t="str">
        <f t="shared" si="62"/>
        <v/>
      </c>
      <c r="BC64" s="3">
        <f t="shared" si="63"/>
        <v>334</v>
      </c>
      <c r="BD64" s="3">
        <f t="shared" si="64"/>
        <v>335</v>
      </c>
      <c r="BE64" s="7" t="str">
        <f t="shared" si="65"/>
        <v/>
      </c>
      <c r="BF64" s="7" t="str">
        <f t="shared" si="66"/>
        <v/>
      </c>
      <c r="BG64" s="7" t="str">
        <f t="shared" si="67"/>
        <v>0000014E</v>
      </c>
      <c r="BH64" s="7" t="str">
        <f t="shared" si="68"/>
        <v>0000014F</v>
      </c>
      <c r="BI64" s="3" t="str">
        <f t="shared" si="69"/>
        <v/>
      </c>
      <c r="BJ64" s="3" t="str">
        <f t="shared" si="70"/>
        <v/>
      </c>
      <c r="BK64" s="3" t="str">
        <f t="shared" si="71"/>
        <v>(5 downto 0)</v>
      </c>
      <c r="BL64" s="3" t="str">
        <f t="shared" si="72"/>
        <v/>
      </c>
      <c r="BM64" s="3" t="str">
        <f t="shared" si="73"/>
        <v/>
      </c>
      <c r="BN64" s="3" t="str">
        <f t="shared" si="74"/>
        <v/>
      </c>
      <c r="BO64" s="3">
        <f t="shared" si="75"/>
        <v>13</v>
      </c>
      <c r="BP64" s="3">
        <f t="shared" si="76"/>
        <v>7</v>
      </c>
      <c r="BQ64" s="3" t="str">
        <f t="shared" si="77"/>
        <v/>
      </c>
      <c r="BR64" s="3" t="str">
        <f t="shared" si="78"/>
        <v/>
      </c>
      <c r="BS64" s="3" t="str">
        <f t="shared" si="79"/>
        <v>(13 downto 8)</v>
      </c>
      <c r="BT64" s="3" t="str">
        <f t="shared" si="80"/>
        <v>(7 downto 0)</v>
      </c>
    </row>
    <row r="65" spans="2:72" x14ac:dyDescent="0.25">
      <c r="B65" s="3" t="s">
        <v>302</v>
      </c>
      <c r="C65" s="3" t="s">
        <v>186</v>
      </c>
      <c r="D65" s="3" t="s">
        <v>1</v>
      </c>
      <c r="E65" s="3" t="s">
        <v>115</v>
      </c>
      <c r="F65" s="3" t="s">
        <v>369</v>
      </c>
      <c r="G65" s="3" t="s">
        <v>436</v>
      </c>
      <c r="H65" s="18" t="s">
        <v>187</v>
      </c>
      <c r="I65" s="3" t="s">
        <v>24</v>
      </c>
      <c r="J65" s="3">
        <v>2</v>
      </c>
      <c r="K65" s="3" t="s">
        <v>119</v>
      </c>
      <c r="L65" s="3" t="s">
        <v>23</v>
      </c>
      <c r="M65" s="3">
        <v>84</v>
      </c>
      <c r="N65" s="3" t="str">
        <f t="shared" si="87"/>
        <v>00000054</v>
      </c>
      <c r="O65" s="3">
        <v>31</v>
      </c>
      <c r="P65" s="3">
        <v>30</v>
      </c>
      <c r="Q65" s="3" t="str">
        <f t="shared" si="90"/>
        <v>X</v>
      </c>
      <c r="R65" s="3" t="str">
        <f t="shared" si="90"/>
        <v>X</v>
      </c>
      <c r="S65" s="3" t="str">
        <f t="shared" si="90"/>
        <v/>
      </c>
      <c r="T65" s="3" t="str">
        <f t="shared" si="90"/>
        <v/>
      </c>
      <c r="U65" s="3" t="str">
        <f t="shared" si="90"/>
        <v/>
      </c>
      <c r="V65" s="3" t="str">
        <f t="shared" si="90"/>
        <v/>
      </c>
      <c r="W65" s="3" t="str">
        <f t="shared" si="90"/>
        <v/>
      </c>
      <c r="X65" s="3" t="str">
        <f t="shared" si="90"/>
        <v/>
      </c>
      <c r="Y65" s="3" t="str">
        <f t="shared" si="90"/>
        <v/>
      </c>
      <c r="Z65" s="3" t="str">
        <f t="shared" si="90"/>
        <v/>
      </c>
      <c r="AA65" s="3" t="str">
        <f t="shared" si="90"/>
        <v/>
      </c>
      <c r="AB65" s="3" t="str">
        <f t="shared" si="90"/>
        <v/>
      </c>
      <c r="AC65" s="3" t="str">
        <f t="shared" si="90"/>
        <v/>
      </c>
      <c r="AD65" s="3" t="str">
        <f t="shared" si="90"/>
        <v/>
      </c>
      <c r="AE65" s="3" t="str">
        <f t="shared" si="90"/>
        <v/>
      </c>
      <c r="AF65" s="3" t="str">
        <f t="shared" si="90"/>
        <v/>
      </c>
      <c r="AG65" s="3" t="str">
        <f t="shared" si="91"/>
        <v/>
      </c>
      <c r="AH65" s="3" t="str">
        <f t="shared" si="91"/>
        <v/>
      </c>
      <c r="AI65" s="3" t="str">
        <f t="shared" si="91"/>
        <v/>
      </c>
      <c r="AJ65" s="3" t="str">
        <f t="shared" si="91"/>
        <v/>
      </c>
      <c r="AK65" s="3" t="str">
        <f t="shared" si="91"/>
        <v/>
      </c>
      <c r="AL65" s="3" t="str">
        <f t="shared" si="91"/>
        <v/>
      </c>
      <c r="AM65" s="3" t="str">
        <f t="shared" si="91"/>
        <v/>
      </c>
      <c r="AN65" s="3" t="str">
        <f t="shared" si="91"/>
        <v/>
      </c>
      <c r="AO65" s="3" t="str">
        <f t="shared" si="91"/>
        <v/>
      </c>
      <c r="AP65" s="3" t="str">
        <f t="shared" si="91"/>
        <v/>
      </c>
      <c r="AQ65" s="3" t="str">
        <f t="shared" si="91"/>
        <v/>
      </c>
      <c r="AR65" s="3" t="str">
        <f t="shared" si="91"/>
        <v/>
      </c>
      <c r="AS65" s="3" t="str">
        <f t="shared" si="91"/>
        <v/>
      </c>
      <c r="AT65" s="3" t="str">
        <f t="shared" si="91"/>
        <v/>
      </c>
      <c r="AU65" s="3" t="str">
        <f t="shared" si="91"/>
        <v/>
      </c>
      <c r="AV65" s="3" t="str">
        <f t="shared" si="91"/>
        <v/>
      </c>
      <c r="AW65" s="3" t="str">
        <f t="shared" si="13"/>
        <v>X</v>
      </c>
      <c r="AX65" s="3" t="str">
        <f t="shared" si="14"/>
        <v/>
      </c>
      <c r="AY65" s="3" t="str">
        <f t="shared" si="15"/>
        <v/>
      </c>
      <c r="AZ65" s="3" t="str">
        <f t="shared" si="16"/>
        <v/>
      </c>
      <c r="BA65" s="3">
        <f t="shared" si="61"/>
        <v>336</v>
      </c>
      <c r="BB65" s="3" t="str">
        <f t="shared" si="62"/>
        <v/>
      </c>
      <c r="BC65" s="3" t="str">
        <f t="shared" si="63"/>
        <v/>
      </c>
      <c r="BD65" s="3" t="str">
        <f t="shared" si="64"/>
        <v/>
      </c>
      <c r="BE65" s="7" t="str">
        <f t="shared" si="65"/>
        <v>00000150</v>
      </c>
      <c r="BF65" s="7" t="str">
        <f t="shared" si="66"/>
        <v/>
      </c>
      <c r="BG65" s="7" t="str">
        <f t="shared" si="67"/>
        <v/>
      </c>
      <c r="BH65" s="7" t="str">
        <f t="shared" si="68"/>
        <v/>
      </c>
      <c r="BI65" s="3" t="str">
        <f t="shared" si="69"/>
        <v>(7 downto 6)</v>
      </c>
      <c r="BJ65" s="3" t="str">
        <f t="shared" si="70"/>
        <v/>
      </c>
      <c r="BK65" s="3" t="str">
        <f t="shared" si="71"/>
        <v/>
      </c>
      <c r="BL65" s="3" t="str">
        <f t="shared" si="72"/>
        <v/>
      </c>
      <c r="BM65" s="3">
        <f t="shared" si="73"/>
        <v>1</v>
      </c>
      <c r="BN65" s="3" t="str">
        <f t="shared" si="74"/>
        <v/>
      </c>
      <c r="BO65" s="3" t="str">
        <f t="shared" si="75"/>
        <v/>
      </c>
      <c r="BP65" s="3" t="str">
        <f t="shared" si="76"/>
        <v/>
      </c>
      <c r="BQ65" s="3" t="str">
        <f t="shared" si="77"/>
        <v/>
      </c>
      <c r="BR65" s="3" t="str">
        <f t="shared" si="78"/>
        <v/>
      </c>
      <c r="BS65" s="3" t="str">
        <f t="shared" si="79"/>
        <v/>
      </c>
      <c r="BT65" s="3" t="str">
        <f t="shared" si="80"/>
        <v/>
      </c>
    </row>
    <row r="66" spans="2:72" x14ac:dyDescent="0.25">
      <c r="B66" s="3" t="s">
        <v>302</v>
      </c>
      <c r="C66" s="3" t="s">
        <v>260</v>
      </c>
      <c r="D66" s="3" t="s">
        <v>1</v>
      </c>
      <c r="E66" s="3" t="s">
        <v>115</v>
      </c>
      <c r="F66" s="3" t="s">
        <v>369</v>
      </c>
      <c r="G66" s="3" t="s">
        <v>436</v>
      </c>
      <c r="H66" s="18" t="s">
        <v>261</v>
      </c>
      <c r="I66" s="3" t="s">
        <v>24</v>
      </c>
      <c r="J66" s="3">
        <v>14</v>
      </c>
      <c r="K66" s="3" t="s">
        <v>119</v>
      </c>
      <c r="L66" s="3" t="s">
        <v>23</v>
      </c>
      <c r="M66" s="3">
        <v>84</v>
      </c>
      <c r="N66" s="3" t="str">
        <f t="shared" si="87"/>
        <v>00000054</v>
      </c>
      <c r="O66" s="3">
        <v>29</v>
      </c>
      <c r="P66" s="3">
        <v>16</v>
      </c>
      <c r="Q66" s="3" t="str">
        <f t="shared" si="90"/>
        <v/>
      </c>
      <c r="R66" s="3" t="str">
        <f t="shared" si="90"/>
        <v/>
      </c>
      <c r="S66" s="3" t="str">
        <f t="shared" si="90"/>
        <v>X</v>
      </c>
      <c r="T66" s="3" t="str">
        <f t="shared" si="90"/>
        <v>X</v>
      </c>
      <c r="U66" s="3" t="str">
        <f t="shared" si="90"/>
        <v>X</v>
      </c>
      <c r="V66" s="3" t="str">
        <f t="shared" si="90"/>
        <v>X</v>
      </c>
      <c r="W66" s="3" t="str">
        <f t="shared" si="90"/>
        <v>X</v>
      </c>
      <c r="X66" s="3" t="str">
        <f t="shared" si="90"/>
        <v>X</v>
      </c>
      <c r="Y66" s="3" t="str">
        <f t="shared" si="90"/>
        <v>X</v>
      </c>
      <c r="Z66" s="3" t="str">
        <f t="shared" si="90"/>
        <v>X</v>
      </c>
      <c r="AA66" s="3" t="str">
        <f t="shared" si="90"/>
        <v>X</v>
      </c>
      <c r="AB66" s="3" t="str">
        <f t="shared" si="90"/>
        <v>X</v>
      </c>
      <c r="AC66" s="3" t="str">
        <f t="shared" si="90"/>
        <v>X</v>
      </c>
      <c r="AD66" s="3" t="str">
        <f t="shared" si="90"/>
        <v>X</v>
      </c>
      <c r="AE66" s="3" t="str">
        <f t="shared" si="90"/>
        <v>X</v>
      </c>
      <c r="AF66" s="3" t="str">
        <f t="shared" si="90"/>
        <v>X</v>
      </c>
      <c r="AG66" s="3" t="str">
        <f t="shared" si="91"/>
        <v/>
      </c>
      <c r="AH66" s="3" t="str">
        <f t="shared" si="91"/>
        <v/>
      </c>
      <c r="AI66" s="3" t="str">
        <f t="shared" si="91"/>
        <v/>
      </c>
      <c r="AJ66" s="3" t="str">
        <f t="shared" si="91"/>
        <v/>
      </c>
      <c r="AK66" s="3" t="str">
        <f t="shared" si="91"/>
        <v/>
      </c>
      <c r="AL66" s="3" t="str">
        <f t="shared" si="91"/>
        <v/>
      </c>
      <c r="AM66" s="3" t="str">
        <f t="shared" si="91"/>
        <v/>
      </c>
      <c r="AN66" s="3" t="str">
        <f t="shared" si="91"/>
        <v/>
      </c>
      <c r="AO66" s="3" t="str">
        <f t="shared" si="91"/>
        <v/>
      </c>
      <c r="AP66" s="3" t="str">
        <f t="shared" si="91"/>
        <v/>
      </c>
      <c r="AQ66" s="3" t="str">
        <f t="shared" si="91"/>
        <v/>
      </c>
      <c r="AR66" s="3" t="str">
        <f t="shared" si="91"/>
        <v/>
      </c>
      <c r="AS66" s="3" t="str">
        <f t="shared" si="91"/>
        <v/>
      </c>
      <c r="AT66" s="3" t="str">
        <f t="shared" si="91"/>
        <v/>
      </c>
      <c r="AU66" s="3" t="str">
        <f t="shared" si="91"/>
        <v/>
      </c>
      <c r="AV66" s="3" t="str">
        <f t="shared" si="91"/>
        <v/>
      </c>
      <c r="AW66" s="3" t="str">
        <f t="shared" si="13"/>
        <v>X</v>
      </c>
      <c r="AX66" s="3" t="str">
        <f t="shared" si="14"/>
        <v>X</v>
      </c>
      <c r="AY66" s="3" t="str">
        <f t="shared" si="15"/>
        <v/>
      </c>
      <c r="AZ66" s="3" t="str">
        <f t="shared" si="16"/>
        <v/>
      </c>
      <c r="BA66" s="3">
        <f t="shared" si="61"/>
        <v>336</v>
      </c>
      <c r="BB66" s="3">
        <f t="shared" si="62"/>
        <v>337</v>
      </c>
      <c r="BC66" s="3" t="str">
        <f t="shared" si="63"/>
        <v/>
      </c>
      <c r="BD66" s="3" t="str">
        <f t="shared" si="64"/>
        <v/>
      </c>
      <c r="BE66" s="7" t="str">
        <f t="shared" si="65"/>
        <v>00000150</v>
      </c>
      <c r="BF66" s="7" t="str">
        <f t="shared" si="66"/>
        <v>00000151</v>
      </c>
      <c r="BG66" s="7" t="str">
        <f t="shared" si="67"/>
        <v/>
      </c>
      <c r="BH66" s="7" t="str">
        <f t="shared" si="68"/>
        <v/>
      </c>
      <c r="BI66" s="3" t="str">
        <f t="shared" si="69"/>
        <v>(5 downto 0)</v>
      </c>
      <c r="BJ66" s="3" t="str">
        <f t="shared" si="70"/>
        <v/>
      </c>
      <c r="BK66" s="3" t="str">
        <f t="shared" si="71"/>
        <v/>
      </c>
      <c r="BL66" s="3" t="str">
        <f t="shared" si="72"/>
        <v/>
      </c>
      <c r="BM66" s="3">
        <f t="shared" si="73"/>
        <v>13</v>
      </c>
      <c r="BN66" s="3">
        <f t="shared" si="74"/>
        <v>7</v>
      </c>
      <c r="BO66" s="3" t="str">
        <f t="shared" si="75"/>
        <v/>
      </c>
      <c r="BP66" s="3" t="str">
        <f t="shared" si="76"/>
        <v/>
      </c>
      <c r="BQ66" s="3" t="str">
        <f t="shared" si="77"/>
        <v>(13 downto 8)</v>
      </c>
      <c r="BR66" s="3" t="str">
        <f t="shared" si="78"/>
        <v>(7 downto 0)</v>
      </c>
      <c r="BS66" s="3" t="str">
        <f t="shared" si="79"/>
        <v/>
      </c>
      <c r="BT66" s="3" t="str">
        <f t="shared" si="80"/>
        <v/>
      </c>
    </row>
    <row r="67" spans="2:72" x14ac:dyDescent="0.25">
      <c r="B67" s="3" t="s">
        <v>302</v>
      </c>
      <c r="C67" s="3" t="s">
        <v>195</v>
      </c>
      <c r="D67" s="3" t="s">
        <v>1</v>
      </c>
      <c r="E67" s="3" t="s">
        <v>115</v>
      </c>
      <c r="F67" s="3" t="s">
        <v>369</v>
      </c>
      <c r="G67" s="3" t="s">
        <v>436</v>
      </c>
      <c r="H67" s="18" t="s">
        <v>196</v>
      </c>
      <c r="I67" s="3" t="s">
        <v>24</v>
      </c>
      <c r="J67" s="3">
        <v>2</v>
      </c>
      <c r="K67" s="3" t="s">
        <v>119</v>
      </c>
      <c r="L67" s="3" t="s">
        <v>23</v>
      </c>
      <c r="M67" s="3">
        <v>84</v>
      </c>
      <c r="N67" s="3" t="str">
        <f t="shared" si="87"/>
        <v>00000054</v>
      </c>
      <c r="O67" s="3">
        <v>15</v>
      </c>
      <c r="P67" s="3">
        <v>14</v>
      </c>
      <c r="Q67" s="3" t="str">
        <f t="shared" si="90"/>
        <v/>
      </c>
      <c r="R67" s="3" t="str">
        <f t="shared" si="90"/>
        <v/>
      </c>
      <c r="S67" s="3" t="str">
        <f t="shared" si="90"/>
        <v/>
      </c>
      <c r="T67" s="3" t="str">
        <f t="shared" si="90"/>
        <v/>
      </c>
      <c r="U67" s="3" t="str">
        <f t="shared" si="90"/>
        <v/>
      </c>
      <c r="V67" s="3" t="str">
        <f t="shared" si="90"/>
        <v/>
      </c>
      <c r="W67" s="3" t="str">
        <f t="shared" si="90"/>
        <v/>
      </c>
      <c r="X67" s="3" t="str">
        <f t="shared" si="90"/>
        <v/>
      </c>
      <c r="Y67" s="3" t="str">
        <f t="shared" si="90"/>
        <v/>
      </c>
      <c r="Z67" s="3" t="str">
        <f t="shared" si="90"/>
        <v/>
      </c>
      <c r="AA67" s="3" t="str">
        <f t="shared" si="90"/>
        <v/>
      </c>
      <c r="AB67" s="3" t="str">
        <f t="shared" si="90"/>
        <v/>
      </c>
      <c r="AC67" s="3" t="str">
        <f t="shared" si="90"/>
        <v/>
      </c>
      <c r="AD67" s="3" t="str">
        <f t="shared" si="90"/>
        <v/>
      </c>
      <c r="AE67" s="3" t="str">
        <f t="shared" si="90"/>
        <v/>
      </c>
      <c r="AF67" s="3" t="str">
        <f t="shared" si="90"/>
        <v/>
      </c>
      <c r="AG67" s="3" t="str">
        <f t="shared" si="91"/>
        <v>X</v>
      </c>
      <c r="AH67" s="3" t="str">
        <f t="shared" si="91"/>
        <v>X</v>
      </c>
      <c r="AI67" s="3" t="str">
        <f t="shared" si="91"/>
        <v/>
      </c>
      <c r="AJ67" s="3" t="str">
        <f t="shared" si="91"/>
        <v/>
      </c>
      <c r="AK67" s="3" t="str">
        <f t="shared" si="91"/>
        <v/>
      </c>
      <c r="AL67" s="3" t="str">
        <f t="shared" si="91"/>
        <v/>
      </c>
      <c r="AM67" s="3" t="str">
        <f t="shared" si="91"/>
        <v/>
      </c>
      <c r="AN67" s="3" t="str">
        <f t="shared" si="91"/>
        <v/>
      </c>
      <c r="AO67" s="3" t="str">
        <f t="shared" si="91"/>
        <v/>
      </c>
      <c r="AP67" s="3" t="str">
        <f t="shared" si="91"/>
        <v/>
      </c>
      <c r="AQ67" s="3" t="str">
        <f t="shared" si="91"/>
        <v/>
      </c>
      <c r="AR67" s="3" t="str">
        <f t="shared" si="91"/>
        <v/>
      </c>
      <c r="AS67" s="3" t="str">
        <f t="shared" si="91"/>
        <v/>
      </c>
      <c r="AT67" s="3" t="str">
        <f t="shared" si="91"/>
        <v/>
      </c>
      <c r="AU67" s="3" t="str">
        <f t="shared" si="91"/>
        <v/>
      </c>
      <c r="AV67" s="3" t="str">
        <f t="shared" si="91"/>
        <v/>
      </c>
      <c r="AW67" s="3" t="str">
        <f t="shared" si="13"/>
        <v/>
      </c>
      <c r="AX67" s="3" t="str">
        <f t="shared" si="14"/>
        <v/>
      </c>
      <c r="AY67" s="3" t="str">
        <f t="shared" si="15"/>
        <v>X</v>
      </c>
      <c r="AZ67" s="3" t="str">
        <f t="shared" si="16"/>
        <v/>
      </c>
      <c r="BA67" s="3" t="str">
        <f t="shared" si="61"/>
        <v/>
      </c>
      <c r="BB67" s="3" t="str">
        <f t="shared" si="62"/>
        <v/>
      </c>
      <c r="BC67" s="3">
        <f t="shared" si="63"/>
        <v>338</v>
      </c>
      <c r="BD67" s="3" t="str">
        <f t="shared" si="64"/>
        <v/>
      </c>
      <c r="BE67" s="7" t="str">
        <f t="shared" si="65"/>
        <v/>
      </c>
      <c r="BF67" s="7" t="str">
        <f t="shared" si="66"/>
        <v/>
      </c>
      <c r="BG67" s="7" t="str">
        <f t="shared" si="67"/>
        <v>00000152</v>
      </c>
      <c r="BH67" s="7" t="str">
        <f t="shared" si="68"/>
        <v/>
      </c>
      <c r="BI67" s="3" t="str">
        <f t="shared" si="69"/>
        <v/>
      </c>
      <c r="BJ67" s="3" t="str">
        <f t="shared" si="70"/>
        <v/>
      </c>
      <c r="BK67" s="3" t="str">
        <f t="shared" si="71"/>
        <v>(7 downto 6)</v>
      </c>
      <c r="BL67" s="3" t="str">
        <f t="shared" si="72"/>
        <v/>
      </c>
      <c r="BM67" s="3" t="str">
        <f t="shared" si="73"/>
        <v/>
      </c>
      <c r="BN67" s="3" t="str">
        <f t="shared" si="74"/>
        <v/>
      </c>
      <c r="BO67" s="3">
        <f t="shared" si="75"/>
        <v>1</v>
      </c>
      <c r="BP67" s="3" t="str">
        <f t="shared" si="76"/>
        <v/>
      </c>
      <c r="BQ67" s="3" t="str">
        <f t="shared" si="77"/>
        <v/>
      </c>
      <c r="BR67" s="3" t="str">
        <f t="shared" si="78"/>
        <v/>
      </c>
      <c r="BS67" s="3" t="str">
        <f t="shared" si="79"/>
        <v/>
      </c>
      <c r="BT67" s="3" t="str">
        <f t="shared" si="80"/>
        <v/>
      </c>
    </row>
    <row r="68" spans="2:72" x14ac:dyDescent="0.25">
      <c r="B68" s="3" t="s">
        <v>302</v>
      </c>
      <c r="C68" s="3" t="s">
        <v>262</v>
      </c>
      <c r="D68" s="3" t="s">
        <v>1</v>
      </c>
      <c r="E68" s="3" t="s">
        <v>115</v>
      </c>
      <c r="F68" s="3" t="s">
        <v>369</v>
      </c>
      <c r="G68" s="3" t="s">
        <v>436</v>
      </c>
      <c r="H68" s="18" t="s">
        <v>263</v>
      </c>
      <c r="I68" s="3" t="s">
        <v>24</v>
      </c>
      <c r="J68" s="3">
        <v>14</v>
      </c>
      <c r="K68" s="3" t="s">
        <v>119</v>
      </c>
      <c r="L68" s="3" t="s">
        <v>23</v>
      </c>
      <c r="M68" s="3">
        <v>84</v>
      </c>
      <c r="N68" s="3" t="str">
        <f t="shared" si="87"/>
        <v>00000054</v>
      </c>
      <c r="O68" s="3">
        <v>13</v>
      </c>
      <c r="P68" s="3">
        <v>0</v>
      </c>
      <c r="Q68" s="3" t="str">
        <f t="shared" si="90"/>
        <v/>
      </c>
      <c r="R68" s="3" t="str">
        <f t="shared" si="90"/>
        <v/>
      </c>
      <c r="S68" s="3" t="str">
        <f t="shared" si="90"/>
        <v/>
      </c>
      <c r="T68" s="3" t="str">
        <f t="shared" si="90"/>
        <v/>
      </c>
      <c r="U68" s="3" t="str">
        <f t="shared" si="90"/>
        <v/>
      </c>
      <c r="V68" s="3" t="str">
        <f t="shared" si="90"/>
        <v/>
      </c>
      <c r="W68" s="3" t="str">
        <f t="shared" si="90"/>
        <v/>
      </c>
      <c r="X68" s="3" t="str">
        <f t="shared" si="90"/>
        <v/>
      </c>
      <c r="Y68" s="3" t="str">
        <f t="shared" si="90"/>
        <v/>
      </c>
      <c r="Z68" s="3" t="str">
        <f t="shared" si="90"/>
        <v/>
      </c>
      <c r="AA68" s="3" t="str">
        <f t="shared" si="90"/>
        <v/>
      </c>
      <c r="AB68" s="3" t="str">
        <f t="shared" si="90"/>
        <v/>
      </c>
      <c r="AC68" s="3" t="str">
        <f t="shared" si="90"/>
        <v/>
      </c>
      <c r="AD68" s="3" t="str">
        <f t="shared" si="90"/>
        <v/>
      </c>
      <c r="AE68" s="3" t="str">
        <f t="shared" si="90"/>
        <v/>
      </c>
      <c r="AF68" s="3" t="str">
        <f t="shared" si="90"/>
        <v/>
      </c>
      <c r="AG68" s="3" t="str">
        <f t="shared" si="91"/>
        <v/>
      </c>
      <c r="AH68" s="3" t="str">
        <f t="shared" si="91"/>
        <v/>
      </c>
      <c r="AI68" s="3" t="str">
        <f t="shared" si="91"/>
        <v>X</v>
      </c>
      <c r="AJ68" s="3" t="str">
        <f t="shared" si="91"/>
        <v>X</v>
      </c>
      <c r="AK68" s="3" t="str">
        <f t="shared" si="91"/>
        <v>X</v>
      </c>
      <c r="AL68" s="3" t="str">
        <f t="shared" si="91"/>
        <v>X</v>
      </c>
      <c r="AM68" s="3" t="str">
        <f t="shared" si="91"/>
        <v>X</v>
      </c>
      <c r="AN68" s="3" t="str">
        <f t="shared" si="91"/>
        <v>X</v>
      </c>
      <c r="AO68" s="3" t="str">
        <f t="shared" si="91"/>
        <v>X</v>
      </c>
      <c r="AP68" s="3" t="str">
        <f t="shared" si="91"/>
        <v>X</v>
      </c>
      <c r="AQ68" s="3" t="str">
        <f t="shared" si="91"/>
        <v>X</v>
      </c>
      <c r="AR68" s="3" t="str">
        <f t="shared" si="91"/>
        <v>X</v>
      </c>
      <c r="AS68" s="3" t="str">
        <f t="shared" si="91"/>
        <v>X</v>
      </c>
      <c r="AT68" s="3" t="str">
        <f t="shared" si="91"/>
        <v>X</v>
      </c>
      <c r="AU68" s="3" t="str">
        <f t="shared" si="91"/>
        <v>X</v>
      </c>
      <c r="AV68" s="3" t="str">
        <f t="shared" si="91"/>
        <v>X</v>
      </c>
      <c r="AW68" s="3" t="str">
        <f t="shared" si="13"/>
        <v/>
      </c>
      <c r="AX68" s="3" t="str">
        <f t="shared" si="14"/>
        <v/>
      </c>
      <c r="AY68" s="3" t="str">
        <f t="shared" si="15"/>
        <v>X</v>
      </c>
      <c r="AZ68" s="3" t="str">
        <f t="shared" si="16"/>
        <v>X</v>
      </c>
      <c r="BA68" s="3" t="str">
        <f t="shared" si="61"/>
        <v/>
      </c>
      <c r="BB68" s="3" t="str">
        <f t="shared" si="62"/>
        <v/>
      </c>
      <c r="BC68" s="3">
        <f t="shared" si="63"/>
        <v>338</v>
      </c>
      <c r="BD68" s="3">
        <f t="shared" si="64"/>
        <v>339</v>
      </c>
      <c r="BE68" s="7" t="str">
        <f t="shared" si="65"/>
        <v/>
      </c>
      <c r="BF68" s="7" t="str">
        <f t="shared" si="66"/>
        <v/>
      </c>
      <c r="BG68" s="7" t="str">
        <f t="shared" si="67"/>
        <v>00000152</v>
      </c>
      <c r="BH68" s="7" t="str">
        <f t="shared" si="68"/>
        <v>00000153</v>
      </c>
      <c r="BI68" s="3" t="str">
        <f t="shared" si="69"/>
        <v/>
      </c>
      <c r="BJ68" s="3" t="str">
        <f t="shared" si="70"/>
        <v/>
      </c>
      <c r="BK68" s="3" t="str">
        <f t="shared" si="71"/>
        <v>(5 downto 0)</v>
      </c>
      <c r="BL68" s="3" t="str">
        <f t="shared" si="72"/>
        <v/>
      </c>
      <c r="BM68" s="3" t="str">
        <f t="shared" si="73"/>
        <v/>
      </c>
      <c r="BN68" s="3" t="str">
        <f t="shared" si="74"/>
        <v/>
      </c>
      <c r="BO68" s="3">
        <f t="shared" si="75"/>
        <v>13</v>
      </c>
      <c r="BP68" s="3">
        <f t="shared" si="76"/>
        <v>7</v>
      </c>
      <c r="BQ68" s="3" t="str">
        <f t="shared" si="77"/>
        <v/>
      </c>
      <c r="BR68" s="3" t="str">
        <f t="shared" si="78"/>
        <v/>
      </c>
      <c r="BS68" s="3" t="str">
        <f t="shared" si="79"/>
        <v>(13 downto 8)</v>
      </c>
      <c r="BT68" s="3" t="str">
        <f t="shared" si="80"/>
        <v>(7 downto 0)</v>
      </c>
    </row>
    <row r="69" spans="2:72" x14ac:dyDescent="0.25">
      <c r="B69" s="3" t="s">
        <v>303</v>
      </c>
      <c r="C69" s="3" t="s">
        <v>1718</v>
      </c>
      <c r="D69" s="3" t="s">
        <v>1</v>
      </c>
      <c r="E69" s="3" t="s">
        <v>115</v>
      </c>
      <c r="F69" s="3" t="s">
        <v>370</v>
      </c>
      <c r="G69" s="3" t="s">
        <v>437</v>
      </c>
      <c r="H69" s="18" t="s">
        <v>1694</v>
      </c>
      <c r="I69" s="3" t="s">
        <v>24</v>
      </c>
      <c r="J69" s="3">
        <v>32</v>
      </c>
      <c r="K69" s="3" t="s">
        <v>119</v>
      </c>
      <c r="L69" s="3" t="s">
        <v>23</v>
      </c>
      <c r="M69" s="3">
        <v>85</v>
      </c>
      <c r="N69" s="3" t="str">
        <f t="shared" si="87"/>
        <v>00000055</v>
      </c>
      <c r="O69" s="3">
        <v>31</v>
      </c>
      <c r="P69" s="3">
        <v>0</v>
      </c>
      <c r="Q69" s="3" t="str">
        <f t="shared" si="90"/>
        <v>X</v>
      </c>
      <c r="R69" s="3" t="str">
        <f t="shared" si="90"/>
        <v>X</v>
      </c>
      <c r="S69" s="3" t="str">
        <f t="shared" si="90"/>
        <v>X</v>
      </c>
      <c r="T69" s="3" t="str">
        <f t="shared" si="90"/>
        <v>X</v>
      </c>
      <c r="U69" s="3" t="str">
        <f t="shared" si="90"/>
        <v>X</v>
      </c>
      <c r="V69" s="3" t="str">
        <f t="shared" si="90"/>
        <v>X</v>
      </c>
      <c r="W69" s="3" t="str">
        <f t="shared" si="90"/>
        <v>X</v>
      </c>
      <c r="X69" s="3" t="str">
        <f t="shared" si="90"/>
        <v>X</v>
      </c>
      <c r="Y69" s="3" t="str">
        <f t="shared" si="90"/>
        <v>X</v>
      </c>
      <c r="Z69" s="3" t="str">
        <f t="shared" si="90"/>
        <v>X</v>
      </c>
      <c r="AA69" s="3" t="str">
        <f t="shared" si="90"/>
        <v>X</v>
      </c>
      <c r="AB69" s="3" t="str">
        <f t="shared" si="90"/>
        <v>X</v>
      </c>
      <c r="AC69" s="3" t="str">
        <f t="shared" si="90"/>
        <v>X</v>
      </c>
      <c r="AD69" s="3" t="str">
        <f t="shared" si="90"/>
        <v>X</v>
      </c>
      <c r="AE69" s="3" t="str">
        <f t="shared" si="90"/>
        <v>X</v>
      </c>
      <c r="AF69" s="3" t="str">
        <f t="shared" si="90"/>
        <v>X</v>
      </c>
      <c r="AG69" s="3" t="str">
        <f t="shared" si="91"/>
        <v>X</v>
      </c>
      <c r="AH69" s="3" t="str">
        <f t="shared" si="91"/>
        <v>X</v>
      </c>
      <c r="AI69" s="3" t="str">
        <f t="shared" si="91"/>
        <v>X</v>
      </c>
      <c r="AJ69" s="3" t="str">
        <f t="shared" si="91"/>
        <v>X</v>
      </c>
      <c r="AK69" s="3" t="str">
        <f t="shared" si="91"/>
        <v>X</v>
      </c>
      <c r="AL69" s="3" t="str">
        <f t="shared" si="91"/>
        <v>X</v>
      </c>
      <c r="AM69" s="3" t="str">
        <f t="shared" si="91"/>
        <v>X</v>
      </c>
      <c r="AN69" s="3" t="str">
        <f t="shared" si="91"/>
        <v>X</v>
      </c>
      <c r="AO69" s="3" t="str">
        <f t="shared" si="91"/>
        <v>X</v>
      </c>
      <c r="AP69" s="3" t="str">
        <f t="shared" si="91"/>
        <v>X</v>
      </c>
      <c r="AQ69" s="3" t="str">
        <f t="shared" si="91"/>
        <v>X</v>
      </c>
      <c r="AR69" s="3" t="str">
        <f t="shared" si="91"/>
        <v>X</v>
      </c>
      <c r="AS69" s="3" t="str">
        <f t="shared" si="91"/>
        <v>X</v>
      </c>
      <c r="AT69" s="3" t="str">
        <f t="shared" si="91"/>
        <v>X</v>
      </c>
      <c r="AU69" s="3" t="str">
        <f t="shared" si="91"/>
        <v>X</v>
      </c>
      <c r="AV69" s="3" t="str">
        <f t="shared" si="91"/>
        <v>X</v>
      </c>
      <c r="AW69" s="3" t="str">
        <f t="shared" ref="AW69:AW110" si="92">IF(OR($Q69="X",$R69="X",$S69="X",$T69="X",$U69="X",$V69="X",$W69="X",$X69="X"),"X","")</f>
        <v>X</v>
      </c>
      <c r="AX69" s="3" t="str">
        <f t="shared" ref="AX69:AX110" si="93">IF(OR($Y69="X",$Z69="X",$AA69="X",$AB69="X",$AC69="X",$AD69="X",$AE69="X",$AF69="X"),"X","")</f>
        <v>X</v>
      </c>
      <c r="AY69" s="3" t="str">
        <f t="shared" ref="AY69:AY110" si="94">IF(OR($AG69="X",$AH69="X",$AI69="X",$AJ69="X",$AK69="X",$AL69="X",$AM69="X",$AN69="X"),"X","")</f>
        <v>X</v>
      </c>
      <c r="AZ69" s="3" t="str">
        <f t="shared" ref="AZ69:AZ110" si="95">IF(OR($AO69="X",$AP69="X",$AQ69="X",$AR69="X",$AS69="X",$AT69="X",$AU69="X",$AV69="X"),"X","")</f>
        <v>X</v>
      </c>
      <c r="BA69" s="3">
        <f t="shared" si="61"/>
        <v>340</v>
      </c>
      <c r="BB69" s="3">
        <f t="shared" si="62"/>
        <v>341</v>
      </c>
      <c r="BC69" s="3">
        <f t="shared" si="63"/>
        <v>342</v>
      </c>
      <c r="BD69" s="3">
        <f t="shared" si="64"/>
        <v>343</v>
      </c>
      <c r="BE69" s="7" t="str">
        <f t="shared" si="65"/>
        <v>00000154</v>
      </c>
      <c r="BF69" s="7" t="str">
        <f t="shared" si="66"/>
        <v>00000155</v>
      </c>
      <c r="BG69" s="7" t="str">
        <f t="shared" si="67"/>
        <v>00000156</v>
      </c>
      <c r="BH69" s="7" t="str">
        <f t="shared" si="68"/>
        <v>00000157</v>
      </c>
      <c r="BI69" s="3" t="str">
        <f t="shared" si="69"/>
        <v/>
      </c>
      <c r="BJ69" s="3" t="str">
        <f t="shared" si="70"/>
        <v/>
      </c>
      <c r="BK69" s="3" t="str">
        <f t="shared" si="71"/>
        <v/>
      </c>
      <c r="BL69" s="3" t="str">
        <f t="shared" si="72"/>
        <v/>
      </c>
      <c r="BM69" s="3">
        <f t="shared" si="73"/>
        <v>31</v>
      </c>
      <c r="BN69" s="3">
        <f t="shared" si="74"/>
        <v>23</v>
      </c>
      <c r="BO69" s="3">
        <f t="shared" si="75"/>
        <v>15</v>
      </c>
      <c r="BP69" s="3">
        <f t="shared" si="76"/>
        <v>7</v>
      </c>
      <c r="BQ69" s="3" t="str">
        <f t="shared" si="77"/>
        <v>(31 downto 24)</v>
      </c>
      <c r="BR69" s="3" t="str">
        <f t="shared" si="78"/>
        <v>(23 downto 16)</v>
      </c>
      <c r="BS69" s="3" t="str">
        <f t="shared" si="79"/>
        <v>(15 downto 8)</v>
      </c>
      <c r="BT69" s="3" t="str">
        <f t="shared" si="80"/>
        <v>(7 downto 0)</v>
      </c>
    </row>
    <row r="70" spans="2:72" x14ac:dyDescent="0.25">
      <c r="B70" s="3" t="s">
        <v>304</v>
      </c>
      <c r="C70" s="3" t="s">
        <v>264</v>
      </c>
      <c r="D70" s="3" t="s">
        <v>0</v>
      </c>
      <c r="E70" s="3" t="s">
        <v>115</v>
      </c>
      <c r="F70" s="3" t="s">
        <v>371</v>
      </c>
      <c r="G70" s="3" t="s">
        <v>438</v>
      </c>
      <c r="H70" s="18" t="s">
        <v>265</v>
      </c>
      <c r="I70" s="3" t="s">
        <v>24</v>
      </c>
      <c r="J70" s="3">
        <v>4</v>
      </c>
      <c r="K70" s="3" t="s">
        <v>119</v>
      </c>
      <c r="L70" s="3" t="s">
        <v>23</v>
      </c>
      <c r="M70" s="3">
        <v>1024</v>
      </c>
      <c r="N70" s="3" t="str">
        <f t="shared" ref="N70:N77" si="96">DEC2HEX($M70,8)</f>
        <v>00000400</v>
      </c>
      <c r="O70" s="3">
        <v>27</v>
      </c>
      <c r="P70" s="3">
        <v>24</v>
      </c>
      <c r="Q70" s="3" t="str">
        <f t="shared" si="90"/>
        <v/>
      </c>
      <c r="R70" s="3" t="str">
        <f t="shared" si="90"/>
        <v/>
      </c>
      <c r="S70" s="3" t="str">
        <f t="shared" si="90"/>
        <v/>
      </c>
      <c r="T70" s="3" t="str">
        <f t="shared" si="90"/>
        <v/>
      </c>
      <c r="U70" s="3" t="str">
        <f t="shared" si="90"/>
        <v>X</v>
      </c>
      <c r="V70" s="3" t="str">
        <f t="shared" si="90"/>
        <v>X</v>
      </c>
      <c r="W70" s="3" t="str">
        <f t="shared" si="90"/>
        <v>X</v>
      </c>
      <c r="X70" s="3" t="str">
        <f t="shared" si="90"/>
        <v>X</v>
      </c>
      <c r="Y70" s="3" t="str">
        <f t="shared" si="90"/>
        <v/>
      </c>
      <c r="Z70" s="3" t="str">
        <f t="shared" si="90"/>
        <v/>
      </c>
      <c r="AA70" s="3" t="str">
        <f t="shared" si="90"/>
        <v/>
      </c>
      <c r="AB70" s="3" t="str">
        <f t="shared" si="90"/>
        <v/>
      </c>
      <c r="AC70" s="3" t="str">
        <f t="shared" si="90"/>
        <v/>
      </c>
      <c r="AD70" s="3" t="str">
        <f t="shared" si="90"/>
        <v/>
      </c>
      <c r="AE70" s="3" t="str">
        <f t="shared" si="90"/>
        <v/>
      </c>
      <c r="AF70" s="3" t="str">
        <f t="shared" si="90"/>
        <v/>
      </c>
      <c r="AG70" s="3" t="str">
        <f t="shared" si="91"/>
        <v/>
      </c>
      <c r="AH70" s="3" t="str">
        <f t="shared" si="91"/>
        <v/>
      </c>
      <c r="AI70" s="3" t="str">
        <f t="shared" si="91"/>
        <v/>
      </c>
      <c r="AJ70" s="3" t="str">
        <f t="shared" si="91"/>
        <v/>
      </c>
      <c r="AK70" s="3" t="str">
        <f t="shared" si="91"/>
        <v/>
      </c>
      <c r="AL70" s="3" t="str">
        <f t="shared" si="91"/>
        <v/>
      </c>
      <c r="AM70" s="3" t="str">
        <f t="shared" si="91"/>
        <v/>
      </c>
      <c r="AN70" s="3" t="str">
        <f t="shared" si="91"/>
        <v/>
      </c>
      <c r="AO70" s="3" t="str">
        <f t="shared" si="91"/>
        <v/>
      </c>
      <c r="AP70" s="3" t="str">
        <f t="shared" si="91"/>
        <v/>
      </c>
      <c r="AQ70" s="3" t="str">
        <f t="shared" si="91"/>
        <v/>
      </c>
      <c r="AR70" s="3" t="str">
        <f t="shared" si="91"/>
        <v/>
      </c>
      <c r="AS70" s="3" t="str">
        <f t="shared" si="91"/>
        <v/>
      </c>
      <c r="AT70" s="3" t="str">
        <f t="shared" si="91"/>
        <v/>
      </c>
      <c r="AU70" s="3" t="str">
        <f t="shared" si="91"/>
        <v/>
      </c>
      <c r="AV70" s="3" t="str">
        <f t="shared" si="91"/>
        <v/>
      </c>
      <c r="AW70" s="3" t="str">
        <f t="shared" si="92"/>
        <v>X</v>
      </c>
      <c r="AX70" s="3" t="str">
        <f t="shared" si="93"/>
        <v/>
      </c>
      <c r="AY70" s="3" t="str">
        <f t="shared" si="94"/>
        <v/>
      </c>
      <c r="AZ70" s="3" t="str">
        <f t="shared" si="95"/>
        <v/>
      </c>
      <c r="BA70" s="3">
        <f t="shared" si="61"/>
        <v>4096</v>
      </c>
      <c r="BB70" s="3" t="str">
        <f t="shared" si="62"/>
        <v/>
      </c>
      <c r="BC70" s="3" t="str">
        <f t="shared" si="63"/>
        <v/>
      </c>
      <c r="BD70" s="3" t="str">
        <f t="shared" si="64"/>
        <v/>
      </c>
      <c r="BE70" s="7" t="str">
        <f t="shared" si="65"/>
        <v>00001000</v>
      </c>
      <c r="BF70" s="7" t="str">
        <f t="shared" si="66"/>
        <v/>
      </c>
      <c r="BG70" s="7" t="str">
        <f t="shared" si="67"/>
        <v/>
      </c>
      <c r="BH70" s="7" t="str">
        <f t="shared" si="68"/>
        <v/>
      </c>
      <c r="BI70" s="3" t="str">
        <f t="shared" si="69"/>
        <v>(3 downto 0)</v>
      </c>
      <c r="BJ70" s="3" t="str">
        <f t="shared" si="70"/>
        <v/>
      </c>
      <c r="BK70" s="3" t="str">
        <f t="shared" si="71"/>
        <v/>
      </c>
      <c r="BL70" s="3" t="str">
        <f t="shared" si="72"/>
        <v/>
      </c>
      <c r="BM70" s="3">
        <f t="shared" si="73"/>
        <v>3</v>
      </c>
      <c r="BN70" s="3" t="str">
        <f t="shared" si="74"/>
        <v/>
      </c>
      <c r="BO70" s="3" t="str">
        <f t="shared" si="75"/>
        <v/>
      </c>
      <c r="BP70" s="3" t="str">
        <f t="shared" si="76"/>
        <v/>
      </c>
      <c r="BQ70" s="3" t="str">
        <f t="shared" si="77"/>
        <v/>
      </c>
      <c r="BR70" s="3" t="str">
        <f t="shared" si="78"/>
        <v/>
      </c>
      <c r="BS70" s="3" t="str">
        <f t="shared" si="79"/>
        <v/>
      </c>
      <c r="BT70" s="3" t="str">
        <f t="shared" si="80"/>
        <v/>
      </c>
    </row>
    <row r="71" spans="2:72" x14ac:dyDescent="0.25">
      <c r="B71" s="3" t="s">
        <v>304</v>
      </c>
      <c r="C71" s="3" t="s">
        <v>1720</v>
      </c>
      <c r="D71" s="3" t="s">
        <v>0</v>
      </c>
      <c r="E71" s="3" t="s">
        <v>115</v>
      </c>
      <c r="F71" s="3" t="s">
        <v>371</v>
      </c>
      <c r="G71" s="3" t="s">
        <v>438</v>
      </c>
      <c r="H71" s="18" t="s">
        <v>1694</v>
      </c>
      <c r="I71" s="3" t="s">
        <v>24</v>
      </c>
      <c r="J71" s="3">
        <v>2</v>
      </c>
      <c r="K71" s="3" t="s">
        <v>119</v>
      </c>
      <c r="L71" s="3" t="s">
        <v>23</v>
      </c>
      <c r="M71" s="3">
        <v>1024</v>
      </c>
      <c r="N71" s="3" t="str">
        <f t="shared" si="96"/>
        <v>00000400</v>
      </c>
      <c r="O71" s="3">
        <v>23</v>
      </c>
      <c r="P71" s="3">
        <v>22</v>
      </c>
      <c r="Q71" s="3" t="str">
        <f t="shared" si="90"/>
        <v/>
      </c>
      <c r="R71" s="3" t="str">
        <f t="shared" si="90"/>
        <v/>
      </c>
      <c r="S71" s="3" t="str">
        <f t="shared" si="90"/>
        <v/>
      </c>
      <c r="T71" s="3" t="str">
        <f t="shared" si="90"/>
        <v/>
      </c>
      <c r="U71" s="3" t="str">
        <f t="shared" si="90"/>
        <v/>
      </c>
      <c r="V71" s="3" t="str">
        <f t="shared" si="90"/>
        <v/>
      </c>
      <c r="W71" s="3" t="str">
        <f t="shared" si="90"/>
        <v/>
      </c>
      <c r="X71" s="3" t="str">
        <f t="shared" si="90"/>
        <v/>
      </c>
      <c r="Y71" s="3" t="str">
        <f t="shared" si="90"/>
        <v>X</v>
      </c>
      <c r="Z71" s="3" t="str">
        <f t="shared" si="90"/>
        <v>X</v>
      </c>
      <c r="AA71" s="3" t="str">
        <f t="shared" si="90"/>
        <v/>
      </c>
      <c r="AB71" s="3" t="str">
        <f t="shared" si="90"/>
        <v/>
      </c>
      <c r="AC71" s="3" t="str">
        <f t="shared" ref="Q71:AF87" si="97">IF(AND($O71&gt;=AC$3,AC$3&gt;=$P71),"X","")</f>
        <v/>
      </c>
      <c r="AD71" s="3" t="str">
        <f t="shared" si="97"/>
        <v/>
      </c>
      <c r="AE71" s="3" t="str">
        <f t="shared" si="97"/>
        <v/>
      </c>
      <c r="AF71" s="3" t="str">
        <f t="shared" si="97"/>
        <v/>
      </c>
      <c r="AG71" s="3" t="str">
        <f t="shared" si="91"/>
        <v/>
      </c>
      <c r="AH71" s="3" t="str">
        <f t="shared" si="91"/>
        <v/>
      </c>
      <c r="AI71" s="3" t="str">
        <f t="shared" si="91"/>
        <v/>
      </c>
      <c r="AJ71" s="3" t="str">
        <f t="shared" si="91"/>
        <v/>
      </c>
      <c r="AK71" s="3" t="str">
        <f t="shared" si="91"/>
        <v/>
      </c>
      <c r="AL71" s="3" t="str">
        <f t="shared" si="91"/>
        <v/>
      </c>
      <c r="AM71" s="3" t="str">
        <f t="shared" si="91"/>
        <v/>
      </c>
      <c r="AN71" s="3" t="str">
        <f t="shared" si="91"/>
        <v/>
      </c>
      <c r="AO71" s="3" t="str">
        <f t="shared" si="91"/>
        <v/>
      </c>
      <c r="AP71" s="3" t="str">
        <f t="shared" si="91"/>
        <v/>
      </c>
      <c r="AQ71" s="3" t="str">
        <f t="shared" si="91"/>
        <v/>
      </c>
      <c r="AR71" s="3" t="str">
        <f t="shared" si="91"/>
        <v/>
      </c>
      <c r="AS71" s="3" t="str">
        <f t="shared" ref="AG71:AV87" si="98">IF(AND($O71&gt;=AS$3,AS$3&gt;=$P71),"X","")</f>
        <v/>
      </c>
      <c r="AT71" s="3" t="str">
        <f t="shared" si="98"/>
        <v/>
      </c>
      <c r="AU71" s="3" t="str">
        <f t="shared" si="98"/>
        <v/>
      </c>
      <c r="AV71" s="3" t="str">
        <f t="shared" si="98"/>
        <v/>
      </c>
      <c r="AW71" s="3" t="str">
        <f t="shared" si="92"/>
        <v/>
      </c>
      <c r="AX71" s="3" t="str">
        <f t="shared" si="93"/>
        <v>X</v>
      </c>
      <c r="AY71" s="3" t="str">
        <f t="shared" si="94"/>
        <v/>
      </c>
      <c r="AZ71" s="3" t="str">
        <f t="shared" si="95"/>
        <v/>
      </c>
      <c r="BA71" s="3" t="str">
        <f t="shared" si="61"/>
        <v/>
      </c>
      <c r="BB71" s="3">
        <f t="shared" si="62"/>
        <v>4097</v>
      </c>
      <c r="BC71" s="3" t="str">
        <f t="shared" si="63"/>
        <v/>
      </c>
      <c r="BD71" s="3" t="str">
        <f t="shared" si="64"/>
        <v/>
      </c>
      <c r="BE71" s="7" t="str">
        <f t="shared" si="65"/>
        <v/>
      </c>
      <c r="BF71" s="7" t="str">
        <f t="shared" si="66"/>
        <v>00001001</v>
      </c>
      <c r="BG71" s="7" t="str">
        <f t="shared" si="67"/>
        <v/>
      </c>
      <c r="BH71" s="7" t="str">
        <f t="shared" si="68"/>
        <v/>
      </c>
      <c r="BI71" s="3" t="str">
        <f t="shared" si="69"/>
        <v/>
      </c>
      <c r="BJ71" s="3" t="str">
        <f t="shared" si="70"/>
        <v>(7 downto 6)</v>
      </c>
      <c r="BK71" s="3" t="str">
        <f t="shared" si="71"/>
        <v/>
      </c>
      <c r="BL71" s="3" t="str">
        <f t="shared" si="72"/>
        <v/>
      </c>
      <c r="BM71" s="3" t="str">
        <f t="shared" si="73"/>
        <v/>
      </c>
      <c r="BN71" s="3">
        <f t="shared" si="74"/>
        <v>1</v>
      </c>
      <c r="BO71" s="3" t="str">
        <f t="shared" si="75"/>
        <v/>
      </c>
      <c r="BP71" s="3" t="str">
        <f t="shared" si="76"/>
        <v/>
      </c>
      <c r="BQ71" s="3" t="str">
        <f t="shared" si="77"/>
        <v/>
      </c>
      <c r="BR71" s="3" t="str">
        <f t="shared" si="78"/>
        <v/>
      </c>
      <c r="BS71" s="3" t="str">
        <f t="shared" si="79"/>
        <v/>
      </c>
      <c r="BT71" s="3" t="str">
        <f t="shared" si="80"/>
        <v/>
      </c>
    </row>
    <row r="72" spans="2:72" x14ac:dyDescent="0.25">
      <c r="B72" s="3" t="s">
        <v>304</v>
      </c>
      <c r="C72" s="3" t="s">
        <v>1719</v>
      </c>
      <c r="D72" s="3" t="s">
        <v>0</v>
      </c>
      <c r="E72" s="3" t="s">
        <v>115</v>
      </c>
      <c r="F72" s="3" t="s">
        <v>371</v>
      </c>
      <c r="G72" s="3" t="s">
        <v>438</v>
      </c>
      <c r="H72" s="18" t="s">
        <v>1721</v>
      </c>
      <c r="I72" s="3" t="s">
        <v>24</v>
      </c>
      <c r="J72" s="3">
        <v>12</v>
      </c>
      <c r="K72" s="3" t="s">
        <v>119</v>
      </c>
      <c r="L72" s="3" t="s">
        <v>23</v>
      </c>
      <c r="M72" s="3">
        <v>1024</v>
      </c>
      <c r="N72" s="3" t="str">
        <f t="shared" si="96"/>
        <v>00000400</v>
      </c>
      <c r="O72" s="3">
        <v>19</v>
      </c>
      <c r="P72" s="3">
        <v>8</v>
      </c>
      <c r="Q72" s="3" t="str">
        <f t="shared" si="97"/>
        <v/>
      </c>
      <c r="R72" s="3" t="str">
        <f t="shared" si="97"/>
        <v/>
      </c>
      <c r="S72" s="3" t="str">
        <f t="shared" si="97"/>
        <v/>
      </c>
      <c r="T72" s="3" t="str">
        <f t="shared" si="97"/>
        <v/>
      </c>
      <c r="U72" s="3" t="str">
        <f t="shared" si="97"/>
        <v/>
      </c>
      <c r="V72" s="3" t="str">
        <f t="shared" si="97"/>
        <v/>
      </c>
      <c r="W72" s="3" t="str">
        <f t="shared" si="97"/>
        <v/>
      </c>
      <c r="X72" s="3" t="str">
        <f t="shared" si="97"/>
        <v/>
      </c>
      <c r="Y72" s="3" t="str">
        <f t="shared" si="97"/>
        <v/>
      </c>
      <c r="Z72" s="3" t="str">
        <f t="shared" si="97"/>
        <v/>
      </c>
      <c r="AA72" s="3" t="str">
        <f t="shared" si="97"/>
        <v/>
      </c>
      <c r="AB72" s="3" t="str">
        <f t="shared" si="97"/>
        <v/>
      </c>
      <c r="AC72" s="3" t="str">
        <f t="shared" si="97"/>
        <v>X</v>
      </c>
      <c r="AD72" s="3" t="str">
        <f t="shared" si="97"/>
        <v>X</v>
      </c>
      <c r="AE72" s="3" t="str">
        <f t="shared" si="97"/>
        <v>X</v>
      </c>
      <c r="AF72" s="3" t="str">
        <f t="shared" si="97"/>
        <v>X</v>
      </c>
      <c r="AG72" s="3" t="str">
        <f t="shared" si="98"/>
        <v>X</v>
      </c>
      <c r="AH72" s="3" t="str">
        <f t="shared" si="98"/>
        <v>X</v>
      </c>
      <c r="AI72" s="3" t="str">
        <f t="shared" si="98"/>
        <v>X</v>
      </c>
      <c r="AJ72" s="3" t="str">
        <f t="shared" si="98"/>
        <v>X</v>
      </c>
      <c r="AK72" s="3" t="str">
        <f t="shared" si="98"/>
        <v>X</v>
      </c>
      <c r="AL72" s="3" t="str">
        <f t="shared" si="98"/>
        <v>X</v>
      </c>
      <c r="AM72" s="3" t="str">
        <f t="shared" si="98"/>
        <v>X</v>
      </c>
      <c r="AN72" s="3" t="str">
        <f t="shared" si="98"/>
        <v>X</v>
      </c>
      <c r="AO72" s="3" t="str">
        <f t="shared" si="98"/>
        <v/>
      </c>
      <c r="AP72" s="3" t="str">
        <f t="shared" si="98"/>
        <v/>
      </c>
      <c r="AQ72" s="3" t="str">
        <f t="shared" si="98"/>
        <v/>
      </c>
      <c r="AR72" s="3" t="str">
        <f t="shared" si="98"/>
        <v/>
      </c>
      <c r="AS72" s="3" t="str">
        <f t="shared" si="98"/>
        <v/>
      </c>
      <c r="AT72" s="3" t="str">
        <f t="shared" si="98"/>
        <v/>
      </c>
      <c r="AU72" s="3" t="str">
        <f t="shared" si="98"/>
        <v/>
      </c>
      <c r="AV72" s="3" t="str">
        <f t="shared" si="98"/>
        <v/>
      </c>
      <c r="AW72" s="3" t="str">
        <f t="shared" si="92"/>
        <v/>
      </c>
      <c r="AX72" s="3" t="str">
        <f t="shared" si="93"/>
        <v>X</v>
      </c>
      <c r="AY72" s="3" t="str">
        <f t="shared" si="94"/>
        <v>X</v>
      </c>
      <c r="AZ72" s="3" t="str">
        <f t="shared" si="95"/>
        <v/>
      </c>
      <c r="BA72" s="3" t="str">
        <f t="shared" ref="BA72:BA110" si="99">IF(AW72="","",$M72*4+BA$3)</f>
        <v/>
      </c>
      <c r="BB72" s="3">
        <f t="shared" ref="BB72:BB110" si="100">IF(AX72="","",$M72*4+BB$3)</f>
        <v>4097</v>
      </c>
      <c r="BC72" s="3">
        <f t="shared" ref="BC72:BC110" si="101">IF(AY72="","",$M72*4+BC$3)</f>
        <v>4098</v>
      </c>
      <c r="BD72" s="3" t="str">
        <f t="shared" ref="BD72:BD110" si="102">IF(AZ72="","",$M72*4+BD$3)</f>
        <v/>
      </c>
      <c r="BE72" s="7" t="str">
        <f t="shared" ref="BE72:BE110" si="103">IF(BA72="","",DEC2HEX(BA72,8))</f>
        <v/>
      </c>
      <c r="BF72" s="7" t="str">
        <f t="shared" ref="BF72:BF110" si="104">IF(BB72="","",DEC2HEX(BB72,8))</f>
        <v>00001001</v>
      </c>
      <c r="BG72" s="7" t="str">
        <f t="shared" ref="BG72:BG110" si="105">IF(BC72="","",DEC2HEX(BC72,8))</f>
        <v>00001002</v>
      </c>
      <c r="BH72" s="7" t="str">
        <f t="shared" ref="BH72:BH110" si="106">IF(BD72="","",DEC2HEX(BD72,8))</f>
        <v/>
      </c>
      <c r="BI72" s="3" t="str">
        <f t="shared" ref="BI72:BI110" si="107">IF(AW72="","",IF(COUNTIF($Q72:$X72,"X")=8,"",CONCATENATE("(",INDEX($Q$3:$X$3,MATCH("X",$Q72:$X72,0))-24,IF(COUNTIF($Q72:$X72,"X")=1,")",CONCATENATE(" downto ",INDEX($Q$3:$X$3,MATCH("X",$Q72:$X72,0)+COUNTIF($Q72:$X72,"X")-1)-24,")")))))</f>
        <v/>
      </c>
      <c r="BJ72" s="3" t="str">
        <f t="shared" ref="BJ72:BJ110" si="108">IF(AX72="","",IF(COUNTIF($Y72:$AF72,"X")=8,"",CONCATENATE("(",INDEX($Y$3:$AF$3,MATCH("X",$Y72:$AF72,0))-16,IF(COUNTIF($Y72:$AF72,"X")=1,")",CONCATENATE(" downto ",INDEX($Y$3:$AF$3,MATCH("X",$Y72:$AF72,0)+COUNTIF($Y72:$AF72,"X")-1)-16,")")))))</f>
        <v>(3 downto 0)</v>
      </c>
      <c r="BK72" s="3" t="str">
        <f t="shared" ref="BK72:BK110" si="109">IF(AY72="","",IF(COUNTIF($AG72:$AN72,"X")=8,"",CONCATENATE("(",INDEX($AG$3:$AN$3,MATCH("X",$AG72:$AN72,0))-8,IF(COUNTIF($AG72:$AN72,"X")=1,")",CONCATENATE(" downto ",INDEX($AG$3:$AN$3,MATCH("X",$AG72:$AN72,0)+COUNTIF($AG72:$AN72,"X")-1)-8,")")))))</f>
        <v/>
      </c>
      <c r="BL72" s="3" t="str">
        <f t="shared" ref="BL72:BL110" si="110">IF(AZ72="","",IF(COUNTIF($AO72:$AV72,"X")=8,"",CONCATENATE("(",INDEX($AO$3:$AV$3,MATCH("X",$AO72:$AV72,0)),IF(COUNTIF($AO72:$AV72,"X")=1,")",CONCATENATE(" downto ",INDEX($AO$3:$AV$3,MATCH("X",$AO72:$AV72,0)+COUNTIF($AO72:$AV72,"X")-1),")")))))</f>
        <v/>
      </c>
      <c r="BM72" s="3" t="str">
        <f t="shared" ref="BM72:BM110" si="111">IF(AW72="","",$J72-1)</f>
        <v/>
      </c>
      <c r="BN72" s="3">
        <f t="shared" ref="BN72:BN110" si="112">IF(AX72="","",IF(BM72="",$J72-1,BM72-COUNTIF($Q72:$X72,"X")))</f>
        <v>11</v>
      </c>
      <c r="BO72" s="3">
        <f t="shared" ref="BO72:BO110" si="113">IF(AY72="","",IF(BN72="",$J72-1,BN72-COUNTIF($Y72:$AF72,"X")))</f>
        <v>7</v>
      </c>
      <c r="BP72" s="3" t="str">
        <f t="shared" ref="BP72:BP110" si="114">IF(AZ72="","",IF(BO72="",$J72-1,BO72-COUNTIF($AG72:$AN72,"X")))</f>
        <v/>
      </c>
      <c r="BQ72" s="3" t="str">
        <f t="shared" ref="BQ72:BQ110" si="115">IF(AW72="","",IF((4-COUNTIF($BM72:$BP72,""))=1,"",CONCATENATE("(",BM72,IF(COUNTIF($Q72:$X72,"X")=1,"",CONCATENATE(" downto ",BM72-COUNTIF($Q72:$X72,"X")+1)),")")))</f>
        <v/>
      </c>
      <c r="BR72" s="3" t="str">
        <f t="shared" ref="BR72:BR110" si="116">IF(AX72="","",IF((4-COUNTIF($BM72:$BP72,""))=1,"",CONCATENATE("(",BN72,IF(COUNTIF($Y72:$AF72,"X")=1,"",CONCATENATE(" downto ",BN72-COUNTIF($Y72:$AF72,"X")+1)),")")))</f>
        <v>(11 downto 8)</v>
      </c>
      <c r="BS72" s="3" t="str">
        <f t="shared" ref="BS72:BS110" si="117">IF(AY72="","",IF((4-COUNTIF($BM72:$BP72,""))=1,"",CONCATENATE("(",BO72,IF(COUNTIF($AG72:$AN72,"X")=1,"",CONCATENATE(" downto ",BO72-COUNTIF($AG72:$AN72,"X")+1)),")")))</f>
        <v>(7 downto 0)</v>
      </c>
      <c r="BT72" s="3" t="str">
        <f t="shared" ref="BT72:BT110" si="118">IF(AZ72="","",IF((4-COUNTIF($BM72:$BP72,""))=1,"",CONCATENATE("(",BP72,IF(COUNTIF($AO72:$AV72,"X") = 1,"",CONCATENATE(" downto ",BP72-COUNTIF($AO72:$AV72,"X")+1)),")")))</f>
        <v/>
      </c>
    </row>
    <row r="73" spans="2:72" x14ac:dyDescent="0.25">
      <c r="B73" s="3" t="s">
        <v>305</v>
      </c>
      <c r="C73" s="3" t="s">
        <v>266</v>
      </c>
      <c r="D73" s="3" t="s">
        <v>0</v>
      </c>
      <c r="E73" s="3" t="s">
        <v>115</v>
      </c>
      <c r="F73" s="3" t="s">
        <v>372</v>
      </c>
      <c r="G73" s="3" t="s">
        <v>439</v>
      </c>
      <c r="H73" s="18" t="s">
        <v>267</v>
      </c>
      <c r="I73" s="3" t="s">
        <v>24</v>
      </c>
      <c r="J73" s="3">
        <v>32</v>
      </c>
      <c r="K73" s="3" t="s">
        <v>119</v>
      </c>
      <c r="L73" s="3" t="s">
        <v>23</v>
      </c>
      <c r="M73" s="3">
        <v>1026</v>
      </c>
      <c r="N73" s="3" t="str">
        <f t="shared" si="96"/>
        <v>00000402</v>
      </c>
      <c r="O73" s="3">
        <v>31</v>
      </c>
      <c r="P73" s="3">
        <v>0</v>
      </c>
      <c r="Q73" s="3" t="str">
        <f t="shared" si="97"/>
        <v>X</v>
      </c>
      <c r="R73" s="3" t="str">
        <f t="shared" si="97"/>
        <v>X</v>
      </c>
      <c r="S73" s="3" t="str">
        <f t="shared" si="97"/>
        <v>X</v>
      </c>
      <c r="T73" s="3" t="str">
        <f t="shared" si="97"/>
        <v>X</v>
      </c>
      <c r="U73" s="3" t="str">
        <f t="shared" si="97"/>
        <v>X</v>
      </c>
      <c r="V73" s="3" t="str">
        <f t="shared" si="97"/>
        <v>X</v>
      </c>
      <c r="W73" s="3" t="str">
        <f t="shared" si="97"/>
        <v>X</v>
      </c>
      <c r="X73" s="3" t="str">
        <f t="shared" si="97"/>
        <v>X</v>
      </c>
      <c r="Y73" s="3" t="str">
        <f t="shared" si="97"/>
        <v>X</v>
      </c>
      <c r="Z73" s="3" t="str">
        <f t="shared" si="97"/>
        <v>X</v>
      </c>
      <c r="AA73" s="3" t="str">
        <f t="shared" si="97"/>
        <v>X</v>
      </c>
      <c r="AB73" s="3" t="str">
        <f t="shared" si="97"/>
        <v>X</v>
      </c>
      <c r="AC73" s="3" t="str">
        <f t="shared" si="97"/>
        <v>X</v>
      </c>
      <c r="AD73" s="3" t="str">
        <f t="shared" si="97"/>
        <v>X</v>
      </c>
      <c r="AE73" s="3" t="str">
        <f t="shared" si="97"/>
        <v>X</v>
      </c>
      <c r="AF73" s="3" t="str">
        <f t="shared" si="97"/>
        <v>X</v>
      </c>
      <c r="AG73" s="3" t="str">
        <f t="shared" si="98"/>
        <v>X</v>
      </c>
      <c r="AH73" s="3" t="str">
        <f t="shared" si="98"/>
        <v>X</v>
      </c>
      <c r="AI73" s="3" t="str">
        <f t="shared" si="98"/>
        <v>X</v>
      </c>
      <c r="AJ73" s="3" t="str">
        <f t="shared" si="98"/>
        <v>X</v>
      </c>
      <c r="AK73" s="3" t="str">
        <f t="shared" si="98"/>
        <v>X</v>
      </c>
      <c r="AL73" s="3" t="str">
        <f t="shared" si="98"/>
        <v>X</v>
      </c>
      <c r="AM73" s="3" t="str">
        <f t="shared" si="98"/>
        <v>X</v>
      </c>
      <c r="AN73" s="3" t="str">
        <f t="shared" si="98"/>
        <v>X</v>
      </c>
      <c r="AO73" s="3" t="str">
        <f t="shared" si="98"/>
        <v>X</v>
      </c>
      <c r="AP73" s="3" t="str">
        <f t="shared" si="98"/>
        <v>X</v>
      </c>
      <c r="AQ73" s="3" t="str">
        <f t="shared" si="98"/>
        <v>X</v>
      </c>
      <c r="AR73" s="3" t="str">
        <f t="shared" si="98"/>
        <v>X</v>
      </c>
      <c r="AS73" s="3" t="str">
        <f t="shared" si="98"/>
        <v>X</v>
      </c>
      <c r="AT73" s="3" t="str">
        <f t="shared" si="98"/>
        <v>X</v>
      </c>
      <c r="AU73" s="3" t="str">
        <f t="shared" si="98"/>
        <v>X</v>
      </c>
      <c r="AV73" s="3" t="str">
        <f t="shared" si="98"/>
        <v>X</v>
      </c>
      <c r="AW73" s="3" t="str">
        <f t="shared" si="92"/>
        <v>X</v>
      </c>
      <c r="AX73" s="3" t="str">
        <f t="shared" si="93"/>
        <v>X</v>
      </c>
      <c r="AY73" s="3" t="str">
        <f t="shared" si="94"/>
        <v>X</v>
      </c>
      <c r="AZ73" s="3" t="str">
        <f t="shared" si="95"/>
        <v>X</v>
      </c>
      <c r="BA73" s="3">
        <f t="shared" si="99"/>
        <v>4104</v>
      </c>
      <c r="BB73" s="3">
        <f t="shared" si="100"/>
        <v>4105</v>
      </c>
      <c r="BC73" s="3">
        <f t="shared" si="101"/>
        <v>4106</v>
      </c>
      <c r="BD73" s="3">
        <f t="shared" si="102"/>
        <v>4107</v>
      </c>
      <c r="BE73" s="7" t="str">
        <f t="shared" si="103"/>
        <v>00001008</v>
      </c>
      <c r="BF73" s="7" t="str">
        <f t="shared" si="104"/>
        <v>00001009</v>
      </c>
      <c r="BG73" s="7" t="str">
        <f t="shared" si="105"/>
        <v>0000100A</v>
      </c>
      <c r="BH73" s="7" t="str">
        <f t="shared" si="106"/>
        <v>0000100B</v>
      </c>
      <c r="BI73" s="3" t="str">
        <f t="shared" si="107"/>
        <v/>
      </c>
      <c r="BJ73" s="3" t="str">
        <f t="shared" si="108"/>
        <v/>
      </c>
      <c r="BK73" s="3" t="str">
        <f t="shared" si="109"/>
        <v/>
      </c>
      <c r="BL73" s="3" t="str">
        <f t="shared" si="110"/>
        <v/>
      </c>
      <c r="BM73" s="3">
        <f t="shared" si="111"/>
        <v>31</v>
      </c>
      <c r="BN73" s="3">
        <f t="shared" si="112"/>
        <v>23</v>
      </c>
      <c r="BO73" s="3">
        <f t="shared" si="113"/>
        <v>15</v>
      </c>
      <c r="BP73" s="3">
        <f t="shared" si="114"/>
        <v>7</v>
      </c>
      <c r="BQ73" s="3" t="str">
        <f t="shared" si="115"/>
        <v>(31 downto 24)</v>
      </c>
      <c r="BR73" s="3" t="str">
        <f t="shared" si="116"/>
        <v>(23 downto 16)</v>
      </c>
      <c r="BS73" s="3" t="str">
        <f t="shared" si="117"/>
        <v>(15 downto 8)</v>
      </c>
      <c r="BT73" s="3" t="str">
        <f t="shared" si="118"/>
        <v>(7 downto 0)</v>
      </c>
    </row>
    <row r="74" spans="2:72" x14ac:dyDescent="0.25">
      <c r="B74" s="3" t="s">
        <v>306</v>
      </c>
      <c r="C74" s="3" t="s">
        <v>268</v>
      </c>
      <c r="D74" s="3" t="s">
        <v>0</v>
      </c>
      <c r="E74" s="3" t="s">
        <v>115</v>
      </c>
      <c r="F74" s="3" t="s">
        <v>373</v>
      </c>
      <c r="G74" s="3" t="s">
        <v>440</v>
      </c>
      <c r="H74" s="18" t="s">
        <v>269</v>
      </c>
      <c r="I74" s="3" t="s">
        <v>24</v>
      </c>
      <c r="J74" s="3">
        <v>32</v>
      </c>
      <c r="K74" s="3" t="s">
        <v>119</v>
      </c>
      <c r="L74" s="3" t="s">
        <v>23</v>
      </c>
      <c r="M74" s="3">
        <v>1027</v>
      </c>
      <c r="N74" s="3" t="str">
        <f t="shared" si="96"/>
        <v>00000403</v>
      </c>
      <c r="O74" s="3">
        <v>31</v>
      </c>
      <c r="P74" s="3">
        <v>0</v>
      </c>
      <c r="Q74" s="3" t="str">
        <f t="shared" si="97"/>
        <v>X</v>
      </c>
      <c r="R74" s="3" t="str">
        <f t="shared" si="97"/>
        <v>X</v>
      </c>
      <c r="S74" s="3" t="str">
        <f t="shared" si="97"/>
        <v>X</v>
      </c>
      <c r="T74" s="3" t="str">
        <f t="shared" si="97"/>
        <v>X</v>
      </c>
      <c r="U74" s="3" t="str">
        <f t="shared" si="97"/>
        <v>X</v>
      </c>
      <c r="V74" s="3" t="str">
        <f t="shared" si="97"/>
        <v>X</v>
      </c>
      <c r="W74" s="3" t="str">
        <f t="shared" si="97"/>
        <v>X</v>
      </c>
      <c r="X74" s="3" t="str">
        <f t="shared" si="97"/>
        <v>X</v>
      </c>
      <c r="Y74" s="3" t="str">
        <f t="shared" si="97"/>
        <v>X</v>
      </c>
      <c r="Z74" s="3" t="str">
        <f t="shared" si="97"/>
        <v>X</v>
      </c>
      <c r="AA74" s="3" t="str">
        <f t="shared" si="97"/>
        <v>X</v>
      </c>
      <c r="AB74" s="3" t="str">
        <f t="shared" si="97"/>
        <v>X</v>
      </c>
      <c r="AC74" s="3" t="str">
        <f t="shared" si="97"/>
        <v>X</v>
      </c>
      <c r="AD74" s="3" t="str">
        <f t="shared" si="97"/>
        <v>X</v>
      </c>
      <c r="AE74" s="3" t="str">
        <f t="shared" si="97"/>
        <v>X</v>
      </c>
      <c r="AF74" s="3" t="str">
        <f t="shared" si="97"/>
        <v>X</v>
      </c>
      <c r="AG74" s="3" t="str">
        <f t="shared" si="98"/>
        <v>X</v>
      </c>
      <c r="AH74" s="3" t="str">
        <f t="shared" si="98"/>
        <v>X</v>
      </c>
      <c r="AI74" s="3" t="str">
        <f t="shared" si="98"/>
        <v>X</v>
      </c>
      <c r="AJ74" s="3" t="str">
        <f t="shared" si="98"/>
        <v>X</v>
      </c>
      <c r="AK74" s="3" t="str">
        <f t="shared" si="98"/>
        <v>X</v>
      </c>
      <c r="AL74" s="3" t="str">
        <f t="shared" si="98"/>
        <v>X</v>
      </c>
      <c r="AM74" s="3" t="str">
        <f t="shared" si="98"/>
        <v>X</v>
      </c>
      <c r="AN74" s="3" t="str">
        <f t="shared" si="98"/>
        <v>X</v>
      </c>
      <c r="AO74" s="3" t="str">
        <f t="shared" si="98"/>
        <v>X</v>
      </c>
      <c r="AP74" s="3" t="str">
        <f t="shared" si="98"/>
        <v>X</v>
      </c>
      <c r="AQ74" s="3" t="str">
        <f t="shared" si="98"/>
        <v>X</v>
      </c>
      <c r="AR74" s="3" t="str">
        <f t="shared" si="98"/>
        <v>X</v>
      </c>
      <c r="AS74" s="3" t="str">
        <f t="shared" si="98"/>
        <v>X</v>
      </c>
      <c r="AT74" s="3" t="str">
        <f t="shared" si="98"/>
        <v>X</v>
      </c>
      <c r="AU74" s="3" t="str">
        <f t="shared" si="98"/>
        <v>X</v>
      </c>
      <c r="AV74" s="3" t="str">
        <f t="shared" si="98"/>
        <v>X</v>
      </c>
      <c r="AW74" s="3" t="str">
        <f t="shared" si="92"/>
        <v>X</v>
      </c>
      <c r="AX74" s="3" t="str">
        <f t="shared" si="93"/>
        <v>X</v>
      </c>
      <c r="AY74" s="3" t="str">
        <f t="shared" si="94"/>
        <v>X</v>
      </c>
      <c r="AZ74" s="3" t="str">
        <f t="shared" si="95"/>
        <v>X</v>
      </c>
      <c r="BA74" s="3">
        <f t="shared" si="99"/>
        <v>4108</v>
      </c>
      <c r="BB74" s="3">
        <f t="shared" si="100"/>
        <v>4109</v>
      </c>
      <c r="BC74" s="3">
        <f t="shared" si="101"/>
        <v>4110</v>
      </c>
      <c r="BD74" s="3">
        <f t="shared" si="102"/>
        <v>4111</v>
      </c>
      <c r="BE74" s="7" t="str">
        <f t="shared" si="103"/>
        <v>0000100C</v>
      </c>
      <c r="BF74" s="7" t="str">
        <f t="shared" si="104"/>
        <v>0000100D</v>
      </c>
      <c r="BG74" s="7" t="str">
        <f t="shared" si="105"/>
        <v>0000100E</v>
      </c>
      <c r="BH74" s="7" t="str">
        <f t="shared" si="106"/>
        <v>0000100F</v>
      </c>
      <c r="BI74" s="3" t="str">
        <f t="shared" si="107"/>
        <v/>
      </c>
      <c r="BJ74" s="3" t="str">
        <f t="shared" si="108"/>
        <v/>
      </c>
      <c r="BK74" s="3" t="str">
        <f t="shared" si="109"/>
        <v/>
      </c>
      <c r="BL74" s="3" t="str">
        <f t="shared" si="110"/>
        <v/>
      </c>
      <c r="BM74" s="3">
        <f t="shared" si="111"/>
        <v>31</v>
      </c>
      <c r="BN74" s="3">
        <f t="shared" si="112"/>
        <v>23</v>
      </c>
      <c r="BO74" s="3">
        <f t="shared" si="113"/>
        <v>15</v>
      </c>
      <c r="BP74" s="3">
        <f t="shared" si="114"/>
        <v>7</v>
      </c>
      <c r="BQ74" s="3" t="str">
        <f t="shared" si="115"/>
        <v>(31 downto 24)</v>
      </c>
      <c r="BR74" s="3" t="str">
        <f t="shared" si="116"/>
        <v>(23 downto 16)</v>
      </c>
      <c r="BS74" s="3" t="str">
        <f t="shared" si="117"/>
        <v>(15 downto 8)</v>
      </c>
      <c r="BT74" s="3" t="str">
        <f t="shared" si="118"/>
        <v>(7 downto 0)</v>
      </c>
    </row>
    <row r="75" spans="2:72" x14ac:dyDescent="0.25">
      <c r="B75" s="3" t="s">
        <v>307</v>
      </c>
      <c r="C75" s="3" t="s">
        <v>1722</v>
      </c>
      <c r="D75" s="3" t="s">
        <v>0</v>
      </c>
      <c r="E75" s="3" t="s">
        <v>115</v>
      </c>
      <c r="F75" s="3" t="s">
        <v>374</v>
      </c>
      <c r="G75" s="3" t="s">
        <v>441</v>
      </c>
      <c r="H75" s="18" t="s">
        <v>1694</v>
      </c>
      <c r="I75" s="3" t="s">
        <v>24</v>
      </c>
      <c r="J75" s="3">
        <v>32</v>
      </c>
      <c r="K75" s="3" t="s">
        <v>119</v>
      </c>
      <c r="L75" s="3" t="s">
        <v>23</v>
      </c>
      <c r="M75" s="3">
        <v>1028</v>
      </c>
      <c r="N75" s="3" t="str">
        <f t="shared" si="96"/>
        <v>00000404</v>
      </c>
      <c r="O75" s="3">
        <v>31</v>
      </c>
      <c r="P75" s="3">
        <v>0</v>
      </c>
      <c r="Q75" s="3" t="str">
        <f t="shared" si="97"/>
        <v>X</v>
      </c>
      <c r="R75" s="3" t="str">
        <f t="shared" si="97"/>
        <v>X</v>
      </c>
      <c r="S75" s="3" t="str">
        <f t="shared" si="97"/>
        <v>X</v>
      </c>
      <c r="T75" s="3" t="str">
        <f t="shared" si="97"/>
        <v>X</v>
      </c>
      <c r="U75" s="3" t="str">
        <f t="shared" si="97"/>
        <v>X</v>
      </c>
      <c r="V75" s="3" t="str">
        <f t="shared" si="97"/>
        <v>X</v>
      </c>
      <c r="W75" s="3" t="str">
        <f t="shared" si="97"/>
        <v>X</v>
      </c>
      <c r="X75" s="3" t="str">
        <f t="shared" si="97"/>
        <v>X</v>
      </c>
      <c r="Y75" s="3" t="str">
        <f t="shared" si="97"/>
        <v>X</v>
      </c>
      <c r="Z75" s="3" t="str">
        <f t="shared" si="97"/>
        <v>X</v>
      </c>
      <c r="AA75" s="3" t="str">
        <f t="shared" si="97"/>
        <v>X</v>
      </c>
      <c r="AB75" s="3" t="str">
        <f t="shared" si="97"/>
        <v>X</v>
      </c>
      <c r="AC75" s="3" t="str">
        <f t="shared" si="97"/>
        <v>X</v>
      </c>
      <c r="AD75" s="3" t="str">
        <f t="shared" si="97"/>
        <v>X</v>
      </c>
      <c r="AE75" s="3" t="str">
        <f t="shared" si="97"/>
        <v>X</v>
      </c>
      <c r="AF75" s="3" t="str">
        <f t="shared" si="97"/>
        <v>X</v>
      </c>
      <c r="AG75" s="3" t="str">
        <f t="shared" si="98"/>
        <v>X</v>
      </c>
      <c r="AH75" s="3" t="str">
        <f t="shared" si="98"/>
        <v>X</v>
      </c>
      <c r="AI75" s="3" t="str">
        <f t="shared" si="98"/>
        <v>X</v>
      </c>
      <c r="AJ75" s="3" t="str">
        <f t="shared" si="98"/>
        <v>X</v>
      </c>
      <c r="AK75" s="3" t="str">
        <f t="shared" si="98"/>
        <v>X</v>
      </c>
      <c r="AL75" s="3" t="str">
        <f t="shared" si="98"/>
        <v>X</v>
      </c>
      <c r="AM75" s="3" t="str">
        <f t="shared" si="98"/>
        <v>X</v>
      </c>
      <c r="AN75" s="3" t="str">
        <f t="shared" si="98"/>
        <v>X</v>
      </c>
      <c r="AO75" s="3" t="str">
        <f t="shared" si="98"/>
        <v>X</v>
      </c>
      <c r="AP75" s="3" t="str">
        <f t="shared" si="98"/>
        <v>X</v>
      </c>
      <c r="AQ75" s="3" t="str">
        <f t="shared" si="98"/>
        <v>X</v>
      </c>
      <c r="AR75" s="3" t="str">
        <f t="shared" si="98"/>
        <v>X</v>
      </c>
      <c r="AS75" s="3" t="str">
        <f t="shared" si="98"/>
        <v>X</v>
      </c>
      <c r="AT75" s="3" t="str">
        <f t="shared" si="98"/>
        <v>X</v>
      </c>
      <c r="AU75" s="3" t="str">
        <f t="shared" si="98"/>
        <v>X</v>
      </c>
      <c r="AV75" s="3" t="str">
        <f t="shared" si="98"/>
        <v>X</v>
      </c>
      <c r="AW75" s="3" t="str">
        <f t="shared" si="92"/>
        <v>X</v>
      </c>
      <c r="AX75" s="3" t="str">
        <f t="shared" si="93"/>
        <v>X</v>
      </c>
      <c r="AY75" s="3" t="str">
        <f t="shared" si="94"/>
        <v>X</v>
      </c>
      <c r="AZ75" s="3" t="str">
        <f t="shared" si="95"/>
        <v>X</v>
      </c>
      <c r="BA75" s="3">
        <f t="shared" si="99"/>
        <v>4112</v>
      </c>
      <c r="BB75" s="3">
        <f t="shared" si="100"/>
        <v>4113</v>
      </c>
      <c r="BC75" s="3">
        <f t="shared" si="101"/>
        <v>4114</v>
      </c>
      <c r="BD75" s="3">
        <f t="shared" si="102"/>
        <v>4115</v>
      </c>
      <c r="BE75" s="7" t="str">
        <f t="shared" si="103"/>
        <v>00001010</v>
      </c>
      <c r="BF75" s="7" t="str">
        <f t="shared" si="104"/>
        <v>00001011</v>
      </c>
      <c r="BG75" s="7" t="str">
        <f t="shared" si="105"/>
        <v>00001012</v>
      </c>
      <c r="BH75" s="7" t="str">
        <f t="shared" si="106"/>
        <v>00001013</v>
      </c>
      <c r="BI75" s="3" t="str">
        <f t="shared" si="107"/>
        <v/>
      </c>
      <c r="BJ75" s="3" t="str">
        <f t="shared" si="108"/>
        <v/>
      </c>
      <c r="BK75" s="3" t="str">
        <f t="shared" si="109"/>
        <v/>
      </c>
      <c r="BL75" s="3" t="str">
        <f t="shared" si="110"/>
        <v/>
      </c>
      <c r="BM75" s="3">
        <f t="shared" si="111"/>
        <v>31</v>
      </c>
      <c r="BN75" s="3">
        <f t="shared" si="112"/>
        <v>23</v>
      </c>
      <c r="BO75" s="3">
        <f t="shared" si="113"/>
        <v>15</v>
      </c>
      <c r="BP75" s="3">
        <f t="shared" si="114"/>
        <v>7</v>
      </c>
      <c r="BQ75" s="3" t="str">
        <f t="shared" si="115"/>
        <v>(31 downto 24)</v>
      </c>
      <c r="BR75" s="3" t="str">
        <f t="shared" si="116"/>
        <v>(23 downto 16)</v>
      </c>
      <c r="BS75" s="3" t="str">
        <f t="shared" si="117"/>
        <v>(15 downto 8)</v>
      </c>
      <c r="BT75" s="3" t="str">
        <f t="shared" si="118"/>
        <v>(7 downto 0)</v>
      </c>
    </row>
    <row r="76" spans="2:72" x14ac:dyDescent="0.25">
      <c r="B76" s="3" t="s">
        <v>308</v>
      </c>
      <c r="C76" s="3" t="s">
        <v>1723</v>
      </c>
      <c r="D76" s="3" t="s">
        <v>0</v>
      </c>
      <c r="E76" s="3" t="s">
        <v>115</v>
      </c>
      <c r="F76" s="3" t="s">
        <v>375</v>
      </c>
      <c r="G76" s="3" t="s">
        <v>442</v>
      </c>
      <c r="H76" s="18" t="s">
        <v>1694</v>
      </c>
      <c r="I76" s="3" t="s">
        <v>24</v>
      </c>
      <c r="J76" s="3">
        <v>32</v>
      </c>
      <c r="K76" s="3" t="s">
        <v>119</v>
      </c>
      <c r="L76" s="3" t="s">
        <v>23</v>
      </c>
      <c r="M76" s="3">
        <v>1029</v>
      </c>
      <c r="N76" s="3" t="str">
        <f t="shared" si="96"/>
        <v>00000405</v>
      </c>
      <c r="O76" s="3">
        <v>31</v>
      </c>
      <c r="P76" s="3">
        <v>0</v>
      </c>
      <c r="Q76" s="3" t="str">
        <f t="shared" si="97"/>
        <v>X</v>
      </c>
      <c r="R76" s="3" t="str">
        <f t="shared" si="97"/>
        <v>X</v>
      </c>
      <c r="S76" s="3" t="str">
        <f t="shared" si="97"/>
        <v>X</v>
      </c>
      <c r="T76" s="3" t="str">
        <f t="shared" si="97"/>
        <v>X</v>
      </c>
      <c r="U76" s="3" t="str">
        <f t="shared" si="97"/>
        <v>X</v>
      </c>
      <c r="V76" s="3" t="str">
        <f t="shared" si="97"/>
        <v>X</v>
      </c>
      <c r="W76" s="3" t="str">
        <f t="shared" si="97"/>
        <v>X</v>
      </c>
      <c r="X76" s="3" t="str">
        <f t="shared" si="97"/>
        <v>X</v>
      </c>
      <c r="Y76" s="3" t="str">
        <f t="shared" si="97"/>
        <v>X</v>
      </c>
      <c r="Z76" s="3" t="str">
        <f t="shared" si="97"/>
        <v>X</v>
      </c>
      <c r="AA76" s="3" t="str">
        <f t="shared" si="97"/>
        <v>X</v>
      </c>
      <c r="AB76" s="3" t="str">
        <f t="shared" si="97"/>
        <v>X</v>
      </c>
      <c r="AC76" s="3" t="str">
        <f t="shared" si="97"/>
        <v>X</v>
      </c>
      <c r="AD76" s="3" t="str">
        <f t="shared" si="97"/>
        <v>X</v>
      </c>
      <c r="AE76" s="3" t="str">
        <f t="shared" si="97"/>
        <v>X</v>
      </c>
      <c r="AF76" s="3" t="str">
        <f t="shared" si="97"/>
        <v>X</v>
      </c>
      <c r="AG76" s="3" t="str">
        <f t="shared" si="98"/>
        <v>X</v>
      </c>
      <c r="AH76" s="3" t="str">
        <f t="shared" si="98"/>
        <v>X</v>
      </c>
      <c r="AI76" s="3" t="str">
        <f t="shared" si="98"/>
        <v>X</v>
      </c>
      <c r="AJ76" s="3" t="str">
        <f t="shared" si="98"/>
        <v>X</v>
      </c>
      <c r="AK76" s="3" t="str">
        <f t="shared" si="98"/>
        <v>X</v>
      </c>
      <c r="AL76" s="3" t="str">
        <f t="shared" si="98"/>
        <v>X</v>
      </c>
      <c r="AM76" s="3" t="str">
        <f t="shared" si="98"/>
        <v>X</v>
      </c>
      <c r="AN76" s="3" t="str">
        <f t="shared" si="98"/>
        <v>X</v>
      </c>
      <c r="AO76" s="3" t="str">
        <f t="shared" si="98"/>
        <v>X</v>
      </c>
      <c r="AP76" s="3" t="str">
        <f t="shared" si="98"/>
        <v>X</v>
      </c>
      <c r="AQ76" s="3" t="str">
        <f t="shared" si="98"/>
        <v>X</v>
      </c>
      <c r="AR76" s="3" t="str">
        <f t="shared" si="98"/>
        <v>X</v>
      </c>
      <c r="AS76" s="3" t="str">
        <f t="shared" si="98"/>
        <v>X</v>
      </c>
      <c r="AT76" s="3" t="str">
        <f t="shared" si="98"/>
        <v>X</v>
      </c>
      <c r="AU76" s="3" t="str">
        <f t="shared" si="98"/>
        <v>X</v>
      </c>
      <c r="AV76" s="3" t="str">
        <f t="shared" si="98"/>
        <v>X</v>
      </c>
      <c r="AW76" s="3" t="str">
        <f t="shared" si="92"/>
        <v>X</v>
      </c>
      <c r="AX76" s="3" t="str">
        <f t="shared" si="93"/>
        <v>X</v>
      </c>
      <c r="AY76" s="3" t="str">
        <f t="shared" si="94"/>
        <v>X</v>
      </c>
      <c r="AZ76" s="3" t="str">
        <f t="shared" si="95"/>
        <v>X</v>
      </c>
      <c r="BA76" s="3">
        <f t="shared" si="99"/>
        <v>4116</v>
      </c>
      <c r="BB76" s="3">
        <f t="shared" si="100"/>
        <v>4117</v>
      </c>
      <c r="BC76" s="3">
        <f t="shared" si="101"/>
        <v>4118</v>
      </c>
      <c r="BD76" s="3">
        <f t="shared" si="102"/>
        <v>4119</v>
      </c>
      <c r="BE76" s="7" t="str">
        <f t="shared" si="103"/>
        <v>00001014</v>
      </c>
      <c r="BF76" s="7" t="str">
        <f t="shared" si="104"/>
        <v>00001015</v>
      </c>
      <c r="BG76" s="7" t="str">
        <f t="shared" si="105"/>
        <v>00001016</v>
      </c>
      <c r="BH76" s="7" t="str">
        <f t="shared" si="106"/>
        <v>00001017</v>
      </c>
      <c r="BI76" s="3" t="str">
        <f t="shared" si="107"/>
        <v/>
      </c>
      <c r="BJ76" s="3" t="str">
        <f t="shared" si="108"/>
        <v/>
      </c>
      <c r="BK76" s="3" t="str">
        <f t="shared" si="109"/>
        <v/>
      </c>
      <c r="BL76" s="3" t="str">
        <f t="shared" si="110"/>
        <v/>
      </c>
      <c r="BM76" s="3">
        <f t="shared" si="111"/>
        <v>31</v>
      </c>
      <c r="BN76" s="3">
        <f t="shared" si="112"/>
        <v>23</v>
      </c>
      <c r="BO76" s="3">
        <f t="shared" si="113"/>
        <v>15</v>
      </c>
      <c r="BP76" s="3">
        <f t="shared" si="114"/>
        <v>7</v>
      </c>
      <c r="BQ76" s="3" t="str">
        <f t="shared" si="115"/>
        <v>(31 downto 24)</v>
      </c>
      <c r="BR76" s="3" t="str">
        <f t="shared" si="116"/>
        <v>(23 downto 16)</v>
      </c>
      <c r="BS76" s="3" t="str">
        <f t="shared" si="117"/>
        <v>(15 downto 8)</v>
      </c>
      <c r="BT76" s="3" t="str">
        <f t="shared" si="118"/>
        <v>(7 downto 0)</v>
      </c>
    </row>
    <row r="77" spans="2:72" x14ac:dyDescent="0.25">
      <c r="B77" s="3" t="s">
        <v>309</v>
      </c>
      <c r="C77" s="3" t="s">
        <v>1724</v>
      </c>
      <c r="D77" s="3" t="s">
        <v>0</v>
      </c>
      <c r="E77" s="3" t="s">
        <v>115</v>
      </c>
      <c r="F77" s="3" t="s">
        <v>376</v>
      </c>
      <c r="G77" s="3" t="s">
        <v>443</v>
      </c>
      <c r="H77" s="18" t="s">
        <v>1694</v>
      </c>
      <c r="I77" s="3" t="s">
        <v>24</v>
      </c>
      <c r="J77" s="3">
        <v>32</v>
      </c>
      <c r="K77" s="3" t="s">
        <v>119</v>
      </c>
      <c r="L77" s="3" t="s">
        <v>23</v>
      </c>
      <c r="M77" s="3">
        <v>1030</v>
      </c>
      <c r="N77" s="3" t="str">
        <f t="shared" si="96"/>
        <v>00000406</v>
      </c>
      <c r="O77" s="3">
        <v>31</v>
      </c>
      <c r="P77" s="3">
        <v>0</v>
      </c>
      <c r="Q77" s="3" t="str">
        <f t="shared" si="97"/>
        <v>X</v>
      </c>
      <c r="R77" s="3" t="str">
        <f t="shared" si="97"/>
        <v>X</v>
      </c>
      <c r="S77" s="3" t="str">
        <f t="shared" si="97"/>
        <v>X</v>
      </c>
      <c r="T77" s="3" t="str">
        <f t="shared" si="97"/>
        <v>X</v>
      </c>
      <c r="U77" s="3" t="str">
        <f t="shared" si="97"/>
        <v>X</v>
      </c>
      <c r="V77" s="3" t="str">
        <f t="shared" si="97"/>
        <v>X</v>
      </c>
      <c r="W77" s="3" t="str">
        <f t="shared" si="97"/>
        <v>X</v>
      </c>
      <c r="X77" s="3" t="str">
        <f t="shared" si="97"/>
        <v>X</v>
      </c>
      <c r="Y77" s="3" t="str">
        <f t="shared" si="97"/>
        <v>X</v>
      </c>
      <c r="Z77" s="3" t="str">
        <f t="shared" si="97"/>
        <v>X</v>
      </c>
      <c r="AA77" s="3" t="str">
        <f t="shared" si="97"/>
        <v>X</v>
      </c>
      <c r="AB77" s="3" t="str">
        <f t="shared" si="97"/>
        <v>X</v>
      </c>
      <c r="AC77" s="3" t="str">
        <f t="shared" si="97"/>
        <v>X</v>
      </c>
      <c r="AD77" s="3" t="str">
        <f t="shared" si="97"/>
        <v>X</v>
      </c>
      <c r="AE77" s="3" t="str">
        <f t="shared" si="97"/>
        <v>X</v>
      </c>
      <c r="AF77" s="3" t="str">
        <f t="shared" si="97"/>
        <v>X</v>
      </c>
      <c r="AG77" s="3" t="str">
        <f t="shared" si="98"/>
        <v>X</v>
      </c>
      <c r="AH77" s="3" t="str">
        <f t="shared" si="98"/>
        <v>X</v>
      </c>
      <c r="AI77" s="3" t="str">
        <f t="shared" si="98"/>
        <v>X</v>
      </c>
      <c r="AJ77" s="3" t="str">
        <f t="shared" si="98"/>
        <v>X</v>
      </c>
      <c r="AK77" s="3" t="str">
        <f t="shared" si="98"/>
        <v>X</v>
      </c>
      <c r="AL77" s="3" t="str">
        <f t="shared" si="98"/>
        <v>X</v>
      </c>
      <c r="AM77" s="3" t="str">
        <f t="shared" si="98"/>
        <v>X</v>
      </c>
      <c r="AN77" s="3" t="str">
        <f t="shared" si="98"/>
        <v>X</v>
      </c>
      <c r="AO77" s="3" t="str">
        <f t="shared" si="98"/>
        <v>X</v>
      </c>
      <c r="AP77" s="3" t="str">
        <f t="shared" si="98"/>
        <v>X</v>
      </c>
      <c r="AQ77" s="3" t="str">
        <f t="shared" si="98"/>
        <v>X</v>
      </c>
      <c r="AR77" s="3" t="str">
        <f t="shared" si="98"/>
        <v>X</v>
      </c>
      <c r="AS77" s="3" t="str">
        <f t="shared" si="98"/>
        <v>X</v>
      </c>
      <c r="AT77" s="3" t="str">
        <f t="shared" si="98"/>
        <v>X</v>
      </c>
      <c r="AU77" s="3" t="str">
        <f t="shared" si="98"/>
        <v>X</v>
      </c>
      <c r="AV77" s="3" t="str">
        <f t="shared" si="98"/>
        <v>X</v>
      </c>
      <c r="AW77" s="3" t="str">
        <f t="shared" si="92"/>
        <v>X</v>
      </c>
      <c r="AX77" s="3" t="str">
        <f t="shared" si="93"/>
        <v>X</v>
      </c>
      <c r="AY77" s="3" t="str">
        <f t="shared" si="94"/>
        <v>X</v>
      </c>
      <c r="AZ77" s="3" t="str">
        <f t="shared" si="95"/>
        <v>X</v>
      </c>
      <c r="BA77" s="3">
        <f t="shared" si="99"/>
        <v>4120</v>
      </c>
      <c r="BB77" s="3">
        <f t="shared" si="100"/>
        <v>4121</v>
      </c>
      <c r="BC77" s="3">
        <f t="shared" si="101"/>
        <v>4122</v>
      </c>
      <c r="BD77" s="3">
        <f t="shared" si="102"/>
        <v>4123</v>
      </c>
      <c r="BE77" s="7" t="str">
        <f t="shared" si="103"/>
        <v>00001018</v>
      </c>
      <c r="BF77" s="7" t="str">
        <f t="shared" si="104"/>
        <v>00001019</v>
      </c>
      <c r="BG77" s="7" t="str">
        <f t="shared" si="105"/>
        <v>0000101A</v>
      </c>
      <c r="BH77" s="7" t="str">
        <f t="shared" si="106"/>
        <v>0000101B</v>
      </c>
      <c r="BI77" s="3" t="str">
        <f t="shared" si="107"/>
        <v/>
      </c>
      <c r="BJ77" s="3" t="str">
        <f t="shared" si="108"/>
        <v/>
      </c>
      <c r="BK77" s="3" t="str">
        <f t="shared" si="109"/>
        <v/>
      </c>
      <c r="BL77" s="3" t="str">
        <f t="shared" si="110"/>
        <v/>
      </c>
      <c r="BM77" s="3">
        <f t="shared" si="111"/>
        <v>31</v>
      </c>
      <c r="BN77" s="3">
        <f t="shared" si="112"/>
        <v>23</v>
      </c>
      <c r="BO77" s="3">
        <f t="shared" si="113"/>
        <v>15</v>
      </c>
      <c r="BP77" s="3">
        <f t="shared" si="114"/>
        <v>7</v>
      </c>
      <c r="BQ77" s="3" t="str">
        <f t="shared" si="115"/>
        <v>(31 downto 24)</v>
      </c>
      <c r="BR77" s="3" t="str">
        <f t="shared" si="116"/>
        <v>(23 downto 16)</v>
      </c>
      <c r="BS77" s="3" t="str">
        <f t="shared" si="117"/>
        <v>(15 downto 8)</v>
      </c>
      <c r="BT77" s="3" t="str">
        <f t="shared" si="118"/>
        <v>(7 downto 0)</v>
      </c>
    </row>
    <row r="78" spans="2:72" x14ac:dyDescent="0.25">
      <c r="B78" s="3" t="s">
        <v>310</v>
      </c>
      <c r="C78" s="3" t="s">
        <v>1725</v>
      </c>
      <c r="D78" s="3" t="s">
        <v>0</v>
      </c>
      <c r="E78" s="3" t="s">
        <v>115</v>
      </c>
      <c r="F78" s="3" t="s">
        <v>377</v>
      </c>
      <c r="G78" s="3" t="s">
        <v>444</v>
      </c>
      <c r="H78" s="18" t="s">
        <v>1694</v>
      </c>
      <c r="I78" s="3" t="s">
        <v>24</v>
      </c>
      <c r="J78" s="3">
        <v>32</v>
      </c>
      <c r="K78" s="3" t="s">
        <v>119</v>
      </c>
      <c r="L78" s="3" t="s">
        <v>23</v>
      </c>
      <c r="M78" s="3">
        <v>1031</v>
      </c>
      <c r="N78" s="3" t="str">
        <f t="shared" ref="N78:N89" si="119">DEC2HEX($M78,8)</f>
        <v>00000407</v>
      </c>
      <c r="O78" s="3">
        <v>31</v>
      </c>
      <c r="P78" s="3">
        <v>0</v>
      </c>
      <c r="Q78" s="3" t="str">
        <f t="shared" si="97"/>
        <v>X</v>
      </c>
      <c r="R78" s="3" t="str">
        <f t="shared" si="97"/>
        <v>X</v>
      </c>
      <c r="S78" s="3" t="str">
        <f t="shared" si="97"/>
        <v>X</v>
      </c>
      <c r="T78" s="3" t="str">
        <f t="shared" si="97"/>
        <v>X</v>
      </c>
      <c r="U78" s="3" t="str">
        <f t="shared" si="97"/>
        <v>X</v>
      </c>
      <c r="V78" s="3" t="str">
        <f t="shared" si="97"/>
        <v>X</v>
      </c>
      <c r="W78" s="3" t="str">
        <f t="shared" si="97"/>
        <v>X</v>
      </c>
      <c r="X78" s="3" t="str">
        <f t="shared" si="97"/>
        <v>X</v>
      </c>
      <c r="Y78" s="3" t="str">
        <f t="shared" si="97"/>
        <v>X</v>
      </c>
      <c r="Z78" s="3" t="str">
        <f t="shared" si="97"/>
        <v>X</v>
      </c>
      <c r="AA78" s="3" t="str">
        <f t="shared" si="97"/>
        <v>X</v>
      </c>
      <c r="AB78" s="3" t="str">
        <f t="shared" si="97"/>
        <v>X</v>
      </c>
      <c r="AC78" s="3" t="str">
        <f t="shared" si="97"/>
        <v>X</v>
      </c>
      <c r="AD78" s="3" t="str">
        <f t="shared" si="97"/>
        <v>X</v>
      </c>
      <c r="AE78" s="3" t="str">
        <f t="shared" si="97"/>
        <v>X</v>
      </c>
      <c r="AF78" s="3" t="str">
        <f t="shared" si="97"/>
        <v>X</v>
      </c>
      <c r="AG78" s="3" t="str">
        <f t="shared" si="98"/>
        <v>X</v>
      </c>
      <c r="AH78" s="3" t="str">
        <f t="shared" si="98"/>
        <v>X</v>
      </c>
      <c r="AI78" s="3" t="str">
        <f t="shared" si="98"/>
        <v>X</v>
      </c>
      <c r="AJ78" s="3" t="str">
        <f t="shared" si="98"/>
        <v>X</v>
      </c>
      <c r="AK78" s="3" t="str">
        <f t="shared" si="98"/>
        <v>X</v>
      </c>
      <c r="AL78" s="3" t="str">
        <f t="shared" si="98"/>
        <v>X</v>
      </c>
      <c r="AM78" s="3" t="str">
        <f t="shared" si="98"/>
        <v>X</v>
      </c>
      <c r="AN78" s="3" t="str">
        <f t="shared" si="98"/>
        <v>X</v>
      </c>
      <c r="AO78" s="3" t="str">
        <f t="shared" si="98"/>
        <v>X</v>
      </c>
      <c r="AP78" s="3" t="str">
        <f t="shared" si="98"/>
        <v>X</v>
      </c>
      <c r="AQ78" s="3" t="str">
        <f t="shared" si="98"/>
        <v>X</v>
      </c>
      <c r="AR78" s="3" t="str">
        <f t="shared" si="98"/>
        <v>X</v>
      </c>
      <c r="AS78" s="3" t="str">
        <f t="shared" si="98"/>
        <v>X</v>
      </c>
      <c r="AT78" s="3" t="str">
        <f t="shared" si="98"/>
        <v>X</v>
      </c>
      <c r="AU78" s="3" t="str">
        <f t="shared" si="98"/>
        <v>X</v>
      </c>
      <c r="AV78" s="3" t="str">
        <f t="shared" si="98"/>
        <v>X</v>
      </c>
      <c r="AW78" s="3" t="str">
        <f t="shared" si="92"/>
        <v>X</v>
      </c>
      <c r="AX78" s="3" t="str">
        <f t="shared" si="93"/>
        <v>X</v>
      </c>
      <c r="AY78" s="3" t="str">
        <f t="shared" si="94"/>
        <v>X</v>
      </c>
      <c r="AZ78" s="3" t="str">
        <f t="shared" si="95"/>
        <v>X</v>
      </c>
      <c r="BA78" s="3">
        <f t="shared" si="99"/>
        <v>4124</v>
      </c>
      <c r="BB78" s="3">
        <f t="shared" si="100"/>
        <v>4125</v>
      </c>
      <c r="BC78" s="3">
        <f t="shared" si="101"/>
        <v>4126</v>
      </c>
      <c r="BD78" s="3">
        <f t="shared" si="102"/>
        <v>4127</v>
      </c>
      <c r="BE78" s="7" t="str">
        <f t="shared" si="103"/>
        <v>0000101C</v>
      </c>
      <c r="BF78" s="7" t="str">
        <f t="shared" si="104"/>
        <v>0000101D</v>
      </c>
      <c r="BG78" s="7" t="str">
        <f t="shared" si="105"/>
        <v>0000101E</v>
      </c>
      <c r="BH78" s="7" t="str">
        <f t="shared" si="106"/>
        <v>0000101F</v>
      </c>
      <c r="BI78" s="3" t="str">
        <f t="shared" si="107"/>
        <v/>
      </c>
      <c r="BJ78" s="3" t="str">
        <f t="shared" si="108"/>
        <v/>
      </c>
      <c r="BK78" s="3" t="str">
        <f t="shared" si="109"/>
        <v/>
      </c>
      <c r="BL78" s="3" t="str">
        <f t="shared" si="110"/>
        <v/>
      </c>
      <c r="BM78" s="3">
        <f t="shared" si="111"/>
        <v>31</v>
      </c>
      <c r="BN78" s="3">
        <f t="shared" si="112"/>
        <v>23</v>
      </c>
      <c r="BO78" s="3">
        <f t="shared" si="113"/>
        <v>15</v>
      </c>
      <c r="BP78" s="3">
        <f t="shared" si="114"/>
        <v>7</v>
      </c>
      <c r="BQ78" s="3" t="str">
        <f t="shared" si="115"/>
        <v>(31 downto 24)</v>
      </c>
      <c r="BR78" s="3" t="str">
        <f t="shared" si="116"/>
        <v>(23 downto 16)</v>
      </c>
      <c r="BS78" s="3" t="str">
        <f t="shared" si="117"/>
        <v>(15 downto 8)</v>
      </c>
      <c r="BT78" s="3" t="str">
        <f t="shared" si="118"/>
        <v>(7 downto 0)</v>
      </c>
    </row>
    <row r="79" spans="2:72" x14ac:dyDescent="0.25">
      <c r="B79" s="3" t="s">
        <v>311</v>
      </c>
      <c r="C79" s="3" t="s">
        <v>1726</v>
      </c>
      <c r="D79" s="3" t="s">
        <v>0</v>
      </c>
      <c r="E79" s="3" t="s">
        <v>115</v>
      </c>
      <c r="F79" s="3" t="s">
        <v>378</v>
      </c>
      <c r="G79" s="3" t="s">
        <v>445</v>
      </c>
      <c r="H79" s="18" t="s">
        <v>1694</v>
      </c>
      <c r="I79" s="3" t="s">
        <v>24</v>
      </c>
      <c r="J79" s="3">
        <v>32</v>
      </c>
      <c r="K79" s="3" t="s">
        <v>119</v>
      </c>
      <c r="L79" s="3" t="s">
        <v>23</v>
      </c>
      <c r="M79" s="3">
        <v>1032</v>
      </c>
      <c r="N79" s="3" t="str">
        <f t="shared" si="119"/>
        <v>00000408</v>
      </c>
      <c r="O79" s="3">
        <v>31</v>
      </c>
      <c r="P79" s="3">
        <v>0</v>
      </c>
      <c r="Q79" s="3" t="str">
        <f t="shared" si="97"/>
        <v>X</v>
      </c>
      <c r="R79" s="3" t="str">
        <f t="shared" si="97"/>
        <v>X</v>
      </c>
      <c r="S79" s="3" t="str">
        <f t="shared" si="97"/>
        <v>X</v>
      </c>
      <c r="T79" s="3" t="str">
        <f t="shared" si="97"/>
        <v>X</v>
      </c>
      <c r="U79" s="3" t="str">
        <f t="shared" si="97"/>
        <v>X</v>
      </c>
      <c r="V79" s="3" t="str">
        <f t="shared" si="97"/>
        <v>X</v>
      </c>
      <c r="W79" s="3" t="str">
        <f t="shared" si="97"/>
        <v>X</v>
      </c>
      <c r="X79" s="3" t="str">
        <f t="shared" si="97"/>
        <v>X</v>
      </c>
      <c r="Y79" s="3" t="str">
        <f t="shared" si="97"/>
        <v>X</v>
      </c>
      <c r="Z79" s="3" t="str">
        <f t="shared" si="97"/>
        <v>X</v>
      </c>
      <c r="AA79" s="3" t="str">
        <f t="shared" si="97"/>
        <v>X</v>
      </c>
      <c r="AB79" s="3" t="str">
        <f t="shared" si="97"/>
        <v>X</v>
      </c>
      <c r="AC79" s="3" t="str">
        <f t="shared" si="97"/>
        <v>X</v>
      </c>
      <c r="AD79" s="3" t="str">
        <f t="shared" si="97"/>
        <v>X</v>
      </c>
      <c r="AE79" s="3" t="str">
        <f t="shared" si="97"/>
        <v>X</v>
      </c>
      <c r="AF79" s="3" t="str">
        <f t="shared" si="97"/>
        <v>X</v>
      </c>
      <c r="AG79" s="3" t="str">
        <f t="shared" si="98"/>
        <v>X</v>
      </c>
      <c r="AH79" s="3" t="str">
        <f t="shared" si="98"/>
        <v>X</v>
      </c>
      <c r="AI79" s="3" t="str">
        <f t="shared" si="98"/>
        <v>X</v>
      </c>
      <c r="AJ79" s="3" t="str">
        <f t="shared" si="98"/>
        <v>X</v>
      </c>
      <c r="AK79" s="3" t="str">
        <f t="shared" si="98"/>
        <v>X</v>
      </c>
      <c r="AL79" s="3" t="str">
        <f t="shared" si="98"/>
        <v>X</v>
      </c>
      <c r="AM79" s="3" t="str">
        <f t="shared" si="98"/>
        <v>X</v>
      </c>
      <c r="AN79" s="3" t="str">
        <f t="shared" si="98"/>
        <v>X</v>
      </c>
      <c r="AO79" s="3" t="str">
        <f t="shared" si="98"/>
        <v>X</v>
      </c>
      <c r="AP79" s="3" t="str">
        <f t="shared" si="98"/>
        <v>X</v>
      </c>
      <c r="AQ79" s="3" t="str">
        <f t="shared" si="98"/>
        <v>X</v>
      </c>
      <c r="AR79" s="3" t="str">
        <f t="shared" si="98"/>
        <v>X</v>
      </c>
      <c r="AS79" s="3" t="str">
        <f t="shared" si="98"/>
        <v>X</v>
      </c>
      <c r="AT79" s="3" t="str">
        <f t="shared" si="98"/>
        <v>X</v>
      </c>
      <c r="AU79" s="3" t="str">
        <f t="shared" si="98"/>
        <v>X</v>
      </c>
      <c r="AV79" s="3" t="str">
        <f t="shared" si="98"/>
        <v>X</v>
      </c>
      <c r="AW79" s="3" t="str">
        <f t="shared" si="92"/>
        <v>X</v>
      </c>
      <c r="AX79" s="3" t="str">
        <f t="shared" si="93"/>
        <v>X</v>
      </c>
      <c r="AY79" s="3" t="str">
        <f t="shared" si="94"/>
        <v>X</v>
      </c>
      <c r="AZ79" s="3" t="str">
        <f t="shared" si="95"/>
        <v>X</v>
      </c>
      <c r="BA79" s="3">
        <f t="shared" si="99"/>
        <v>4128</v>
      </c>
      <c r="BB79" s="3">
        <f t="shared" si="100"/>
        <v>4129</v>
      </c>
      <c r="BC79" s="3">
        <f t="shared" si="101"/>
        <v>4130</v>
      </c>
      <c r="BD79" s="3">
        <f t="shared" si="102"/>
        <v>4131</v>
      </c>
      <c r="BE79" s="7" t="str">
        <f t="shared" si="103"/>
        <v>00001020</v>
      </c>
      <c r="BF79" s="7" t="str">
        <f t="shared" si="104"/>
        <v>00001021</v>
      </c>
      <c r="BG79" s="7" t="str">
        <f t="shared" si="105"/>
        <v>00001022</v>
      </c>
      <c r="BH79" s="7" t="str">
        <f t="shared" si="106"/>
        <v>00001023</v>
      </c>
      <c r="BI79" s="3" t="str">
        <f t="shared" si="107"/>
        <v/>
      </c>
      <c r="BJ79" s="3" t="str">
        <f t="shared" si="108"/>
        <v/>
      </c>
      <c r="BK79" s="3" t="str">
        <f t="shared" si="109"/>
        <v/>
      </c>
      <c r="BL79" s="3" t="str">
        <f t="shared" si="110"/>
        <v/>
      </c>
      <c r="BM79" s="3">
        <f t="shared" si="111"/>
        <v>31</v>
      </c>
      <c r="BN79" s="3">
        <f t="shared" si="112"/>
        <v>23</v>
      </c>
      <c r="BO79" s="3">
        <f t="shared" si="113"/>
        <v>15</v>
      </c>
      <c r="BP79" s="3">
        <f t="shared" si="114"/>
        <v>7</v>
      </c>
      <c r="BQ79" s="3" t="str">
        <f t="shared" si="115"/>
        <v>(31 downto 24)</v>
      </c>
      <c r="BR79" s="3" t="str">
        <f t="shared" si="116"/>
        <v>(23 downto 16)</v>
      </c>
      <c r="BS79" s="3" t="str">
        <f t="shared" si="117"/>
        <v>(15 downto 8)</v>
      </c>
      <c r="BT79" s="3" t="str">
        <f t="shared" si="118"/>
        <v>(7 downto 0)</v>
      </c>
    </row>
    <row r="80" spans="2:72" x14ac:dyDescent="0.25">
      <c r="B80" s="3" t="s">
        <v>312</v>
      </c>
      <c r="C80" s="3" t="s">
        <v>1727</v>
      </c>
      <c r="D80" s="3" t="s">
        <v>0</v>
      </c>
      <c r="E80" s="3" t="s">
        <v>115</v>
      </c>
      <c r="F80" s="3" t="s">
        <v>379</v>
      </c>
      <c r="G80" s="3" t="s">
        <v>446</v>
      </c>
      <c r="H80" s="18" t="s">
        <v>1694</v>
      </c>
      <c r="I80" s="3" t="s">
        <v>24</v>
      </c>
      <c r="J80" s="3">
        <v>32</v>
      </c>
      <c r="K80" s="3" t="s">
        <v>119</v>
      </c>
      <c r="L80" s="3" t="s">
        <v>23</v>
      </c>
      <c r="M80" s="3">
        <v>1033</v>
      </c>
      <c r="N80" s="3" t="str">
        <f t="shared" si="119"/>
        <v>00000409</v>
      </c>
      <c r="O80" s="3">
        <v>31</v>
      </c>
      <c r="P80" s="3">
        <v>0</v>
      </c>
      <c r="Q80" s="3" t="str">
        <f t="shared" si="97"/>
        <v>X</v>
      </c>
      <c r="R80" s="3" t="str">
        <f t="shared" si="97"/>
        <v>X</v>
      </c>
      <c r="S80" s="3" t="str">
        <f t="shared" si="97"/>
        <v>X</v>
      </c>
      <c r="T80" s="3" t="str">
        <f t="shared" si="97"/>
        <v>X</v>
      </c>
      <c r="U80" s="3" t="str">
        <f t="shared" si="97"/>
        <v>X</v>
      </c>
      <c r="V80" s="3" t="str">
        <f t="shared" si="97"/>
        <v>X</v>
      </c>
      <c r="W80" s="3" t="str">
        <f t="shared" si="97"/>
        <v>X</v>
      </c>
      <c r="X80" s="3" t="str">
        <f t="shared" si="97"/>
        <v>X</v>
      </c>
      <c r="Y80" s="3" t="str">
        <f t="shared" si="97"/>
        <v>X</v>
      </c>
      <c r="Z80" s="3" t="str">
        <f t="shared" si="97"/>
        <v>X</v>
      </c>
      <c r="AA80" s="3" t="str">
        <f t="shared" si="97"/>
        <v>X</v>
      </c>
      <c r="AB80" s="3" t="str">
        <f t="shared" si="97"/>
        <v>X</v>
      </c>
      <c r="AC80" s="3" t="str">
        <f t="shared" si="97"/>
        <v>X</v>
      </c>
      <c r="AD80" s="3" t="str">
        <f t="shared" si="97"/>
        <v>X</v>
      </c>
      <c r="AE80" s="3" t="str">
        <f t="shared" si="97"/>
        <v>X</v>
      </c>
      <c r="AF80" s="3" t="str">
        <f t="shared" si="97"/>
        <v>X</v>
      </c>
      <c r="AG80" s="3" t="str">
        <f t="shared" si="98"/>
        <v>X</v>
      </c>
      <c r="AH80" s="3" t="str">
        <f t="shared" si="98"/>
        <v>X</v>
      </c>
      <c r="AI80" s="3" t="str">
        <f t="shared" si="98"/>
        <v>X</v>
      </c>
      <c r="AJ80" s="3" t="str">
        <f t="shared" si="98"/>
        <v>X</v>
      </c>
      <c r="AK80" s="3" t="str">
        <f t="shared" si="98"/>
        <v>X</v>
      </c>
      <c r="AL80" s="3" t="str">
        <f t="shared" si="98"/>
        <v>X</v>
      </c>
      <c r="AM80" s="3" t="str">
        <f t="shared" si="98"/>
        <v>X</v>
      </c>
      <c r="AN80" s="3" t="str">
        <f t="shared" si="98"/>
        <v>X</v>
      </c>
      <c r="AO80" s="3" t="str">
        <f t="shared" si="98"/>
        <v>X</v>
      </c>
      <c r="AP80" s="3" t="str">
        <f t="shared" si="98"/>
        <v>X</v>
      </c>
      <c r="AQ80" s="3" t="str">
        <f t="shared" si="98"/>
        <v>X</v>
      </c>
      <c r="AR80" s="3" t="str">
        <f t="shared" si="98"/>
        <v>X</v>
      </c>
      <c r="AS80" s="3" t="str">
        <f t="shared" si="98"/>
        <v>X</v>
      </c>
      <c r="AT80" s="3" t="str">
        <f t="shared" si="98"/>
        <v>X</v>
      </c>
      <c r="AU80" s="3" t="str">
        <f t="shared" si="98"/>
        <v>X</v>
      </c>
      <c r="AV80" s="3" t="str">
        <f t="shared" si="98"/>
        <v>X</v>
      </c>
      <c r="AW80" s="3" t="str">
        <f t="shared" si="92"/>
        <v>X</v>
      </c>
      <c r="AX80" s="3" t="str">
        <f t="shared" si="93"/>
        <v>X</v>
      </c>
      <c r="AY80" s="3" t="str">
        <f t="shared" si="94"/>
        <v>X</v>
      </c>
      <c r="AZ80" s="3" t="str">
        <f t="shared" si="95"/>
        <v>X</v>
      </c>
      <c r="BA80" s="3">
        <f t="shared" si="99"/>
        <v>4132</v>
      </c>
      <c r="BB80" s="3">
        <f t="shared" si="100"/>
        <v>4133</v>
      </c>
      <c r="BC80" s="3">
        <f t="shared" si="101"/>
        <v>4134</v>
      </c>
      <c r="BD80" s="3">
        <f t="shared" si="102"/>
        <v>4135</v>
      </c>
      <c r="BE80" s="7" t="str">
        <f t="shared" si="103"/>
        <v>00001024</v>
      </c>
      <c r="BF80" s="7" t="str">
        <f t="shared" si="104"/>
        <v>00001025</v>
      </c>
      <c r="BG80" s="7" t="str">
        <f t="shared" si="105"/>
        <v>00001026</v>
      </c>
      <c r="BH80" s="7" t="str">
        <f t="shared" si="106"/>
        <v>00001027</v>
      </c>
      <c r="BI80" s="3" t="str">
        <f t="shared" si="107"/>
        <v/>
      </c>
      <c r="BJ80" s="3" t="str">
        <f t="shared" si="108"/>
        <v/>
      </c>
      <c r="BK80" s="3" t="str">
        <f t="shared" si="109"/>
        <v/>
      </c>
      <c r="BL80" s="3" t="str">
        <f t="shared" si="110"/>
        <v/>
      </c>
      <c r="BM80" s="3">
        <f t="shared" si="111"/>
        <v>31</v>
      </c>
      <c r="BN80" s="3">
        <f t="shared" si="112"/>
        <v>23</v>
      </c>
      <c r="BO80" s="3">
        <f t="shared" si="113"/>
        <v>15</v>
      </c>
      <c r="BP80" s="3">
        <f t="shared" si="114"/>
        <v>7</v>
      </c>
      <c r="BQ80" s="3" t="str">
        <f t="shared" si="115"/>
        <v>(31 downto 24)</v>
      </c>
      <c r="BR80" s="3" t="str">
        <f t="shared" si="116"/>
        <v>(23 downto 16)</v>
      </c>
      <c r="BS80" s="3" t="str">
        <f t="shared" si="117"/>
        <v>(15 downto 8)</v>
      </c>
      <c r="BT80" s="3" t="str">
        <f t="shared" si="118"/>
        <v>(7 downto 0)</v>
      </c>
    </row>
    <row r="81" spans="2:72" x14ac:dyDescent="0.25">
      <c r="B81" s="3" t="s">
        <v>313</v>
      </c>
      <c r="C81" s="3" t="s">
        <v>1728</v>
      </c>
      <c r="D81" s="3" t="s">
        <v>0</v>
      </c>
      <c r="E81" s="3" t="s">
        <v>115</v>
      </c>
      <c r="F81" s="3" t="s">
        <v>380</v>
      </c>
      <c r="G81" s="3" t="s">
        <v>447</v>
      </c>
      <c r="H81" s="18" t="s">
        <v>1694</v>
      </c>
      <c r="I81" s="3" t="s">
        <v>24</v>
      </c>
      <c r="J81" s="3">
        <v>32</v>
      </c>
      <c r="K81" s="3" t="s">
        <v>119</v>
      </c>
      <c r="L81" s="3" t="s">
        <v>23</v>
      </c>
      <c r="M81" s="3">
        <v>1034</v>
      </c>
      <c r="N81" s="3" t="str">
        <f t="shared" si="119"/>
        <v>0000040A</v>
      </c>
      <c r="O81" s="3">
        <v>31</v>
      </c>
      <c r="P81" s="3">
        <v>0</v>
      </c>
      <c r="Q81" s="3" t="str">
        <f t="shared" si="97"/>
        <v>X</v>
      </c>
      <c r="R81" s="3" t="str">
        <f t="shared" si="97"/>
        <v>X</v>
      </c>
      <c r="S81" s="3" t="str">
        <f t="shared" si="97"/>
        <v>X</v>
      </c>
      <c r="T81" s="3" t="str">
        <f t="shared" si="97"/>
        <v>X</v>
      </c>
      <c r="U81" s="3" t="str">
        <f t="shared" si="97"/>
        <v>X</v>
      </c>
      <c r="V81" s="3" t="str">
        <f t="shared" si="97"/>
        <v>X</v>
      </c>
      <c r="W81" s="3" t="str">
        <f t="shared" si="97"/>
        <v>X</v>
      </c>
      <c r="X81" s="3" t="str">
        <f t="shared" si="97"/>
        <v>X</v>
      </c>
      <c r="Y81" s="3" t="str">
        <f t="shared" si="97"/>
        <v>X</v>
      </c>
      <c r="Z81" s="3" t="str">
        <f t="shared" si="97"/>
        <v>X</v>
      </c>
      <c r="AA81" s="3" t="str">
        <f t="shared" si="97"/>
        <v>X</v>
      </c>
      <c r="AB81" s="3" t="str">
        <f t="shared" si="97"/>
        <v>X</v>
      </c>
      <c r="AC81" s="3" t="str">
        <f t="shared" si="97"/>
        <v>X</v>
      </c>
      <c r="AD81" s="3" t="str">
        <f t="shared" si="97"/>
        <v>X</v>
      </c>
      <c r="AE81" s="3" t="str">
        <f t="shared" si="97"/>
        <v>X</v>
      </c>
      <c r="AF81" s="3" t="str">
        <f t="shared" si="97"/>
        <v>X</v>
      </c>
      <c r="AG81" s="3" t="str">
        <f t="shared" si="98"/>
        <v>X</v>
      </c>
      <c r="AH81" s="3" t="str">
        <f t="shared" si="98"/>
        <v>X</v>
      </c>
      <c r="AI81" s="3" t="str">
        <f t="shared" si="98"/>
        <v>X</v>
      </c>
      <c r="AJ81" s="3" t="str">
        <f t="shared" si="98"/>
        <v>X</v>
      </c>
      <c r="AK81" s="3" t="str">
        <f t="shared" si="98"/>
        <v>X</v>
      </c>
      <c r="AL81" s="3" t="str">
        <f t="shared" si="98"/>
        <v>X</v>
      </c>
      <c r="AM81" s="3" t="str">
        <f t="shared" si="98"/>
        <v>X</v>
      </c>
      <c r="AN81" s="3" t="str">
        <f t="shared" si="98"/>
        <v>X</v>
      </c>
      <c r="AO81" s="3" t="str">
        <f t="shared" si="98"/>
        <v>X</v>
      </c>
      <c r="AP81" s="3" t="str">
        <f t="shared" si="98"/>
        <v>X</v>
      </c>
      <c r="AQ81" s="3" t="str">
        <f t="shared" si="98"/>
        <v>X</v>
      </c>
      <c r="AR81" s="3" t="str">
        <f t="shared" si="98"/>
        <v>X</v>
      </c>
      <c r="AS81" s="3" t="str">
        <f t="shared" si="98"/>
        <v>X</v>
      </c>
      <c r="AT81" s="3" t="str">
        <f t="shared" si="98"/>
        <v>X</v>
      </c>
      <c r="AU81" s="3" t="str">
        <f t="shared" si="98"/>
        <v>X</v>
      </c>
      <c r="AV81" s="3" t="str">
        <f t="shared" si="98"/>
        <v>X</v>
      </c>
      <c r="AW81" s="3" t="str">
        <f t="shared" si="92"/>
        <v>X</v>
      </c>
      <c r="AX81" s="3" t="str">
        <f t="shared" si="93"/>
        <v>X</v>
      </c>
      <c r="AY81" s="3" t="str">
        <f t="shared" si="94"/>
        <v>X</v>
      </c>
      <c r="AZ81" s="3" t="str">
        <f t="shared" si="95"/>
        <v>X</v>
      </c>
      <c r="BA81" s="3">
        <f t="shared" si="99"/>
        <v>4136</v>
      </c>
      <c r="BB81" s="3">
        <f t="shared" si="100"/>
        <v>4137</v>
      </c>
      <c r="BC81" s="3">
        <f t="shared" si="101"/>
        <v>4138</v>
      </c>
      <c r="BD81" s="3">
        <f t="shared" si="102"/>
        <v>4139</v>
      </c>
      <c r="BE81" s="7" t="str">
        <f t="shared" si="103"/>
        <v>00001028</v>
      </c>
      <c r="BF81" s="7" t="str">
        <f t="shared" si="104"/>
        <v>00001029</v>
      </c>
      <c r="BG81" s="7" t="str">
        <f t="shared" si="105"/>
        <v>0000102A</v>
      </c>
      <c r="BH81" s="7" t="str">
        <f t="shared" si="106"/>
        <v>0000102B</v>
      </c>
      <c r="BI81" s="3" t="str">
        <f t="shared" si="107"/>
        <v/>
      </c>
      <c r="BJ81" s="3" t="str">
        <f t="shared" si="108"/>
        <v/>
      </c>
      <c r="BK81" s="3" t="str">
        <f t="shared" si="109"/>
        <v/>
      </c>
      <c r="BL81" s="3" t="str">
        <f t="shared" si="110"/>
        <v/>
      </c>
      <c r="BM81" s="3">
        <f t="shared" si="111"/>
        <v>31</v>
      </c>
      <c r="BN81" s="3">
        <f t="shared" si="112"/>
        <v>23</v>
      </c>
      <c r="BO81" s="3">
        <f t="shared" si="113"/>
        <v>15</v>
      </c>
      <c r="BP81" s="3">
        <f t="shared" si="114"/>
        <v>7</v>
      </c>
      <c r="BQ81" s="3" t="str">
        <f t="shared" si="115"/>
        <v>(31 downto 24)</v>
      </c>
      <c r="BR81" s="3" t="str">
        <f t="shared" si="116"/>
        <v>(23 downto 16)</v>
      </c>
      <c r="BS81" s="3" t="str">
        <f t="shared" si="117"/>
        <v>(15 downto 8)</v>
      </c>
      <c r="BT81" s="3" t="str">
        <f t="shared" si="118"/>
        <v>(7 downto 0)</v>
      </c>
    </row>
    <row r="82" spans="2:72" x14ac:dyDescent="0.25">
      <c r="B82" s="3" t="s">
        <v>314</v>
      </c>
      <c r="C82" s="3" t="s">
        <v>1729</v>
      </c>
      <c r="D82" s="3" t="s">
        <v>0</v>
      </c>
      <c r="E82" s="3" t="s">
        <v>115</v>
      </c>
      <c r="F82" s="3" t="s">
        <v>381</v>
      </c>
      <c r="G82" s="3" t="s">
        <v>448</v>
      </c>
      <c r="H82" s="18" t="s">
        <v>1694</v>
      </c>
      <c r="I82" s="3" t="s">
        <v>24</v>
      </c>
      <c r="J82" s="3">
        <v>32</v>
      </c>
      <c r="K82" s="3" t="s">
        <v>119</v>
      </c>
      <c r="L82" s="3" t="s">
        <v>23</v>
      </c>
      <c r="M82" s="3">
        <v>1035</v>
      </c>
      <c r="N82" s="3" t="str">
        <f t="shared" si="119"/>
        <v>0000040B</v>
      </c>
      <c r="O82" s="3">
        <v>31</v>
      </c>
      <c r="P82" s="3">
        <v>0</v>
      </c>
      <c r="Q82" s="3" t="str">
        <f t="shared" si="97"/>
        <v>X</v>
      </c>
      <c r="R82" s="3" t="str">
        <f t="shared" si="97"/>
        <v>X</v>
      </c>
      <c r="S82" s="3" t="str">
        <f t="shared" si="97"/>
        <v>X</v>
      </c>
      <c r="T82" s="3" t="str">
        <f t="shared" si="97"/>
        <v>X</v>
      </c>
      <c r="U82" s="3" t="str">
        <f t="shared" si="97"/>
        <v>X</v>
      </c>
      <c r="V82" s="3" t="str">
        <f t="shared" si="97"/>
        <v>X</v>
      </c>
      <c r="W82" s="3" t="str">
        <f t="shared" si="97"/>
        <v>X</v>
      </c>
      <c r="X82" s="3" t="str">
        <f t="shared" si="97"/>
        <v>X</v>
      </c>
      <c r="Y82" s="3" t="str">
        <f t="shared" si="97"/>
        <v>X</v>
      </c>
      <c r="Z82" s="3" t="str">
        <f t="shared" si="97"/>
        <v>X</v>
      </c>
      <c r="AA82" s="3" t="str">
        <f t="shared" si="97"/>
        <v>X</v>
      </c>
      <c r="AB82" s="3" t="str">
        <f t="shared" si="97"/>
        <v>X</v>
      </c>
      <c r="AC82" s="3" t="str">
        <f t="shared" si="97"/>
        <v>X</v>
      </c>
      <c r="AD82" s="3" t="str">
        <f t="shared" si="97"/>
        <v>X</v>
      </c>
      <c r="AE82" s="3" t="str">
        <f t="shared" si="97"/>
        <v>X</v>
      </c>
      <c r="AF82" s="3" t="str">
        <f t="shared" si="97"/>
        <v>X</v>
      </c>
      <c r="AG82" s="3" t="str">
        <f t="shared" si="98"/>
        <v>X</v>
      </c>
      <c r="AH82" s="3" t="str">
        <f t="shared" si="98"/>
        <v>X</v>
      </c>
      <c r="AI82" s="3" t="str">
        <f t="shared" si="98"/>
        <v>X</v>
      </c>
      <c r="AJ82" s="3" t="str">
        <f t="shared" si="98"/>
        <v>X</v>
      </c>
      <c r="AK82" s="3" t="str">
        <f t="shared" si="98"/>
        <v>X</v>
      </c>
      <c r="AL82" s="3" t="str">
        <f t="shared" si="98"/>
        <v>X</v>
      </c>
      <c r="AM82" s="3" t="str">
        <f t="shared" si="98"/>
        <v>X</v>
      </c>
      <c r="AN82" s="3" t="str">
        <f t="shared" si="98"/>
        <v>X</v>
      </c>
      <c r="AO82" s="3" t="str">
        <f t="shared" si="98"/>
        <v>X</v>
      </c>
      <c r="AP82" s="3" t="str">
        <f t="shared" si="98"/>
        <v>X</v>
      </c>
      <c r="AQ82" s="3" t="str">
        <f t="shared" si="98"/>
        <v>X</v>
      </c>
      <c r="AR82" s="3" t="str">
        <f t="shared" si="98"/>
        <v>X</v>
      </c>
      <c r="AS82" s="3" t="str">
        <f t="shared" si="98"/>
        <v>X</v>
      </c>
      <c r="AT82" s="3" t="str">
        <f t="shared" si="98"/>
        <v>X</v>
      </c>
      <c r="AU82" s="3" t="str">
        <f t="shared" si="98"/>
        <v>X</v>
      </c>
      <c r="AV82" s="3" t="str">
        <f t="shared" si="98"/>
        <v>X</v>
      </c>
      <c r="AW82" s="3" t="str">
        <f t="shared" si="92"/>
        <v>X</v>
      </c>
      <c r="AX82" s="3" t="str">
        <f t="shared" si="93"/>
        <v>X</v>
      </c>
      <c r="AY82" s="3" t="str">
        <f t="shared" si="94"/>
        <v>X</v>
      </c>
      <c r="AZ82" s="3" t="str">
        <f t="shared" si="95"/>
        <v>X</v>
      </c>
      <c r="BA82" s="3">
        <f t="shared" si="99"/>
        <v>4140</v>
      </c>
      <c r="BB82" s="3">
        <f t="shared" si="100"/>
        <v>4141</v>
      </c>
      <c r="BC82" s="3">
        <f t="shared" si="101"/>
        <v>4142</v>
      </c>
      <c r="BD82" s="3">
        <f t="shared" si="102"/>
        <v>4143</v>
      </c>
      <c r="BE82" s="7" t="str">
        <f t="shared" si="103"/>
        <v>0000102C</v>
      </c>
      <c r="BF82" s="7" t="str">
        <f t="shared" si="104"/>
        <v>0000102D</v>
      </c>
      <c r="BG82" s="7" t="str">
        <f t="shared" si="105"/>
        <v>0000102E</v>
      </c>
      <c r="BH82" s="7" t="str">
        <f t="shared" si="106"/>
        <v>0000102F</v>
      </c>
      <c r="BI82" s="3" t="str">
        <f t="shared" si="107"/>
        <v/>
      </c>
      <c r="BJ82" s="3" t="str">
        <f t="shared" si="108"/>
        <v/>
      </c>
      <c r="BK82" s="3" t="str">
        <f t="shared" si="109"/>
        <v/>
      </c>
      <c r="BL82" s="3" t="str">
        <f t="shared" si="110"/>
        <v/>
      </c>
      <c r="BM82" s="3">
        <f t="shared" si="111"/>
        <v>31</v>
      </c>
      <c r="BN82" s="3">
        <f t="shared" si="112"/>
        <v>23</v>
      </c>
      <c r="BO82" s="3">
        <f t="shared" si="113"/>
        <v>15</v>
      </c>
      <c r="BP82" s="3">
        <f t="shared" si="114"/>
        <v>7</v>
      </c>
      <c r="BQ82" s="3" t="str">
        <f t="shared" si="115"/>
        <v>(31 downto 24)</v>
      </c>
      <c r="BR82" s="3" t="str">
        <f t="shared" si="116"/>
        <v>(23 downto 16)</v>
      </c>
      <c r="BS82" s="3" t="str">
        <f t="shared" si="117"/>
        <v>(15 downto 8)</v>
      </c>
      <c r="BT82" s="3" t="str">
        <f t="shared" si="118"/>
        <v>(7 downto 0)</v>
      </c>
    </row>
    <row r="83" spans="2:72" x14ac:dyDescent="0.25">
      <c r="B83" s="3" t="s">
        <v>315</v>
      </c>
      <c r="C83" s="3" t="s">
        <v>1730</v>
      </c>
      <c r="D83" s="3" t="s">
        <v>0</v>
      </c>
      <c r="E83" s="3" t="s">
        <v>115</v>
      </c>
      <c r="F83" s="3" t="s">
        <v>382</v>
      </c>
      <c r="G83" s="3" t="s">
        <v>449</v>
      </c>
      <c r="H83" s="18" t="s">
        <v>1694</v>
      </c>
      <c r="I83" s="3" t="s">
        <v>24</v>
      </c>
      <c r="J83" s="3">
        <v>32</v>
      </c>
      <c r="K83" s="3" t="s">
        <v>119</v>
      </c>
      <c r="L83" s="3" t="s">
        <v>23</v>
      </c>
      <c r="M83" s="3">
        <v>1036</v>
      </c>
      <c r="N83" s="3" t="str">
        <f t="shared" si="119"/>
        <v>0000040C</v>
      </c>
      <c r="O83" s="3">
        <v>31</v>
      </c>
      <c r="P83" s="3">
        <v>0</v>
      </c>
      <c r="Q83" s="3" t="str">
        <f t="shared" si="97"/>
        <v>X</v>
      </c>
      <c r="R83" s="3" t="str">
        <f t="shared" si="97"/>
        <v>X</v>
      </c>
      <c r="S83" s="3" t="str">
        <f t="shared" si="97"/>
        <v>X</v>
      </c>
      <c r="T83" s="3" t="str">
        <f t="shared" si="97"/>
        <v>X</v>
      </c>
      <c r="U83" s="3" t="str">
        <f t="shared" si="97"/>
        <v>X</v>
      </c>
      <c r="V83" s="3" t="str">
        <f t="shared" si="97"/>
        <v>X</v>
      </c>
      <c r="W83" s="3" t="str">
        <f t="shared" si="97"/>
        <v>X</v>
      </c>
      <c r="X83" s="3" t="str">
        <f t="shared" si="97"/>
        <v>X</v>
      </c>
      <c r="Y83" s="3" t="str">
        <f t="shared" si="97"/>
        <v>X</v>
      </c>
      <c r="Z83" s="3" t="str">
        <f t="shared" si="97"/>
        <v>X</v>
      </c>
      <c r="AA83" s="3" t="str">
        <f t="shared" si="97"/>
        <v>X</v>
      </c>
      <c r="AB83" s="3" t="str">
        <f t="shared" si="97"/>
        <v>X</v>
      </c>
      <c r="AC83" s="3" t="str">
        <f t="shared" si="97"/>
        <v>X</v>
      </c>
      <c r="AD83" s="3" t="str">
        <f t="shared" si="97"/>
        <v>X</v>
      </c>
      <c r="AE83" s="3" t="str">
        <f t="shared" si="97"/>
        <v>X</v>
      </c>
      <c r="AF83" s="3" t="str">
        <f t="shared" si="97"/>
        <v>X</v>
      </c>
      <c r="AG83" s="3" t="str">
        <f t="shared" si="98"/>
        <v>X</v>
      </c>
      <c r="AH83" s="3" t="str">
        <f t="shared" si="98"/>
        <v>X</v>
      </c>
      <c r="AI83" s="3" t="str">
        <f t="shared" si="98"/>
        <v>X</v>
      </c>
      <c r="AJ83" s="3" t="str">
        <f t="shared" si="98"/>
        <v>X</v>
      </c>
      <c r="AK83" s="3" t="str">
        <f t="shared" si="98"/>
        <v>X</v>
      </c>
      <c r="AL83" s="3" t="str">
        <f t="shared" si="98"/>
        <v>X</v>
      </c>
      <c r="AM83" s="3" t="str">
        <f t="shared" si="98"/>
        <v>X</v>
      </c>
      <c r="AN83" s="3" t="str">
        <f t="shared" si="98"/>
        <v>X</v>
      </c>
      <c r="AO83" s="3" t="str">
        <f t="shared" si="98"/>
        <v>X</v>
      </c>
      <c r="AP83" s="3" t="str">
        <f t="shared" si="98"/>
        <v>X</v>
      </c>
      <c r="AQ83" s="3" t="str">
        <f t="shared" si="98"/>
        <v>X</v>
      </c>
      <c r="AR83" s="3" t="str">
        <f t="shared" si="98"/>
        <v>X</v>
      </c>
      <c r="AS83" s="3" t="str">
        <f t="shared" si="98"/>
        <v>X</v>
      </c>
      <c r="AT83" s="3" t="str">
        <f t="shared" si="98"/>
        <v>X</v>
      </c>
      <c r="AU83" s="3" t="str">
        <f t="shared" si="98"/>
        <v>X</v>
      </c>
      <c r="AV83" s="3" t="str">
        <f t="shared" si="98"/>
        <v>X</v>
      </c>
      <c r="AW83" s="3" t="str">
        <f t="shared" si="92"/>
        <v>X</v>
      </c>
      <c r="AX83" s="3" t="str">
        <f t="shared" si="93"/>
        <v>X</v>
      </c>
      <c r="AY83" s="3" t="str">
        <f t="shared" si="94"/>
        <v>X</v>
      </c>
      <c r="AZ83" s="3" t="str">
        <f t="shared" si="95"/>
        <v>X</v>
      </c>
      <c r="BA83" s="3">
        <f t="shared" si="99"/>
        <v>4144</v>
      </c>
      <c r="BB83" s="3">
        <f t="shared" si="100"/>
        <v>4145</v>
      </c>
      <c r="BC83" s="3">
        <f t="shared" si="101"/>
        <v>4146</v>
      </c>
      <c r="BD83" s="3">
        <f t="shared" si="102"/>
        <v>4147</v>
      </c>
      <c r="BE83" s="7" t="str">
        <f t="shared" si="103"/>
        <v>00001030</v>
      </c>
      <c r="BF83" s="7" t="str">
        <f t="shared" si="104"/>
        <v>00001031</v>
      </c>
      <c r="BG83" s="7" t="str">
        <f t="shared" si="105"/>
        <v>00001032</v>
      </c>
      <c r="BH83" s="7" t="str">
        <f t="shared" si="106"/>
        <v>00001033</v>
      </c>
      <c r="BI83" s="3" t="str">
        <f t="shared" si="107"/>
        <v/>
      </c>
      <c r="BJ83" s="3" t="str">
        <f t="shared" si="108"/>
        <v/>
      </c>
      <c r="BK83" s="3" t="str">
        <f t="shared" si="109"/>
        <v/>
      </c>
      <c r="BL83" s="3" t="str">
        <f t="shared" si="110"/>
        <v/>
      </c>
      <c r="BM83" s="3">
        <f t="shared" si="111"/>
        <v>31</v>
      </c>
      <c r="BN83" s="3">
        <f t="shared" si="112"/>
        <v>23</v>
      </c>
      <c r="BO83" s="3">
        <f t="shared" si="113"/>
        <v>15</v>
      </c>
      <c r="BP83" s="3">
        <f t="shared" si="114"/>
        <v>7</v>
      </c>
      <c r="BQ83" s="3" t="str">
        <f t="shared" si="115"/>
        <v>(31 downto 24)</v>
      </c>
      <c r="BR83" s="3" t="str">
        <f t="shared" si="116"/>
        <v>(23 downto 16)</v>
      </c>
      <c r="BS83" s="3" t="str">
        <f t="shared" si="117"/>
        <v>(15 downto 8)</v>
      </c>
      <c r="BT83" s="3" t="str">
        <f t="shared" si="118"/>
        <v>(7 downto 0)</v>
      </c>
    </row>
    <row r="84" spans="2:72" x14ac:dyDescent="0.25">
      <c r="B84" s="3" t="s">
        <v>316</v>
      </c>
      <c r="C84" s="3" t="s">
        <v>1731</v>
      </c>
      <c r="D84" s="3" t="s">
        <v>0</v>
      </c>
      <c r="E84" s="3" t="s">
        <v>115</v>
      </c>
      <c r="F84" s="3" t="s">
        <v>383</v>
      </c>
      <c r="G84" s="3" t="s">
        <v>450</v>
      </c>
      <c r="H84" s="18" t="s">
        <v>1694</v>
      </c>
      <c r="I84" s="3" t="s">
        <v>24</v>
      </c>
      <c r="J84" s="3">
        <v>32</v>
      </c>
      <c r="K84" s="3" t="s">
        <v>119</v>
      </c>
      <c r="L84" s="3" t="s">
        <v>23</v>
      </c>
      <c r="M84" s="3">
        <v>1037</v>
      </c>
      <c r="N84" s="3" t="str">
        <f t="shared" si="119"/>
        <v>0000040D</v>
      </c>
      <c r="O84" s="3">
        <v>31</v>
      </c>
      <c r="P84" s="3">
        <v>0</v>
      </c>
      <c r="Q84" s="3" t="str">
        <f t="shared" si="97"/>
        <v>X</v>
      </c>
      <c r="R84" s="3" t="str">
        <f t="shared" si="97"/>
        <v>X</v>
      </c>
      <c r="S84" s="3" t="str">
        <f t="shared" si="97"/>
        <v>X</v>
      </c>
      <c r="T84" s="3" t="str">
        <f t="shared" si="97"/>
        <v>X</v>
      </c>
      <c r="U84" s="3" t="str">
        <f t="shared" si="97"/>
        <v>X</v>
      </c>
      <c r="V84" s="3" t="str">
        <f t="shared" si="97"/>
        <v>X</v>
      </c>
      <c r="W84" s="3" t="str">
        <f t="shared" si="97"/>
        <v>X</v>
      </c>
      <c r="X84" s="3" t="str">
        <f t="shared" si="97"/>
        <v>X</v>
      </c>
      <c r="Y84" s="3" t="str">
        <f t="shared" si="97"/>
        <v>X</v>
      </c>
      <c r="Z84" s="3" t="str">
        <f t="shared" si="97"/>
        <v>X</v>
      </c>
      <c r="AA84" s="3" t="str">
        <f t="shared" si="97"/>
        <v>X</v>
      </c>
      <c r="AB84" s="3" t="str">
        <f t="shared" si="97"/>
        <v>X</v>
      </c>
      <c r="AC84" s="3" t="str">
        <f t="shared" si="97"/>
        <v>X</v>
      </c>
      <c r="AD84" s="3" t="str">
        <f t="shared" si="97"/>
        <v>X</v>
      </c>
      <c r="AE84" s="3" t="str">
        <f t="shared" si="97"/>
        <v>X</v>
      </c>
      <c r="AF84" s="3" t="str">
        <f t="shared" si="97"/>
        <v>X</v>
      </c>
      <c r="AG84" s="3" t="str">
        <f t="shared" si="98"/>
        <v>X</v>
      </c>
      <c r="AH84" s="3" t="str">
        <f t="shared" si="98"/>
        <v>X</v>
      </c>
      <c r="AI84" s="3" t="str">
        <f t="shared" si="98"/>
        <v>X</v>
      </c>
      <c r="AJ84" s="3" t="str">
        <f t="shared" si="98"/>
        <v>X</v>
      </c>
      <c r="AK84" s="3" t="str">
        <f t="shared" si="98"/>
        <v>X</v>
      </c>
      <c r="AL84" s="3" t="str">
        <f t="shared" si="98"/>
        <v>X</v>
      </c>
      <c r="AM84" s="3" t="str">
        <f t="shared" si="98"/>
        <v>X</v>
      </c>
      <c r="AN84" s="3" t="str">
        <f t="shared" si="98"/>
        <v>X</v>
      </c>
      <c r="AO84" s="3" t="str">
        <f t="shared" si="98"/>
        <v>X</v>
      </c>
      <c r="AP84" s="3" t="str">
        <f t="shared" si="98"/>
        <v>X</v>
      </c>
      <c r="AQ84" s="3" t="str">
        <f t="shared" si="98"/>
        <v>X</v>
      </c>
      <c r="AR84" s="3" t="str">
        <f t="shared" si="98"/>
        <v>X</v>
      </c>
      <c r="AS84" s="3" t="str">
        <f t="shared" si="98"/>
        <v>X</v>
      </c>
      <c r="AT84" s="3" t="str">
        <f t="shared" si="98"/>
        <v>X</v>
      </c>
      <c r="AU84" s="3" t="str">
        <f t="shared" si="98"/>
        <v>X</v>
      </c>
      <c r="AV84" s="3" t="str">
        <f t="shared" si="98"/>
        <v>X</v>
      </c>
      <c r="AW84" s="3" t="str">
        <f t="shared" si="92"/>
        <v>X</v>
      </c>
      <c r="AX84" s="3" t="str">
        <f t="shared" si="93"/>
        <v>X</v>
      </c>
      <c r="AY84" s="3" t="str">
        <f t="shared" si="94"/>
        <v>X</v>
      </c>
      <c r="AZ84" s="3" t="str">
        <f t="shared" si="95"/>
        <v>X</v>
      </c>
      <c r="BA84" s="3">
        <f t="shared" si="99"/>
        <v>4148</v>
      </c>
      <c r="BB84" s="3">
        <f t="shared" si="100"/>
        <v>4149</v>
      </c>
      <c r="BC84" s="3">
        <f t="shared" si="101"/>
        <v>4150</v>
      </c>
      <c r="BD84" s="3">
        <f t="shared" si="102"/>
        <v>4151</v>
      </c>
      <c r="BE84" s="7" t="str">
        <f t="shared" si="103"/>
        <v>00001034</v>
      </c>
      <c r="BF84" s="7" t="str">
        <f t="shared" si="104"/>
        <v>00001035</v>
      </c>
      <c r="BG84" s="7" t="str">
        <f t="shared" si="105"/>
        <v>00001036</v>
      </c>
      <c r="BH84" s="7" t="str">
        <f t="shared" si="106"/>
        <v>00001037</v>
      </c>
      <c r="BI84" s="3" t="str">
        <f t="shared" si="107"/>
        <v/>
      </c>
      <c r="BJ84" s="3" t="str">
        <f t="shared" si="108"/>
        <v/>
      </c>
      <c r="BK84" s="3" t="str">
        <f t="shared" si="109"/>
        <v/>
      </c>
      <c r="BL84" s="3" t="str">
        <f t="shared" si="110"/>
        <v/>
      </c>
      <c r="BM84" s="3">
        <f t="shared" si="111"/>
        <v>31</v>
      </c>
      <c r="BN84" s="3">
        <f t="shared" si="112"/>
        <v>23</v>
      </c>
      <c r="BO84" s="3">
        <f t="shared" si="113"/>
        <v>15</v>
      </c>
      <c r="BP84" s="3">
        <f t="shared" si="114"/>
        <v>7</v>
      </c>
      <c r="BQ84" s="3" t="str">
        <f t="shared" si="115"/>
        <v>(31 downto 24)</v>
      </c>
      <c r="BR84" s="3" t="str">
        <f t="shared" si="116"/>
        <v>(23 downto 16)</v>
      </c>
      <c r="BS84" s="3" t="str">
        <f t="shared" si="117"/>
        <v>(15 downto 8)</v>
      </c>
      <c r="BT84" s="3" t="str">
        <f t="shared" si="118"/>
        <v>(7 downto 0)</v>
      </c>
    </row>
    <row r="85" spans="2:72" x14ac:dyDescent="0.25">
      <c r="B85" s="3" t="s">
        <v>317</v>
      </c>
      <c r="C85" s="3" t="s">
        <v>1732</v>
      </c>
      <c r="D85" s="3" t="s">
        <v>0</v>
      </c>
      <c r="E85" s="3" t="s">
        <v>115</v>
      </c>
      <c r="F85" s="3" t="s">
        <v>384</v>
      </c>
      <c r="G85" s="3" t="s">
        <v>451</v>
      </c>
      <c r="H85" s="18" t="s">
        <v>1694</v>
      </c>
      <c r="I85" s="3" t="s">
        <v>24</v>
      </c>
      <c r="J85" s="3">
        <v>32</v>
      </c>
      <c r="K85" s="3" t="s">
        <v>119</v>
      </c>
      <c r="L85" s="3" t="s">
        <v>23</v>
      </c>
      <c r="M85" s="3">
        <v>1038</v>
      </c>
      <c r="N85" s="3" t="str">
        <f t="shared" si="119"/>
        <v>0000040E</v>
      </c>
      <c r="O85" s="3">
        <v>31</v>
      </c>
      <c r="P85" s="3">
        <v>0</v>
      </c>
      <c r="Q85" s="3" t="str">
        <f t="shared" si="97"/>
        <v>X</v>
      </c>
      <c r="R85" s="3" t="str">
        <f t="shared" si="97"/>
        <v>X</v>
      </c>
      <c r="S85" s="3" t="str">
        <f t="shared" si="97"/>
        <v>X</v>
      </c>
      <c r="T85" s="3" t="str">
        <f t="shared" si="97"/>
        <v>X</v>
      </c>
      <c r="U85" s="3" t="str">
        <f t="shared" si="97"/>
        <v>X</v>
      </c>
      <c r="V85" s="3" t="str">
        <f t="shared" si="97"/>
        <v>X</v>
      </c>
      <c r="W85" s="3" t="str">
        <f t="shared" si="97"/>
        <v>X</v>
      </c>
      <c r="X85" s="3" t="str">
        <f t="shared" si="97"/>
        <v>X</v>
      </c>
      <c r="Y85" s="3" t="str">
        <f t="shared" si="97"/>
        <v>X</v>
      </c>
      <c r="Z85" s="3" t="str">
        <f t="shared" si="97"/>
        <v>X</v>
      </c>
      <c r="AA85" s="3" t="str">
        <f t="shared" si="97"/>
        <v>X</v>
      </c>
      <c r="AB85" s="3" t="str">
        <f t="shared" si="97"/>
        <v>X</v>
      </c>
      <c r="AC85" s="3" t="str">
        <f t="shared" si="97"/>
        <v>X</v>
      </c>
      <c r="AD85" s="3" t="str">
        <f t="shared" si="97"/>
        <v>X</v>
      </c>
      <c r="AE85" s="3" t="str">
        <f t="shared" si="97"/>
        <v>X</v>
      </c>
      <c r="AF85" s="3" t="str">
        <f t="shared" si="97"/>
        <v>X</v>
      </c>
      <c r="AG85" s="3" t="str">
        <f t="shared" si="98"/>
        <v>X</v>
      </c>
      <c r="AH85" s="3" t="str">
        <f t="shared" si="98"/>
        <v>X</v>
      </c>
      <c r="AI85" s="3" t="str">
        <f t="shared" si="98"/>
        <v>X</v>
      </c>
      <c r="AJ85" s="3" t="str">
        <f t="shared" si="98"/>
        <v>X</v>
      </c>
      <c r="AK85" s="3" t="str">
        <f t="shared" si="98"/>
        <v>X</v>
      </c>
      <c r="AL85" s="3" t="str">
        <f t="shared" si="98"/>
        <v>X</v>
      </c>
      <c r="AM85" s="3" t="str">
        <f t="shared" si="98"/>
        <v>X</v>
      </c>
      <c r="AN85" s="3" t="str">
        <f t="shared" si="98"/>
        <v>X</v>
      </c>
      <c r="AO85" s="3" t="str">
        <f t="shared" si="98"/>
        <v>X</v>
      </c>
      <c r="AP85" s="3" t="str">
        <f t="shared" si="98"/>
        <v>X</v>
      </c>
      <c r="AQ85" s="3" t="str">
        <f t="shared" si="98"/>
        <v>X</v>
      </c>
      <c r="AR85" s="3" t="str">
        <f t="shared" si="98"/>
        <v>X</v>
      </c>
      <c r="AS85" s="3" t="str">
        <f t="shared" si="98"/>
        <v>X</v>
      </c>
      <c r="AT85" s="3" t="str">
        <f t="shared" si="98"/>
        <v>X</v>
      </c>
      <c r="AU85" s="3" t="str">
        <f t="shared" si="98"/>
        <v>X</v>
      </c>
      <c r="AV85" s="3" t="str">
        <f t="shared" si="98"/>
        <v>X</v>
      </c>
      <c r="AW85" s="3" t="str">
        <f t="shared" si="92"/>
        <v>X</v>
      </c>
      <c r="AX85" s="3" t="str">
        <f t="shared" si="93"/>
        <v>X</v>
      </c>
      <c r="AY85" s="3" t="str">
        <f t="shared" si="94"/>
        <v>X</v>
      </c>
      <c r="AZ85" s="3" t="str">
        <f t="shared" si="95"/>
        <v>X</v>
      </c>
      <c r="BA85" s="3">
        <f t="shared" si="99"/>
        <v>4152</v>
      </c>
      <c r="BB85" s="3">
        <f t="shared" si="100"/>
        <v>4153</v>
      </c>
      <c r="BC85" s="3">
        <f t="shared" si="101"/>
        <v>4154</v>
      </c>
      <c r="BD85" s="3">
        <f t="shared" si="102"/>
        <v>4155</v>
      </c>
      <c r="BE85" s="7" t="str">
        <f t="shared" si="103"/>
        <v>00001038</v>
      </c>
      <c r="BF85" s="7" t="str">
        <f t="shared" si="104"/>
        <v>00001039</v>
      </c>
      <c r="BG85" s="7" t="str">
        <f t="shared" si="105"/>
        <v>0000103A</v>
      </c>
      <c r="BH85" s="7" t="str">
        <f t="shared" si="106"/>
        <v>0000103B</v>
      </c>
      <c r="BI85" s="3" t="str">
        <f t="shared" si="107"/>
        <v/>
      </c>
      <c r="BJ85" s="3" t="str">
        <f t="shared" si="108"/>
        <v/>
      </c>
      <c r="BK85" s="3" t="str">
        <f t="shared" si="109"/>
        <v/>
      </c>
      <c r="BL85" s="3" t="str">
        <f t="shared" si="110"/>
        <v/>
      </c>
      <c r="BM85" s="3">
        <f t="shared" si="111"/>
        <v>31</v>
      </c>
      <c r="BN85" s="3">
        <f t="shared" si="112"/>
        <v>23</v>
      </c>
      <c r="BO85" s="3">
        <f t="shared" si="113"/>
        <v>15</v>
      </c>
      <c r="BP85" s="3">
        <f t="shared" si="114"/>
        <v>7</v>
      </c>
      <c r="BQ85" s="3" t="str">
        <f t="shared" si="115"/>
        <v>(31 downto 24)</v>
      </c>
      <c r="BR85" s="3" t="str">
        <f t="shared" si="116"/>
        <v>(23 downto 16)</v>
      </c>
      <c r="BS85" s="3" t="str">
        <f t="shared" si="117"/>
        <v>(15 downto 8)</v>
      </c>
      <c r="BT85" s="3" t="str">
        <f t="shared" si="118"/>
        <v>(7 downto 0)</v>
      </c>
    </row>
    <row r="86" spans="2:72" x14ac:dyDescent="0.25">
      <c r="B86" s="3" t="s">
        <v>318</v>
      </c>
      <c r="C86" s="3" t="s">
        <v>1733</v>
      </c>
      <c r="D86" s="3" t="s">
        <v>0</v>
      </c>
      <c r="E86" s="3" t="s">
        <v>115</v>
      </c>
      <c r="F86" s="3" t="s">
        <v>385</v>
      </c>
      <c r="G86" s="3" t="s">
        <v>452</v>
      </c>
      <c r="H86" s="18" t="s">
        <v>1694</v>
      </c>
      <c r="I86" s="3" t="s">
        <v>24</v>
      </c>
      <c r="J86" s="3">
        <v>32</v>
      </c>
      <c r="K86" s="3" t="s">
        <v>119</v>
      </c>
      <c r="L86" s="3" t="s">
        <v>23</v>
      </c>
      <c r="M86" s="3">
        <v>1039</v>
      </c>
      <c r="N86" s="3" t="str">
        <f t="shared" si="119"/>
        <v>0000040F</v>
      </c>
      <c r="O86" s="3">
        <v>31</v>
      </c>
      <c r="P86" s="3">
        <v>0</v>
      </c>
      <c r="Q86" s="3" t="str">
        <f t="shared" si="97"/>
        <v>X</v>
      </c>
      <c r="R86" s="3" t="str">
        <f t="shared" si="97"/>
        <v>X</v>
      </c>
      <c r="S86" s="3" t="str">
        <f t="shared" si="97"/>
        <v>X</v>
      </c>
      <c r="T86" s="3" t="str">
        <f t="shared" si="97"/>
        <v>X</v>
      </c>
      <c r="U86" s="3" t="str">
        <f t="shared" si="97"/>
        <v>X</v>
      </c>
      <c r="V86" s="3" t="str">
        <f t="shared" si="97"/>
        <v>X</v>
      </c>
      <c r="W86" s="3" t="str">
        <f t="shared" si="97"/>
        <v>X</v>
      </c>
      <c r="X86" s="3" t="str">
        <f t="shared" si="97"/>
        <v>X</v>
      </c>
      <c r="Y86" s="3" t="str">
        <f t="shared" si="97"/>
        <v>X</v>
      </c>
      <c r="Z86" s="3" t="str">
        <f t="shared" si="97"/>
        <v>X</v>
      </c>
      <c r="AA86" s="3" t="str">
        <f t="shared" si="97"/>
        <v>X</v>
      </c>
      <c r="AB86" s="3" t="str">
        <f t="shared" si="97"/>
        <v>X</v>
      </c>
      <c r="AC86" s="3" t="str">
        <f t="shared" si="97"/>
        <v>X</v>
      </c>
      <c r="AD86" s="3" t="str">
        <f t="shared" si="97"/>
        <v>X</v>
      </c>
      <c r="AE86" s="3" t="str">
        <f t="shared" si="97"/>
        <v>X</v>
      </c>
      <c r="AF86" s="3" t="str">
        <f t="shared" si="97"/>
        <v>X</v>
      </c>
      <c r="AG86" s="3" t="str">
        <f t="shared" si="98"/>
        <v>X</v>
      </c>
      <c r="AH86" s="3" t="str">
        <f t="shared" si="98"/>
        <v>X</v>
      </c>
      <c r="AI86" s="3" t="str">
        <f t="shared" si="98"/>
        <v>X</v>
      </c>
      <c r="AJ86" s="3" t="str">
        <f t="shared" si="98"/>
        <v>X</v>
      </c>
      <c r="AK86" s="3" t="str">
        <f t="shared" si="98"/>
        <v>X</v>
      </c>
      <c r="AL86" s="3" t="str">
        <f t="shared" si="98"/>
        <v>X</v>
      </c>
      <c r="AM86" s="3" t="str">
        <f t="shared" si="98"/>
        <v>X</v>
      </c>
      <c r="AN86" s="3" t="str">
        <f t="shared" si="98"/>
        <v>X</v>
      </c>
      <c r="AO86" s="3" t="str">
        <f t="shared" si="98"/>
        <v>X</v>
      </c>
      <c r="AP86" s="3" t="str">
        <f t="shared" si="98"/>
        <v>X</v>
      </c>
      <c r="AQ86" s="3" t="str">
        <f t="shared" si="98"/>
        <v>X</v>
      </c>
      <c r="AR86" s="3" t="str">
        <f t="shared" si="98"/>
        <v>X</v>
      </c>
      <c r="AS86" s="3" t="str">
        <f t="shared" si="98"/>
        <v>X</v>
      </c>
      <c r="AT86" s="3" t="str">
        <f t="shared" si="98"/>
        <v>X</v>
      </c>
      <c r="AU86" s="3" t="str">
        <f t="shared" si="98"/>
        <v>X</v>
      </c>
      <c r="AV86" s="3" t="str">
        <f t="shared" si="98"/>
        <v>X</v>
      </c>
      <c r="AW86" s="3" t="str">
        <f t="shared" si="92"/>
        <v>X</v>
      </c>
      <c r="AX86" s="3" t="str">
        <f t="shared" si="93"/>
        <v>X</v>
      </c>
      <c r="AY86" s="3" t="str">
        <f t="shared" si="94"/>
        <v>X</v>
      </c>
      <c r="AZ86" s="3" t="str">
        <f t="shared" si="95"/>
        <v>X</v>
      </c>
      <c r="BA86" s="3">
        <f t="shared" si="99"/>
        <v>4156</v>
      </c>
      <c r="BB86" s="3">
        <f t="shared" si="100"/>
        <v>4157</v>
      </c>
      <c r="BC86" s="3">
        <f t="shared" si="101"/>
        <v>4158</v>
      </c>
      <c r="BD86" s="3">
        <f t="shared" si="102"/>
        <v>4159</v>
      </c>
      <c r="BE86" s="7" t="str">
        <f t="shared" si="103"/>
        <v>0000103C</v>
      </c>
      <c r="BF86" s="7" t="str">
        <f t="shared" si="104"/>
        <v>0000103D</v>
      </c>
      <c r="BG86" s="7" t="str">
        <f t="shared" si="105"/>
        <v>0000103E</v>
      </c>
      <c r="BH86" s="7" t="str">
        <f t="shared" si="106"/>
        <v>0000103F</v>
      </c>
      <c r="BI86" s="3" t="str">
        <f t="shared" si="107"/>
        <v/>
      </c>
      <c r="BJ86" s="3" t="str">
        <f t="shared" si="108"/>
        <v/>
      </c>
      <c r="BK86" s="3" t="str">
        <f t="shared" si="109"/>
        <v/>
      </c>
      <c r="BL86" s="3" t="str">
        <f t="shared" si="110"/>
        <v/>
      </c>
      <c r="BM86" s="3">
        <f t="shared" si="111"/>
        <v>31</v>
      </c>
      <c r="BN86" s="3">
        <f t="shared" si="112"/>
        <v>23</v>
      </c>
      <c r="BO86" s="3">
        <f t="shared" si="113"/>
        <v>15</v>
      </c>
      <c r="BP86" s="3">
        <f t="shared" si="114"/>
        <v>7</v>
      </c>
      <c r="BQ86" s="3" t="str">
        <f t="shared" si="115"/>
        <v>(31 downto 24)</v>
      </c>
      <c r="BR86" s="3" t="str">
        <f t="shared" si="116"/>
        <v>(23 downto 16)</v>
      </c>
      <c r="BS86" s="3" t="str">
        <f t="shared" si="117"/>
        <v>(15 downto 8)</v>
      </c>
      <c r="BT86" s="3" t="str">
        <f t="shared" si="118"/>
        <v>(7 downto 0)</v>
      </c>
    </row>
    <row r="87" spans="2:72" x14ac:dyDescent="0.25">
      <c r="B87" s="3" t="s">
        <v>319</v>
      </c>
      <c r="C87" s="3" t="s">
        <v>1734</v>
      </c>
      <c r="D87" s="3" t="s">
        <v>0</v>
      </c>
      <c r="E87" s="3" t="s">
        <v>115</v>
      </c>
      <c r="F87" s="3" t="s">
        <v>386</v>
      </c>
      <c r="G87" s="3" t="s">
        <v>453</v>
      </c>
      <c r="H87" s="18" t="s">
        <v>1694</v>
      </c>
      <c r="I87" s="3" t="s">
        <v>24</v>
      </c>
      <c r="J87" s="3">
        <v>32</v>
      </c>
      <c r="K87" s="3" t="s">
        <v>119</v>
      </c>
      <c r="L87" s="3" t="s">
        <v>23</v>
      </c>
      <c r="M87" s="3">
        <v>1040</v>
      </c>
      <c r="N87" s="3" t="str">
        <f t="shared" si="119"/>
        <v>00000410</v>
      </c>
      <c r="O87" s="3">
        <v>31</v>
      </c>
      <c r="P87" s="3">
        <v>0</v>
      </c>
      <c r="Q87" s="3" t="str">
        <f t="shared" si="97"/>
        <v>X</v>
      </c>
      <c r="R87" s="3" t="str">
        <f t="shared" si="97"/>
        <v>X</v>
      </c>
      <c r="S87" s="3" t="str">
        <f t="shared" si="97"/>
        <v>X</v>
      </c>
      <c r="T87" s="3" t="str">
        <f t="shared" si="97"/>
        <v>X</v>
      </c>
      <c r="U87" s="3" t="str">
        <f t="shared" si="97"/>
        <v>X</v>
      </c>
      <c r="V87" s="3" t="str">
        <f t="shared" si="97"/>
        <v>X</v>
      </c>
      <c r="W87" s="3" t="str">
        <f t="shared" si="97"/>
        <v>X</v>
      </c>
      <c r="X87" s="3" t="str">
        <f t="shared" si="97"/>
        <v>X</v>
      </c>
      <c r="Y87" s="3" t="str">
        <f t="shared" si="97"/>
        <v>X</v>
      </c>
      <c r="Z87" s="3" t="str">
        <f t="shared" si="97"/>
        <v>X</v>
      </c>
      <c r="AA87" s="3" t="str">
        <f t="shared" si="97"/>
        <v>X</v>
      </c>
      <c r="AB87" s="3" t="str">
        <f t="shared" ref="Q87:AF103" si="120">IF(AND($O87&gt;=AB$3,AB$3&gt;=$P87),"X","")</f>
        <v>X</v>
      </c>
      <c r="AC87" s="3" t="str">
        <f t="shared" si="120"/>
        <v>X</v>
      </c>
      <c r="AD87" s="3" t="str">
        <f t="shared" si="120"/>
        <v>X</v>
      </c>
      <c r="AE87" s="3" t="str">
        <f t="shared" si="120"/>
        <v>X</v>
      </c>
      <c r="AF87" s="3" t="str">
        <f t="shared" si="120"/>
        <v>X</v>
      </c>
      <c r="AG87" s="3" t="str">
        <f t="shared" si="98"/>
        <v>X</v>
      </c>
      <c r="AH87" s="3" t="str">
        <f t="shared" si="98"/>
        <v>X</v>
      </c>
      <c r="AI87" s="3" t="str">
        <f t="shared" si="98"/>
        <v>X</v>
      </c>
      <c r="AJ87" s="3" t="str">
        <f t="shared" si="98"/>
        <v>X</v>
      </c>
      <c r="AK87" s="3" t="str">
        <f t="shared" si="98"/>
        <v>X</v>
      </c>
      <c r="AL87" s="3" t="str">
        <f t="shared" si="98"/>
        <v>X</v>
      </c>
      <c r="AM87" s="3" t="str">
        <f t="shared" si="98"/>
        <v>X</v>
      </c>
      <c r="AN87" s="3" t="str">
        <f t="shared" si="98"/>
        <v>X</v>
      </c>
      <c r="AO87" s="3" t="str">
        <f t="shared" si="98"/>
        <v>X</v>
      </c>
      <c r="AP87" s="3" t="str">
        <f t="shared" si="98"/>
        <v>X</v>
      </c>
      <c r="AQ87" s="3" t="str">
        <f t="shared" si="98"/>
        <v>X</v>
      </c>
      <c r="AR87" s="3" t="str">
        <f t="shared" ref="AG87:AV103" si="121">IF(AND($O87&gt;=AR$3,AR$3&gt;=$P87),"X","")</f>
        <v>X</v>
      </c>
      <c r="AS87" s="3" t="str">
        <f t="shared" si="121"/>
        <v>X</v>
      </c>
      <c r="AT87" s="3" t="str">
        <f t="shared" si="121"/>
        <v>X</v>
      </c>
      <c r="AU87" s="3" t="str">
        <f t="shared" si="121"/>
        <v>X</v>
      </c>
      <c r="AV87" s="3" t="str">
        <f t="shared" si="121"/>
        <v>X</v>
      </c>
      <c r="AW87" s="3" t="str">
        <f t="shared" si="92"/>
        <v>X</v>
      </c>
      <c r="AX87" s="3" t="str">
        <f t="shared" si="93"/>
        <v>X</v>
      </c>
      <c r="AY87" s="3" t="str">
        <f t="shared" si="94"/>
        <v>X</v>
      </c>
      <c r="AZ87" s="3" t="str">
        <f t="shared" si="95"/>
        <v>X</v>
      </c>
      <c r="BA87" s="3">
        <f t="shared" si="99"/>
        <v>4160</v>
      </c>
      <c r="BB87" s="3">
        <f t="shared" si="100"/>
        <v>4161</v>
      </c>
      <c r="BC87" s="3">
        <f t="shared" si="101"/>
        <v>4162</v>
      </c>
      <c r="BD87" s="3">
        <f t="shared" si="102"/>
        <v>4163</v>
      </c>
      <c r="BE87" s="7" t="str">
        <f t="shared" si="103"/>
        <v>00001040</v>
      </c>
      <c r="BF87" s="7" t="str">
        <f t="shared" si="104"/>
        <v>00001041</v>
      </c>
      <c r="BG87" s="7" t="str">
        <f t="shared" si="105"/>
        <v>00001042</v>
      </c>
      <c r="BH87" s="7" t="str">
        <f t="shared" si="106"/>
        <v>00001043</v>
      </c>
      <c r="BI87" s="3" t="str">
        <f t="shared" si="107"/>
        <v/>
      </c>
      <c r="BJ87" s="3" t="str">
        <f t="shared" si="108"/>
        <v/>
      </c>
      <c r="BK87" s="3" t="str">
        <f t="shared" si="109"/>
        <v/>
      </c>
      <c r="BL87" s="3" t="str">
        <f t="shared" si="110"/>
        <v/>
      </c>
      <c r="BM87" s="3">
        <f t="shared" si="111"/>
        <v>31</v>
      </c>
      <c r="BN87" s="3">
        <f t="shared" si="112"/>
        <v>23</v>
      </c>
      <c r="BO87" s="3">
        <f t="shared" si="113"/>
        <v>15</v>
      </c>
      <c r="BP87" s="3">
        <f t="shared" si="114"/>
        <v>7</v>
      </c>
      <c r="BQ87" s="3" t="str">
        <f t="shared" si="115"/>
        <v>(31 downto 24)</v>
      </c>
      <c r="BR87" s="3" t="str">
        <f t="shared" si="116"/>
        <v>(23 downto 16)</v>
      </c>
      <c r="BS87" s="3" t="str">
        <f t="shared" si="117"/>
        <v>(15 downto 8)</v>
      </c>
      <c r="BT87" s="3" t="str">
        <f t="shared" si="118"/>
        <v>(7 downto 0)</v>
      </c>
    </row>
    <row r="88" spans="2:72" x14ac:dyDescent="0.25">
      <c r="B88" s="3" t="s">
        <v>320</v>
      </c>
      <c r="C88" s="3" t="s">
        <v>1735</v>
      </c>
      <c r="D88" s="3" t="s">
        <v>0</v>
      </c>
      <c r="E88" s="3" t="s">
        <v>115</v>
      </c>
      <c r="F88" s="3" t="s">
        <v>387</v>
      </c>
      <c r="G88" s="3" t="s">
        <v>454</v>
      </c>
      <c r="H88" s="18" t="s">
        <v>1694</v>
      </c>
      <c r="I88" s="3" t="s">
        <v>24</v>
      </c>
      <c r="J88" s="3">
        <v>32</v>
      </c>
      <c r="K88" s="3" t="s">
        <v>119</v>
      </c>
      <c r="L88" s="3" t="s">
        <v>23</v>
      </c>
      <c r="M88" s="3">
        <v>1041</v>
      </c>
      <c r="N88" s="3" t="str">
        <f t="shared" si="119"/>
        <v>00000411</v>
      </c>
      <c r="O88" s="3">
        <v>31</v>
      </c>
      <c r="P88" s="3">
        <v>0</v>
      </c>
      <c r="Q88" s="3" t="str">
        <f t="shared" si="120"/>
        <v>X</v>
      </c>
      <c r="R88" s="3" t="str">
        <f t="shared" si="120"/>
        <v>X</v>
      </c>
      <c r="S88" s="3" t="str">
        <f t="shared" si="120"/>
        <v>X</v>
      </c>
      <c r="T88" s="3" t="str">
        <f t="shared" si="120"/>
        <v>X</v>
      </c>
      <c r="U88" s="3" t="str">
        <f t="shared" si="120"/>
        <v>X</v>
      </c>
      <c r="V88" s="3" t="str">
        <f t="shared" si="120"/>
        <v>X</v>
      </c>
      <c r="W88" s="3" t="str">
        <f t="shared" si="120"/>
        <v>X</v>
      </c>
      <c r="X88" s="3" t="str">
        <f t="shared" si="120"/>
        <v>X</v>
      </c>
      <c r="Y88" s="3" t="str">
        <f t="shared" si="120"/>
        <v>X</v>
      </c>
      <c r="Z88" s="3" t="str">
        <f t="shared" si="120"/>
        <v>X</v>
      </c>
      <c r="AA88" s="3" t="str">
        <f t="shared" si="120"/>
        <v>X</v>
      </c>
      <c r="AB88" s="3" t="str">
        <f t="shared" si="120"/>
        <v>X</v>
      </c>
      <c r="AC88" s="3" t="str">
        <f t="shared" si="120"/>
        <v>X</v>
      </c>
      <c r="AD88" s="3" t="str">
        <f t="shared" si="120"/>
        <v>X</v>
      </c>
      <c r="AE88" s="3" t="str">
        <f t="shared" si="120"/>
        <v>X</v>
      </c>
      <c r="AF88" s="3" t="str">
        <f t="shared" si="120"/>
        <v>X</v>
      </c>
      <c r="AG88" s="3" t="str">
        <f t="shared" si="121"/>
        <v>X</v>
      </c>
      <c r="AH88" s="3" t="str">
        <f t="shared" si="121"/>
        <v>X</v>
      </c>
      <c r="AI88" s="3" t="str">
        <f t="shared" si="121"/>
        <v>X</v>
      </c>
      <c r="AJ88" s="3" t="str">
        <f t="shared" si="121"/>
        <v>X</v>
      </c>
      <c r="AK88" s="3" t="str">
        <f t="shared" si="121"/>
        <v>X</v>
      </c>
      <c r="AL88" s="3" t="str">
        <f t="shared" si="121"/>
        <v>X</v>
      </c>
      <c r="AM88" s="3" t="str">
        <f t="shared" si="121"/>
        <v>X</v>
      </c>
      <c r="AN88" s="3" t="str">
        <f t="shared" si="121"/>
        <v>X</v>
      </c>
      <c r="AO88" s="3" t="str">
        <f t="shared" si="121"/>
        <v>X</v>
      </c>
      <c r="AP88" s="3" t="str">
        <f t="shared" si="121"/>
        <v>X</v>
      </c>
      <c r="AQ88" s="3" t="str">
        <f t="shared" si="121"/>
        <v>X</v>
      </c>
      <c r="AR88" s="3" t="str">
        <f t="shared" si="121"/>
        <v>X</v>
      </c>
      <c r="AS88" s="3" t="str">
        <f t="shared" si="121"/>
        <v>X</v>
      </c>
      <c r="AT88" s="3" t="str">
        <f t="shared" si="121"/>
        <v>X</v>
      </c>
      <c r="AU88" s="3" t="str">
        <f t="shared" si="121"/>
        <v>X</v>
      </c>
      <c r="AV88" s="3" t="str">
        <f t="shared" si="121"/>
        <v>X</v>
      </c>
      <c r="AW88" s="3" t="str">
        <f t="shared" si="92"/>
        <v>X</v>
      </c>
      <c r="AX88" s="3" t="str">
        <f t="shared" si="93"/>
        <v>X</v>
      </c>
      <c r="AY88" s="3" t="str">
        <f t="shared" si="94"/>
        <v>X</v>
      </c>
      <c r="AZ88" s="3" t="str">
        <f t="shared" si="95"/>
        <v>X</v>
      </c>
      <c r="BA88" s="3">
        <f t="shared" si="99"/>
        <v>4164</v>
      </c>
      <c r="BB88" s="3">
        <f t="shared" si="100"/>
        <v>4165</v>
      </c>
      <c r="BC88" s="3">
        <f t="shared" si="101"/>
        <v>4166</v>
      </c>
      <c r="BD88" s="3">
        <f t="shared" si="102"/>
        <v>4167</v>
      </c>
      <c r="BE88" s="7" t="str">
        <f t="shared" si="103"/>
        <v>00001044</v>
      </c>
      <c r="BF88" s="7" t="str">
        <f t="shared" si="104"/>
        <v>00001045</v>
      </c>
      <c r="BG88" s="7" t="str">
        <f t="shared" si="105"/>
        <v>00001046</v>
      </c>
      <c r="BH88" s="7" t="str">
        <f t="shared" si="106"/>
        <v>00001047</v>
      </c>
      <c r="BI88" s="3" t="str">
        <f t="shared" si="107"/>
        <v/>
      </c>
      <c r="BJ88" s="3" t="str">
        <f t="shared" si="108"/>
        <v/>
      </c>
      <c r="BK88" s="3" t="str">
        <f t="shared" si="109"/>
        <v/>
      </c>
      <c r="BL88" s="3" t="str">
        <f t="shared" si="110"/>
        <v/>
      </c>
      <c r="BM88" s="3">
        <f t="shared" si="111"/>
        <v>31</v>
      </c>
      <c r="BN88" s="3">
        <f t="shared" si="112"/>
        <v>23</v>
      </c>
      <c r="BO88" s="3">
        <f t="shared" si="113"/>
        <v>15</v>
      </c>
      <c r="BP88" s="3">
        <f t="shared" si="114"/>
        <v>7</v>
      </c>
      <c r="BQ88" s="3" t="str">
        <f t="shared" si="115"/>
        <v>(31 downto 24)</v>
      </c>
      <c r="BR88" s="3" t="str">
        <f t="shared" si="116"/>
        <v>(23 downto 16)</v>
      </c>
      <c r="BS88" s="3" t="str">
        <f t="shared" si="117"/>
        <v>(15 downto 8)</v>
      </c>
      <c r="BT88" s="3" t="str">
        <f t="shared" si="118"/>
        <v>(7 downto 0)</v>
      </c>
    </row>
    <row r="89" spans="2:72" x14ac:dyDescent="0.25">
      <c r="B89" s="3" t="s">
        <v>321</v>
      </c>
      <c r="C89" s="3" t="s">
        <v>1736</v>
      </c>
      <c r="D89" s="3" t="s">
        <v>0</v>
      </c>
      <c r="E89" s="3" t="s">
        <v>115</v>
      </c>
      <c r="F89" s="3" t="s">
        <v>388</v>
      </c>
      <c r="G89" s="3" t="s">
        <v>455</v>
      </c>
      <c r="H89" s="18" t="s">
        <v>1694</v>
      </c>
      <c r="I89" s="3" t="s">
        <v>24</v>
      </c>
      <c r="J89" s="3">
        <v>32</v>
      </c>
      <c r="K89" s="3" t="s">
        <v>119</v>
      </c>
      <c r="L89" s="3" t="s">
        <v>23</v>
      </c>
      <c r="M89" s="3">
        <v>1042</v>
      </c>
      <c r="N89" s="3" t="str">
        <f t="shared" si="119"/>
        <v>00000412</v>
      </c>
      <c r="O89" s="3">
        <v>31</v>
      </c>
      <c r="P89" s="3">
        <v>0</v>
      </c>
      <c r="Q89" s="3" t="str">
        <f t="shared" si="120"/>
        <v>X</v>
      </c>
      <c r="R89" s="3" t="str">
        <f t="shared" si="120"/>
        <v>X</v>
      </c>
      <c r="S89" s="3" t="str">
        <f t="shared" si="120"/>
        <v>X</v>
      </c>
      <c r="T89" s="3" t="str">
        <f t="shared" si="120"/>
        <v>X</v>
      </c>
      <c r="U89" s="3" t="str">
        <f t="shared" si="120"/>
        <v>X</v>
      </c>
      <c r="V89" s="3" t="str">
        <f t="shared" si="120"/>
        <v>X</v>
      </c>
      <c r="W89" s="3" t="str">
        <f t="shared" si="120"/>
        <v>X</v>
      </c>
      <c r="X89" s="3" t="str">
        <f t="shared" si="120"/>
        <v>X</v>
      </c>
      <c r="Y89" s="3" t="str">
        <f t="shared" si="120"/>
        <v>X</v>
      </c>
      <c r="Z89" s="3" t="str">
        <f t="shared" si="120"/>
        <v>X</v>
      </c>
      <c r="AA89" s="3" t="str">
        <f t="shared" si="120"/>
        <v>X</v>
      </c>
      <c r="AB89" s="3" t="str">
        <f t="shared" si="120"/>
        <v>X</v>
      </c>
      <c r="AC89" s="3" t="str">
        <f t="shared" si="120"/>
        <v>X</v>
      </c>
      <c r="AD89" s="3" t="str">
        <f t="shared" si="120"/>
        <v>X</v>
      </c>
      <c r="AE89" s="3" t="str">
        <f t="shared" si="120"/>
        <v>X</v>
      </c>
      <c r="AF89" s="3" t="str">
        <f t="shared" si="120"/>
        <v>X</v>
      </c>
      <c r="AG89" s="3" t="str">
        <f t="shared" si="121"/>
        <v>X</v>
      </c>
      <c r="AH89" s="3" t="str">
        <f t="shared" si="121"/>
        <v>X</v>
      </c>
      <c r="AI89" s="3" t="str">
        <f t="shared" si="121"/>
        <v>X</v>
      </c>
      <c r="AJ89" s="3" t="str">
        <f t="shared" si="121"/>
        <v>X</v>
      </c>
      <c r="AK89" s="3" t="str">
        <f t="shared" si="121"/>
        <v>X</v>
      </c>
      <c r="AL89" s="3" t="str">
        <f t="shared" si="121"/>
        <v>X</v>
      </c>
      <c r="AM89" s="3" t="str">
        <f t="shared" si="121"/>
        <v>X</v>
      </c>
      <c r="AN89" s="3" t="str">
        <f t="shared" si="121"/>
        <v>X</v>
      </c>
      <c r="AO89" s="3" t="str">
        <f t="shared" si="121"/>
        <v>X</v>
      </c>
      <c r="AP89" s="3" t="str">
        <f t="shared" si="121"/>
        <v>X</v>
      </c>
      <c r="AQ89" s="3" t="str">
        <f t="shared" si="121"/>
        <v>X</v>
      </c>
      <c r="AR89" s="3" t="str">
        <f t="shared" si="121"/>
        <v>X</v>
      </c>
      <c r="AS89" s="3" t="str">
        <f t="shared" si="121"/>
        <v>X</v>
      </c>
      <c r="AT89" s="3" t="str">
        <f t="shared" si="121"/>
        <v>X</v>
      </c>
      <c r="AU89" s="3" t="str">
        <f t="shared" si="121"/>
        <v>X</v>
      </c>
      <c r="AV89" s="3" t="str">
        <f t="shared" si="121"/>
        <v>X</v>
      </c>
      <c r="AW89" s="3" t="str">
        <f t="shared" si="92"/>
        <v>X</v>
      </c>
      <c r="AX89" s="3" t="str">
        <f t="shared" si="93"/>
        <v>X</v>
      </c>
      <c r="AY89" s="3" t="str">
        <f t="shared" si="94"/>
        <v>X</v>
      </c>
      <c r="AZ89" s="3" t="str">
        <f t="shared" si="95"/>
        <v>X</v>
      </c>
      <c r="BA89" s="3">
        <f t="shared" si="99"/>
        <v>4168</v>
      </c>
      <c r="BB89" s="3">
        <f t="shared" si="100"/>
        <v>4169</v>
      </c>
      <c r="BC89" s="3">
        <f t="shared" si="101"/>
        <v>4170</v>
      </c>
      <c r="BD89" s="3">
        <f t="shared" si="102"/>
        <v>4171</v>
      </c>
      <c r="BE89" s="7" t="str">
        <f t="shared" si="103"/>
        <v>00001048</v>
      </c>
      <c r="BF89" s="7" t="str">
        <f t="shared" si="104"/>
        <v>00001049</v>
      </c>
      <c r="BG89" s="7" t="str">
        <f t="shared" si="105"/>
        <v>0000104A</v>
      </c>
      <c r="BH89" s="7" t="str">
        <f t="shared" si="106"/>
        <v>0000104B</v>
      </c>
      <c r="BI89" s="3" t="str">
        <f t="shared" si="107"/>
        <v/>
      </c>
      <c r="BJ89" s="3" t="str">
        <f t="shared" si="108"/>
        <v/>
      </c>
      <c r="BK89" s="3" t="str">
        <f t="shared" si="109"/>
        <v/>
      </c>
      <c r="BL89" s="3" t="str">
        <f t="shared" si="110"/>
        <v/>
      </c>
      <c r="BM89" s="3">
        <f t="shared" si="111"/>
        <v>31</v>
      </c>
      <c r="BN89" s="3">
        <f t="shared" si="112"/>
        <v>23</v>
      </c>
      <c r="BO89" s="3">
        <f t="shared" si="113"/>
        <v>15</v>
      </c>
      <c r="BP89" s="3">
        <f t="shared" si="114"/>
        <v>7</v>
      </c>
      <c r="BQ89" s="3" t="str">
        <f t="shared" si="115"/>
        <v>(31 downto 24)</v>
      </c>
      <c r="BR89" s="3" t="str">
        <f t="shared" si="116"/>
        <v>(23 downto 16)</v>
      </c>
      <c r="BS89" s="3" t="str">
        <f t="shared" si="117"/>
        <v>(15 downto 8)</v>
      </c>
      <c r="BT89" s="3" t="str">
        <f t="shared" si="118"/>
        <v>(7 downto 0)</v>
      </c>
    </row>
    <row r="90" spans="2:72" x14ac:dyDescent="0.25">
      <c r="B90" s="3" t="s">
        <v>322</v>
      </c>
      <c r="C90" s="3" t="s">
        <v>1737</v>
      </c>
      <c r="D90" s="3" t="s">
        <v>0</v>
      </c>
      <c r="E90" s="3" t="s">
        <v>115</v>
      </c>
      <c r="F90" s="3" t="s">
        <v>389</v>
      </c>
      <c r="G90" s="3" t="s">
        <v>456</v>
      </c>
      <c r="H90" s="18" t="s">
        <v>1694</v>
      </c>
      <c r="I90" s="3" t="s">
        <v>24</v>
      </c>
      <c r="J90" s="3">
        <v>32</v>
      </c>
      <c r="K90" s="3" t="s">
        <v>119</v>
      </c>
      <c r="L90" s="3" t="s">
        <v>23</v>
      </c>
      <c r="M90" s="3">
        <v>1043</v>
      </c>
      <c r="N90" s="3" t="str">
        <f t="shared" ref="N90:N98" si="122">DEC2HEX($M90,8)</f>
        <v>00000413</v>
      </c>
      <c r="O90" s="3">
        <v>31</v>
      </c>
      <c r="P90" s="3">
        <v>0</v>
      </c>
      <c r="Q90" s="3" t="str">
        <f t="shared" si="120"/>
        <v>X</v>
      </c>
      <c r="R90" s="3" t="str">
        <f t="shared" si="120"/>
        <v>X</v>
      </c>
      <c r="S90" s="3" t="str">
        <f t="shared" si="120"/>
        <v>X</v>
      </c>
      <c r="T90" s="3" t="str">
        <f t="shared" si="120"/>
        <v>X</v>
      </c>
      <c r="U90" s="3" t="str">
        <f t="shared" si="120"/>
        <v>X</v>
      </c>
      <c r="V90" s="3" t="str">
        <f t="shared" si="120"/>
        <v>X</v>
      </c>
      <c r="W90" s="3" t="str">
        <f t="shared" si="120"/>
        <v>X</v>
      </c>
      <c r="X90" s="3" t="str">
        <f t="shared" si="120"/>
        <v>X</v>
      </c>
      <c r="Y90" s="3" t="str">
        <f t="shared" si="120"/>
        <v>X</v>
      </c>
      <c r="Z90" s="3" t="str">
        <f t="shared" si="120"/>
        <v>X</v>
      </c>
      <c r="AA90" s="3" t="str">
        <f t="shared" si="120"/>
        <v>X</v>
      </c>
      <c r="AB90" s="3" t="str">
        <f t="shared" si="120"/>
        <v>X</v>
      </c>
      <c r="AC90" s="3" t="str">
        <f t="shared" si="120"/>
        <v>X</v>
      </c>
      <c r="AD90" s="3" t="str">
        <f t="shared" si="120"/>
        <v>X</v>
      </c>
      <c r="AE90" s="3" t="str">
        <f t="shared" si="120"/>
        <v>X</v>
      </c>
      <c r="AF90" s="3" t="str">
        <f t="shared" si="120"/>
        <v>X</v>
      </c>
      <c r="AG90" s="3" t="str">
        <f t="shared" si="121"/>
        <v>X</v>
      </c>
      <c r="AH90" s="3" t="str">
        <f t="shared" si="121"/>
        <v>X</v>
      </c>
      <c r="AI90" s="3" t="str">
        <f t="shared" si="121"/>
        <v>X</v>
      </c>
      <c r="AJ90" s="3" t="str">
        <f t="shared" si="121"/>
        <v>X</v>
      </c>
      <c r="AK90" s="3" t="str">
        <f t="shared" si="121"/>
        <v>X</v>
      </c>
      <c r="AL90" s="3" t="str">
        <f t="shared" si="121"/>
        <v>X</v>
      </c>
      <c r="AM90" s="3" t="str">
        <f t="shared" si="121"/>
        <v>X</v>
      </c>
      <c r="AN90" s="3" t="str">
        <f t="shared" si="121"/>
        <v>X</v>
      </c>
      <c r="AO90" s="3" t="str">
        <f t="shared" si="121"/>
        <v>X</v>
      </c>
      <c r="AP90" s="3" t="str">
        <f t="shared" si="121"/>
        <v>X</v>
      </c>
      <c r="AQ90" s="3" t="str">
        <f t="shared" si="121"/>
        <v>X</v>
      </c>
      <c r="AR90" s="3" t="str">
        <f t="shared" si="121"/>
        <v>X</v>
      </c>
      <c r="AS90" s="3" t="str">
        <f t="shared" si="121"/>
        <v>X</v>
      </c>
      <c r="AT90" s="3" t="str">
        <f t="shared" si="121"/>
        <v>X</v>
      </c>
      <c r="AU90" s="3" t="str">
        <f t="shared" si="121"/>
        <v>X</v>
      </c>
      <c r="AV90" s="3" t="str">
        <f t="shared" si="121"/>
        <v>X</v>
      </c>
      <c r="AW90" s="3" t="str">
        <f t="shared" si="92"/>
        <v>X</v>
      </c>
      <c r="AX90" s="3" t="str">
        <f t="shared" si="93"/>
        <v>X</v>
      </c>
      <c r="AY90" s="3" t="str">
        <f t="shared" si="94"/>
        <v>X</v>
      </c>
      <c r="AZ90" s="3" t="str">
        <f t="shared" si="95"/>
        <v>X</v>
      </c>
      <c r="BA90" s="3">
        <f t="shared" si="99"/>
        <v>4172</v>
      </c>
      <c r="BB90" s="3">
        <f t="shared" si="100"/>
        <v>4173</v>
      </c>
      <c r="BC90" s="3">
        <f t="shared" si="101"/>
        <v>4174</v>
      </c>
      <c r="BD90" s="3">
        <f t="shared" si="102"/>
        <v>4175</v>
      </c>
      <c r="BE90" s="7" t="str">
        <f t="shared" si="103"/>
        <v>0000104C</v>
      </c>
      <c r="BF90" s="7" t="str">
        <f t="shared" si="104"/>
        <v>0000104D</v>
      </c>
      <c r="BG90" s="7" t="str">
        <f t="shared" si="105"/>
        <v>0000104E</v>
      </c>
      <c r="BH90" s="7" t="str">
        <f t="shared" si="106"/>
        <v>0000104F</v>
      </c>
      <c r="BI90" s="3" t="str">
        <f t="shared" si="107"/>
        <v/>
      </c>
      <c r="BJ90" s="3" t="str">
        <f t="shared" si="108"/>
        <v/>
      </c>
      <c r="BK90" s="3" t="str">
        <f t="shared" si="109"/>
        <v/>
      </c>
      <c r="BL90" s="3" t="str">
        <f t="shared" si="110"/>
        <v/>
      </c>
      <c r="BM90" s="3">
        <f t="shared" si="111"/>
        <v>31</v>
      </c>
      <c r="BN90" s="3">
        <f t="shared" si="112"/>
        <v>23</v>
      </c>
      <c r="BO90" s="3">
        <f t="shared" si="113"/>
        <v>15</v>
      </c>
      <c r="BP90" s="3">
        <f t="shared" si="114"/>
        <v>7</v>
      </c>
      <c r="BQ90" s="3" t="str">
        <f t="shared" si="115"/>
        <v>(31 downto 24)</v>
      </c>
      <c r="BR90" s="3" t="str">
        <f t="shared" si="116"/>
        <v>(23 downto 16)</v>
      </c>
      <c r="BS90" s="3" t="str">
        <f t="shared" si="117"/>
        <v>(15 downto 8)</v>
      </c>
      <c r="BT90" s="3" t="str">
        <f t="shared" si="118"/>
        <v>(7 downto 0)</v>
      </c>
    </row>
    <row r="91" spans="2:72" x14ac:dyDescent="0.25">
      <c r="B91" s="3" t="s">
        <v>323</v>
      </c>
      <c r="C91" s="3" t="s">
        <v>1738</v>
      </c>
      <c r="D91" s="3" t="s">
        <v>0</v>
      </c>
      <c r="E91" s="3" t="s">
        <v>115</v>
      </c>
      <c r="F91" s="3" t="s">
        <v>390</v>
      </c>
      <c r="G91" s="3" t="s">
        <v>457</v>
      </c>
      <c r="H91" s="18" t="s">
        <v>1694</v>
      </c>
      <c r="I91" s="3" t="s">
        <v>24</v>
      </c>
      <c r="J91" s="3">
        <v>32</v>
      </c>
      <c r="K91" s="3" t="s">
        <v>119</v>
      </c>
      <c r="L91" s="3" t="s">
        <v>23</v>
      </c>
      <c r="M91" s="3">
        <v>1044</v>
      </c>
      <c r="N91" s="3" t="str">
        <f t="shared" si="122"/>
        <v>00000414</v>
      </c>
      <c r="O91" s="3">
        <v>31</v>
      </c>
      <c r="P91" s="3">
        <v>0</v>
      </c>
      <c r="Q91" s="3" t="str">
        <f t="shared" si="120"/>
        <v>X</v>
      </c>
      <c r="R91" s="3" t="str">
        <f t="shared" si="120"/>
        <v>X</v>
      </c>
      <c r="S91" s="3" t="str">
        <f t="shared" si="120"/>
        <v>X</v>
      </c>
      <c r="T91" s="3" t="str">
        <f t="shared" si="120"/>
        <v>X</v>
      </c>
      <c r="U91" s="3" t="str">
        <f t="shared" si="120"/>
        <v>X</v>
      </c>
      <c r="V91" s="3" t="str">
        <f t="shared" si="120"/>
        <v>X</v>
      </c>
      <c r="W91" s="3" t="str">
        <f t="shared" si="120"/>
        <v>X</v>
      </c>
      <c r="X91" s="3" t="str">
        <f t="shared" si="120"/>
        <v>X</v>
      </c>
      <c r="Y91" s="3" t="str">
        <f t="shared" si="120"/>
        <v>X</v>
      </c>
      <c r="Z91" s="3" t="str">
        <f t="shared" si="120"/>
        <v>X</v>
      </c>
      <c r="AA91" s="3" t="str">
        <f t="shared" si="120"/>
        <v>X</v>
      </c>
      <c r="AB91" s="3" t="str">
        <f t="shared" si="120"/>
        <v>X</v>
      </c>
      <c r="AC91" s="3" t="str">
        <f t="shared" si="120"/>
        <v>X</v>
      </c>
      <c r="AD91" s="3" t="str">
        <f t="shared" si="120"/>
        <v>X</v>
      </c>
      <c r="AE91" s="3" t="str">
        <f t="shared" si="120"/>
        <v>X</v>
      </c>
      <c r="AF91" s="3" t="str">
        <f t="shared" si="120"/>
        <v>X</v>
      </c>
      <c r="AG91" s="3" t="str">
        <f t="shared" si="121"/>
        <v>X</v>
      </c>
      <c r="AH91" s="3" t="str">
        <f t="shared" si="121"/>
        <v>X</v>
      </c>
      <c r="AI91" s="3" t="str">
        <f t="shared" si="121"/>
        <v>X</v>
      </c>
      <c r="AJ91" s="3" t="str">
        <f t="shared" si="121"/>
        <v>X</v>
      </c>
      <c r="AK91" s="3" t="str">
        <f t="shared" si="121"/>
        <v>X</v>
      </c>
      <c r="AL91" s="3" t="str">
        <f t="shared" si="121"/>
        <v>X</v>
      </c>
      <c r="AM91" s="3" t="str">
        <f t="shared" si="121"/>
        <v>X</v>
      </c>
      <c r="AN91" s="3" t="str">
        <f t="shared" si="121"/>
        <v>X</v>
      </c>
      <c r="AO91" s="3" t="str">
        <f t="shared" si="121"/>
        <v>X</v>
      </c>
      <c r="AP91" s="3" t="str">
        <f t="shared" si="121"/>
        <v>X</v>
      </c>
      <c r="AQ91" s="3" t="str">
        <f t="shared" si="121"/>
        <v>X</v>
      </c>
      <c r="AR91" s="3" t="str">
        <f t="shared" si="121"/>
        <v>X</v>
      </c>
      <c r="AS91" s="3" t="str">
        <f t="shared" si="121"/>
        <v>X</v>
      </c>
      <c r="AT91" s="3" t="str">
        <f t="shared" si="121"/>
        <v>X</v>
      </c>
      <c r="AU91" s="3" t="str">
        <f t="shared" si="121"/>
        <v>X</v>
      </c>
      <c r="AV91" s="3" t="str">
        <f t="shared" si="121"/>
        <v>X</v>
      </c>
      <c r="AW91" s="3" t="str">
        <f t="shared" si="92"/>
        <v>X</v>
      </c>
      <c r="AX91" s="3" t="str">
        <f t="shared" si="93"/>
        <v>X</v>
      </c>
      <c r="AY91" s="3" t="str">
        <f t="shared" si="94"/>
        <v>X</v>
      </c>
      <c r="AZ91" s="3" t="str">
        <f t="shared" si="95"/>
        <v>X</v>
      </c>
      <c r="BA91" s="3">
        <f t="shared" si="99"/>
        <v>4176</v>
      </c>
      <c r="BB91" s="3">
        <f t="shared" si="100"/>
        <v>4177</v>
      </c>
      <c r="BC91" s="3">
        <f t="shared" si="101"/>
        <v>4178</v>
      </c>
      <c r="BD91" s="3">
        <f t="shared" si="102"/>
        <v>4179</v>
      </c>
      <c r="BE91" s="7" t="str">
        <f t="shared" si="103"/>
        <v>00001050</v>
      </c>
      <c r="BF91" s="7" t="str">
        <f t="shared" si="104"/>
        <v>00001051</v>
      </c>
      <c r="BG91" s="7" t="str">
        <f t="shared" si="105"/>
        <v>00001052</v>
      </c>
      <c r="BH91" s="7" t="str">
        <f t="shared" si="106"/>
        <v>00001053</v>
      </c>
      <c r="BI91" s="3" t="str">
        <f t="shared" si="107"/>
        <v/>
      </c>
      <c r="BJ91" s="3" t="str">
        <f t="shared" si="108"/>
        <v/>
      </c>
      <c r="BK91" s="3" t="str">
        <f t="shared" si="109"/>
        <v/>
      </c>
      <c r="BL91" s="3" t="str">
        <f t="shared" si="110"/>
        <v/>
      </c>
      <c r="BM91" s="3">
        <f t="shared" si="111"/>
        <v>31</v>
      </c>
      <c r="BN91" s="3">
        <f t="shared" si="112"/>
        <v>23</v>
      </c>
      <c r="BO91" s="3">
        <f t="shared" si="113"/>
        <v>15</v>
      </c>
      <c r="BP91" s="3">
        <f t="shared" si="114"/>
        <v>7</v>
      </c>
      <c r="BQ91" s="3" t="str">
        <f t="shared" si="115"/>
        <v>(31 downto 24)</v>
      </c>
      <c r="BR91" s="3" t="str">
        <f t="shared" si="116"/>
        <v>(23 downto 16)</v>
      </c>
      <c r="BS91" s="3" t="str">
        <f t="shared" si="117"/>
        <v>(15 downto 8)</v>
      </c>
      <c r="BT91" s="3" t="str">
        <f t="shared" si="118"/>
        <v>(7 downto 0)</v>
      </c>
    </row>
    <row r="92" spans="2:72" x14ac:dyDescent="0.25">
      <c r="B92" s="3" t="s">
        <v>324</v>
      </c>
      <c r="C92" s="3" t="s">
        <v>1739</v>
      </c>
      <c r="D92" s="3" t="s">
        <v>0</v>
      </c>
      <c r="E92" s="3" t="s">
        <v>115</v>
      </c>
      <c r="F92" s="3" t="s">
        <v>391</v>
      </c>
      <c r="G92" s="3" t="s">
        <v>458</v>
      </c>
      <c r="H92" s="18" t="s">
        <v>1694</v>
      </c>
      <c r="I92" s="3" t="s">
        <v>24</v>
      </c>
      <c r="J92" s="3">
        <v>32</v>
      </c>
      <c r="K92" s="3" t="s">
        <v>119</v>
      </c>
      <c r="L92" s="3" t="s">
        <v>23</v>
      </c>
      <c r="M92" s="3">
        <v>1045</v>
      </c>
      <c r="N92" s="3" t="str">
        <f t="shared" si="122"/>
        <v>00000415</v>
      </c>
      <c r="O92" s="3">
        <v>31</v>
      </c>
      <c r="P92" s="3">
        <v>0</v>
      </c>
      <c r="Q92" s="3" t="str">
        <f t="shared" si="120"/>
        <v>X</v>
      </c>
      <c r="R92" s="3" t="str">
        <f t="shared" si="120"/>
        <v>X</v>
      </c>
      <c r="S92" s="3" t="str">
        <f t="shared" si="120"/>
        <v>X</v>
      </c>
      <c r="T92" s="3" t="str">
        <f t="shared" si="120"/>
        <v>X</v>
      </c>
      <c r="U92" s="3" t="str">
        <f t="shared" si="120"/>
        <v>X</v>
      </c>
      <c r="V92" s="3" t="str">
        <f t="shared" si="120"/>
        <v>X</v>
      </c>
      <c r="W92" s="3" t="str">
        <f t="shared" si="120"/>
        <v>X</v>
      </c>
      <c r="X92" s="3" t="str">
        <f t="shared" si="120"/>
        <v>X</v>
      </c>
      <c r="Y92" s="3" t="str">
        <f t="shared" si="120"/>
        <v>X</v>
      </c>
      <c r="Z92" s="3" t="str">
        <f t="shared" si="120"/>
        <v>X</v>
      </c>
      <c r="AA92" s="3" t="str">
        <f t="shared" si="120"/>
        <v>X</v>
      </c>
      <c r="AB92" s="3" t="str">
        <f t="shared" si="120"/>
        <v>X</v>
      </c>
      <c r="AC92" s="3" t="str">
        <f t="shared" si="120"/>
        <v>X</v>
      </c>
      <c r="AD92" s="3" t="str">
        <f t="shared" si="120"/>
        <v>X</v>
      </c>
      <c r="AE92" s="3" t="str">
        <f t="shared" si="120"/>
        <v>X</v>
      </c>
      <c r="AF92" s="3" t="str">
        <f t="shared" si="120"/>
        <v>X</v>
      </c>
      <c r="AG92" s="3" t="str">
        <f t="shared" si="121"/>
        <v>X</v>
      </c>
      <c r="AH92" s="3" t="str">
        <f t="shared" si="121"/>
        <v>X</v>
      </c>
      <c r="AI92" s="3" t="str">
        <f t="shared" si="121"/>
        <v>X</v>
      </c>
      <c r="AJ92" s="3" t="str">
        <f t="shared" si="121"/>
        <v>X</v>
      </c>
      <c r="AK92" s="3" t="str">
        <f t="shared" si="121"/>
        <v>X</v>
      </c>
      <c r="AL92" s="3" t="str">
        <f t="shared" si="121"/>
        <v>X</v>
      </c>
      <c r="AM92" s="3" t="str">
        <f t="shared" si="121"/>
        <v>X</v>
      </c>
      <c r="AN92" s="3" t="str">
        <f t="shared" si="121"/>
        <v>X</v>
      </c>
      <c r="AO92" s="3" t="str">
        <f t="shared" si="121"/>
        <v>X</v>
      </c>
      <c r="AP92" s="3" t="str">
        <f t="shared" si="121"/>
        <v>X</v>
      </c>
      <c r="AQ92" s="3" t="str">
        <f t="shared" si="121"/>
        <v>X</v>
      </c>
      <c r="AR92" s="3" t="str">
        <f t="shared" si="121"/>
        <v>X</v>
      </c>
      <c r="AS92" s="3" t="str">
        <f t="shared" si="121"/>
        <v>X</v>
      </c>
      <c r="AT92" s="3" t="str">
        <f t="shared" si="121"/>
        <v>X</v>
      </c>
      <c r="AU92" s="3" t="str">
        <f t="shared" si="121"/>
        <v>X</v>
      </c>
      <c r="AV92" s="3" t="str">
        <f t="shared" si="121"/>
        <v>X</v>
      </c>
      <c r="AW92" s="3" t="str">
        <f t="shared" si="92"/>
        <v>X</v>
      </c>
      <c r="AX92" s="3" t="str">
        <f t="shared" si="93"/>
        <v>X</v>
      </c>
      <c r="AY92" s="3" t="str">
        <f t="shared" si="94"/>
        <v>X</v>
      </c>
      <c r="AZ92" s="3" t="str">
        <f t="shared" si="95"/>
        <v>X</v>
      </c>
      <c r="BA92" s="3">
        <f t="shared" si="99"/>
        <v>4180</v>
      </c>
      <c r="BB92" s="3">
        <f t="shared" si="100"/>
        <v>4181</v>
      </c>
      <c r="BC92" s="3">
        <f t="shared" si="101"/>
        <v>4182</v>
      </c>
      <c r="BD92" s="3">
        <f t="shared" si="102"/>
        <v>4183</v>
      </c>
      <c r="BE92" s="7" t="str">
        <f t="shared" si="103"/>
        <v>00001054</v>
      </c>
      <c r="BF92" s="7" t="str">
        <f t="shared" si="104"/>
        <v>00001055</v>
      </c>
      <c r="BG92" s="7" t="str">
        <f t="shared" si="105"/>
        <v>00001056</v>
      </c>
      <c r="BH92" s="7" t="str">
        <f t="shared" si="106"/>
        <v>00001057</v>
      </c>
      <c r="BI92" s="3" t="str">
        <f t="shared" si="107"/>
        <v/>
      </c>
      <c r="BJ92" s="3" t="str">
        <f t="shared" si="108"/>
        <v/>
      </c>
      <c r="BK92" s="3" t="str">
        <f t="shared" si="109"/>
        <v/>
      </c>
      <c r="BL92" s="3" t="str">
        <f t="shared" si="110"/>
        <v/>
      </c>
      <c r="BM92" s="3">
        <f t="shared" si="111"/>
        <v>31</v>
      </c>
      <c r="BN92" s="3">
        <f t="shared" si="112"/>
        <v>23</v>
      </c>
      <c r="BO92" s="3">
        <f t="shared" si="113"/>
        <v>15</v>
      </c>
      <c r="BP92" s="3">
        <f t="shared" si="114"/>
        <v>7</v>
      </c>
      <c r="BQ92" s="3" t="str">
        <f t="shared" si="115"/>
        <v>(31 downto 24)</v>
      </c>
      <c r="BR92" s="3" t="str">
        <f t="shared" si="116"/>
        <v>(23 downto 16)</v>
      </c>
      <c r="BS92" s="3" t="str">
        <f t="shared" si="117"/>
        <v>(15 downto 8)</v>
      </c>
      <c r="BT92" s="3" t="str">
        <f t="shared" si="118"/>
        <v>(7 downto 0)</v>
      </c>
    </row>
    <row r="93" spans="2:72" x14ac:dyDescent="0.25">
      <c r="B93" s="3" t="s">
        <v>325</v>
      </c>
      <c r="C93" s="3" t="s">
        <v>1740</v>
      </c>
      <c r="D93" s="3" t="s">
        <v>0</v>
      </c>
      <c r="E93" s="3" t="s">
        <v>115</v>
      </c>
      <c r="F93" s="3" t="s">
        <v>392</v>
      </c>
      <c r="G93" s="3" t="s">
        <v>459</v>
      </c>
      <c r="H93" s="18" t="s">
        <v>1694</v>
      </c>
      <c r="I93" s="3" t="s">
        <v>24</v>
      </c>
      <c r="J93" s="3">
        <v>32</v>
      </c>
      <c r="K93" s="3" t="s">
        <v>119</v>
      </c>
      <c r="L93" s="3" t="s">
        <v>23</v>
      </c>
      <c r="M93" s="3">
        <v>1046</v>
      </c>
      <c r="N93" s="3" t="str">
        <f t="shared" si="122"/>
        <v>00000416</v>
      </c>
      <c r="O93" s="3">
        <v>31</v>
      </c>
      <c r="P93" s="3">
        <v>0</v>
      </c>
      <c r="Q93" s="3" t="str">
        <f t="shared" si="120"/>
        <v>X</v>
      </c>
      <c r="R93" s="3" t="str">
        <f t="shared" si="120"/>
        <v>X</v>
      </c>
      <c r="S93" s="3" t="str">
        <f t="shared" si="120"/>
        <v>X</v>
      </c>
      <c r="T93" s="3" t="str">
        <f t="shared" si="120"/>
        <v>X</v>
      </c>
      <c r="U93" s="3" t="str">
        <f t="shared" si="120"/>
        <v>X</v>
      </c>
      <c r="V93" s="3" t="str">
        <f t="shared" si="120"/>
        <v>X</v>
      </c>
      <c r="W93" s="3" t="str">
        <f t="shared" si="120"/>
        <v>X</v>
      </c>
      <c r="X93" s="3" t="str">
        <f t="shared" si="120"/>
        <v>X</v>
      </c>
      <c r="Y93" s="3" t="str">
        <f t="shared" si="120"/>
        <v>X</v>
      </c>
      <c r="Z93" s="3" t="str">
        <f t="shared" si="120"/>
        <v>X</v>
      </c>
      <c r="AA93" s="3" t="str">
        <f t="shared" si="120"/>
        <v>X</v>
      </c>
      <c r="AB93" s="3" t="str">
        <f t="shared" si="120"/>
        <v>X</v>
      </c>
      <c r="AC93" s="3" t="str">
        <f t="shared" si="120"/>
        <v>X</v>
      </c>
      <c r="AD93" s="3" t="str">
        <f t="shared" si="120"/>
        <v>X</v>
      </c>
      <c r="AE93" s="3" t="str">
        <f t="shared" si="120"/>
        <v>X</v>
      </c>
      <c r="AF93" s="3" t="str">
        <f t="shared" si="120"/>
        <v>X</v>
      </c>
      <c r="AG93" s="3" t="str">
        <f t="shared" si="121"/>
        <v>X</v>
      </c>
      <c r="AH93" s="3" t="str">
        <f t="shared" si="121"/>
        <v>X</v>
      </c>
      <c r="AI93" s="3" t="str">
        <f t="shared" si="121"/>
        <v>X</v>
      </c>
      <c r="AJ93" s="3" t="str">
        <f t="shared" si="121"/>
        <v>X</v>
      </c>
      <c r="AK93" s="3" t="str">
        <f t="shared" si="121"/>
        <v>X</v>
      </c>
      <c r="AL93" s="3" t="str">
        <f t="shared" si="121"/>
        <v>X</v>
      </c>
      <c r="AM93" s="3" t="str">
        <f t="shared" si="121"/>
        <v>X</v>
      </c>
      <c r="AN93" s="3" t="str">
        <f t="shared" si="121"/>
        <v>X</v>
      </c>
      <c r="AO93" s="3" t="str">
        <f t="shared" si="121"/>
        <v>X</v>
      </c>
      <c r="AP93" s="3" t="str">
        <f t="shared" si="121"/>
        <v>X</v>
      </c>
      <c r="AQ93" s="3" t="str">
        <f t="shared" si="121"/>
        <v>X</v>
      </c>
      <c r="AR93" s="3" t="str">
        <f t="shared" si="121"/>
        <v>X</v>
      </c>
      <c r="AS93" s="3" t="str">
        <f t="shared" si="121"/>
        <v>X</v>
      </c>
      <c r="AT93" s="3" t="str">
        <f t="shared" si="121"/>
        <v>X</v>
      </c>
      <c r="AU93" s="3" t="str">
        <f t="shared" si="121"/>
        <v>X</v>
      </c>
      <c r="AV93" s="3" t="str">
        <f t="shared" si="121"/>
        <v>X</v>
      </c>
      <c r="AW93" s="3" t="str">
        <f t="shared" si="92"/>
        <v>X</v>
      </c>
      <c r="AX93" s="3" t="str">
        <f t="shared" si="93"/>
        <v>X</v>
      </c>
      <c r="AY93" s="3" t="str">
        <f t="shared" si="94"/>
        <v>X</v>
      </c>
      <c r="AZ93" s="3" t="str">
        <f t="shared" si="95"/>
        <v>X</v>
      </c>
      <c r="BA93" s="3">
        <f t="shared" si="99"/>
        <v>4184</v>
      </c>
      <c r="BB93" s="3">
        <f t="shared" si="100"/>
        <v>4185</v>
      </c>
      <c r="BC93" s="3">
        <f t="shared" si="101"/>
        <v>4186</v>
      </c>
      <c r="BD93" s="3">
        <f t="shared" si="102"/>
        <v>4187</v>
      </c>
      <c r="BE93" s="7" t="str">
        <f t="shared" si="103"/>
        <v>00001058</v>
      </c>
      <c r="BF93" s="7" t="str">
        <f t="shared" si="104"/>
        <v>00001059</v>
      </c>
      <c r="BG93" s="7" t="str">
        <f t="shared" si="105"/>
        <v>0000105A</v>
      </c>
      <c r="BH93" s="7" t="str">
        <f t="shared" si="106"/>
        <v>0000105B</v>
      </c>
      <c r="BI93" s="3" t="str">
        <f t="shared" si="107"/>
        <v/>
      </c>
      <c r="BJ93" s="3" t="str">
        <f t="shared" si="108"/>
        <v/>
      </c>
      <c r="BK93" s="3" t="str">
        <f t="shared" si="109"/>
        <v/>
      </c>
      <c r="BL93" s="3" t="str">
        <f t="shared" si="110"/>
        <v/>
      </c>
      <c r="BM93" s="3">
        <f t="shared" si="111"/>
        <v>31</v>
      </c>
      <c r="BN93" s="3">
        <f t="shared" si="112"/>
        <v>23</v>
      </c>
      <c r="BO93" s="3">
        <f t="shared" si="113"/>
        <v>15</v>
      </c>
      <c r="BP93" s="3">
        <f t="shared" si="114"/>
        <v>7</v>
      </c>
      <c r="BQ93" s="3" t="str">
        <f t="shared" si="115"/>
        <v>(31 downto 24)</v>
      </c>
      <c r="BR93" s="3" t="str">
        <f t="shared" si="116"/>
        <v>(23 downto 16)</v>
      </c>
      <c r="BS93" s="3" t="str">
        <f t="shared" si="117"/>
        <v>(15 downto 8)</v>
      </c>
      <c r="BT93" s="3" t="str">
        <f t="shared" si="118"/>
        <v>(7 downto 0)</v>
      </c>
    </row>
    <row r="94" spans="2:72" x14ac:dyDescent="0.25">
      <c r="B94" s="3" t="s">
        <v>326</v>
      </c>
      <c r="C94" s="3" t="s">
        <v>1741</v>
      </c>
      <c r="D94" s="3" t="s">
        <v>0</v>
      </c>
      <c r="E94" s="3" t="s">
        <v>115</v>
      </c>
      <c r="F94" s="3" t="s">
        <v>393</v>
      </c>
      <c r="G94" s="3" t="s">
        <v>460</v>
      </c>
      <c r="H94" s="18" t="s">
        <v>1694</v>
      </c>
      <c r="I94" s="3" t="s">
        <v>24</v>
      </c>
      <c r="J94" s="3">
        <v>32</v>
      </c>
      <c r="K94" s="3" t="s">
        <v>119</v>
      </c>
      <c r="L94" s="3" t="s">
        <v>23</v>
      </c>
      <c r="M94" s="3">
        <v>1047</v>
      </c>
      <c r="N94" s="3" t="str">
        <f t="shared" si="122"/>
        <v>00000417</v>
      </c>
      <c r="O94" s="3">
        <v>31</v>
      </c>
      <c r="P94" s="3">
        <v>0</v>
      </c>
      <c r="Q94" s="3" t="str">
        <f t="shared" si="120"/>
        <v>X</v>
      </c>
      <c r="R94" s="3" t="str">
        <f t="shared" si="120"/>
        <v>X</v>
      </c>
      <c r="S94" s="3" t="str">
        <f t="shared" si="120"/>
        <v>X</v>
      </c>
      <c r="T94" s="3" t="str">
        <f t="shared" si="120"/>
        <v>X</v>
      </c>
      <c r="U94" s="3" t="str">
        <f t="shared" si="120"/>
        <v>X</v>
      </c>
      <c r="V94" s="3" t="str">
        <f t="shared" si="120"/>
        <v>X</v>
      </c>
      <c r="W94" s="3" t="str">
        <f t="shared" si="120"/>
        <v>X</v>
      </c>
      <c r="X94" s="3" t="str">
        <f t="shared" si="120"/>
        <v>X</v>
      </c>
      <c r="Y94" s="3" t="str">
        <f t="shared" si="120"/>
        <v>X</v>
      </c>
      <c r="Z94" s="3" t="str">
        <f t="shared" si="120"/>
        <v>X</v>
      </c>
      <c r="AA94" s="3" t="str">
        <f t="shared" si="120"/>
        <v>X</v>
      </c>
      <c r="AB94" s="3" t="str">
        <f t="shared" si="120"/>
        <v>X</v>
      </c>
      <c r="AC94" s="3" t="str">
        <f t="shared" si="120"/>
        <v>X</v>
      </c>
      <c r="AD94" s="3" t="str">
        <f t="shared" si="120"/>
        <v>X</v>
      </c>
      <c r="AE94" s="3" t="str">
        <f t="shared" si="120"/>
        <v>X</v>
      </c>
      <c r="AF94" s="3" t="str">
        <f t="shared" si="120"/>
        <v>X</v>
      </c>
      <c r="AG94" s="3" t="str">
        <f t="shared" si="121"/>
        <v>X</v>
      </c>
      <c r="AH94" s="3" t="str">
        <f t="shared" si="121"/>
        <v>X</v>
      </c>
      <c r="AI94" s="3" t="str">
        <f t="shared" si="121"/>
        <v>X</v>
      </c>
      <c r="AJ94" s="3" t="str">
        <f t="shared" si="121"/>
        <v>X</v>
      </c>
      <c r="AK94" s="3" t="str">
        <f t="shared" si="121"/>
        <v>X</v>
      </c>
      <c r="AL94" s="3" t="str">
        <f t="shared" si="121"/>
        <v>X</v>
      </c>
      <c r="AM94" s="3" t="str">
        <f t="shared" si="121"/>
        <v>X</v>
      </c>
      <c r="AN94" s="3" t="str">
        <f t="shared" si="121"/>
        <v>X</v>
      </c>
      <c r="AO94" s="3" t="str">
        <f t="shared" si="121"/>
        <v>X</v>
      </c>
      <c r="AP94" s="3" t="str">
        <f t="shared" si="121"/>
        <v>X</v>
      </c>
      <c r="AQ94" s="3" t="str">
        <f t="shared" si="121"/>
        <v>X</v>
      </c>
      <c r="AR94" s="3" t="str">
        <f t="shared" si="121"/>
        <v>X</v>
      </c>
      <c r="AS94" s="3" t="str">
        <f t="shared" si="121"/>
        <v>X</v>
      </c>
      <c r="AT94" s="3" t="str">
        <f t="shared" si="121"/>
        <v>X</v>
      </c>
      <c r="AU94" s="3" t="str">
        <f t="shared" si="121"/>
        <v>X</v>
      </c>
      <c r="AV94" s="3" t="str">
        <f t="shared" si="121"/>
        <v>X</v>
      </c>
      <c r="AW94" s="3" t="str">
        <f t="shared" si="92"/>
        <v>X</v>
      </c>
      <c r="AX94" s="3" t="str">
        <f t="shared" si="93"/>
        <v>X</v>
      </c>
      <c r="AY94" s="3" t="str">
        <f t="shared" si="94"/>
        <v>X</v>
      </c>
      <c r="AZ94" s="3" t="str">
        <f t="shared" si="95"/>
        <v>X</v>
      </c>
      <c r="BA94" s="3">
        <f t="shared" si="99"/>
        <v>4188</v>
      </c>
      <c r="BB94" s="3">
        <f t="shared" si="100"/>
        <v>4189</v>
      </c>
      <c r="BC94" s="3">
        <f t="shared" si="101"/>
        <v>4190</v>
      </c>
      <c r="BD94" s="3">
        <f t="shared" si="102"/>
        <v>4191</v>
      </c>
      <c r="BE94" s="7" t="str">
        <f t="shared" si="103"/>
        <v>0000105C</v>
      </c>
      <c r="BF94" s="7" t="str">
        <f t="shared" si="104"/>
        <v>0000105D</v>
      </c>
      <c r="BG94" s="7" t="str">
        <f t="shared" si="105"/>
        <v>0000105E</v>
      </c>
      <c r="BH94" s="7" t="str">
        <f t="shared" si="106"/>
        <v>0000105F</v>
      </c>
      <c r="BI94" s="3" t="str">
        <f t="shared" si="107"/>
        <v/>
      </c>
      <c r="BJ94" s="3" t="str">
        <f t="shared" si="108"/>
        <v/>
      </c>
      <c r="BK94" s="3" t="str">
        <f t="shared" si="109"/>
        <v/>
      </c>
      <c r="BL94" s="3" t="str">
        <f t="shared" si="110"/>
        <v/>
      </c>
      <c r="BM94" s="3">
        <f t="shared" si="111"/>
        <v>31</v>
      </c>
      <c r="BN94" s="3">
        <f t="shared" si="112"/>
        <v>23</v>
      </c>
      <c r="BO94" s="3">
        <f t="shared" si="113"/>
        <v>15</v>
      </c>
      <c r="BP94" s="3">
        <f t="shared" si="114"/>
        <v>7</v>
      </c>
      <c r="BQ94" s="3" t="str">
        <f t="shared" si="115"/>
        <v>(31 downto 24)</v>
      </c>
      <c r="BR94" s="3" t="str">
        <f t="shared" si="116"/>
        <v>(23 downto 16)</v>
      </c>
      <c r="BS94" s="3" t="str">
        <f t="shared" si="117"/>
        <v>(15 downto 8)</v>
      </c>
      <c r="BT94" s="3" t="str">
        <f t="shared" si="118"/>
        <v>(7 downto 0)</v>
      </c>
    </row>
    <row r="95" spans="2:72" x14ac:dyDescent="0.25">
      <c r="B95" s="3" t="s">
        <v>327</v>
      </c>
      <c r="C95" s="3" t="s">
        <v>1742</v>
      </c>
      <c r="D95" s="3" t="s">
        <v>0</v>
      </c>
      <c r="E95" s="3" t="s">
        <v>115</v>
      </c>
      <c r="F95" s="3" t="s">
        <v>394</v>
      </c>
      <c r="G95" s="3" t="s">
        <v>461</v>
      </c>
      <c r="H95" s="18" t="s">
        <v>1694</v>
      </c>
      <c r="I95" s="3" t="s">
        <v>24</v>
      </c>
      <c r="J95" s="3">
        <v>32</v>
      </c>
      <c r="K95" s="3" t="s">
        <v>119</v>
      </c>
      <c r="L95" s="3" t="s">
        <v>23</v>
      </c>
      <c r="M95" s="3">
        <v>1048</v>
      </c>
      <c r="N95" s="3" t="str">
        <f t="shared" si="122"/>
        <v>00000418</v>
      </c>
      <c r="O95" s="3">
        <v>231</v>
      </c>
      <c r="P95" s="3">
        <v>0</v>
      </c>
      <c r="Q95" s="3" t="str">
        <f t="shared" si="120"/>
        <v>X</v>
      </c>
      <c r="R95" s="3" t="str">
        <f t="shared" si="120"/>
        <v>X</v>
      </c>
      <c r="S95" s="3" t="str">
        <f t="shared" si="120"/>
        <v>X</v>
      </c>
      <c r="T95" s="3" t="str">
        <f t="shared" si="120"/>
        <v>X</v>
      </c>
      <c r="U95" s="3" t="str">
        <f t="shared" si="120"/>
        <v>X</v>
      </c>
      <c r="V95" s="3" t="str">
        <f t="shared" si="120"/>
        <v>X</v>
      </c>
      <c r="W95" s="3" t="str">
        <f t="shared" si="120"/>
        <v>X</v>
      </c>
      <c r="X95" s="3" t="str">
        <f t="shared" si="120"/>
        <v>X</v>
      </c>
      <c r="Y95" s="3" t="str">
        <f t="shared" si="120"/>
        <v>X</v>
      </c>
      <c r="Z95" s="3" t="str">
        <f t="shared" si="120"/>
        <v>X</v>
      </c>
      <c r="AA95" s="3" t="str">
        <f t="shared" si="120"/>
        <v>X</v>
      </c>
      <c r="AB95" s="3" t="str">
        <f t="shared" si="120"/>
        <v>X</v>
      </c>
      <c r="AC95" s="3" t="str">
        <f t="shared" si="120"/>
        <v>X</v>
      </c>
      <c r="AD95" s="3" t="str">
        <f t="shared" si="120"/>
        <v>X</v>
      </c>
      <c r="AE95" s="3" t="str">
        <f t="shared" si="120"/>
        <v>X</v>
      </c>
      <c r="AF95" s="3" t="str">
        <f t="shared" si="120"/>
        <v>X</v>
      </c>
      <c r="AG95" s="3" t="str">
        <f t="shared" si="121"/>
        <v>X</v>
      </c>
      <c r="AH95" s="3" t="str">
        <f t="shared" si="121"/>
        <v>X</v>
      </c>
      <c r="AI95" s="3" t="str">
        <f t="shared" si="121"/>
        <v>X</v>
      </c>
      <c r="AJ95" s="3" t="str">
        <f t="shared" si="121"/>
        <v>X</v>
      </c>
      <c r="AK95" s="3" t="str">
        <f t="shared" si="121"/>
        <v>X</v>
      </c>
      <c r="AL95" s="3" t="str">
        <f t="shared" si="121"/>
        <v>X</v>
      </c>
      <c r="AM95" s="3" t="str">
        <f t="shared" si="121"/>
        <v>X</v>
      </c>
      <c r="AN95" s="3" t="str">
        <f t="shared" si="121"/>
        <v>X</v>
      </c>
      <c r="AO95" s="3" t="str">
        <f t="shared" si="121"/>
        <v>X</v>
      </c>
      <c r="AP95" s="3" t="str">
        <f t="shared" si="121"/>
        <v>X</v>
      </c>
      <c r="AQ95" s="3" t="str">
        <f t="shared" si="121"/>
        <v>X</v>
      </c>
      <c r="AR95" s="3" t="str">
        <f t="shared" si="121"/>
        <v>X</v>
      </c>
      <c r="AS95" s="3" t="str">
        <f t="shared" si="121"/>
        <v>X</v>
      </c>
      <c r="AT95" s="3" t="str">
        <f t="shared" si="121"/>
        <v>X</v>
      </c>
      <c r="AU95" s="3" t="str">
        <f t="shared" si="121"/>
        <v>X</v>
      </c>
      <c r="AV95" s="3" t="str">
        <f t="shared" si="121"/>
        <v>X</v>
      </c>
      <c r="AW95" s="3" t="str">
        <f t="shared" si="92"/>
        <v>X</v>
      </c>
      <c r="AX95" s="3" t="str">
        <f t="shared" si="93"/>
        <v>X</v>
      </c>
      <c r="AY95" s="3" t="str">
        <f t="shared" si="94"/>
        <v>X</v>
      </c>
      <c r="AZ95" s="3" t="str">
        <f t="shared" si="95"/>
        <v>X</v>
      </c>
      <c r="BA95" s="3">
        <f t="shared" si="99"/>
        <v>4192</v>
      </c>
      <c r="BB95" s="3">
        <f t="shared" si="100"/>
        <v>4193</v>
      </c>
      <c r="BC95" s="3">
        <f t="shared" si="101"/>
        <v>4194</v>
      </c>
      <c r="BD95" s="3">
        <f t="shared" si="102"/>
        <v>4195</v>
      </c>
      <c r="BE95" s="7" t="str">
        <f t="shared" si="103"/>
        <v>00001060</v>
      </c>
      <c r="BF95" s="7" t="str">
        <f t="shared" si="104"/>
        <v>00001061</v>
      </c>
      <c r="BG95" s="7" t="str">
        <f t="shared" si="105"/>
        <v>00001062</v>
      </c>
      <c r="BH95" s="7" t="str">
        <f t="shared" si="106"/>
        <v>00001063</v>
      </c>
      <c r="BI95" s="3" t="str">
        <f t="shared" si="107"/>
        <v/>
      </c>
      <c r="BJ95" s="3" t="str">
        <f t="shared" si="108"/>
        <v/>
      </c>
      <c r="BK95" s="3" t="str">
        <f t="shared" si="109"/>
        <v/>
      </c>
      <c r="BL95" s="3" t="str">
        <f t="shared" si="110"/>
        <v/>
      </c>
      <c r="BM95" s="3">
        <f t="shared" si="111"/>
        <v>31</v>
      </c>
      <c r="BN95" s="3">
        <f t="shared" si="112"/>
        <v>23</v>
      </c>
      <c r="BO95" s="3">
        <f t="shared" si="113"/>
        <v>15</v>
      </c>
      <c r="BP95" s="3">
        <f t="shared" si="114"/>
        <v>7</v>
      </c>
      <c r="BQ95" s="3" t="str">
        <f t="shared" si="115"/>
        <v>(31 downto 24)</v>
      </c>
      <c r="BR95" s="3" t="str">
        <f t="shared" si="116"/>
        <v>(23 downto 16)</v>
      </c>
      <c r="BS95" s="3" t="str">
        <f t="shared" si="117"/>
        <v>(15 downto 8)</v>
      </c>
      <c r="BT95" s="3" t="str">
        <f t="shared" si="118"/>
        <v>(7 downto 0)</v>
      </c>
    </row>
    <row r="96" spans="2:72" x14ac:dyDescent="0.25">
      <c r="B96" s="3" t="s">
        <v>328</v>
      </c>
      <c r="C96" s="3" t="s">
        <v>1744</v>
      </c>
      <c r="D96" s="3" t="s">
        <v>0</v>
      </c>
      <c r="E96" s="3" t="s">
        <v>1686</v>
      </c>
      <c r="F96" s="3" t="s">
        <v>395</v>
      </c>
      <c r="G96" s="3" t="s">
        <v>1687</v>
      </c>
      <c r="H96" s="18" t="s">
        <v>1694</v>
      </c>
      <c r="I96" s="3" t="s">
        <v>24</v>
      </c>
      <c r="J96" s="3">
        <v>6</v>
      </c>
      <c r="K96" s="3" t="s">
        <v>119</v>
      </c>
      <c r="L96" s="3" t="s">
        <v>23</v>
      </c>
      <c r="M96" s="3">
        <v>1056</v>
      </c>
      <c r="N96" s="3" t="str">
        <f t="shared" si="122"/>
        <v>00000420</v>
      </c>
      <c r="O96" s="3">
        <v>30</v>
      </c>
      <c r="P96" s="3">
        <v>25</v>
      </c>
      <c r="Q96" s="3" t="str">
        <f t="shared" si="120"/>
        <v/>
      </c>
      <c r="R96" s="3" t="str">
        <f t="shared" si="120"/>
        <v>X</v>
      </c>
      <c r="S96" s="3" t="str">
        <f t="shared" si="120"/>
        <v>X</v>
      </c>
      <c r="T96" s="3" t="str">
        <f t="shared" si="120"/>
        <v>X</v>
      </c>
      <c r="U96" s="3" t="str">
        <f t="shared" si="120"/>
        <v>X</v>
      </c>
      <c r="V96" s="3" t="str">
        <f t="shared" si="120"/>
        <v>X</v>
      </c>
      <c r="W96" s="3" t="str">
        <f t="shared" si="120"/>
        <v>X</v>
      </c>
      <c r="X96" s="3" t="str">
        <f t="shared" si="120"/>
        <v/>
      </c>
      <c r="Y96" s="3" t="str">
        <f t="shared" si="120"/>
        <v/>
      </c>
      <c r="Z96" s="3" t="str">
        <f t="shared" si="120"/>
        <v/>
      </c>
      <c r="AA96" s="3" t="str">
        <f t="shared" si="120"/>
        <v/>
      </c>
      <c r="AB96" s="3" t="str">
        <f t="shared" si="120"/>
        <v/>
      </c>
      <c r="AC96" s="3" t="str">
        <f t="shared" si="120"/>
        <v/>
      </c>
      <c r="AD96" s="3" t="str">
        <f t="shared" si="120"/>
        <v/>
      </c>
      <c r="AE96" s="3" t="str">
        <f t="shared" si="120"/>
        <v/>
      </c>
      <c r="AF96" s="3" t="str">
        <f t="shared" si="120"/>
        <v/>
      </c>
      <c r="AG96" s="3" t="str">
        <f t="shared" si="121"/>
        <v/>
      </c>
      <c r="AH96" s="3" t="str">
        <f t="shared" si="121"/>
        <v/>
      </c>
      <c r="AI96" s="3" t="str">
        <f t="shared" si="121"/>
        <v/>
      </c>
      <c r="AJ96" s="3" t="str">
        <f t="shared" si="121"/>
        <v/>
      </c>
      <c r="AK96" s="3" t="str">
        <f t="shared" si="121"/>
        <v/>
      </c>
      <c r="AL96" s="3" t="str">
        <f t="shared" si="121"/>
        <v/>
      </c>
      <c r="AM96" s="3" t="str">
        <f t="shared" si="121"/>
        <v/>
      </c>
      <c r="AN96" s="3" t="str">
        <f t="shared" si="121"/>
        <v/>
      </c>
      <c r="AO96" s="3" t="str">
        <f t="shared" si="121"/>
        <v/>
      </c>
      <c r="AP96" s="3" t="str">
        <f t="shared" si="121"/>
        <v/>
      </c>
      <c r="AQ96" s="3" t="str">
        <f t="shared" si="121"/>
        <v/>
      </c>
      <c r="AR96" s="3" t="str">
        <f t="shared" si="121"/>
        <v/>
      </c>
      <c r="AS96" s="3" t="str">
        <f t="shared" si="121"/>
        <v/>
      </c>
      <c r="AT96" s="3" t="str">
        <f t="shared" si="121"/>
        <v/>
      </c>
      <c r="AU96" s="3" t="str">
        <f t="shared" si="121"/>
        <v/>
      </c>
      <c r="AV96" s="3" t="str">
        <f t="shared" si="121"/>
        <v/>
      </c>
      <c r="AW96" s="3" t="str">
        <f t="shared" si="92"/>
        <v>X</v>
      </c>
      <c r="AX96" s="3" t="str">
        <f t="shared" si="93"/>
        <v/>
      </c>
      <c r="AY96" s="3" t="str">
        <f t="shared" si="94"/>
        <v/>
      </c>
      <c r="AZ96" s="3" t="str">
        <f t="shared" si="95"/>
        <v/>
      </c>
      <c r="BA96" s="3">
        <f t="shared" si="99"/>
        <v>4224</v>
      </c>
      <c r="BB96" s="3" t="str">
        <f t="shared" si="100"/>
        <v/>
      </c>
      <c r="BC96" s="3" t="str">
        <f t="shared" si="101"/>
        <v/>
      </c>
      <c r="BD96" s="3" t="str">
        <f t="shared" si="102"/>
        <v/>
      </c>
      <c r="BE96" s="7" t="str">
        <f t="shared" si="103"/>
        <v>00001080</v>
      </c>
      <c r="BF96" s="7" t="str">
        <f t="shared" si="104"/>
        <v/>
      </c>
      <c r="BG96" s="7" t="str">
        <f t="shared" si="105"/>
        <v/>
      </c>
      <c r="BH96" s="7" t="str">
        <f t="shared" si="106"/>
        <v/>
      </c>
      <c r="BI96" s="3" t="str">
        <f t="shared" si="107"/>
        <v>(6 downto 1)</v>
      </c>
      <c r="BJ96" s="3" t="str">
        <f t="shared" si="108"/>
        <v/>
      </c>
      <c r="BK96" s="3" t="str">
        <f t="shared" si="109"/>
        <v/>
      </c>
      <c r="BL96" s="3" t="str">
        <f t="shared" si="110"/>
        <v/>
      </c>
      <c r="BM96" s="3">
        <f t="shared" si="111"/>
        <v>5</v>
      </c>
      <c r="BN96" s="3" t="str">
        <f t="shared" si="112"/>
        <v/>
      </c>
      <c r="BO96" s="3" t="str">
        <f t="shared" si="113"/>
        <v/>
      </c>
      <c r="BP96" s="3" t="str">
        <f t="shared" si="114"/>
        <v/>
      </c>
      <c r="BQ96" s="3" t="str">
        <f t="shared" si="115"/>
        <v/>
      </c>
      <c r="BR96" s="3" t="str">
        <f t="shared" si="116"/>
        <v/>
      </c>
      <c r="BS96" s="3" t="str">
        <f t="shared" si="117"/>
        <v/>
      </c>
      <c r="BT96" s="3" t="str">
        <f t="shared" si="118"/>
        <v/>
      </c>
    </row>
    <row r="97" spans="2:72" x14ac:dyDescent="0.25">
      <c r="B97" s="3" t="s">
        <v>328</v>
      </c>
      <c r="C97" s="3" t="s">
        <v>1743</v>
      </c>
      <c r="D97" s="3" t="s">
        <v>0</v>
      </c>
      <c r="E97" s="3" t="s">
        <v>1686</v>
      </c>
      <c r="F97" s="3" t="s">
        <v>395</v>
      </c>
      <c r="G97" s="3" t="s">
        <v>1687</v>
      </c>
      <c r="H97" s="18" t="s">
        <v>1721</v>
      </c>
      <c r="I97" s="3" t="s">
        <v>24</v>
      </c>
      <c r="J97" s="3">
        <v>24</v>
      </c>
      <c r="K97" s="3" t="s">
        <v>119</v>
      </c>
      <c r="L97" s="3" t="s">
        <v>23</v>
      </c>
      <c r="M97" s="3">
        <v>1056</v>
      </c>
      <c r="N97" s="3" t="str">
        <f t="shared" si="122"/>
        <v>00000420</v>
      </c>
      <c r="O97" s="3">
        <v>23</v>
      </c>
      <c r="P97" s="3">
        <v>0</v>
      </c>
      <c r="Q97" s="3" t="str">
        <f t="shared" si="120"/>
        <v/>
      </c>
      <c r="R97" s="3" t="str">
        <f t="shared" si="120"/>
        <v/>
      </c>
      <c r="S97" s="3" t="str">
        <f t="shared" si="120"/>
        <v/>
      </c>
      <c r="T97" s="3" t="str">
        <f t="shared" si="120"/>
        <v/>
      </c>
      <c r="U97" s="3" t="str">
        <f t="shared" si="120"/>
        <v/>
      </c>
      <c r="V97" s="3" t="str">
        <f t="shared" si="120"/>
        <v/>
      </c>
      <c r="W97" s="3" t="str">
        <f t="shared" si="120"/>
        <v/>
      </c>
      <c r="X97" s="3" t="str">
        <f t="shared" si="120"/>
        <v/>
      </c>
      <c r="Y97" s="3" t="str">
        <f t="shared" si="120"/>
        <v>X</v>
      </c>
      <c r="Z97" s="3" t="str">
        <f t="shared" si="120"/>
        <v>X</v>
      </c>
      <c r="AA97" s="3" t="str">
        <f t="shared" si="120"/>
        <v>X</v>
      </c>
      <c r="AB97" s="3" t="str">
        <f t="shared" si="120"/>
        <v>X</v>
      </c>
      <c r="AC97" s="3" t="str">
        <f t="shared" si="120"/>
        <v>X</v>
      </c>
      <c r="AD97" s="3" t="str">
        <f t="shared" si="120"/>
        <v>X</v>
      </c>
      <c r="AE97" s="3" t="str">
        <f t="shared" si="120"/>
        <v>X</v>
      </c>
      <c r="AF97" s="3" t="str">
        <f t="shared" si="120"/>
        <v>X</v>
      </c>
      <c r="AG97" s="3" t="str">
        <f t="shared" si="121"/>
        <v>X</v>
      </c>
      <c r="AH97" s="3" t="str">
        <f t="shared" si="121"/>
        <v>X</v>
      </c>
      <c r="AI97" s="3" t="str">
        <f t="shared" si="121"/>
        <v>X</v>
      </c>
      <c r="AJ97" s="3" t="str">
        <f t="shared" si="121"/>
        <v>X</v>
      </c>
      <c r="AK97" s="3" t="str">
        <f t="shared" si="121"/>
        <v>X</v>
      </c>
      <c r="AL97" s="3" t="str">
        <f t="shared" si="121"/>
        <v>X</v>
      </c>
      <c r="AM97" s="3" t="str">
        <f t="shared" si="121"/>
        <v>X</v>
      </c>
      <c r="AN97" s="3" t="str">
        <f t="shared" si="121"/>
        <v>X</v>
      </c>
      <c r="AO97" s="3" t="str">
        <f t="shared" si="121"/>
        <v>X</v>
      </c>
      <c r="AP97" s="3" t="str">
        <f t="shared" si="121"/>
        <v>X</v>
      </c>
      <c r="AQ97" s="3" t="str">
        <f t="shared" si="121"/>
        <v>X</v>
      </c>
      <c r="AR97" s="3" t="str">
        <f t="shared" si="121"/>
        <v>X</v>
      </c>
      <c r="AS97" s="3" t="str">
        <f t="shared" si="121"/>
        <v>X</v>
      </c>
      <c r="AT97" s="3" t="str">
        <f t="shared" si="121"/>
        <v>X</v>
      </c>
      <c r="AU97" s="3" t="str">
        <f t="shared" si="121"/>
        <v>X</v>
      </c>
      <c r="AV97" s="3" t="str">
        <f t="shared" si="121"/>
        <v>X</v>
      </c>
      <c r="AW97" s="3" t="str">
        <f t="shared" si="92"/>
        <v/>
      </c>
      <c r="AX97" s="3" t="str">
        <f t="shared" si="93"/>
        <v>X</v>
      </c>
      <c r="AY97" s="3" t="str">
        <f t="shared" si="94"/>
        <v>X</v>
      </c>
      <c r="AZ97" s="3" t="str">
        <f t="shared" si="95"/>
        <v>X</v>
      </c>
      <c r="BA97" s="3" t="str">
        <f t="shared" si="99"/>
        <v/>
      </c>
      <c r="BB97" s="3">
        <f t="shared" si="100"/>
        <v>4225</v>
      </c>
      <c r="BC97" s="3">
        <f t="shared" si="101"/>
        <v>4226</v>
      </c>
      <c r="BD97" s="3">
        <f t="shared" si="102"/>
        <v>4227</v>
      </c>
      <c r="BE97" s="7" t="str">
        <f t="shared" si="103"/>
        <v/>
      </c>
      <c r="BF97" s="7" t="str">
        <f t="shared" si="104"/>
        <v>00001081</v>
      </c>
      <c r="BG97" s="7" t="str">
        <f t="shared" si="105"/>
        <v>00001082</v>
      </c>
      <c r="BH97" s="7" t="str">
        <f t="shared" si="106"/>
        <v>00001083</v>
      </c>
      <c r="BI97" s="3" t="str">
        <f t="shared" si="107"/>
        <v/>
      </c>
      <c r="BJ97" s="3" t="str">
        <f t="shared" si="108"/>
        <v/>
      </c>
      <c r="BK97" s="3" t="str">
        <f t="shared" si="109"/>
        <v/>
      </c>
      <c r="BL97" s="3" t="str">
        <f t="shared" si="110"/>
        <v/>
      </c>
      <c r="BM97" s="3" t="str">
        <f t="shared" si="111"/>
        <v/>
      </c>
      <c r="BN97" s="3">
        <f t="shared" si="112"/>
        <v>23</v>
      </c>
      <c r="BO97" s="3">
        <f t="shared" si="113"/>
        <v>15</v>
      </c>
      <c r="BP97" s="3">
        <f t="shared" si="114"/>
        <v>7</v>
      </c>
      <c r="BQ97" s="3" t="str">
        <f t="shared" si="115"/>
        <v/>
      </c>
      <c r="BR97" s="3" t="str">
        <f t="shared" si="116"/>
        <v>(23 downto 16)</v>
      </c>
      <c r="BS97" s="3" t="str">
        <f t="shared" si="117"/>
        <v>(15 downto 8)</v>
      </c>
      <c r="BT97" s="3" t="str">
        <f t="shared" si="118"/>
        <v>(7 downto 0)</v>
      </c>
    </row>
    <row r="98" spans="2:72" x14ac:dyDescent="0.25">
      <c r="B98" s="3" t="s">
        <v>329</v>
      </c>
      <c r="C98" s="3" t="s">
        <v>1746</v>
      </c>
      <c r="D98" s="3" t="s">
        <v>0</v>
      </c>
      <c r="E98" s="3" t="s">
        <v>1686</v>
      </c>
      <c r="F98" s="3" t="s">
        <v>396</v>
      </c>
      <c r="G98" s="3" t="s">
        <v>1688</v>
      </c>
      <c r="H98" s="18" t="s">
        <v>1694</v>
      </c>
      <c r="I98" s="3" t="s">
        <v>24</v>
      </c>
      <c r="J98" s="3">
        <v>16</v>
      </c>
      <c r="K98" s="3" t="s">
        <v>119</v>
      </c>
      <c r="L98" s="3" t="s">
        <v>23</v>
      </c>
      <c r="M98" s="3">
        <v>1057</v>
      </c>
      <c r="N98" s="3" t="str">
        <f t="shared" si="122"/>
        <v>00000421</v>
      </c>
      <c r="O98" s="3">
        <v>31</v>
      </c>
      <c r="P98" s="3">
        <v>16</v>
      </c>
      <c r="Q98" s="3" t="str">
        <f t="shared" si="120"/>
        <v>X</v>
      </c>
      <c r="R98" s="3" t="str">
        <f t="shared" si="120"/>
        <v>X</v>
      </c>
      <c r="S98" s="3" t="str">
        <f t="shared" si="120"/>
        <v>X</v>
      </c>
      <c r="T98" s="3" t="str">
        <f t="shared" si="120"/>
        <v>X</v>
      </c>
      <c r="U98" s="3" t="str">
        <f t="shared" si="120"/>
        <v>X</v>
      </c>
      <c r="V98" s="3" t="str">
        <f t="shared" si="120"/>
        <v>X</v>
      </c>
      <c r="W98" s="3" t="str">
        <f t="shared" si="120"/>
        <v>X</v>
      </c>
      <c r="X98" s="3" t="str">
        <f t="shared" si="120"/>
        <v>X</v>
      </c>
      <c r="Y98" s="3" t="str">
        <f t="shared" si="120"/>
        <v>X</v>
      </c>
      <c r="Z98" s="3" t="str">
        <f t="shared" si="120"/>
        <v>X</v>
      </c>
      <c r="AA98" s="3" t="str">
        <f t="shared" si="120"/>
        <v>X</v>
      </c>
      <c r="AB98" s="3" t="str">
        <f t="shared" si="120"/>
        <v>X</v>
      </c>
      <c r="AC98" s="3" t="str">
        <f t="shared" si="120"/>
        <v>X</v>
      </c>
      <c r="AD98" s="3" t="str">
        <f t="shared" si="120"/>
        <v>X</v>
      </c>
      <c r="AE98" s="3" t="str">
        <f t="shared" si="120"/>
        <v>X</v>
      </c>
      <c r="AF98" s="3" t="str">
        <f t="shared" si="120"/>
        <v>X</v>
      </c>
      <c r="AG98" s="3" t="str">
        <f t="shared" si="121"/>
        <v/>
      </c>
      <c r="AH98" s="3" t="str">
        <f t="shared" si="121"/>
        <v/>
      </c>
      <c r="AI98" s="3" t="str">
        <f t="shared" si="121"/>
        <v/>
      </c>
      <c r="AJ98" s="3" t="str">
        <f t="shared" si="121"/>
        <v/>
      </c>
      <c r="AK98" s="3" t="str">
        <f t="shared" si="121"/>
        <v/>
      </c>
      <c r="AL98" s="3" t="str">
        <f t="shared" si="121"/>
        <v/>
      </c>
      <c r="AM98" s="3" t="str">
        <f t="shared" si="121"/>
        <v/>
      </c>
      <c r="AN98" s="3" t="str">
        <f t="shared" si="121"/>
        <v/>
      </c>
      <c r="AO98" s="3" t="str">
        <f t="shared" si="121"/>
        <v/>
      </c>
      <c r="AP98" s="3" t="str">
        <f t="shared" si="121"/>
        <v/>
      </c>
      <c r="AQ98" s="3" t="str">
        <f t="shared" si="121"/>
        <v/>
      </c>
      <c r="AR98" s="3" t="str">
        <f t="shared" si="121"/>
        <v/>
      </c>
      <c r="AS98" s="3" t="str">
        <f t="shared" si="121"/>
        <v/>
      </c>
      <c r="AT98" s="3" t="str">
        <f t="shared" si="121"/>
        <v/>
      </c>
      <c r="AU98" s="3" t="str">
        <f t="shared" si="121"/>
        <v/>
      </c>
      <c r="AV98" s="3" t="str">
        <f t="shared" si="121"/>
        <v/>
      </c>
      <c r="AW98" s="3" t="str">
        <f t="shared" si="92"/>
        <v>X</v>
      </c>
      <c r="AX98" s="3" t="str">
        <f t="shared" si="93"/>
        <v>X</v>
      </c>
      <c r="AY98" s="3" t="str">
        <f t="shared" si="94"/>
        <v/>
      </c>
      <c r="AZ98" s="3" t="str">
        <f t="shared" si="95"/>
        <v/>
      </c>
      <c r="BA98" s="3">
        <f t="shared" si="99"/>
        <v>4228</v>
      </c>
      <c r="BB98" s="3">
        <f t="shared" si="100"/>
        <v>4229</v>
      </c>
      <c r="BC98" s="3" t="str">
        <f t="shared" si="101"/>
        <v/>
      </c>
      <c r="BD98" s="3" t="str">
        <f t="shared" si="102"/>
        <v/>
      </c>
      <c r="BE98" s="7" t="str">
        <f t="shared" si="103"/>
        <v>00001084</v>
      </c>
      <c r="BF98" s="7" t="str">
        <f t="shared" si="104"/>
        <v>00001085</v>
      </c>
      <c r="BG98" s="7" t="str">
        <f t="shared" si="105"/>
        <v/>
      </c>
      <c r="BH98" s="7" t="str">
        <f t="shared" si="106"/>
        <v/>
      </c>
      <c r="BI98" s="3" t="str">
        <f t="shared" si="107"/>
        <v/>
      </c>
      <c r="BJ98" s="3" t="str">
        <f t="shared" si="108"/>
        <v/>
      </c>
      <c r="BK98" s="3" t="str">
        <f t="shared" si="109"/>
        <v/>
      </c>
      <c r="BL98" s="3" t="str">
        <f t="shared" si="110"/>
        <v/>
      </c>
      <c r="BM98" s="3">
        <f t="shared" si="111"/>
        <v>15</v>
      </c>
      <c r="BN98" s="3">
        <f t="shared" si="112"/>
        <v>7</v>
      </c>
      <c r="BO98" s="3" t="str">
        <f t="shared" si="113"/>
        <v/>
      </c>
      <c r="BP98" s="3" t="str">
        <f t="shared" si="114"/>
        <v/>
      </c>
      <c r="BQ98" s="3" t="str">
        <f t="shared" si="115"/>
        <v>(15 downto 8)</v>
      </c>
      <c r="BR98" s="3" t="str">
        <f t="shared" si="116"/>
        <v>(7 downto 0)</v>
      </c>
      <c r="BS98" s="3" t="str">
        <f t="shared" si="117"/>
        <v/>
      </c>
      <c r="BT98" s="3" t="str">
        <f t="shared" si="118"/>
        <v/>
      </c>
    </row>
    <row r="99" spans="2:72" x14ac:dyDescent="0.25">
      <c r="B99" s="3" t="s">
        <v>329</v>
      </c>
      <c r="C99" s="3" t="s">
        <v>1747</v>
      </c>
      <c r="D99" s="3" t="s">
        <v>0</v>
      </c>
      <c r="E99" s="3" t="s">
        <v>1686</v>
      </c>
      <c r="F99" s="3" t="s">
        <v>396</v>
      </c>
      <c r="G99" s="3" t="s">
        <v>1688</v>
      </c>
      <c r="H99" s="18" t="s">
        <v>1721</v>
      </c>
      <c r="I99" s="3" t="s">
        <v>24</v>
      </c>
      <c r="J99" s="3">
        <v>4</v>
      </c>
      <c r="K99" s="3" t="s">
        <v>119</v>
      </c>
      <c r="L99" s="3" t="s">
        <v>23</v>
      </c>
      <c r="M99" s="3">
        <v>1057</v>
      </c>
      <c r="N99" s="3" t="str">
        <f t="shared" ref="N99" si="123">DEC2HEX($M99,8)</f>
        <v>00000421</v>
      </c>
      <c r="O99" s="3">
        <v>13</v>
      </c>
      <c r="P99" s="3">
        <v>10</v>
      </c>
      <c r="Q99" s="3" t="str">
        <f t="shared" si="120"/>
        <v/>
      </c>
      <c r="R99" s="3" t="str">
        <f t="shared" si="120"/>
        <v/>
      </c>
      <c r="S99" s="3" t="str">
        <f t="shared" si="120"/>
        <v/>
      </c>
      <c r="T99" s="3" t="str">
        <f t="shared" si="120"/>
        <v/>
      </c>
      <c r="U99" s="3" t="str">
        <f t="shared" si="120"/>
        <v/>
      </c>
      <c r="V99" s="3" t="str">
        <f t="shared" si="120"/>
        <v/>
      </c>
      <c r="W99" s="3" t="str">
        <f t="shared" si="120"/>
        <v/>
      </c>
      <c r="X99" s="3" t="str">
        <f t="shared" si="120"/>
        <v/>
      </c>
      <c r="Y99" s="3" t="str">
        <f t="shared" si="120"/>
        <v/>
      </c>
      <c r="Z99" s="3" t="str">
        <f t="shared" si="120"/>
        <v/>
      </c>
      <c r="AA99" s="3" t="str">
        <f t="shared" si="120"/>
        <v/>
      </c>
      <c r="AB99" s="3" t="str">
        <f t="shared" si="120"/>
        <v/>
      </c>
      <c r="AC99" s="3" t="str">
        <f t="shared" si="120"/>
        <v/>
      </c>
      <c r="AD99" s="3" t="str">
        <f t="shared" si="120"/>
        <v/>
      </c>
      <c r="AE99" s="3" t="str">
        <f t="shared" si="120"/>
        <v/>
      </c>
      <c r="AF99" s="3" t="str">
        <f t="shared" si="120"/>
        <v/>
      </c>
      <c r="AG99" s="3" t="str">
        <f t="shared" si="121"/>
        <v/>
      </c>
      <c r="AH99" s="3" t="str">
        <f t="shared" si="121"/>
        <v/>
      </c>
      <c r="AI99" s="3" t="str">
        <f t="shared" si="121"/>
        <v>X</v>
      </c>
      <c r="AJ99" s="3" t="str">
        <f t="shared" si="121"/>
        <v>X</v>
      </c>
      <c r="AK99" s="3" t="str">
        <f t="shared" si="121"/>
        <v>X</v>
      </c>
      <c r="AL99" s="3" t="str">
        <f t="shared" si="121"/>
        <v>X</v>
      </c>
      <c r="AM99" s="3" t="str">
        <f t="shared" si="121"/>
        <v/>
      </c>
      <c r="AN99" s="3" t="str">
        <f t="shared" si="121"/>
        <v/>
      </c>
      <c r="AO99" s="3" t="str">
        <f t="shared" si="121"/>
        <v/>
      </c>
      <c r="AP99" s="3" t="str">
        <f t="shared" si="121"/>
        <v/>
      </c>
      <c r="AQ99" s="3" t="str">
        <f t="shared" si="121"/>
        <v/>
      </c>
      <c r="AR99" s="3" t="str">
        <f t="shared" si="121"/>
        <v/>
      </c>
      <c r="AS99" s="3" t="str">
        <f t="shared" si="121"/>
        <v/>
      </c>
      <c r="AT99" s="3" t="str">
        <f t="shared" si="121"/>
        <v/>
      </c>
      <c r="AU99" s="3" t="str">
        <f t="shared" si="121"/>
        <v/>
      </c>
      <c r="AV99" s="3" t="str">
        <f t="shared" si="121"/>
        <v/>
      </c>
      <c r="AW99" s="3" t="str">
        <f t="shared" si="92"/>
        <v/>
      </c>
      <c r="AX99" s="3" t="str">
        <f t="shared" si="93"/>
        <v/>
      </c>
      <c r="AY99" s="3" t="str">
        <f t="shared" si="94"/>
        <v>X</v>
      </c>
      <c r="AZ99" s="3" t="str">
        <f t="shared" si="95"/>
        <v/>
      </c>
      <c r="BA99" s="3" t="str">
        <f t="shared" si="99"/>
        <v/>
      </c>
      <c r="BB99" s="3" t="str">
        <f t="shared" si="100"/>
        <v/>
      </c>
      <c r="BC99" s="3">
        <f t="shared" si="101"/>
        <v>4230</v>
      </c>
      <c r="BD99" s="3" t="str">
        <f t="shared" si="102"/>
        <v/>
      </c>
      <c r="BE99" s="7" t="str">
        <f t="shared" si="103"/>
        <v/>
      </c>
      <c r="BF99" s="7" t="str">
        <f t="shared" si="104"/>
        <v/>
      </c>
      <c r="BG99" s="7" t="str">
        <f t="shared" si="105"/>
        <v>00001086</v>
      </c>
      <c r="BH99" s="7" t="str">
        <f t="shared" si="106"/>
        <v/>
      </c>
      <c r="BI99" s="3" t="str">
        <f t="shared" si="107"/>
        <v/>
      </c>
      <c r="BJ99" s="3" t="str">
        <f t="shared" si="108"/>
        <v/>
      </c>
      <c r="BK99" s="3" t="str">
        <f t="shared" si="109"/>
        <v>(5 downto 2)</v>
      </c>
      <c r="BL99" s="3" t="str">
        <f t="shared" si="110"/>
        <v/>
      </c>
      <c r="BM99" s="3" t="str">
        <f t="shared" si="111"/>
        <v/>
      </c>
      <c r="BN99" s="3" t="str">
        <f t="shared" si="112"/>
        <v/>
      </c>
      <c r="BO99" s="3">
        <f t="shared" si="113"/>
        <v>3</v>
      </c>
      <c r="BP99" s="3" t="str">
        <f t="shared" si="114"/>
        <v/>
      </c>
      <c r="BQ99" s="3" t="str">
        <f t="shared" si="115"/>
        <v/>
      </c>
      <c r="BR99" s="3" t="str">
        <f t="shared" si="116"/>
        <v/>
      </c>
      <c r="BS99" s="3" t="str">
        <f t="shared" si="117"/>
        <v/>
      </c>
      <c r="BT99" s="3" t="str">
        <f t="shared" si="118"/>
        <v/>
      </c>
    </row>
    <row r="100" spans="2:72" x14ac:dyDescent="0.25">
      <c r="B100" s="3" t="s">
        <v>329</v>
      </c>
      <c r="C100" s="3" t="s">
        <v>1748</v>
      </c>
      <c r="D100" s="3" t="s">
        <v>0</v>
      </c>
      <c r="E100" s="3" t="s">
        <v>1686</v>
      </c>
      <c r="F100" s="3" t="s">
        <v>396</v>
      </c>
      <c r="G100" s="3" t="s">
        <v>1688</v>
      </c>
      <c r="H100" s="18" t="s">
        <v>1745</v>
      </c>
      <c r="I100" s="3" t="s">
        <v>24</v>
      </c>
      <c r="J100" s="3">
        <v>9</v>
      </c>
      <c r="K100" s="3" t="s">
        <v>119</v>
      </c>
      <c r="L100" s="3" t="s">
        <v>23</v>
      </c>
      <c r="M100" s="3">
        <v>1057</v>
      </c>
      <c r="N100" s="3" t="str">
        <f t="shared" ref="N100" si="124">DEC2HEX($M100,8)</f>
        <v>00000421</v>
      </c>
      <c r="O100" s="3">
        <v>8</v>
      </c>
      <c r="P100" s="3">
        <v>0</v>
      </c>
      <c r="Q100" s="3" t="str">
        <f t="shared" si="120"/>
        <v/>
      </c>
      <c r="R100" s="3" t="str">
        <f t="shared" si="120"/>
        <v/>
      </c>
      <c r="S100" s="3" t="str">
        <f t="shared" si="120"/>
        <v/>
      </c>
      <c r="T100" s="3" t="str">
        <f t="shared" si="120"/>
        <v/>
      </c>
      <c r="U100" s="3" t="str">
        <f t="shared" si="120"/>
        <v/>
      </c>
      <c r="V100" s="3" t="str">
        <f t="shared" si="120"/>
        <v/>
      </c>
      <c r="W100" s="3" t="str">
        <f t="shared" si="120"/>
        <v/>
      </c>
      <c r="X100" s="3" t="str">
        <f t="shared" si="120"/>
        <v/>
      </c>
      <c r="Y100" s="3" t="str">
        <f t="shared" si="120"/>
        <v/>
      </c>
      <c r="Z100" s="3" t="str">
        <f t="shared" si="120"/>
        <v/>
      </c>
      <c r="AA100" s="3" t="str">
        <f t="shared" si="120"/>
        <v/>
      </c>
      <c r="AB100" s="3" t="str">
        <f t="shared" si="120"/>
        <v/>
      </c>
      <c r="AC100" s="3" t="str">
        <f t="shared" si="120"/>
        <v/>
      </c>
      <c r="AD100" s="3" t="str">
        <f t="shared" si="120"/>
        <v/>
      </c>
      <c r="AE100" s="3" t="str">
        <f t="shared" si="120"/>
        <v/>
      </c>
      <c r="AF100" s="3" t="str">
        <f t="shared" si="120"/>
        <v/>
      </c>
      <c r="AG100" s="3" t="str">
        <f t="shared" si="121"/>
        <v/>
      </c>
      <c r="AH100" s="3" t="str">
        <f t="shared" si="121"/>
        <v/>
      </c>
      <c r="AI100" s="3" t="str">
        <f t="shared" si="121"/>
        <v/>
      </c>
      <c r="AJ100" s="3" t="str">
        <f t="shared" si="121"/>
        <v/>
      </c>
      <c r="AK100" s="3" t="str">
        <f t="shared" si="121"/>
        <v/>
      </c>
      <c r="AL100" s="3" t="str">
        <f t="shared" si="121"/>
        <v/>
      </c>
      <c r="AM100" s="3" t="str">
        <f t="shared" si="121"/>
        <v/>
      </c>
      <c r="AN100" s="3" t="str">
        <f t="shared" si="121"/>
        <v>X</v>
      </c>
      <c r="AO100" s="3" t="str">
        <f t="shared" si="121"/>
        <v>X</v>
      </c>
      <c r="AP100" s="3" t="str">
        <f t="shared" si="121"/>
        <v>X</v>
      </c>
      <c r="AQ100" s="3" t="str">
        <f t="shared" si="121"/>
        <v>X</v>
      </c>
      <c r="AR100" s="3" t="str">
        <f t="shared" si="121"/>
        <v>X</v>
      </c>
      <c r="AS100" s="3" t="str">
        <f t="shared" si="121"/>
        <v>X</v>
      </c>
      <c r="AT100" s="3" t="str">
        <f t="shared" si="121"/>
        <v>X</v>
      </c>
      <c r="AU100" s="3" t="str">
        <f t="shared" si="121"/>
        <v>X</v>
      </c>
      <c r="AV100" s="3" t="str">
        <f t="shared" si="121"/>
        <v>X</v>
      </c>
      <c r="AW100" s="3" t="str">
        <f t="shared" si="92"/>
        <v/>
      </c>
      <c r="AX100" s="3" t="str">
        <f t="shared" si="93"/>
        <v/>
      </c>
      <c r="AY100" s="3" t="str">
        <f t="shared" si="94"/>
        <v>X</v>
      </c>
      <c r="AZ100" s="3" t="str">
        <f t="shared" si="95"/>
        <v>X</v>
      </c>
      <c r="BA100" s="3" t="str">
        <f t="shared" si="99"/>
        <v/>
      </c>
      <c r="BB100" s="3" t="str">
        <f t="shared" si="100"/>
        <v/>
      </c>
      <c r="BC100" s="3">
        <f t="shared" si="101"/>
        <v>4230</v>
      </c>
      <c r="BD100" s="3">
        <f t="shared" si="102"/>
        <v>4231</v>
      </c>
      <c r="BE100" s="7" t="str">
        <f t="shared" si="103"/>
        <v/>
      </c>
      <c r="BF100" s="7" t="str">
        <f t="shared" si="104"/>
        <v/>
      </c>
      <c r="BG100" s="7" t="str">
        <f t="shared" si="105"/>
        <v>00001086</v>
      </c>
      <c r="BH100" s="7" t="str">
        <f t="shared" si="106"/>
        <v>00001087</v>
      </c>
      <c r="BI100" s="3" t="str">
        <f t="shared" si="107"/>
        <v/>
      </c>
      <c r="BJ100" s="3" t="str">
        <f t="shared" si="108"/>
        <v/>
      </c>
      <c r="BK100" s="3" t="str">
        <f t="shared" si="109"/>
        <v>(0)</v>
      </c>
      <c r="BL100" s="3" t="str">
        <f t="shared" si="110"/>
        <v/>
      </c>
      <c r="BM100" s="3" t="str">
        <f t="shared" si="111"/>
        <v/>
      </c>
      <c r="BN100" s="3" t="str">
        <f t="shared" si="112"/>
        <v/>
      </c>
      <c r="BO100" s="3">
        <f t="shared" si="113"/>
        <v>8</v>
      </c>
      <c r="BP100" s="3">
        <f t="shared" si="114"/>
        <v>7</v>
      </c>
      <c r="BQ100" s="3" t="str">
        <f t="shared" si="115"/>
        <v/>
      </c>
      <c r="BR100" s="3" t="str">
        <f t="shared" si="116"/>
        <v/>
      </c>
      <c r="BS100" s="3" t="str">
        <f t="shared" si="117"/>
        <v>(8)</v>
      </c>
      <c r="BT100" s="3" t="str">
        <f t="shared" si="118"/>
        <v>(7 downto 0)</v>
      </c>
    </row>
    <row r="101" spans="2:72" x14ac:dyDescent="0.25">
      <c r="B101" s="3" t="s">
        <v>330</v>
      </c>
      <c r="C101" s="3" t="s">
        <v>1749</v>
      </c>
      <c r="D101" s="3" t="s">
        <v>0</v>
      </c>
      <c r="E101" s="3" t="s">
        <v>1686</v>
      </c>
      <c r="F101" s="3" t="s">
        <v>397</v>
      </c>
      <c r="G101" s="3" t="s">
        <v>1689</v>
      </c>
      <c r="H101" s="18" t="s">
        <v>1694</v>
      </c>
      <c r="I101" s="3" t="s">
        <v>24</v>
      </c>
      <c r="J101" s="3">
        <v>8</v>
      </c>
      <c r="K101" s="3" t="s">
        <v>119</v>
      </c>
      <c r="L101" s="3" t="s">
        <v>23</v>
      </c>
      <c r="M101" s="3">
        <v>1058</v>
      </c>
      <c r="N101" s="3" t="str">
        <f t="shared" ref="N101:N104" si="125">DEC2HEX($M101,8)</f>
        <v>00000422</v>
      </c>
      <c r="O101" s="3">
        <v>31</v>
      </c>
      <c r="P101" s="3">
        <v>24</v>
      </c>
      <c r="Q101" s="3" t="str">
        <f t="shared" si="120"/>
        <v>X</v>
      </c>
      <c r="R101" s="3" t="str">
        <f t="shared" si="120"/>
        <v>X</v>
      </c>
      <c r="S101" s="3" t="str">
        <f t="shared" si="120"/>
        <v>X</v>
      </c>
      <c r="T101" s="3" t="str">
        <f t="shared" si="120"/>
        <v>X</v>
      </c>
      <c r="U101" s="3" t="str">
        <f t="shared" si="120"/>
        <v>X</v>
      </c>
      <c r="V101" s="3" t="str">
        <f t="shared" si="120"/>
        <v>X</v>
      </c>
      <c r="W101" s="3" t="str">
        <f t="shared" si="120"/>
        <v>X</v>
      </c>
      <c r="X101" s="3" t="str">
        <f t="shared" si="120"/>
        <v>X</v>
      </c>
      <c r="Y101" s="3" t="str">
        <f t="shared" si="120"/>
        <v/>
      </c>
      <c r="Z101" s="3" t="str">
        <f t="shared" si="120"/>
        <v/>
      </c>
      <c r="AA101" s="3" t="str">
        <f t="shared" si="120"/>
        <v/>
      </c>
      <c r="AB101" s="3" t="str">
        <f t="shared" si="120"/>
        <v/>
      </c>
      <c r="AC101" s="3" t="str">
        <f t="shared" si="120"/>
        <v/>
      </c>
      <c r="AD101" s="3" t="str">
        <f t="shared" si="120"/>
        <v/>
      </c>
      <c r="AE101" s="3" t="str">
        <f t="shared" si="120"/>
        <v/>
      </c>
      <c r="AF101" s="3" t="str">
        <f t="shared" si="120"/>
        <v/>
      </c>
      <c r="AG101" s="3" t="str">
        <f t="shared" si="121"/>
        <v/>
      </c>
      <c r="AH101" s="3" t="str">
        <f t="shared" si="121"/>
        <v/>
      </c>
      <c r="AI101" s="3" t="str">
        <f t="shared" si="121"/>
        <v/>
      </c>
      <c r="AJ101" s="3" t="str">
        <f t="shared" si="121"/>
        <v/>
      </c>
      <c r="AK101" s="3" t="str">
        <f t="shared" si="121"/>
        <v/>
      </c>
      <c r="AL101" s="3" t="str">
        <f t="shared" si="121"/>
        <v/>
      </c>
      <c r="AM101" s="3" t="str">
        <f t="shared" si="121"/>
        <v/>
      </c>
      <c r="AN101" s="3" t="str">
        <f t="shared" si="121"/>
        <v/>
      </c>
      <c r="AO101" s="3" t="str">
        <f t="shared" si="121"/>
        <v/>
      </c>
      <c r="AP101" s="3" t="str">
        <f t="shared" si="121"/>
        <v/>
      </c>
      <c r="AQ101" s="3" t="str">
        <f t="shared" si="121"/>
        <v/>
      </c>
      <c r="AR101" s="3" t="str">
        <f t="shared" si="121"/>
        <v/>
      </c>
      <c r="AS101" s="3" t="str">
        <f t="shared" si="121"/>
        <v/>
      </c>
      <c r="AT101" s="3" t="str">
        <f t="shared" si="121"/>
        <v/>
      </c>
      <c r="AU101" s="3" t="str">
        <f t="shared" si="121"/>
        <v/>
      </c>
      <c r="AV101" s="3" t="str">
        <f t="shared" si="121"/>
        <v/>
      </c>
      <c r="AW101" s="3" t="str">
        <f t="shared" si="92"/>
        <v>X</v>
      </c>
      <c r="AX101" s="3" t="str">
        <f t="shared" si="93"/>
        <v/>
      </c>
      <c r="AY101" s="3" t="str">
        <f t="shared" si="94"/>
        <v/>
      </c>
      <c r="AZ101" s="3" t="str">
        <f t="shared" si="95"/>
        <v/>
      </c>
      <c r="BA101" s="3">
        <f t="shared" si="99"/>
        <v>4232</v>
      </c>
      <c r="BB101" s="3" t="str">
        <f t="shared" si="100"/>
        <v/>
      </c>
      <c r="BC101" s="3" t="str">
        <f t="shared" si="101"/>
        <v/>
      </c>
      <c r="BD101" s="3" t="str">
        <f t="shared" si="102"/>
        <v/>
      </c>
      <c r="BE101" s="7" t="str">
        <f t="shared" si="103"/>
        <v>00001088</v>
      </c>
      <c r="BF101" s="7" t="str">
        <f t="shared" si="104"/>
        <v/>
      </c>
      <c r="BG101" s="7" t="str">
        <f t="shared" si="105"/>
        <v/>
      </c>
      <c r="BH101" s="7" t="str">
        <f t="shared" si="106"/>
        <v/>
      </c>
      <c r="BI101" s="3" t="str">
        <f t="shared" si="107"/>
        <v/>
      </c>
      <c r="BJ101" s="3" t="str">
        <f t="shared" si="108"/>
        <v/>
      </c>
      <c r="BK101" s="3" t="str">
        <f t="shared" si="109"/>
        <v/>
      </c>
      <c r="BL101" s="3" t="str">
        <f t="shared" si="110"/>
        <v/>
      </c>
      <c r="BM101" s="3">
        <f t="shared" si="111"/>
        <v>7</v>
      </c>
      <c r="BN101" s="3" t="str">
        <f t="shared" si="112"/>
        <v/>
      </c>
      <c r="BO101" s="3" t="str">
        <f t="shared" si="113"/>
        <v/>
      </c>
      <c r="BP101" s="3" t="str">
        <f t="shared" si="114"/>
        <v/>
      </c>
      <c r="BQ101" s="3" t="str">
        <f t="shared" si="115"/>
        <v/>
      </c>
      <c r="BR101" s="3" t="str">
        <f t="shared" si="116"/>
        <v/>
      </c>
      <c r="BS101" s="3" t="str">
        <f t="shared" si="117"/>
        <v/>
      </c>
      <c r="BT101" s="3" t="str">
        <f t="shared" si="118"/>
        <v/>
      </c>
    </row>
    <row r="102" spans="2:72" x14ac:dyDescent="0.25">
      <c r="B102" s="3" t="s">
        <v>331</v>
      </c>
      <c r="C102" s="3" t="s">
        <v>1744</v>
      </c>
      <c r="D102" s="3" t="s">
        <v>0</v>
      </c>
      <c r="E102" s="3" t="s">
        <v>1686</v>
      </c>
      <c r="F102" s="3" t="s">
        <v>398</v>
      </c>
      <c r="G102" s="3" t="s">
        <v>1690</v>
      </c>
      <c r="H102" s="18" t="s">
        <v>1694</v>
      </c>
      <c r="I102" s="3" t="s">
        <v>24</v>
      </c>
      <c r="J102" s="3">
        <v>6</v>
      </c>
      <c r="K102" s="3" t="s">
        <v>119</v>
      </c>
      <c r="L102" s="3" t="s">
        <v>23</v>
      </c>
      <c r="M102" s="3">
        <v>1060</v>
      </c>
      <c r="N102" s="3" t="str">
        <f t="shared" si="125"/>
        <v>00000424</v>
      </c>
      <c r="O102" s="3">
        <v>30</v>
      </c>
      <c r="P102" s="3">
        <v>25</v>
      </c>
      <c r="Q102" s="3" t="str">
        <f t="shared" si="120"/>
        <v/>
      </c>
      <c r="R102" s="3" t="str">
        <f t="shared" si="120"/>
        <v>X</v>
      </c>
      <c r="S102" s="3" t="str">
        <f t="shared" si="120"/>
        <v>X</v>
      </c>
      <c r="T102" s="3" t="str">
        <f t="shared" si="120"/>
        <v>X</v>
      </c>
      <c r="U102" s="3" t="str">
        <f t="shared" si="120"/>
        <v>X</v>
      </c>
      <c r="V102" s="3" t="str">
        <f t="shared" si="120"/>
        <v>X</v>
      </c>
      <c r="W102" s="3" t="str">
        <f t="shared" si="120"/>
        <v>X</v>
      </c>
      <c r="X102" s="3" t="str">
        <f t="shared" si="120"/>
        <v/>
      </c>
      <c r="Y102" s="3" t="str">
        <f t="shared" si="120"/>
        <v/>
      </c>
      <c r="Z102" s="3" t="str">
        <f t="shared" si="120"/>
        <v/>
      </c>
      <c r="AA102" s="3" t="str">
        <f t="shared" si="120"/>
        <v/>
      </c>
      <c r="AB102" s="3" t="str">
        <f t="shared" si="120"/>
        <v/>
      </c>
      <c r="AC102" s="3" t="str">
        <f t="shared" si="120"/>
        <v/>
      </c>
      <c r="AD102" s="3" t="str">
        <f t="shared" si="120"/>
        <v/>
      </c>
      <c r="AE102" s="3" t="str">
        <f t="shared" si="120"/>
        <v/>
      </c>
      <c r="AF102" s="3" t="str">
        <f t="shared" si="120"/>
        <v/>
      </c>
      <c r="AG102" s="3" t="str">
        <f t="shared" si="121"/>
        <v/>
      </c>
      <c r="AH102" s="3" t="str">
        <f t="shared" si="121"/>
        <v/>
      </c>
      <c r="AI102" s="3" t="str">
        <f t="shared" si="121"/>
        <v/>
      </c>
      <c r="AJ102" s="3" t="str">
        <f t="shared" si="121"/>
        <v/>
      </c>
      <c r="AK102" s="3" t="str">
        <f t="shared" si="121"/>
        <v/>
      </c>
      <c r="AL102" s="3" t="str">
        <f t="shared" si="121"/>
        <v/>
      </c>
      <c r="AM102" s="3" t="str">
        <f t="shared" si="121"/>
        <v/>
      </c>
      <c r="AN102" s="3" t="str">
        <f t="shared" si="121"/>
        <v/>
      </c>
      <c r="AO102" s="3" t="str">
        <f t="shared" si="121"/>
        <v/>
      </c>
      <c r="AP102" s="3" t="str">
        <f t="shared" si="121"/>
        <v/>
      </c>
      <c r="AQ102" s="3" t="str">
        <f t="shared" si="121"/>
        <v/>
      </c>
      <c r="AR102" s="3" t="str">
        <f t="shared" si="121"/>
        <v/>
      </c>
      <c r="AS102" s="3" t="str">
        <f t="shared" si="121"/>
        <v/>
      </c>
      <c r="AT102" s="3" t="str">
        <f t="shared" si="121"/>
        <v/>
      </c>
      <c r="AU102" s="3" t="str">
        <f t="shared" si="121"/>
        <v/>
      </c>
      <c r="AV102" s="3" t="str">
        <f t="shared" si="121"/>
        <v/>
      </c>
      <c r="AW102" s="3" t="str">
        <f t="shared" si="92"/>
        <v>X</v>
      </c>
      <c r="AX102" s="3" t="str">
        <f t="shared" si="93"/>
        <v/>
      </c>
      <c r="AY102" s="3" t="str">
        <f t="shared" si="94"/>
        <v/>
      </c>
      <c r="AZ102" s="3" t="str">
        <f t="shared" si="95"/>
        <v/>
      </c>
      <c r="BA102" s="3">
        <f t="shared" si="99"/>
        <v>4240</v>
      </c>
      <c r="BB102" s="3" t="str">
        <f t="shared" si="100"/>
        <v/>
      </c>
      <c r="BC102" s="3" t="str">
        <f t="shared" si="101"/>
        <v/>
      </c>
      <c r="BD102" s="3" t="str">
        <f t="shared" si="102"/>
        <v/>
      </c>
      <c r="BE102" s="7" t="str">
        <f t="shared" si="103"/>
        <v>00001090</v>
      </c>
      <c r="BF102" s="7" t="str">
        <f t="shared" si="104"/>
        <v/>
      </c>
      <c r="BG102" s="7" t="str">
        <f t="shared" si="105"/>
        <v/>
      </c>
      <c r="BH102" s="7" t="str">
        <f t="shared" si="106"/>
        <v/>
      </c>
      <c r="BI102" s="3" t="str">
        <f t="shared" si="107"/>
        <v>(6 downto 1)</v>
      </c>
      <c r="BJ102" s="3" t="str">
        <f t="shared" si="108"/>
        <v/>
      </c>
      <c r="BK102" s="3" t="str">
        <f t="shared" si="109"/>
        <v/>
      </c>
      <c r="BL102" s="3" t="str">
        <f t="shared" si="110"/>
        <v/>
      </c>
      <c r="BM102" s="3">
        <f t="shared" si="111"/>
        <v>5</v>
      </c>
      <c r="BN102" s="3" t="str">
        <f t="shared" si="112"/>
        <v/>
      </c>
      <c r="BO102" s="3" t="str">
        <f t="shared" si="113"/>
        <v/>
      </c>
      <c r="BP102" s="3" t="str">
        <f t="shared" si="114"/>
        <v/>
      </c>
      <c r="BQ102" s="3" t="str">
        <f t="shared" si="115"/>
        <v/>
      </c>
      <c r="BR102" s="3" t="str">
        <f t="shared" si="116"/>
        <v/>
      </c>
      <c r="BS102" s="3" t="str">
        <f t="shared" si="117"/>
        <v/>
      </c>
      <c r="BT102" s="3" t="str">
        <f t="shared" si="118"/>
        <v/>
      </c>
    </row>
    <row r="103" spans="2:72" x14ac:dyDescent="0.25">
      <c r="B103" s="3" t="s">
        <v>331</v>
      </c>
      <c r="C103" s="3" t="s">
        <v>1743</v>
      </c>
      <c r="D103" s="3" t="s">
        <v>0</v>
      </c>
      <c r="E103" s="3" t="s">
        <v>1686</v>
      </c>
      <c r="F103" s="3" t="s">
        <v>398</v>
      </c>
      <c r="G103" s="3" t="s">
        <v>1690</v>
      </c>
      <c r="H103" s="18" t="s">
        <v>1721</v>
      </c>
      <c r="I103" s="3" t="s">
        <v>24</v>
      </c>
      <c r="J103" s="3">
        <v>24</v>
      </c>
      <c r="K103" s="3" t="s">
        <v>119</v>
      </c>
      <c r="L103" s="3" t="s">
        <v>23</v>
      </c>
      <c r="M103" s="3">
        <v>1060</v>
      </c>
      <c r="N103" s="3" t="str">
        <f t="shared" si="125"/>
        <v>00000424</v>
      </c>
      <c r="O103" s="3">
        <v>23</v>
      </c>
      <c r="P103" s="3">
        <v>0</v>
      </c>
      <c r="Q103" s="3" t="str">
        <f t="shared" si="120"/>
        <v/>
      </c>
      <c r="R103" s="3" t="str">
        <f t="shared" si="120"/>
        <v/>
      </c>
      <c r="S103" s="3" t="str">
        <f t="shared" si="120"/>
        <v/>
      </c>
      <c r="T103" s="3" t="str">
        <f t="shared" si="120"/>
        <v/>
      </c>
      <c r="U103" s="3" t="str">
        <f t="shared" si="120"/>
        <v/>
      </c>
      <c r="V103" s="3" t="str">
        <f t="shared" si="120"/>
        <v/>
      </c>
      <c r="W103" s="3" t="str">
        <f t="shared" si="120"/>
        <v/>
      </c>
      <c r="X103" s="3" t="str">
        <f t="shared" si="120"/>
        <v/>
      </c>
      <c r="Y103" s="3" t="str">
        <f t="shared" si="120"/>
        <v>X</v>
      </c>
      <c r="Z103" s="3" t="str">
        <f t="shared" si="120"/>
        <v>X</v>
      </c>
      <c r="AA103" s="3" t="str">
        <f t="shared" ref="Q103:AF110" si="126">IF(AND($O103&gt;=AA$3,AA$3&gt;=$P103),"X","")</f>
        <v>X</v>
      </c>
      <c r="AB103" s="3" t="str">
        <f t="shared" si="126"/>
        <v>X</v>
      </c>
      <c r="AC103" s="3" t="str">
        <f t="shared" si="126"/>
        <v>X</v>
      </c>
      <c r="AD103" s="3" t="str">
        <f t="shared" si="126"/>
        <v>X</v>
      </c>
      <c r="AE103" s="3" t="str">
        <f t="shared" si="126"/>
        <v>X</v>
      </c>
      <c r="AF103" s="3" t="str">
        <f t="shared" si="126"/>
        <v>X</v>
      </c>
      <c r="AG103" s="3" t="str">
        <f t="shared" si="121"/>
        <v>X</v>
      </c>
      <c r="AH103" s="3" t="str">
        <f t="shared" si="121"/>
        <v>X</v>
      </c>
      <c r="AI103" s="3" t="str">
        <f t="shared" si="121"/>
        <v>X</v>
      </c>
      <c r="AJ103" s="3" t="str">
        <f t="shared" si="121"/>
        <v>X</v>
      </c>
      <c r="AK103" s="3" t="str">
        <f t="shared" si="121"/>
        <v>X</v>
      </c>
      <c r="AL103" s="3" t="str">
        <f t="shared" si="121"/>
        <v>X</v>
      </c>
      <c r="AM103" s="3" t="str">
        <f t="shared" si="121"/>
        <v>X</v>
      </c>
      <c r="AN103" s="3" t="str">
        <f t="shared" si="121"/>
        <v>X</v>
      </c>
      <c r="AO103" s="3" t="str">
        <f t="shared" si="121"/>
        <v>X</v>
      </c>
      <c r="AP103" s="3" t="str">
        <f t="shared" si="121"/>
        <v>X</v>
      </c>
      <c r="AQ103" s="3" t="str">
        <f t="shared" ref="AG103:AV110" si="127">IF(AND($O103&gt;=AQ$3,AQ$3&gt;=$P103),"X","")</f>
        <v>X</v>
      </c>
      <c r="AR103" s="3" t="str">
        <f t="shared" si="127"/>
        <v>X</v>
      </c>
      <c r="AS103" s="3" t="str">
        <f t="shared" si="127"/>
        <v>X</v>
      </c>
      <c r="AT103" s="3" t="str">
        <f t="shared" si="127"/>
        <v>X</v>
      </c>
      <c r="AU103" s="3" t="str">
        <f t="shared" si="127"/>
        <v>X</v>
      </c>
      <c r="AV103" s="3" t="str">
        <f t="shared" si="127"/>
        <v>X</v>
      </c>
      <c r="AW103" s="3" t="str">
        <f t="shared" si="92"/>
        <v/>
      </c>
      <c r="AX103" s="3" t="str">
        <f t="shared" si="93"/>
        <v>X</v>
      </c>
      <c r="AY103" s="3" t="str">
        <f t="shared" si="94"/>
        <v>X</v>
      </c>
      <c r="AZ103" s="3" t="str">
        <f t="shared" si="95"/>
        <v>X</v>
      </c>
      <c r="BA103" s="3" t="str">
        <f t="shared" si="99"/>
        <v/>
      </c>
      <c r="BB103" s="3">
        <f t="shared" si="100"/>
        <v>4241</v>
      </c>
      <c r="BC103" s="3">
        <f t="shared" si="101"/>
        <v>4242</v>
      </c>
      <c r="BD103" s="3">
        <f t="shared" si="102"/>
        <v>4243</v>
      </c>
      <c r="BE103" s="7" t="str">
        <f t="shared" si="103"/>
        <v/>
      </c>
      <c r="BF103" s="7" t="str">
        <f t="shared" si="104"/>
        <v>00001091</v>
      </c>
      <c r="BG103" s="7" t="str">
        <f t="shared" si="105"/>
        <v>00001092</v>
      </c>
      <c r="BH103" s="7" t="str">
        <f t="shared" si="106"/>
        <v>00001093</v>
      </c>
      <c r="BI103" s="3" t="str">
        <f t="shared" si="107"/>
        <v/>
      </c>
      <c r="BJ103" s="3" t="str">
        <f t="shared" si="108"/>
        <v/>
      </c>
      <c r="BK103" s="3" t="str">
        <f t="shared" si="109"/>
        <v/>
      </c>
      <c r="BL103" s="3" t="str">
        <f t="shared" si="110"/>
        <v/>
      </c>
      <c r="BM103" s="3" t="str">
        <f t="shared" si="111"/>
        <v/>
      </c>
      <c r="BN103" s="3">
        <f t="shared" si="112"/>
        <v>23</v>
      </c>
      <c r="BO103" s="3">
        <f t="shared" si="113"/>
        <v>15</v>
      </c>
      <c r="BP103" s="3">
        <f t="shared" si="114"/>
        <v>7</v>
      </c>
      <c r="BQ103" s="3" t="str">
        <f t="shared" si="115"/>
        <v/>
      </c>
      <c r="BR103" s="3" t="str">
        <f t="shared" si="116"/>
        <v>(23 downto 16)</v>
      </c>
      <c r="BS103" s="3" t="str">
        <f t="shared" si="117"/>
        <v>(15 downto 8)</v>
      </c>
      <c r="BT103" s="3" t="str">
        <f t="shared" si="118"/>
        <v>(7 downto 0)</v>
      </c>
    </row>
    <row r="104" spans="2:72" x14ac:dyDescent="0.25">
      <c r="B104" s="3" t="s">
        <v>332</v>
      </c>
      <c r="C104" s="3" t="s">
        <v>1746</v>
      </c>
      <c r="D104" s="3" t="s">
        <v>0</v>
      </c>
      <c r="E104" s="3" t="s">
        <v>1686</v>
      </c>
      <c r="F104" s="3" t="s">
        <v>399</v>
      </c>
      <c r="G104" s="3" t="s">
        <v>1691</v>
      </c>
      <c r="H104" s="18" t="s">
        <v>1694</v>
      </c>
      <c r="I104" s="3" t="s">
        <v>24</v>
      </c>
      <c r="J104" s="3">
        <v>16</v>
      </c>
      <c r="K104" s="3" t="s">
        <v>119</v>
      </c>
      <c r="L104" s="3" t="s">
        <v>23</v>
      </c>
      <c r="M104" s="3">
        <v>1061</v>
      </c>
      <c r="N104" s="3" t="str">
        <f t="shared" si="125"/>
        <v>00000425</v>
      </c>
      <c r="O104" s="3">
        <v>31</v>
      </c>
      <c r="P104" s="3">
        <v>16</v>
      </c>
      <c r="Q104" s="3" t="str">
        <f t="shared" si="126"/>
        <v>X</v>
      </c>
      <c r="R104" s="3" t="str">
        <f t="shared" si="126"/>
        <v>X</v>
      </c>
      <c r="S104" s="3" t="str">
        <f t="shared" si="126"/>
        <v>X</v>
      </c>
      <c r="T104" s="3" t="str">
        <f t="shared" si="126"/>
        <v>X</v>
      </c>
      <c r="U104" s="3" t="str">
        <f t="shared" si="126"/>
        <v>X</v>
      </c>
      <c r="V104" s="3" t="str">
        <f t="shared" si="126"/>
        <v>X</v>
      </c>
      <c r="W104" s="3" t="str">
        <f t="shared" si="126"/>
        <v>X</v>
      </c>
      <c r="X104" s="3" t="str">
        <f t="shared" si="126"/>
        <v>X</v>
      </c>
      <c r="Y104" s="3" t="str">
        <f t="shared" si="126"/>
        <v>X</v>
      </c>
      <c r="Z104" s="3" t="str">
        <f t="shared" si="126"/>
        <v>X</v>
      </c>
      <c r="AA104" s="3" t="str">
        <f t="shared" si="126"/>
        <v>X</v>
      </c>
      <c r="AB104" s="3" t="str">
        <f t="shared" si="126"/>
        <v>X</v>
      </c>
      <c r="AC104" s="3" t="str">
        <f t="shared" si="126"/>
        <v>X</v>
      </c>
      <c r="AD104" s="3" t="str">
        <f t="shared" si="126"/>
        <v>X</v>
      </c>
      <c r="AE104" s="3" t="str">
        <f t="shared" si="126"/>
        <v>X</v>
      </c>
      <c r="AF104" s="3" t="str">
        <f t="shared" si="126"/>
        <v>X</v>
      </c>
      <c r="AG104" s="3" t="str">
        <f t="shared" si="127"/>
        <v/>
      </c>
      <c r="AH104" s="3" t="str">
        <f t="shared" si="127"/>
        <v/>
      </c>
      <c r="AI104" s="3" t="str">
        <f t="shared" si="127"/>
        <v/>
      </c>
      <c r="AJ104" s="3" t="str">
        <f t="shared" si="127"/>
        <v/>
      </c>
      <c r="AK104" s="3" t="str">
        <f t="shared" si="127"/>
        <v/>
      </c>
      <c r="AL104" s="3" t="str">
        <f t="shared" si="127"/>
        <v/>
      </c>
      <c r="AM104" s="3" t="str">
        <f t="shared" si="127"/>
        <v/>
      </c>
      <c r="AN104" s="3" t="str">
        <f t="shared" si="127"/>
        <v/>
      </c>
      <c r="AO104" s="3" t="str">
        <f t="shared" si="127"/>
        <v/>
      </c>
      <c r="AP104" s="3" t="str">
        <f t="shared" si="127"/>
        <v/>
      </c>
      <c r="AQ104" s="3" t="str">
        <f t="shared" si="127"/>
        <v/>
      </c>
      <c r="AR104" s="3" t="str">
        <f t="shared" si="127"/>
        <v/>
      </c>
      <c r="AS104" s="3" t="str">
        <f t="shared" si="127"/>
        <v/>
      </c>
      <c r="AT104" s="3" t="str">
        <f t="shared" si="127"/>
        <v/>
      </c>
      <c r="AU104" s="3" t="str">
        <f t="shared" si="127"/>
        <v/>
      </c>
      <c r="AV104" s="3" t="str">
        <f t="shared" si="127"/>
        <v/>
      </c>
      <c r="AW104" s="3" t="str">
        <f t="shared" si="92"/>
        <v>X</v>
      </c>
      <c r="AX104" s="3" t="str">
        <f t="shared" si="93"/>
        <v>X</v>
      </c>
      <c r="AY104" s="3" t="str">
        <f t="shared" si="94"/>
        <v/>
      </c>
      <c r="AZ104" s="3" t="str">
        <f t="shared" si="95"/>
        <v/>
      </c>
      <c r="BA104" s="3">
        <f t="shared" si="99"/>
        <v>4244</v>
      </c>
      <c r="BB104" s="3">
        <f t="shared" si="100"/>
        <v>4245</v>
      </c>
      <c r="BC104" s="3" t="str">
        <f t="shared" si="101"/>
        <v/>
      </c>
      <c r="BD104" s="3" t="str">
        <f t="shared" si="102"/>
        <v/>
      </c>
      <c r="BE104" s="7" t="str">
        <f t="shared" si="103"/>
        <v>00001094</v>
      </c>
      <c r="BF104" s="7" t="str">
        <f t="shared" si="104"/>
        <v>00001095</v>
      </c>
      <c r="BG104" s="7" t="str">
        <f t="shared" si="105"/>
        <v/>
      </c>
      <c r="BH104" s="7" t="str">
        <f t="shared" si="106"/>
        <v/>
      </c>
      <c r="BI104" s="3" t="str">
        <f t="shared" si="107"/>
        <v/>
      </c>
      <c r="BJ104" s="3" t="str">
        <f t="shared" si="108"/>
        <v/>
      </c>
      <c r="BK104" s="3" t="str">
        <f t="shared" si="109"/>
        <v/>
      </c>
      <c r="BL104" s="3" t="str">
        <f t="shared" si="110"/>
        <v/>
      </c>
      <c r="BM104" s="3">
        <f t="shared" si="111"/>
        <v>15</v>
      </c>
      <c r="BN104" s="3">
        <f t="shared" si="112"/>
        <v>7</v>
      </c>
      <c r="BO104" s="3" t="str">
        <f t="shared" si="113"/>
        <v/>
      </c>
      <c r="BP104" s="3" t="str">
        <f t="shared" si="114"/>
        <v/>
      </c>
      <c r="BQ104" s="3" t="str">
        <f t="shared" si="115"/>
        <v>(15 downto 8)</v>
      </c>
      <c r="BR104" s="3" t="str">
        <f t="shared" si="116"/>
        <v>(7 downto 0)</v>
      </c>
      <c r="BS104" s="3" t="str">
        <f t="shared" si="117"/>
        <v/>
      </c>
      <c r="BT104" s="3" t="str">
        <f t="shared" si="118"/>
        <v/>
      </c>
    </row>
    <row r="105" spans="2:72" x14ac:dyDescent="0.25">
      <c r="B105" s="3" t="s">
        <v>332</v>
      </c>
      <c r="C105" s="3" t="s">
        <v>1747</v>
      </c>
      <c r="D105" s="3" t="s">
        <v>0</v>
      </c>
      <c r="E105" s="3" t="s">
        <v>1686</v>
      </c>
      <c r="F105" s="3" t="s">
        <v>399</v>
      </c>
      <c r="G105" s="3" t="s">
        <v>1691</v>
      </c>
      <c r="H105" s="18" t="s">
        <v>1721</v>
      </c>
      <c r="I105" s="3" t="s">
        <v>24</v>
      </c>
      <c r="J105" s="3">
        <v>4</v>
      </c>
      <c r="K105" s="3" t="s">
        <v>119</v>
      </c>
      <c r="L105" s="3" t="s">
        <v>23</v>
      </c>
      <c r="M105" s="3">
        <v>1061</v>
      </c>
      <c r="N105" s="3" t="str">
        <f t="shared" ref="N105:N110" si="128">DEC2HEX($M105,8)</f>
        <v>00000425</v>
      </c>
      <c r="O105" s="3">
        <v>13</v>
      </c>
      <c r="P105" s="3">
        <v>10</v>
      </c>
      <c r="Q105" s="3" t="str">
        <f t="shared" si="126"/>
        <v/>
      </c>
      <c r="R105" s="3" t="str">
        <f t="shared" si="126"/>
        <v/>
      </c>
      <c r="S105" s="3" t="str">
        <f t="shared" si="126"/>
        <v/>
      </c>
      <c r="T105" s="3" t="str">
        <f t="shared" si="126"/>
        <v/>
      </c>
      <c r="U105" s="3" t="str">
        <f t="shared" si="126"/>
        <v/>
      </c>
      <c r="V105" s="3" t="str">
        <f t="shared" si="126"/>
        <v/>
      </c>
      <c r="W105" s="3" t="str">
        <f t="shared" si="126"/>
        <v/>
      </c>
      <c r="X105" s="3" t="str">
        <f t="shared" si="126"/>
        <v/>
      </c>
      <c r="Y105" s="3" t="str">
        <f t="shared" si="126"/>
        <v/>
      </c>
      <c r="Z105" s="3" t="str">
        <f t="shared" si="126"/>
        <v/>
      </c>
      <c r="AA105" s="3" t="str">
        <f t="shared" si="126"/>
        <v/>
      </c>
      <c r="AB105" s="3" t="str">
        <f t="shared" si="126"/>
        <v/>
      </c>
      <c r="AC105" s="3" t="str">
        <f t="shared" si="126"/>
        <v/>
      </c>
      <c r="AD105" s="3" t="str">
        <f t="shared" si="126"/>
        <v/>
      </c>
      <c r="AE105" s="3" t="str">
        <f t="shared" si="126"/>
        <v/>
      </c>
      <c r="AF105" s="3" t="str">
        <f t="shared" si="126"/>
        <v/>
      </c>
      <c r="AG105" s="3" t="str">
        <f t="shared" si="127"/>
        <v/>
      </c>
      <c r="AH105" s="3" t="str">
        <f t="shared" si="127"/>
        <v/>
      </c>
      <c r="AI105" s="3" t="str">
        <f t="shared" si="127"/>
        <v>X</v>
      </c>
      <c r="AJ105" s="3" t="str">
        <f t="shared" si="127"/>
        <v>X</v>
      </c>
      <c r="AK105" s="3" t="str">
        <f t="shared" si="127"/>
        <v>X</v>
      </c>
      <c r="AL105" s="3" t="str">
        <f t="shared" si="127"/>
        <v>X</v>
      </c>
      <c r="AM105" s="3" t="str">
        <f t="shared" si="127"/>
        <v/>
      </c>
      <c r="AN105" s="3" t="str">
        <f t="shared" si="127"/>
        <v/>
      </c>
      <c r="AO105" s="3" t="str">
        <f t="shared" si="127"/>
        <v/>
      </c>
      <c r="AP105" s="3" t="str">
        <f t="shared" si="127"/>
        <v/>
      </c>
      <c r="AQ105" s="3" t="str">
        <f t="shared" si="127"/>
        <v/>
      </c>
      <c r="AR105" s="3" t="str">
        <f t="shared" si="127"/>
        <v/>
      </c>
      <c r="AS105" s="3" t="str">
        <f t="shared" si="127"/>
        <v/>
      </c>
      <c r="AT105" s="3" t="str">
        <f t="shared" si="127"/>
        <v/>
      </c>
      <c r="AU105" s="3" t="str">
        <f t="shared" si="127"/>
        <v/>
      </c>
      <c r="AV105" s="3" t="str">
        <f t="shared" si="127"/>
        <v/>
      </c>
      <c r="AW105" s="3" t="str">
        <f t="shared" si="92"/>
        <v/>
      </c>
      <c r="AX105" s="3" t="str">
        <f t="shared" si="93"/>
        <v/>
      </c>
      <c r="AY105" s="3" t="str">
        <f t="shared" si="94"/>
        <v>X</v>
      </c>
      <c r="AZ105" s="3" t="str">
        <f t="shared" si="95"/>
        <v/>
      </c>
      <c r="BA105" s="3" t="str">
        <f t="shared" si="99"/>
        <v/>
      </c>
      <c r="BB105" s="3" t="str">
        <f t="shared" si="100"/>
        <v/>
      </c>
      <c r="BC105" s="3">
        <f t="shared" si="101"/>
        <v>4246</v>
      </c>
      <c r="BD105" s="3" t="str">
        <f t="shared" si="102"/>
        <v/>
      </c>
      <c r="BE105" s="7" t="str">
        <f t="shared" si="103"/>
        <v/>
      </c>
      <c r="BF105" s="7" t="str">
        <f t="shared" si="104"/>
        <v/>
      </c>
      <c r="BG105" s="7" t="str">
        <f t="shared" si="105"/>
        <v>00001096</v>
      </c>
      <c r="BH105" s="7" t="str">
        <f t="shared" si="106"/>
        <v/>
      </c>
      <c r="BI105" s="3" t="str">
        <f t="shared" si="107"/>
        <v/>
      </c>
      <c r="BJ105" s="3" t="str">
        <f t="shared" si="108"/>
        <v/>
      </c>
      <c r="BK105" s="3" t="str">
        <f t="shared" si="109"/>
        <v>(5 downto 2)</v>
      </c>
      <c r="BL105" s="3" t="str">
        <f t="shared" si="110"/>
        <v/>
      </c>
      <c r="BM105" s="3" t="str">
        <f t="shared" si="111"/>
        <v/>
      </c>
      <c r="BN105" s="3" t="str">
        <f t="shared" si="112"/>
        <v/>
      </c>
      <c r="BO105" s="3">
        <f t="shared" si="113"/>
        <v>3</v>
      </c>
      <c r="BP105" s="3" t="str">
        <f t="shared" si="114"/>
        <v/>
      </c>
      <c r="BQ105" s="3" t="str">
        <f t="shared" si="115"/>
        <v/>
      </c>
      <c r="BR105" s="3" t="str">
        <f t="shared" si="116"/>
        <v/>
      </c>
      <c r="BS105" s="3" t="str">
        <f t="shared" si="117"/>
        <v/>
      </c>
      <c r="BT105" s="3" t="str">
        <f t="shared" si="118"/>
        <v/>
      </c>
    </row>
    <row r="106" spans="2:72" x14ac:dyDescent="0.25">
      <c r="B106" s="3" t="s">
        <v>332</v>
      </c>
      <c r="C106" s="3" t="s">
        <v>1748</v>
      </c>
      <c r="D106" s="3" t="s">
        <v>0</v>
      </c>
      <c r="E106" s="3" t="s">
        <v>1686</v>
      </c>
      <c r="F106" s="3" t="s">
        <v>399</v>
      </c>
      <c r="G106" s="3" t="s">
        <v>1691</v>
      </c>
      <c r="H106" s="18" t="s">
        <v>1745</v>
      </c>
      <c r="I106" s="3" t="s">
        <v>24</v>
      </c>
      <c r="J106" s="3">
        <v>9</v>
      </c>
      <c r="K106" s="3" t="s">
        <v>119</v>
      </c>
      <c r="L106" s="3" t="s">
        <v>23</v>
      </c>
      <c r="M106" s="3">
        <v>1061</v>
      </c>
      <c r="N106" s="3" t="str">
        <f t="shared" si="128"/>
        <v>00000425</v>
      </c>
      <c r="O106" s="3">
        <v>8</v>
      </c>
      <c r="P106" s="3">
        <v>0</v>
      </c>
      <c r="Q106" s="3" t="str">
        <f t="shared" si="126"/>
        <v/>
      </c>
      <c r="R106" s="3" t="str">
        <f t="shared" si="126"/>
        <v/>
      </c>
      <c r="S106" s="3" t="str">
        <f t="shared" si="126"/>
        <v/>
      </c>
      <c r="T106" s="3" t="str">
        <f t="shared" si="126"/>
        <v/>
      </c>
      <c r="U106" s="3" t="str">
        <f t="shared" si="126"/>
        <v/>
      </c>
      <c r="V106" s="3" t="str">
        <f t="shared" si="126"/>
        <v/>
      </c>
      <c r="W106" s="3" t="str">
        <f t="shared" si="126"/>
        <v/>
      </c>
      <c r="X106" s="3" t="str">
        <f t="shared" si="126"/>
        <v/>
      </c>
      <c r="Y106" s="3" t="str">
        <f t="shared" si="126"/>
        <v/>
      </c>
      <c r="Z106" s="3" t="str">
        <f t="shared" si="126"/>
        <v/>
      </c>
      <c r="AA106" s="3" t="str">
        <f t="shared" si="126"/>
        <v/>
      </c>
      <c r="AB106" s="3" t="str">
        <f t="shared" si="126"/>
        <v/>
      </c>
      <c r="AC106" s="3" t="str">
        <f t="shared" si="126"/>
        <v/>
      </c>
      <c r="AD106" s="3" t="str">
        <f t="shared" si="126"/>
        <v/>
      </c>
      <c r="AE106" s="3" t="str">
        <f t="shared" si="126"/>
        <v/>
      </c>
      <c r="AF106" s="3" t="str">
        <f t="shared" si="126"/>
        <v/>
      </c>
      <c r="AG106" s="3" t="str">
        <f t="shared" si="127"/>
        <v/>
      </c>
      <c r="AH106" s="3" t="str">
        <f t="shared" si="127"/>
        <v/>
      </c>
      <c r="AI106" s="3" t="str">
        <f t="shared" si="127"/>
        <v/>
      </c>
      <c r="AJ106" s="3" t="str">
        <f t="shared" si="127"/>
        <v/>
      </c>
      <c r="AK106" s="3" t="str">
        <f t="shared" si="127"/>
        <v/>
      </c>
      <c r="AL106" s="3" t="str">
        <f t="shared" si="127"/>
        <v/>
      </c>
      <c r="AM106" s="3" t="str">
        <f t="shared" si="127"/>
        <v/>
      </c>
      <c r="AN106" s="3" t="str">
        <f t="shared" si="127"/>
        <v>X</v>
      </c>
      <c r="AO106" s="3" t="str">
        <f t="shared" si="127"/>
        <v>X</v>
      </c>
      <c r="AP106" s="3" t="str">
        <f t="shared" si="127"/>
        <v>X</v>
      </c>
      <c r="AQ106" s="3" t="str">
        <f t="shared" si="127"/>
        <v>X</v>
      </c>
      <c r="AR106" s="3" t="str">
        <f t="shared" si="127"/>
        <v>X</v>
      </c>
      <c r="AS106" s="3" t="str">
        <f t="shared" si="127"/>
        <v>X</v>
      </c>
      <c r="AT106" s="3" t="str">
        <f t="shared" si="127"/>
        <v>X</v>
      </c>
      <c r="AU106" s="3" t="str">
        <f t="shared" si="127"/>
        <v>X</v>
      </c>
      <c r="AV106" s="3" t="str">
        <f t="shared" si="127"/>
        <v>X</v>
      </c>
      <c r="AW106" s="3" t="str">
        <f t="shared" si="92"/>
        <v/>
      </c>
      <c r="AX106" s="3" t="str">
        <f t="shared" si="93"/>
        <v/>
      </c>
      <c r="AY106" s="3" t="str">
        <f t="shared" si="94"/>
        <v>X</v>
      </c>
      <c r="AZ106" s="3" t="str">
        <f t="shared" si="95"/>
        <v>X</v>
      </c>
      <c r="BA106" s="3" t="str">
        <f t="shared" si="99"/>
        <v/>
      </c>
      <c r="BB106" s="3" t="str">
        <f t="shared" si="100"/>
        <v/>
      </c>
      <c r="BC106" s="3">
        <f t="shared" si="101"/>
        <v>4246</v>
      </c>
      <c r="BD106" s="3">
        <f t="shared" si="102"/>
        <v>4247</v>
      </c>
      <c r="BE106" s="7" t="str">
        <f t="shared" si="103"/>
        <v/>
      </c>
      <c r="BF106" s="7" t="str">
        <f t="shared" si="104"/>
        <v/>
      </c>
      <c r="BG106" s="7" t="str">
        <f t="shared" si="105"/>
        <v>00001096</v>
      </c>
      <c r="BH106" s="7" t="str">
        <f t="shared" si="106"/>
        <v>00001097</v>
      </c>
      <c r="BI106" s="3" t="str">
        <f t="shared" si="107"/>
        <v/>
      </c>
      <c r="BJ106" s="3" t="str">
        <f t="shared" si="108"/>
        <v/>
      </c>
      <c r="BK106" s="3" t="str">
        <f t="shared" si="109"/>
        <v>(0)</v>
      </c>
      <c r="BL106" s="3" t="str">
        <f t="shared" si="110"/>
        <v/>
      </c>
      <c r="BM106" s="3" t="str">
        <f t="shared" si="111"/>
        <v/>
      </c>
      <c r="BN106" s="3" t="str">
        <f t="shared" si="112"/>
        <v/>
      </c>
      <c r="BO106" s="3">
        <f t="shared" si="113"/>
        <v>8</v>
      </c>
      <c r="BP106" s="3">
        <f t="shared" si="114"/>
        <v>7</v>
      </c>
      <c r="BQ106" s="3" t="str">
        <f t="shared" si="115"/>
        <v/>
      </c>
      <c r="BR106" s="3" t="str">
        <f t="shared" si="116"/>
        <v/>
      </c>
      <c r="BS106" s="3" t="str">
        <f t="shared" si="117"/>
        <v>(8)</v>
      </c>
      <c r="BT106" s="3" t="str">
        <f t="shared" si="118"/>
        <v>(7 downto 0)</v>
      </c>
    </row>
    <row r="107" spans="2:72" x14ac:dyDescent="0.25">
      <c r="B107" s="3" t="s">
        <v>333</v>
      </c>
      <c r="C107" s="3" t="s">
        <v>1749</v>
      </c>
      <c r="D107" s="3" t="s">
        <v>0</v>
      </c>
      <c r="E107" s="3" t="s">
        <v>1686</v>
      </c>
      <c r="F107" s="3" t="s">
        <v>400</v>
      </c>
      <c r="G107" s="3" t="s">
        <v>1692</v>
      </c>
      <c r="H107" s="18" t="s">
        <v>1694</v>
      </c>
      <c r="I107" s="3" t="s">
        <v>24</v>
      </c>
      <c r="J107" s="3">
        <v>8</v>
      </c>
      <c r="K107" s="3" t="s">
        <v>119</v>
      </c>
      <c r="L107" s="3" t="s">
        <v>23</v>
      </c>
      <c r="M107" s="3">
        <v>1062</v>
      </c>
      <c r="N107" s="3" t="str">
        <f t="shared" si="128"/>
        <v>00000426</v>
      </c>
      <c r="O107" s="3">
        <v>31</v>
      </c>
      <c r="P107" s="3">
        <v>24</v>
      </c>
      <c r="Q107" s="3" t="str">
        <f t="shared" si="126"/>
        <v>X</v>
      </c>
      <c r="R107" s="3" t="str">
        <f t="shared" si="126"/>
        <v>X</v>
      </c>
      <c r="S107" s="3" t="str">
        <f t="shared" si="126"/>
        <v>X</v>
      </c>
      <c r="T107" s="3" t="str">
        <f t="shared" si="126"/>
        <v>X</v>
      </c>
      <c r="U107" s="3" t="str">
        <f t="shared" si="126"/>
        <v>X</v>
      </c>
      <c r="V107" s="3" t="str">
        <f t="shared" si="126"/>
        <v>X</v>
      </c>
      <c r="W107" s="3" t="str">
        <f t="shared" si="126"/>
        <v>X</v>
      </c>
      <c r="X107" s="3" t="str">
        <f t="shared" si="126"/>
        <v>X</v>
      </c>
      <c r="Y107" s="3" t="str">
        <f t="shared" si="126"/>
        <v/>
      </c>
      <c r="Z107" s="3" t="str">
        <f t="shared" si="126"/>
        <v/>
      </c>
      <c r="AA107" s="3" t="str">
        <f t="shared" si="126"/>
        <v/>
      </c>
      <c r="AB107" s="3" t="str">
        <f t="shared" si="126"/>
        <v/>
      </c>
      <c r="AC107" s="3" t="str">
        <f t="shared" si="126"/>
        <v/>
      </c>
      <c r="AD107" s="3" t="str">
        <f t="shared" si="126"/>
        <v/>
      </c>
      <c r="AE107" s="3" t="str">
        <f t="shared" si="126"/>
        <v/>
      </c>
      <c r="AF107" s="3" t="str">
        <f t="shared" si="126"/>
        <v/>
      </c>
      <c r="AG107" s="3" t="str">
        <f t="shared" si="127"/>
        <v/>
      </c>
      <c r="AH107" s="3" t="str">
        <f t="shared" si="127"/>
        <v/>
      </c>
      <c r="AI107" s="3" t="str">
        <f t="shared" si="127"/>
        <v/>
      </c>
      <c r="AJ107" s="3" t="str">
        <f t="shared" si="127"/>
        <v/>
      </c>
      <c r="AK107" s="3" t="str">
        <f t="shared" si="127"/>
        <v/>
      </c>
      <c r="AL107" s="3" t="str">
        <f t="shared" si="127"/>
        <v/>
      </c>
      <c r="AM107" s="3" t="str">
        <f t="shared" si="127"/>
        <v/>
      </c>
      <c r="AN107" s="3" t="str">
        <f t="shared" si="127"/>
        <v/>
      </c>
      <c r="AO107" s="3" t="str">
        <f t="shared" si="127"/>
        <v/>
      </c>
      <c r="AP107" s="3" t="str">
        <f t="shared" si="127"/>
        <v/>
      </c>
      <c r="AQ107" s="3" t="str">
        <f t="shared" si="127"/>
        <v/>
      </c>
      <c r="AR107" s="3" t="str">
        <f t="shared" si="127"/>
        <v/>
      </c>
      <c r="AS107" s="3" t="str">
        <f t="shared" si="127"/>
        <v/>
      </c>
      <c r="AT107" s="3" t="str">
        <f t="shared" si="127"/>
        <v/>
      </c>
      <c r="AU107" s="3" t="str">
        <f t="shared" si="127"/>
        <v/>
      </c>
      <c r="AV107" s="3" t="str">
        <f t="shared" si="127"/>
        <v/>
      </c>
      <c r="AW107" s="3" t="str">
        <f t="shared" si="92"/>
        <v>X</v>
      </c>
      <c r="AX107" s="3" t="str">
        <f t="shared" si="93"/>
        <v/>
      </c>
      <c r="AY107" s="3" t="str">
        <f t="shared" si="94"/>
        <v/>
      </c>
      <c r="AZ107" s="3" t="str">
        <f t="shared" si="95"/>
        <v/>
      </c>
      <c r="BA107" s="3">
        <f t="shared" si="99"/>
        <v>4248</v>
      </c>
      <c r="BB107" s="3" t="str">
        <f t="shared" si="100"/>
        <v/>
      </c>
      <c r="BC107" s="3" t="str">
        <f t="shared" si="101"/>
        <v/>
      </c>
      <c r="BD107" s="3" t="str">
        <f t="shared" si="102"/>
        <v/>
      </c>
      <c r="BE107" s="7" t="str">
        <f t="shared" si="103"/>
        <v>00001098</v>
      </c>
      <c r="BF107" s="7" t="str">
        <f t="shared" si="104"/>
        <v/>
      </c>
      <c r="BG107" s="7" t="str">
        <f t="shared" si="105"/>
        <v/>
      </c>
      <c r="BH107" s="7" t="str">
        <f t="shared" si="106"/>
        <v/>
      </c>
      <c r="BI107" s="3" t="str">
        <f t="shared" si="107"/>
        <v/>
      </c>
      <c r="BJ107" s="3" t="str">
        <f t="shared" si="108"/>
        <v/>
      </c>
      <c r="BK107" s="3" t="str">
        <f t="shared" si="109"/>
        <v/>
      </c>
      <c r="BL107" s="3" t="str">
        <f t="shared" si="110"/>
        <v/>
      </c>
      <c r="BM107" s="3">
        <f t="shared" si="111"/>
        <v>7</v>
      </c>
      <c r="BN107" s="3" t="str">
        <f t="shared" si="112"/>
        <v/>
      </c>
      <c r="BO107" s="3" t="str">
        <f t="shared" si="113"/>
        <v/>
      </c>
      <c r="BP107" s="3" t="str">
        <f t="shared" si="114"/>
        <v/>
      </c>
      <c r="BQ107" s="3" t="str">
        <f t="shared" si="115"/>
        <v/>
      </c>
      <c r="BR107" s="3" t="str">
        <f t="shared" si="116"/>
        <v/>
      </c>
      <c r="BS107" s="3" t="str">
        <f t="shared" si="117"/>
        <v/>
      </c>
      <c r="BT107" s="3" t="str">
        <f t="shared" si="118"/>
        <v/>
      </c>
    </row>
    <row r="108" spans="2:72" x14ac:dyDescent="0.25">
      <c r="B108" s="3" t="s">
        <v>334</v>
      </c>
      <c r="C108" s="3" t="s">
        <v>1750</v>
      </c>
      <c r="D108" s="3" t="s">
        <v>0</v>
      </c>
      <c r="E108" s="3" t="s">
        <v>115</v>
      </c>
      <c r="F108" s="3" t="s">
        <v>401</v>
      </c>
      <c r="G108" s="3" t="s">
        <v>462</v>
      </c>
      <c r="H108" s="18" t="s">
        <v>1694</v>
      </c>
      <c r="I108" s="3" t="s">
        <v>24</v>
      </c>
      <c r="J108" s="3">
        <v>16</v>
      </c>
      <c r="K108" s="3" t="s">
        <v>119</v>
      </c>
      <c r="L108" s="3" t="s">
        <v>23</v>
      </c>
      <c r="M108" s="3">
        <v>1064</v>
      </c>
      <c r="N108" s="3" t="str">
        <f t="shared" si="128"/>
        <v>00000428</v>
      </c>
      <c r="O108" s="3">
        <v>31</v>
      </c>
      <c r="P108" s="3">
        <v>16</v>
      </c>
      <c r="Q108" s="3" t="str">
        <f t="shared" si="126"/>
        <v>X</v>
      </c>
      <c r="R108" s="3" t="str">
        <f t="shared" si="126"/>
        <v>X</v>
      </c>
      <c r="S108" s="3" t="str">
        <f t="shared" si="126"/>
        <v>X</v>
      </c>
      <c r="T108" s="3" t="str">
        <f t="shared" si="126"/>
        <v>X</v>
      </c>
      <c r="U108" s="3" t="str">
        <f t="shared" si="126"/>
        <v>X</v>
      </c>
      <c r="V108" s="3" t="str">
        <f t="shared" si="126"/>
        <v>X</v>
      </c>
      <c r="W108" s="3" t="str">
        <f t="shared" si="126"/>
        <v>X</v>
      </c>
      <c r="X108" s="3" t="str">
        <f t="shared" si="126"/>
        <v>X</v>
      </c>
      <c r="Y108" s="3" t="str">
        <f t="shared" si="126"/>
        <v>X</v>
      </c>
      <c r="Z108" s="3" t="str">
        <f t="shared" si="126"/>
        <v>X</v>
      </c>
      <c r="AA108" s="3" t="str">
        <f t="shared" si="126"/>
        <v>X</v>
      </c>
      <c r="AB108" s="3" t="str">
        <f t="shared" si="126"/>
        <v>X</v>
      </c>
      <c r="AC108" s="3" t="str">
        <f t="shared" si="126"/>
        <v>X</v>
      </c>
      <c r="AD108" s="3" t="str">
        <f t="shared" si="126"/>
        <v>X</v>
      </c>
      <c r="AE108" s="3" t="str">
        <f t="shared" si="126"/>
        <v>X</v>
      </c>
      <c r="AF108" s="3" t="str">
        <f t="shared" si="126"/>
        <v>X</v>
      </c>
      <c r="AG108" s="3" t="str">
        <f t="shared" si="127"/>
        <v/>
      </c>
      <c r="AH108" s="3" t="str">
        <f t="shared" si="127"/>
        <v/>
      </c>
      <c r="AI108" s="3" t="str">
        <f t="shared" si="127"/>
        <v/>
      </c>
      <c r="AJ108" s="3" t="str">
        <f t="shared" si="127"/>
        <v/>
      </c>
      <c r="AK108" s="3" t="str">
        <f t="shared" si="127"/>
        <v/>
      </c>
      <c r="AL108" s="3" t="str">
        <f t="shared" si="127"/>
        <v/>
      </c>
      <c r="AM108" s="3" t="str">
        <f t="shared" si="127"/>
        <v/>
      </c>
      <c r="AN108" s="3" t="str">
        <f t="shared" si="127"/>
        <v/>
      </c>
      <c r="AO108" s="3" t="str">
        <f t="shared" si="127"/>
        <v/>
      </c>
      <c r="AP108" s="3" t="str">
        <f t="shared" si="127"/>
        <v/>
      </c>
      <c r="AQ108" s="3" t="str">
        <f t="shared" si="127"/>
        <v/>
      </c>
      <c r="AR108" s="3" t="str">
        <f t="shared" si="127"/>
        <v/>
      </c>
      <c r="AS108" s="3" t="str">
        <f t="shared" si="127"/>
        <v/>
      </c>
      <c r="AT108" s="3" t="str">
        <f t="shared" si="127"/>
        <v/>
      </c>
      <c r="AU108" s="3" t="str">
        <f t="shared" si="127"/>
        <v/>
      </c>
      <c r="AV108" s="3" t="str">
        <f t="shared" si="127"/>
        <v/>
      </c>
      <c r="AW108" s="3" t="str">
        <f t="shared" si="92"/>
        <v>X</v>
      </c>
      <c r="AX108" s="3" t="str">
        <f t="shared" si="93"/>
        <v>X</v>
      </c>
      <c r="AY108" s="3" t="str">
        <f t="shared" si="94"/>
        <v/>
      </c>
      <c r="AZ108" s="3" t="str">
        <f t="shared" si="95"/>
        <v/>
      </c>
      <c r="BA108" s="3">
        <f t="shared" si="99"/>
        <v>4256</v>
      </c>
      <c r="BB108" s="3">
        <f t="shared" si="100"/>
        <v>4257</v>
      </c>
      <c r="BC108" s="3" t="str">
        <f t="shared" si="101"/>
        <v/>
      </c>
      <c r="BD108" s="3" t="str">
        <f t="shared" si="102"/>
        <v/>
      </c>
      <c r="BE108" s="7" t="str">
        <f t="shared" si="103"/>
        <v>000010A0</v>
      </c>
      <c r="BF108" s="7" t="str">
        <f t="shared" si="104"/>
        <v>000010A1</v>
      </c>
      <c r="BG108" s="7" t="str">
        <f t="shared" si="105"/>
        <v/>
      </c>
      <c r="BH108" s="7" t="str">
        <f t="shared" si="106"/>
        <v/>
      </c>
      <c r="BI108" s="3" t="str">
        <f t="shared" si="107"/>
        <v/>
      </c>
      <c r="BJ108" s="3" t="str">
        <f t="shared" si="108"/>
        <v/>
      </c>
      <c r="BK108" s="3" t="str">
        <f t="shared" si="109"/>
        <v/>
      </c>
      <c r="BL108" s="3" t="str">
        <f t="shared" si="110"/>
        <v/>
      </c>
      <c r="BM108" s="3">
        <f t="shared" si="111"/>
        <v>15</v>
      </c>
      <c r="BN108" s="3">
        <f t="shared" si="112"/>
        <v>7</v>
      </c>
      <c r="BO108" s="3" t="str">
        <f t="shared" si="113"/>
        <v/>
      </c>
      <c r="BP108" s="3" t="str">
        <f t="shared" si="114"/>
        <v/>
      </c>
      <c r="BQ108" s="3" t="str">
        <f t="shared" si="115"/>
        <v>(15 downto 8)</v>
      </c>
      <c r="BR108" s="3" t="str">
        <f t="shared" si="116"/>
        <v>(7 downto 0)</v>
      </c>
      <c r="BS108" s="3" t="str">
        <f t="shared" si="117"/>
        <v/>
      </c>
      <c r="BT108" s="3" t="str">
        <f t="shared" si="118"/>
        <v/>
      </c>
    </row>
    <row r="109" spans="2:72" x14ac:dyDescent="0.25">
      <c r="B109" s="3" t="s">
        <v>335</v>
      </c>
      <c r="C109" s="3" t="s">
        <v>1751</v>
      </c>
      <c r="D109" s="3" t="s">
        <v>0</v>
      </c>
      <c r="E109" s="3" t="s">
        <v>115</v>
      </c>
      <c r="F109" s="3" t="s">
        <v>402</v>
      </c>
      <c r="G109" s="3" t="s">
        <v>463</v>
      </c>
      <c r="H109" s="18" t="s">
        <v>1694</v>
      </c>
      <c r="I109" s="3" t="s">
        <v>24</v>
      </c>
      <c r="J109" s="3">
        <v>32</v>
      </c>
      <c r="K109" s="3" t="s">
        <v>119</v>
      </c>
      <c r="L109" s="3" t="s">
        <v>23</v>
      </c>
      <c r="M109" s="3">
        <v>1148</v>
      </c>
      <c r="N109" s="3" t="str">
        <f t="shared" si="128"/>
        <v>0000047C</v>
      </c>
      <c r="O109" s="3">
        <v>31</v>
      </c>
      <c r="P109" s="3">
        <v>0</v>
      </c>
      <c r="Q109" s="3" t="str">
        <f t="shared" si="126"/>
        <v>X</v>
      </c>
      <c r="R109" s="3" t="str">
        <f t="shared" si="126"/>
        <v>X</v>
      </c>
      <c r="S109" s="3" t="str">
        <f t="shared" si="126"/>
        <v>X</v>
      </c>
      <c r="T109" s="3" t="str">
        <f t="shared" si="126"/>
        <v>X</v>
      </c>
      <c r="U109" s="3" t="str">
        <f t="shared" si="126"/>
        <v>X</v>
      </c>
      <c r="V109" s="3" t="str">
        <f t="shared" si="126"/>
        <v>X</v>
      </c>
      <c r="W109" s="3" t="str">
        <f t="shared" si="126"/>
        <v>X</v>
      </c>
      <c r="X109" s="3" t="str">
        <f t="shared" si="126"/>
        <v>X</v>
      </c>
      <c r="Y109" s="3" t="str">
        <f t="shared" si="126"/>
        <v>X</v>
      </c>
      <c r="Z109" s="3" t="str">
        <f t="shared" si="126"/>
        <v>X</v>
      </c>
      <c r="AA109" s="3" t="str">
        <f t="shared" si="126"/>
        <v>X</v>
      </c>
      <c r="AB109" s="3" t="str">
        <f t="shared" si="126"/>
        <v>X</v>
      </c>
      <c r="AC109" s="3" t="str">
        <f t="shared" si="126"/>
        <v>X</v>
      </c>
      <c r="AD109" s="3" t="str">
        <f t="shared" si="126"/>
        <v>X</v>
      </c>
      <c r="AE109" s="3" t="str">
        <f t="shared" si="126"/>
        <v>X</v>
      </c>
      <c r="AF109" s="3" t="str">
        <f t="shared" si="126"/>
        <v>X</v>
      </c>
      <c r="AG109" s="3" t="str">
        <f t="shared" si="127"/>
        <v>X</v>
      </c>
      <c r="AH109" s="3" t="str">
        <f t="shared" si="127"/>
        <v>X</v>
      </c>
      <c r="AI109" s="3" t="str">
        <f t="shared" si="127"/>
        <v>X</v>
      </c>
      <c r="AJ109" s="3" t="str">
        <f t="shared" si="127"/>
        <v>X</v>
      </c>
      <c r="AK109" s="3" t="str">
        <f t="shared" si="127"/>
        <v>X</v>
      </c>
      <c r="AL109" s="3" t="str">
        <f t="shared" si="127"/>
        <v>X</v>
      </c>
      <c r="AM109" s="3" t="str">
        <f t="shared" si="127"/>
        <v>X</v>
      </c>
      <c r="AN109" s="3" t="str">
        <f t="shared" si="127"/>
        <v>X</v>
      </c>
      <c r="AO109" s="3" t="str">
        <f t="shared" si="127"/>
        <v>X</v>
      </c>
      <c r="AP109" s="3" t="str">
        <f t="shared" si="127"/>
        <v>X</v>
      </c>
      <c r="AQ109" s="3" t="str">
        <f t="shared" si="127"/>
        <v>X</v>
      </c>
      <c r="AR109" s="3" t="str">
        <f t="shared" si="127"/>
        <v>X</v>
      </c>
      <c r="AS109" s="3" t="str">
        <f t="shared" si="127"/>
        <v>X</v>
      </c>
      <c r="AT109" s="3" t="str">
        <f t="shared" si="127"/>
        <v>X</v>
      </c>
      <c r="AU109" s="3" t="str">
        <f t="shared" si="127"/>
        <v>X</v>
      </c>
      <c r="AV109" s="3" t="str">
        <f t="shared" si="127"/>
        <v>X</v>
      </c>
      <c r="AW109" s="3" t="str">
        <f t="shared" si="92"/>
        <v>X</v>
      </c>
      <c r="AX109" s="3" t="str">
        <f t="shared" si="93"/>
        <v>X</v>
      </c>
      <c r="AY109" s="3" t="str">
        <f t="shared" si="94"/>
        <v>X</v>
      </c>
      <c r="AZ109" s="3" t="str">
        <f t="shared" si="95"/>
        <v>X</v>
      </c>
      <c r="BA109" s="3">
        <f t="shared" si="99"/>
        <v>4592</v>
      </c>
      <c r="BB109" s="3">
        <f t="shared" si="100"/>
        <v>4593</v>
      </c>
      <c r="BC109" s="3">
        <f t="shared" si="101"/>
        <v>4594</v>
      </c>
      <c r="BD109" s="3">
        <f t="shared" si="102"/>
        <v>4595</v>
      </c>
      <c r="BE109" s="7" t="str">
        <f t="shared" si="103"/>
        <v>000011F0</v>
      </c>
      <c r="BF109" s="7" t="str">
        <f t="shared" si="104"/>
        <v>000011F1</v>
      </c>
      <c r="BG109" s="7" t="str">
        <f t="shared" si="105"/>
        <v>000011F2</v>
      </c>
      <c r="BH109" s="7" t="str">
        <f t="shared" si="106"/>
        <v>000011F3</v>
      </c>
      <c r="BI109" s="3" t="str">
        <f t="shared" si="107"/>
        <v/>
      </c>
      <c r="BJ109" s="3" t="str">
        <f t="shared" si="108"/>
        <v/>
      </c>
      <c r="BK109" s="3" t="str">
        <f t="shared" si="109"/>
        <v/>
      </c>
      <c r="BL109" s="3" t="str">
        <f t="shared" si="110"/>
        <v/>
      </c>
      <c r="BM109" s="3">
        <f t="shared" si="111"/>
        <v>31</v>
      </c>
      <c r="BN109" s="3">
        <f t="shared" si="112"/>
        <v>23</v>
      </c>
      <c r="BO109" s="3">
        <f t="shared" si="113"/>
        <v>15</v>
      </c>
      <c r="BP109" s="3">
        <f t="shared" si="114"/>
        <v>7</v>
      </c>
      <c r="BQ109" s="3" t="str">
        <f t="shared" si="115"/>
        <v>(31 downto 24)</v>
      </c>
      <c r="BR109" s="3" t="str">
        <f t="shared" si="116"/>
        <v>(23 downto 16)</v>
      </c>
      <c r="BS109" s="3" t="str">
        <f t="shared" si="117"/>
        <v>(15 downto 8)</v>
      </c>
      <c r="BT109" s="3" t="str">
        <f t="shared" si="118"/>
        <v>(7 downto 0)</v>
      </c>
    </row>
    <row r="110" spans="2:72" x14ac:dyDescent="0.25">
      <c r="B110" s="3" t="s">
        <v>336</v>
      </c>
      <c r="C110" s="3" t="s">
        <v>1752</v>
      </c>
      <c r="D110" s="3" t="s">
        <v>0</v>
      </c>
      <c r="E110" s="3" t="s">
        <v>115</v>
      </c>
      <c r="F110" s="3" t="s">
        <v>403</v>
      </c>
      <c r="G110" s="3" t="s">
        <v>464</v>
      </c>
      <c r="H110" s="18" t="s">
        <v>1694</v>
      </c>
      <c r="I110" s="3" t="s">
        <v>24</v>
      </c>
      <c r="J110" s="3">
        <v>32</v>
      </c>
      <c r="K110" s="3" t="s">
        <v>119</v>
      </c>
      <c r="L110" s="3" t="s">
        <v>23</v>
      </c>
      <c r="M110" s="3">
        <v>1149</v>
      </c>
      <c r="N110" s="3" t="str">
        <f t="shared" si="128"/>
        <v>0000047D</v>
      </c>
      <c r="O110" s="3">
        <v>31</v>
      </c>
      <c r="P110" s="3">
        <v>0</v>
      </c>
      <c r="Q110" s="3" t="str">
        <f t="shared" si="126"/>
        <v>X</v>
      </c>
      <c r="R110" s="3" t="str">
        <f t="shared" si="126"/>
        <v>X</v>
      </c>
      <c r="S110" s="3" t="str">
        <f t="shared" si="126"/>
        <v>X</v>
      </c>
      <c r="T110" s="3" t="str">
        <f t="shared" si="126"/>
        <v>X</v>
      </c>
      <c r="U110" s="3" t="str">
        <f t="shared" si="126"/>
        <v>X</v>
      </c>
      <c r="V110" s="3" t="str">
        <f t="shared" si="126"/>
        <v>X</v>
      </c>
      <c r="W110" s="3" t="str">
        <f t="shared" si="126"/>
        <v>X</v>
      </c>
      <c r="X110" s="3" t="str">
        <f t="shared" si="126"/>
        <v>X</v>
      </c>
      <c r="Y110" s="3" t="str">
        <f t="shared" si="126"/>
        <v>X</v>
      </c>
      <c r="Z110" s="3" t="str">
        <f t="shared" si="126"/>
        <v>X</v>
      </c>
      <c r="AA110" s="3" t="str">
        <f t="shared" si="126"/>
        <v>X</v>
      </c>
      <c r="AB110" s="3" t="str">
        <f t="shared" si="126"/>
        <v>X</v>
      </c>
      <c r="AC110" s="3" t="str">
        <f t="shared" si="126"/>
        <v>X</v>
      </c>
      <c r="AD110" s="3" t="str">
        <f t="shared" si="126"/>
        <v>X</v>
      </c>
      <c r="AE110" s="3" t="str">
        <f t="shared" si="126"/>
        <v>X</v>
      </c>
      <c r="AF110" s="3" t="str">
        <f t="shared" si="126"/>
        <v>X</v>
      </c>
      <c r="AG110" s="3" t="str">
        <f t="shared" si="127"/>
        <v>X</v>
      </c>
      <c r="AH110" s="3" t="str">
        <f t="shared" si="127"/>
        <v>X</v>
      </c>
      <c r="AI110" s="3" t="str">
        <f t="shared" si="127"/>
        <v>X</v>
      </c>
      <c r="AJ110" s="3" t="str">
        <f t="shared" si="127"/>
        <v>X</v>
      </c>
      <c r="AK110" s="3" t="str">
        <f t="shared" si="127"/>
        <v>X</v>
      </c>
      <c r="AL110" s="3" t="str">
        <f t="shared" si="127"/>
        <v>X</v>
      </c>
      <c r="AM110" s="3" t="str">
        <f t="shared" si="127"/>
        <v>X</v>
      </c>
      <c r="AN110" s="3" t="str">
        <f t="shared" si="127"/>
        <v>X</v>
      </c>
      <c r="AO110" s="3" t="str">
        <f t="shared" si="127"/>
        <v>X</v>
      </c>
      <c r="AP110" s="3" t="str">
        <f t="shared" si="127"/>
        <v>X</v>
      </c>
      <c r="AQ110" s="3" t="str">
        <f t="shared" si="127"/>
        <v>X</v>
      </c>
      <c r="AR110" s="3" t="str">
        <f t="shared" si="127"/>
        <v>X</v>
      </c>
      <c r="AS110" s="3" t="str">
        <f t="shared" si="127"/>
        <v>X</v>
      </c>
      <c r="AT110" s="3" t="str">
        <f t="shared" si="127"/>
        <v>X</v>
      </c>
      <c r="AU110" s="3" t="str">
        <f t="shared" si="127"/>
        <v>X</v>
      </c>
      <c r="AV110" s="3" t="str">
        <f t="shared" si="127"/>
        <v>X</v>
      </c>
      <c r="AW110" s="3" t="str">
        <f t="shared" si="92"/>
        <v>X</v>
      </c>
      <c r="AX110" s="3" t="str">
        <f t="shared" si="93"/>
        <v>X</v>
      </c>
      <c r="AY110" s="3" t="str">
        <f t="shared" si="94"/>
        <v>X</v>
      </c>
      <c r="AZ110" s="3" t="str">
        <f t="shared" si="95"/>
        <v>X</v>
      </c>
      <c r="BA110" s="3">
        <f t="shared" si="99"/>
        <v>4596</v>
      </c>
      <c r="BB110" s="3">
        <f t="shared" si="100"/>
        <v>4597</v>
      </c>
      <c r="BC110" s="3">
        <f t="shared" si="101"/>
        <v>4598</v>
      </c>
      <c r="BD110" s="3">
        <f t="shared" si="102"/>
        <v>4599</v>
      </c>
      <c r="BE110" s="7" t="str">
        <f t="shared" si="103"/>
        <v>000011F4</v>
      </c>
      <c r="BF110" s="7" t="str">
        <f t="shared" si="104"/>
        <v>000011F5</v>
      </c>
      <c r="BG110" s="7" t="str">
        <f t="shared" si="105"/>
        <v>000011F6</v>
      </c>
      <c r="BH110" s="7" t="str">
        <f t="shared" si="106"/>
        <v>000011F7</v>
      </c>
      <c r="BI110" s="3" t="str">
        <f t="shared" si="107"/>
        <v/>
      </c>
      <c r="BJ110" s="3" t="str">
        <f t="shared" si="108"/>
        <v/>
      </c>
      <c r="BK110" s="3" t="str">
        <f t="shared" si="109"/>
        <v/>
      </c>
      <c r="BL110" s="3" t="str">
        <f t="shared" si="110"/>
        <v/>
      </c>
      <c r="BM110" s="3">
        <f t="shared" si="111"/>
        <v>31</v>
      </c>
      <c r="BN110" s="3">
        <f t="shared" si="112"/>
        <v>23</v>
      </c>
      <c r="BO110" s="3">
        <f t="shared" si="113"/>
        <v>15</v>
      </c>
      <c r="BP110" s="3">
        <f t="shared" si="114"/>
        <v>7</v>
      </c>
      <c r="BQ110" s="3" t="str">
        <f t="shared" si="115"/>
        <v>(31 downto 24)</v>
      </c>
      <c r="BR110" s="3" t="str">
        <f t="shared" si="116"/>
        <v>(23 downto 16)</v>
      </c>
      <c r="BS110" s="3" t="str">
        <f t="shared" si="117"/>
        <v>(15 downto 8)</v>
      </c>
      <c r="BT110" s="3" t="str">
        <f t="shared" si="118"/>
        <v>(7 downto 0)</v>
      </c>
    </row>
  </sheetData>
  <autoFilter ref="B3:BT110" xr:uid="{D9954634-0701-4133-8825-F9624AFD8797}"/>
  <mergeCells count="7">
    <mergeCell ref="BQ2:BT2"/>
    <mergeCell ref="Q2:AV2"/>
    <mergeCell ref="AW2:AZ2"/>
    <mergeCell ref="BA2:BD2"/>
    <mergeCell ref="BE2:BH2"/>
    <mergeCell ref="BI2:BL2"/>
    <mergeCell ref="BM2:BP2"/>
  </mergeCells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"/>
  <dimension ref="B2:AT30"/>
  <sheetViews>
    <sheetView workbookViewId="0"/>
  </sheetViews>
  <sheetFormatPr defaultRowHeight="15" x14ac:dyDescent="0.25"/>
  <cols>
    <col min="2" max="2" width="18.28515625" style="3" bestFit="1" customWidth="1"/>
    <col min="3" max="3" width="9.7109375" style="3" bestFit="1" customWidth="1"/>
    <col min="4" max="4" width="11.28515625" style="3" bestFit="1" customWidth="1"/>
    <col min="6" max="6" width="16" style="3" bestFit="1" customWidth="1"/>
    <col min="7" max="7" width="13.140625" style="3" bestFit="1" customWidth="1"/>
    <col min="8" max="8" width="11.28515625" style="3" bestFit="1" customWidth="1"/>
    <col min="9" max="9" width="18.85546875" style="3" bestFit="1" customWidth="1"/>
    <col min="10" max="10" width="7.5703125" style="3" bestFit="1" customWidth="1"/>
  </cols>
  <sheetData>
    <row r="2" spans="2:12" x14ac:dyDescent="0.25">
      <c r="B2" s="19" t="s">
        <v>30</v>
      </c>
      <c r="C2" s="19"/>
      <c r="D2" s="19"/>
      <c r="F2" s="19" t="s">
        <v>64</v>
      </c>
      <c r="G2" s="19"/>
      <c r="H2" s="13"/>
      <c r="I2" s="19" t="s">
        <v>61</v>
      </c>
      <c r="J2" s="19"/>
    </row>
    <row r="3" spans="2:12" x14ac:dyDescent="0.25">
      <c r="B3" s="5" t="s">
        <v>31</v>
      </c>
      <c r="C3" s="5" t="s">
        <v>32</v>
      </c>
      <c r="D3" s="5" t="s">
        <v>33</v>
      </c>
      <c r="F3" s="11" t="s">
        <v>31</v>
      </c>
      <c r="G3" s="11" t="s">
        <v>65</v>
      </c>
      <c r="H3" s="11"/>
      <c r="I3" s="10" t="s">
        <v>62</v>
      </c>
      <c r="J3" s="10" t="s">
        <v>63</v>
      </c>
      <c r="L3" s="16"/>
    </row>
    <row r="4" spans="2:12" x14ac:dyDescent="0.25">
      <c r="B4" s="3" t="s">
        <v>34</v>
      </c>
      <c r="C4" s="3">
        <v>8</v>
      </c>
      <c r="D4" s="3">
        <f>C4/8</f>
        <v>1</v>
      </c>
      <c r="F4" s="3" t="s">
        <v>34</v>
      </c>
      <c r="G4" s="3" t="s">
        <v>66</v>
      </c>
      <c r="I4" s="3" t="s">
        <v>17</v>
      </c>
      <c r="J4" s="3">
        <f>MATCH($I4,Main!$B$2:$BT$2,0)+1</f>
        <v>2</v>
      </c>
    </row>
    <row r="5" spans="2:12" x14ac:dyDescent="0.25">
      <c r="B5" s="3" t="s">
        <v>35</v>
      </c>
      <c r="C5" s="3">
        <v>8</v>
      </c>
      <c r="D5" s="3">
        <f t="shared" ref="D5:D28" si="0">C5/8</f>
        <v>1</v>
      </c>
      <c r="F5" s="3" t="s">
        <v>35</v>
      </c>
      <c r="G5" s="3" t="s">
        <v>66</v>
      </c>
      <c r="I5" s="3" t="s">
        <v>18</v>
      </c>
      <c r="J5" s="3">
        <f>MATCH($I5,Main!$B$2:$BT$2,0)+1</f>
        <v>3</v>
      </c>
    </row>
    <row r="6" spans="2:12" x14ac:dyDescent="0.25">
      <c r="B6" s="3" t="s">
        <v>36</v>
      </c>
      <c r="C6" s="3">
        <v>8</v>
      </c>
      <c r="D6" s="3">
        <f t="shared" si="0"/>
        <v>1</v>
      </c>
      <c r="F6" s="3" t="s">
        <v>36</v>
      </c>
      <c r="G6" s="3" t="s">
        <v>66</v>
      </c>
      <c r="I6" s="3" t="s">
        <v>1</v>
      </c>
      <c r="J6" s="3">
        <f>MATCH($I6,Main!$B$2:$BT$2,0)+1</f>
        <v>4</v>
      </c>
    </row>
    <row r="7" spans="2:12" x14ac:dyDescent="0.25">
      <c r="B7" s="3" t="s">
        <v>37</v>
      </c>
      <c r="C7" s="3">
        <v>8</v>
      </c>
      <c r="D7" s="3">
        <f t="shared" si="0"/>
        <v>1</v>
      </c>
      <c r="F7" s="3" t="s">
        <v>37</v>
      </c>
      <c r="G7" s="3" t="s">
        <v>67</v>
      </c>
      <c r="I7" s="3" t="s">
        <v>26</v>
      </c>
      <c r="J7" s="3">
        <f>MATCH($I7,Main!$B$2:$BT$2,0)+1</f>
        <v>5</v>
      </c>
    </row>
    <row r="8" spans="2:12" x14ac:dyDescent="0.25">
      <c r="B8" s="3" t="s">
        <v>6</v>
      </c>
      <c r="C8" s="3">
        <v>8</v>
      </c>
      <c r="D8" s="3">
        <f t="shared" si="0"/>
        <v>1</v>
      </c>
      <c r="F8" s="3" t="s">
        <v>6</v>
      </c>
      <c r="G8" s="3" t="s">
        <v>67</v>
      </c>
      <c r="I8" s="3" t="s">
        <v>2</v>
      </c>
      <c r="J8" s="3">
        <f>MATCH($I8,Main!$B$2:$BT$2,0)+1</f>
        <v>6</v>
      </c>
    </row>
    <row r="9" spans="2:12" x14ac:dyDescent="0.25">
      <c r="B9" s="3" t="s">
        <v>27</v>
      </c>
      <c r="C9" s="3">
        <v>8</v>
      </c>
      <c r="D9" s="3">
        <f t="shared" si="0"/>
        <v>1</v>
      </c>
      <c r="F9" s="3" t="s">
        <v>27</v>
      </c>
      <c r="G9" s="3" t="s">
        <v>67</v>
      </c>
      <c r="I9" s="3" t="s">
        <v>4</v>
      </c>
      <c r="J9" s="3">
        <f>MATCH($I9,Main!$B$2:$BT$2,0)+1</f>
        <v>7</v>
      </c>
    </row>
    <row r="10" spans="2:12" x14ac:dyDescent="0.25">
      <c r="B10" s="3" t="s">
        <v>38</v>
      </c>
      <c r="C10" s="3">
        <v>16</v>
      </c>
      <c r="D10" s="3">
        <f t="shared" si="0"/>
        <v>2</v>
      </c>
      <c r="F10" s="3" t="s">
        <v>38</v>
      </c>
      <c r="G10" s="3" t="s">
        <v>69</v>
      </c>
      <c r="I10" s="3" t="s">
        <v>3</v>
      </c>
      <c r="J10" s="3">
        <f>MATCH($I10,Main!$B$2:$BT$2,0)+1</f>
        <v>8</v>
      </c>
    </row>
    <row r="11" spans="2:12" x14ac:dyDescent="0.25">
      <c r="B11" s="3" t="s">
        <v>39</v>
      </c>
      <c r="C11" s="3">
        <v>16</v>
      </c>
      <c r="D11" s="3">
        <f t="shared" si="0"/>
        <v>2</v>
      </c>
      <c r="F11" s="3" t="s">
        <v>39</v>
      </c>
      <c r="G11" s="3" t="s">
        <v>69</v>
      </c>
      <c r="I11" s="3" t="s">
        <v>25</v>
      </c>
      <c r="J11" s="3">
        <f>MATCH($I11,Main!$B$2:$BT$2,0)+1</f>
        <v>9</v>
      </c>
    </row>
    <row r="12" spans="2:12" x14ac:dyDescent="0.25">
      <c r="B12" s="3" t="s">
        <v>40</v>
      </c>
      <c r="C12" s="3">
        <v>16</v>
      </c>
      <c r="D12" s="3">
        <f t="shared" si="0"/>
        <v>2</v>
      </c>
      <c r="F12" s="3" t="s">
        <v>40</v>
      </c>
      <c r="G12" s="3" t="s">
        <v>69</v>
      </c>
      <c r="I12" s="3" t="s">
        <v>19</v>
      </c>
      <c r="J12" s="3">
        <f>MATCH($I12,Main!$B$2:$BT$2,0)+1</f>
        <v>10</v>
      </c>
    </row>
    <row r="13" spans="2:12" x14ac:dyDescent="0.25">
      <c r="B13" s="3" t="s">
        <v>41</v>
      </c>
      <c r="C13" s="3">
        <v>16</v>
      </c>
      <c r="D13" s="3">
        <f t="shared" si="0"/>
        <v>2</v>
      </c>
      <c r="F13" s="3" t="s">
        <v>41</v>
      </c>
      <c r="G13" s="3" t="s">
        <v>68</v>
      </c>
      <c r="I13" s="3" t="s">
        <v>55</v>
      </c>
      <c r="J13" s="3">
        <f>MATCH($I13,Main!$B$2:$BT$2,0)+1</f>
        <v>11</v>
      </c>
    </row>
    <row r="14" spans="2:12" x14ac:dyDescent="0.25">
      <c r="B14" s="3" t="s">
        <v>42</v>
      </c>
      <c r="C14" s="3">
        <v>16</v>
      </c>
      <c r="D14" s="3">
        <f t="shared" si="0"/>
        <v>2</v>
      </c>
      <c r="F14" s="3" t="s">
        <v>42</v>
      </c>
      <c r="G14" s="3" t="s">
        <v>68</v>
      </c>
      <c r="I14" s="3" t="s">
        <v>56</v>
      </c>
      <c r="J14" s="3">
        <f>MATCH($I14,Main!$B$2:$BT$2,0)+1</f>
        <v>12</v>
      </c>
    </row>
    <row r="15" spans="2:12" x14ac:dyDescent="0.25">
      <c r="B15" s="3" t="s">
        <v>29</v>
      </c>
      <c r="C15" s="3">
        <v>16</v>
      </c>
      <c r="D15" s="3">
        <f t="shared" si="0"/>
        <v>2</v>
      </c>
      <c r="F15" s="3" t="s">
        <v>29</v>
      </c>
      <c r="G15" s="3" t="s">
        <v>68</v>
      </c>
      <c r="I15" s="3" t="s">
        <v>53</v>
      </c>
      <c r="J15" s="3">
        <f>MATCH($I15,Main!$B$2:$BT$2,0)+1</f>
        <v>13</v>
      </c>
    </row>
    <row r="16" spans="2:12" x14ac:dyDescent="0.25">
      <c r="B16" s="3" t="s">
        <v>43</v>
      </c>
      <c r="C16" s="3">
        <v>32</v>
      </c>
      <c r="D16" s="3">
        <f t="shared" si="0"/>
        <v>4</v>
      </c>
      <c r="F16" s="3" t="s">
        <v>43</v>
      </c>
      <c r="G16" s="3" t="s">
        <v>70</v>
      </c>
      <c r="I16" s="3" t="s">
        <v>81</v>
      </c>
      <c r="J16" s="3">
        <f>MATCH($I16,Main!$B$2:$BT$2,0)+1</f>
        <v>14</v>
      </c>
    </row>
    <row r="17" spans="2:46" x14ac:dyDescent="0.25">
      <c r="B17" s="3" t="s">
        <v>44</v>
      </c>
      <c r="C17" s="3">
        <v>32</v>
      </c>
      <c r="D17" s="3">
        <f t="shared" si="0"/>
        <v>4</v>
      </c>
      <c r="F17" s="3" t="s">
        <v>44</v>
      </c>
      <c r="G17" s="3" t="s">
        <v>70</v>
      </c>
      <c r="I17" s="3" t="s">
        <v>75</v>
      </c>
      <c r="J17" s="3">
        <f>MATCH($I17,Main!$B$2:$BT$2,0)+1</f>
        <v>15</v>
      </c>
    </row>
    <row r="18" spans="2:46" x14ac:dyDescent="0.25">
      <c r="B18" s="3" t="s">
        <v>45</v>
      </c>
      <c r="C18" s="3">
        <v>32</v>
      </c>
      <c r="D18" s="3">
        <f t="shared" si="0"/>
        <v>4</v>
      </c>
      <c r="F18" s="3" t="s">
        <v>45</v>
      </c>
      <c r="G18" s="3" t="s">
        <v>70</v>
      </c>
      <c r="I18" s="3" t="s">
        <v>76</v>
      </c>
      <c r="J18" s="3">
        <f>MATCH($I18,Main!$B$2:$BT$2,0)+1</f>
        <v>16</v>
      </c>
    </row>
    <row r="19" spans="2:46" x14ac:dyDescent="0.25">
      <c r="B19" s="3" t="s">
        <v>46</v>
      </c>
      <c r="C19" s="3">
        <v>32</v>
      </c>
      <c r="D19" s="3">
        <f t="shared" si="0"/>
        <v>4</v>
      </c>
      <c r="F19" s="3" t="s">
        <v>46</v>
      </c>
      <c r="G19" s="3" t="s">
        <v>71</v>
      </c>
      <c r="I19" s="3" t="s">
        <v>79</v>
      </c>
      <c r="J19" s="3">
        <f>MATCH($I19,Main!$B$2:$BT$2,0)+1</f>
        <v>17</v>
      </c>
    </row>
    <row r="20" spans="2:46" x14ac:dyDescent="0.25">
      <c r="B20" s="3" t="s">
        <v>7</v>
      </c>
      <c r="C20" s="3">
        <v>32</v>
      </c>
      <c r="D20" s="3">
        <f t="shared" si="0"/>
        <v>4</v>
      </c>
      <c r="F20" s="3" t="s">
        <v>7</v>
      </c>
      <c r="G20" s="3" t="s">
        <v>71</v>
      </c>
      <c r="I20" s="3" t="s">
        <v>80</v>
      </c>
      <c r="J20" s="3">
        <f>MATCH($I20,Main!$B$2:$BT$2,0)+1</f>
        <v>49</v>
      </c>
    </row>
    <row r="21" spans="2:46" x14ac:dyDescent="0.25">
      <c r="B21" s="3" t="s">
        <v>28</v>
      </c>
      <c r="C21" s="3">
        <v>32</v>
      </c>
      <c r="D21" s="3">
        <f t="shared" si="0"/>
        <v>4</v>
      </c>
      <c r="F21" s="3" t="s">
        <v>28</v>
      </c>
      <c r="G21" s="3" t="s">
        <v>71</v>
      </c>
      <c r="I21" s="3" t="s">
        <v>54</v>
      </c>
      <c r="J21" s="3">
        <f>MATCH($I21,Main!$B$2:$BT$2,0)+1</f>
        <v>53</v>
      </c>
    </row>
    <row r="22" spans="2:46" x14ac:dyDescent="0.25">
      <c r="B22" s="3" t="s">
        <v>5</v>
      </c>
      <c r="C22" s="3">
        <v>32</v>
      </c>
      <c r="D22" s="3">
        <f t="shared" si="0"/>
        <v>4</v>
      </c>
      <c r="F22" s="3" t="s">
        <v>5</v>
      </c>
      <c r="G22" s="3" t="s">
        <v>72</v>
      </c>
      <c r="I22" s="3" t="s">
        <v>77</v>
      </c>
      <c r="J22" s="3">
        <f>MATCH($I22,Main!$B$2:$BT$2,0)+1</f>
        <v>57</v>
      </c>
    </row>
    <row r="23" spans="2:46" x14ac:dyDescent="0.25">
      <c r="B23" s="3" t="s">
        <v>47</v>
      </c>
      <c r="C23" s="3">
        <v>64</v>
      </c>
      <c r="D23" s="3">
        <f t="shared" si="0"/>
        <v>8</v>
      </c>
      <c r="F23" s="3" t="s">
        <v>47</v>
      </c>
      <c r="G23" s="3" t="s">
        <v>73</v>
      </c>
      <c r="I23" s="3" t="s">
        <v>86</v>
      </c>
      <c r="J23" s="3">
        <f>MATCH($I23,Main!$B$2:$BT$2,0)+1</f>
        <v>61</v>
      </c>
    </row>
    <row r="24" spans="2:46" x14ac:dyDescent="0.25">
      <c r="B24" s="3" t="s">
        <v>48</v>
      </c>
      <c r="C24" s="3">
        <v>64</v>
      </c>
      <c r="D24" s="3">
        <f t="shared" si="0"/>
        <v>8</v>
      </c>
      <c r="F24" s="3" t="s">
        <v>48</v>
      </c>
      <c r="G24" s="3" t="s">
        <v>73</v>
      </c>
      <c r="I24" s="3" t="s">
        <v>78</v>
      </c>
      <c r="J24" s="3">
        <f>MATCH($I24,Main!$B$2:$BT$2,0)+1</f>
        <v>65</v>
      </c>
    </row>
    <row r="25" spans="2:46" x14ac:dyDescent="0.25">
      <c r="B25" s="3" t="s">
        <v>49</v>
      </c>
      <c r="C25" s="3">
        <v>64</v>
      </c>
      <c r="D25" s="3">
        <f t="shared" si="0"/>
        <v>8</v>
      </c>
      <c r="F25" s="3" t="s">
        <v>49</v>
      </c>
      <c r="G25" s="3" t="s">
        <v>73</v>
      </c>
      <c r="I25" s="3" t="s">
        <v>13</v>
      </c>
      <c r="J25" s="3">
        <f>MATCH($I25,Main!$B$2:$BT$2,0)+1</f>
        <v>69</v>
      </c>
    </row>
    <row r="26" spans="2:46" x14ac:dyDescent="0.25">
      <c r="B26" s="3" t="s">
        <v>50</v>
      </c>
      <c r="C26" s="3">
        <v>64</v>
      </c>
      <c r="D26" s="3">
        <f t="shared" si="0"/>
        <v>8</v>
      </c>
      <c r="F26" s="3" t="s">
        <v>50</v>
      </c>
      <c r="G26" s="3" t="s">
        <v>74</v>
      </c>
    </row>
    <row r="27" spans="2:46" x14ac:dyDescent="0.25">
      <c r="B27" s="3" t="s">
        <v>51</v>
      </c>
      <c r="C27" s="3">
        <v>64</v>
      </c>
      <c r="D27" s="3">
        <f t="shared" si="0"/>
        <v>8</v>
      </c>
      <c r="F27" s="3" t="s">
        <v>51</v>
      </c>
      <c r="G27" s="3" t="s">
        <v>74</v>
      </c>
      <c r="I27" s="4"/>
    </row>
    <row r="28" spans="2:46" x14ac:dyDescent="0.25">
      <c r="B28" s="3" t="s">
        <v>52</v>
      </c>
      <c r="C28" s="3">
        <v>64</v>
      </c>
      <c r="D28" s="3">
        <f t="shared" si="0"/>
        <v>8</v>
      </c>
      <c r="F28" s="3" t="s">
        <v>52</v>
      </c>
      <c r="G28" s="3" t="s">
        <v>74</v>
      </c>
      <c r="I28" s="4"/>
    </row>
    <row r="30" spans="2:46" x14ac:dyDescent="0.25">
      <c r="AD30" s="3"/>
      <c r="AG30" s="3"/>
      <c r="AH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</row>
  </sheetData>
  <mergeCells count="3">
    <mergeCell ref="B2:D2"/>
    <mergeCell ref="I2:J2"/>
    <mergeCell ref="F2:G2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B2:H17597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2" spans="2:8" x14ac:dyDescent="0.25">
      <c r="B2" s="1" t="s">
        <v>10</v>
      </c>
      <c r="H2" s="1" t="s">
        <v>9</v>
      </c>
    </row>
    <row r="3" spans="2:8" ht="15" customHeight="1" x14ac:dyDescent="0.25">
      <c r="B3" t="s">
        <v>110</v>
      </c>
      <c r="H3" t="s">
        <v>112</v>
      </c>
    </row>
    <row r="4" spans="2:8" x14ac:dyDescent="0.25">
      <c r="H4" t="s">
        <v>111</v>
      </c>
    </row>
    <row r="5" spans="2:8" x14ac:dyDescent="0.25">
      <c r="B5" s="1" t="s">
        <v>8</v>
      </c>
      <c r="H5" t="s">
        <v>90</v>
      </c>
    </row>
    <row r="6" spans="2:8" x14ac:dyDescent="0.25">
      <c r="B6" t="s">
        <v>117</v>
      </c>
    </row>
    <row r="7" spans="2:8" x14ac:dyDescent="0.25">
      <c r="H7" t="s">
        <v>465</v>
      </c>
    </row>
    <row r="8" spans="2:8" x14ac:dyDescent="0.25">
      <c r="B8" s="1" t="s">
        <v>11</v>
      </c>
      <c r="H8" t="s">
        <v>466</v>
      </c>
    </row>
    <row r="9" spans="2:8" x14ac:dyDescent="0.25">
      <c r="B9" t="s">
        <v>114</v>
      </c>
      <c r="H9" t="s">
        <v>467</v>
      </c>
    </row>
    <row r="10" spans="2:8" x14ac:dyDescent="0.25">
      <c r="H10" t="s">
        <v>468</v>
      </c>
    </row>
    <row r="11" spans="2:8" x14ac:dyDescent="0.25">
      <c r="B11" s="1" t="s">
        <v>12</v>
      </c>
      <c r="H11" t="s">
        <v>469</v>
      </c>
    </row>
    <row r="12" spans="2:8" x14ac:dyDescent="0.25">
      <c r="B12" t="s">
        <v>114</v>
      </c>
      <c r="H12" t="s">
        <v>470</v>
      </c>
    </row>
    <row r="13" spans="2:8" x14ac:dyDescent="0.25">
      <c r="H13" t="s">
        <v>471</v>
      </c>
    </row>
    <row r="14" spans="2:8" x14ac:dyDescent="0.25">
      <c r="H14" t="s">
        <v>1753</v>
      </c>
    </row>
    <row r="15" spans="2:8" x14ac:dyDescent="0.25">
      <c r="H15" t="s">
        <v>1754</v>
      </c>
    </row>
    <row r="17" spans="2:8" x14ac:dyDescent="0.25">
      <c r="H17" t="s">
        <v>472</v>
      </c>
    </row>
    <row r="18" spans="2:8" x14ac:dyDescent="0.25">
      <c r="H18" t="s">
        <v>1755</v>
      </c>
    </row>
    <row r="19" spans="2:8" x14ac:dyDescent="0.25">
      <c r="H19" t="s">
        <v>1836</v>
      </c>
    </row>
    <row r="20" spans="2:8" x14ac:dyDescent="0.25">
      <c r="B20" s="1"/>
    </row>
    <row r="21" spans="2:8" x14ac:dyDescent="0.25">
      <c r="H21" t="s">
        <v>473</v>
      </c>
    </row>
    <row r="22" spans="2:8" x14ac:dyDescent="0.25">
      <c r="H22" t="s">
        <v>1755</v>
      </c>
    </row>
    <row r="23" spans="2:8" x14ac:dyDescent="0.25">
      <c r="H23" t="s">
        <v>1837</v>
      </c>
    </row>
    <row r="25" spans="2:8" x14ac:dyDescent="0.25">
      <c r="H25" t="s">
        <v>91</v>
      </c>
    </row>
    <row r="26" spans="2:8" x14ac:dyDescent="0.25">
      <c r="H26" t="s">
        <v>1755</v>
      </c>
    </row>
    <row r="27" spans="2:8" x14ac:dyDescent="0.25">
      <c r="H27" t="s">
        <v>1838</v>
      </c>
    </row>
    <row r="29" spans="2:8" x14ac:dyDescent="0.25">
      <c r="H29" t="s">
        <v>94</v>
      </c>
    </row>
    <row r="30" spans="2:8" x14ac:dyDescent="0.25">
      <c r="H30" t="s">
        <v>1756</v>
      </c>
    </row>
    <row r="31" spans="2:8" x14ac:dyDescent="0.25">
      <c r="H31" t="s">
        <v>1839</v>
      </c>
    </row>
    <row r="33" spans="8:8" x14ac:dyDescent="0.25">
      <c r="H33" t="s">
        <v>95</v>
      </c>
    </row>
    <row r="34" spans="8:8" x14ac:dyDescent="0.25">
      <c r="H34" t="s">
        <v>1756</v>
      </c>
    </row>
    <row r="35" spans="8:8" x14ac:dyDescent="0.25">
      <c r="H35" t="s">
        <v>1840</v>
      </c>
    </row>
    <row r="37" spans="8:8" x14ac:dyDescent="0.25">
      <c r="H37" t="s">
        <v>92</v>
      </c>
    </row>
    <row r="38" spans="8:8" x14ac:dyDescent="0.25">
      <c r="H38" t="s">
        <v>1756</v>
      </c>
    </row>
    <row r="39" spans="8:8" x14ac:dyDescent="0.25">
      <c r="H39" t="s">
        <v>1841</v>
      </c>
    </row>
    <row r="41" spans="8:8" x14ac:dyDescent="0.25">
      <c r="H41" t="s">
        <v>93</v>
      </c>
    </row>
    <row r="42" spans="8:8" x14ac:dyDescent="0.25">
      <c r="H42" t="s">
        <v>1756</v>
      </c>
    </row>
    <row r="43" spans="8:8" x14ac:dyDescent="0.25">
      <c r="H43" t="s">
        <v>1842</v>
      </c>
    </row>
    <row r="45" spans="8:8" x14ac:dyDescent="0.25">
      <c r="H45" t="s">
        <v>99</v>
      </c>
    </row>
    <row r="46" spans="8:8" x14ac:dyDescent="0.25">
      <c r="H46" t="s">
        <v>474</v>
      </c>
    </row>
    <row r="47" spans="8:8" x14ac:dyDescent="0.25">
      <c r="H47" t="s">
        <v>475</v>
      </c>
    </row>
    <row r="49" spans="8:8" x14ac:dyDescent="0.25">
      <c r="H49" t="s">
        <v>98</v>
      </c>
    </row>
    <row r="50" spans="8:8" x14ac:dyDescent="0.25">
      <c r="H50" t="s">
        <v>474</v>
      </c>
    </row>
    <row r="51" spans="8:8" x14ac:dyDescent="0.25">
      <c r="H51" t="s">
        <v>476</v>
      </c>
    </row>
    <row r="53" spans="8:8" x14ac:dyDescent="0.25">
      <c r="H53" t="s">
        <v>96</v>
      </c>
    </row>
    <row r="54" spans="8:8" x14ac:dyDescent="0.25">
      <c r="H54" t="s">
        <v>474</v>
      </c>
    </row>
    <row r="55" spans="8:8" x14ac:dyDescent="0.25">
      <c r="H55" t="s">
        <v>477</v>
      </c>
    </row>
    <row r="57" spans="8:8" x14ac:dyDescent="0.25">
      <c r="H57" t="s">
        <v>97</v>
      </c>
    </row>
    <row r="58" spans="8:8" x14ac:dyDescent="0.25">
      <c r="H58" t="s">
        <v>474</v>
      </c>
    </row>
    <row r="59" spans="8:8" x14ac:dyDescent="0.25">
      <c r="H59" t="s">
        <v>478</v>
      </c>
    </row>
    <row r="61" spans="8:8" x14ac:dyDescent="0.25">
      <c r="H61" t="s">
        <v>102</v>
      </c>
    </row>
    <row r="62" spans="8:8" x14ac:dyDescent="0.25">
      <c r="H62" t="s">
        <v>1757</v>
      </c>
    </row>
    <row r="63" spans="8:8" x14ac:dyDescent="0.25">
      <c r="H63" t="s">
        <v>1843</v>
      </c>
    </row>
    <row r="65" spans="8:8" x14ac:dyDescent="0.25">
      <c r="H65" t="s">
        <v>103</v>
      </c>
    </row>
    <row r="66" spans="8:8" x14ac:dyDescent="0.25">
      <c r="H66" t="s">
        <v>1757</v>
      </c>
    </row>
    <row r="67" spans="8:8" x14ac:dyDescent="0.25">
      <c r="H67" t="s">
        <v>1844</v>
      </c>
    </row>
    <row r="69" spans="8:8" x14ac:dyDescent="0.25">
      <c r="H69" t="s">
        <v>100</v>
      </c>
    </row>
    <row r="70" spans="8:8" x14ac:dyDescent="0.25">
      <c r="H70" t="s">
        <v>1757</v>
      </c>
    </row>
    <row r="71" spans="8:8" x14ac:dyDescent="0.25">
      <c r="H71" t="s">
        <v>1845</v>
      </c>
    </row>
    <row r="73" spans="8:8" x14ac:dyDescent="0.25">
      <c r="H73" t="s">
        <v>101</v>
      </c>
    </row>
    <row r="74" spans="8:8" x14ac:dyDescent="0.25">
      <c r="H74" t="s">
        <v>1757</v>
      </c>
    </row>
    <row r="75" spans="8:8" x14ac:dyDescent="0.25">
      <c r="H75" t="s">
        <v>1846</v>
      </c>
    </row>
    <row r="77" spans="8:8" x14ac:dyDescent="0.25">
      <c r="H77" t="s">
        <v>106</v>
      </c>
    </row>
    <row r="78" spans="8:8" x14ac:dyDescent="0.25">
      <c r="H78" t="s">
        <v>479</v>
      </c>
    </row>
    <row r="79" spans="8:8" x14ac:dyDescent="0.25">
      <c r="H79" t="s">
        <v>480</v>
      </c>
    </row>
    <row r="80" spans="8:8" x14ac:dyDescent="0.25">
      <c r="H80" t="s">
        <v>481</v>
      </c>
    </row>
    <row r="81" spans="8:8" x14ac:dyDescent="0.25">
      <c r="H81" t="s">
        <v>482</v>
      </c>
    </row>
    <row r="83" spans="8:8" x14ac:dyDescent="0.25">
      <c r="H83" t="s">
        <v>107</v>
      </c>
    </row>
    <row r="84" spans="8:8" x14ac:dyDescent="0.25">
      <c r="H84" t="s">
        <v>479</v>
      </c>
    </row>
    <row r="85" spans="8:8" x14ac:dyDescent="0.25">
      <c r="H85" t="s">
        <v>483</v>
      </c>
    </row>
    <row r="87" spans="8:8" x14ac:dyDescent="0.25">
      <c r="H87" t="s">
        <v>104</v>
      </c>
    </row>
    <row r="88" spans="8:8" x14ac:dyDescent="0.25">
      <c r="H88" t="s">
        <v>484</v>
      </c>
    </row>
    <row r="89" spans="8:8" x14ac:dyDescent="0.25">
      <c r="H89" t="s">
        <v>485</v>
      </c>
    </row>
    <row r="90" spans="8:8" x14ac:dyDescent="0.25">
      <c r="H90" t="s">
        <v>486</v>
      </c>
    </row>
    <row r="91" spans="8:8" x14ac:dyDescent="0.25">
      <c r="H91" t="s">
        <v>487</v>
      </c>
    </row>
    <row r="93" spans="8:8" x14ac:dyDescent="0.25">
      <c r="H93" t="s">
        <v>105</v>
      </c>
    </row>
    <row r="94" spans="8:8" x14ac:dyDescent="0.25">
      <c r="H94" t="s">
        <v>484</v>
      </c>
    </row>
    <row r="95" spans="8:8" x14ac:dyDescent="0.25">
      <c r="H95" t="s">
        <v>488</v>
      </c>
    </row>
    <row r="97" spans="8:8" x14ac:dyDescent="0.25">
      <c r="H97" t="s">
        <v>489</v>
      </c>
    </row>
    <row r="98" spans="8:8" x14ac:dyDescent="0.25">
      <c r="H98" t="s">
        <v>1758</v>
      </c>
    </row>
    <row r="99" spans="8:8" x14ac:dyDescent="0.25">
      <c r="H99" t="s">
        <v>1847</v>
      </c>
    </row>
    <row r="101" spans="8:8" x14ac:dyDescent="0.25">
      <c r="H101" t="s">
        <v>490</v>
      </c>
    </row>
    <row r="102" spans="8:8" x14ac:dyDescent="0.25">
      <c r="H102" t="s">
        <v>1758</v>
      </c>
    </row>
    <row r="103" spans="8:8" x14ac:dyDescent="0.25">
      <c r="H103" t="s">
        <v>1848</v>
      </c>
    </row>
    <row r="105" spans="8:8" x14ac:dyDescent="0.25">
      <c r="H105" t="s">
        <v>491</v>
      </c>
    </row>
    <row r="106" spans="8:8" x14ac:dyDescent="0.25">
      <c r="H106" t="s">
        <v>1758</v>
      </c>
    </row>
    <row r="107" spans="8:8" x14ac:dyDescent="0.25">
      <c r="H107" t="s">
        <v>1849</v>
      </c>
    </row>
    <row r="109" spans="8:8" x14ac:dyDescent="0.25">
      <c r="H109" t="s">
        <v>108</v>
      </c>
    </row>
    <row r="110" spans="8:8" x14ac:dyDescent="0.25">
      <c r="H110" t="s">
        <v>1758</v>
      </c>
    </row>
    <row r="111" spans="8:8" x14ac:dyDescent="0.25">
      <c r="H111" t="s">
        <v>1850</v>
      </c>
    </row>
    <row r="113" spans="8:8" x14ac:dyDescent="0.25">
      <c r="H113" t="s">
        <v>492</v>
      </c>
    </row>
    <row r="114" spans="8:8" x14ac:dyDescent="0.25">
      <c r="H114" t="s">
        <v>1759</v>
      </c>
    </row>
    <row r="115" spans="8:8" x14ac:dyDescent="0.25">
      <c r="H115" t="s">
        <v>1851</v>
      </c>
    </row>
    <row r="117" spans="8:8" x14ac:dyDescent="0.25">
      <c r="H117" t="s">
        <v>493</v>
      </c>
    </row>
    <row r="118" spans="8:8" x14ac:dyDescent="0.25">
      <c r="H118" t="s">
        <v>1759</v>
      </c>
    </row>
    <row r="119" spans="8:8" x14ac:dyDescent="0.25">
      <c r="H119" t="s">
        <v>1852</v>
      </c>
    </row>
    <row r="121" spans="8:8" x14ac:dyDescent="0.25">
      <c r="H121" t="s">
        <v>494</v>
      </c>
    </row>
    <row r="122" spans="8:8" x14ac:dyDescent="0.25">
      <c r="H122" t="s">
        <v>1759</v>
      </c>
    </row>
    <row r="123" spans="8:8" x14ac:dyDescent="0.25">
      <c r="H123" t="s">
        <v>1853</v>
      </c>
    </row>
    <row r="125" spans="8:8" x14ac:dyDescent="0.25">
      <c r="H125" t="s">
        <v>109</v>
      </c>
    </row>
    <row r="126" spans="8:8" x14ac:dyDescent="0.25">
      <c r="H126" t="s">
        <v>1759</v>
      </c>
    </row>
    <row r="127" spans="8:8" x14ac:dyDescent="0.25">
      <c r="H127" t="s">
        <v>1854</v>
      </c>
    </row>
    <row r="129" spans="8:8" x14ac:dyDescent="0.25">
      <c r="H129" t="s">
        <v>495</v>
      </c>
    </row>
    <row r="130" spans="8:8" x14ac:dyDescent="0.25">
      <c r="H130" t="s">
        <v>1760</v>
      </c>
    </row>
    <row r="131" spans="8:8" x14ac:dyDescent="0.25">
      <c r="H131" t="s">
        <v>1855</v>
      </c>
    </row>
    <row r="133" spans="8:8" x14ac:dyDescent="0.25">
      <c r="H133" t="s">
        <v>496</v>
      </c>
    </row>
    <row r="134" spans="8:8" x14ac:dyDescent="0.25">
      <c r="H134" t="s">
        <v>1760</v>
      </c>
    </row>
    <row r="135" spans="8:8" x14ac:dyDescent="0.25">
      <c r="H135" t="s">
        <v>1856</v>
      </c>
    </row>
    <row r="137" spans="8:8" x14ac:dyDescent="0.25">
      <c r="H137" t="s">
        <v>497</v>
      </c>
    </row>
    <row r="138" spans="8:8" x14ac:dyDescent="0.25">
      <c r="H138" t="s">
        <v>1760</v>
      </c>
    </row>
    <row r="139" spans="8:8" x14ac:dyDescent="0.25">
      <c r="H139" t="s">
        <v>1857</v>
      </c>
    </row>
    <row r="141" spans="8:8" x14ac:dyDescent="0.25">
      <c r="H141" t="s">
        <v>498</v>
      </c>
    </row>
    <row r="142" spans="8:8" x14ac:dyDescent="0.25">
      <c r="H142" t="s">
        <v>1760</v>
      </c>
    </row>
    <row r="143" spans="8:8" x14ac:dyDescent="0.25">
      <c r="H143" t="s">
        <v>1858</v>
      </c>
    </row>
    <row r="145" spans="8:8" x14ac:dyDescent="0.25">
      <c r="H145" t="s">
        <v>499</v>
      </c>
    </row>
    <row r="146" spans="8:8" x14ac:dyDescent="0.25">
      <c r="H146" t="s">
        <v>500</v>
      </c>
    </row>
    <row r="147" spans="8:8" x14ac:dyDescent="0.25">
      <c r="H147" t="s">
        <v>501</v>
      </c>
    </row>
    <row r="149" spans="8:8" x14ac:dyDescent="0.25">
      <c r="H149" t="s">
        <v>502</v>
      </c>
    </row>
    <row r="150" spans="8:8" x14ac:dyDescent="0.25">
      <c r="H150" t="s">
        <v>500</v>
      </c>
    </row>
    <row r="151" spans="8:8" x14ac:dyDescent="0.25">
      <c r="H151" t="s">
        <v>503</v>
      </c>
    </row>
    <row r="153" spans="8:8" x14ac:dyDescent="0.25">
      <c r="H153" t="s">
        <v>504</v>
      </c>
    </row>
    <row r="154" spans="8:8" x14ac:dyDescent="0.25">
      <c r="H154" t="s">
        <v>500</v>
      </c>
    </row>
    <row r="155" spans="8:8" x14ac:dyDescent="0.25">
      <c r="H155" t="s">
        <v>505</v>
      </c>
    </row>
    <row r="157" spans="8:8" x14ac:dyDescent="0.25">
      <c r="H157" t="s">
        <v>506</v>
      </c>
    </row>
    <row r="158" spans="8:8" x14ac:dyDescent="0.25">
      <c r="H158" t="s">
        <v>500</v>
      </c>
    </row>
    <row r="159" spans="8:8" x14ac:dyDescent="0.25">
      <c r="H159" t="s">
        <v>507</v>
      </c>
    </row>
    <row r="161" spans="8:8" x14ac:dyDescent="0.25">
      <c r="H161" t="s">
        <v>508</v>
      </c>
    </row>
    <row r="162" spans="8:8" x14ac:dyDescent="0.25">
      <c r="H162" t="s">
        <v>509</v>
      </c>
    </row>
    <row r="163" spans="8:8" x14ac:dyDescent="0.25">
      <c r="H163" t="s">
        <v>510</v>
      </c>
    </row>
    <row r="165" spans="8:8" x14ac:dyDescent="0.25">
      <c r="H165" t="s">
        <v>511</v>
      </c>
    </row>
    <row r="166" spans="8:8" x14ac:dyDescent="0.25">
      <c r="H166" t="s">
        <v>512</v>
      </c>
    </row>
    <row r="167" spans="8:8" x14ac:dyDescent="0.25">
      <c r="H167" t="s">
        <v>513</v>
      </c>
    </row>
    <row r="169" spans="8:8" x14ac:dyDescent="0.25">
      <c r="H169" t="s">
        <v>514</v>
      </c>
    </row>
    <row r="170" spans="8:8" x14ac:dyDescent="0.25">
      <c r="H170" t="s">
        <v>515</v>
      </c>
    </row>
    <row r="171" spans="8:8" x14ac:dyDescent="0.25">
      <c r="H171" t="s">
        <v>516</v>
      </c>
    </row>
    <row r="173" spans="8:8" x14ac:dyDescent="0.25">
      <c r="H173" t="s">
        <v>517</v>
      </c>
    </row>
    <row r="174" spans="8:8" x14ac:dyDescent="0.25">
      <c r="H174" t="s">
        <v>518</v>
      </c>
    </row>
    <row r="175" spans="8:8" x14ac:dyDescent="0.25">
      <c r="H175" t="s">
        <v>519</v>
      </c>
    </row>
    <row r="177" spans="8:8" x14ac:dyDescent="0.25">
      <c r="H177" t="s">
        <v>520</v>
      </c>
    </row>
    <row r="178" spans="8:8" x14ac:dyDescent="0.25">
      <c r="H178" t="s">
        <v>521</v>
      </c>
    </row>
    <row r="179" spans="8:8" x14ac:dyDescent="0.25">
      <c r="H179" t="s">
        <v>522</v>
      </c>
    </row>
    <row r="181" spans="8:8" x14ac:dyDescent="0.25">
      <c r="H181" t="s">
        <v>523</v>
      </c>
    </row>
    <row r="182" spans="8:8" x14ac:dyDescent="0.25">
      <c r="H182" t="s">
        <v>524</v>
      </c>
    </row>
    <row r="183" spans="8:8" x14ac:dyDescent="0.25">
      <c r="H183" t="s">
        <v>525</v>
      </c>
    </row>
    <row r="185" spans="8:8" x14ac:dyDescent="0.25">
      <c r="H185" t="s">
        <v>526</v>
      </c>
    </row>
    <row r="186" spans="8:8" x14ac:dyDescent="0.25">
      <c r="H186" t="s">
        <v>527</v>
      </c>
    </row>
    <row r="187" spans="8:8" x14ac:dyDescent="0.25">
      <c r="H187" t="s">
        <v>528</v>
      </c>
    </row>
    <row r="189" spans="8:8" x14ac:dyDescent="0.25">
      <c r="H189" t="s">
        <v>529</v>
      </c>
    </row>
    <row r="190" spans="8:8" x14ac:dyDescent="0.25">
      <c r="H190" t="s">
        <v>530</v>
      </c>
    </row>
    <row r="191" spans="8:8" x14ac:dyDescent="0.25">
      <c r="H191" t="s">
        <v>531</v>
      </c>
    </row>
    <row r="193" spans="8:8" x14ac:dyDescent="0.25">
      <c r="H193" t="s">
        <v>532</v>
      </c>
    </row>
    <row r="194" spans="8:8" x14ac:dyDescent="0.25">
      <c r="H194" t="s">
        <v>533</v>
      </c>
    </row>
    <row r="195" spans="8:8" x14ac:dyDescent="0.25">
      <c r="H195" t="s">
        <v>534</v>
      </c>
    </row>
    <row r="197" spans="8:8" x14ac:dyDescent="0.25">
      <c r="H197" t="s">
        <v>535</v>
      </c>
    </row>
    <row r="198" spans="8:8" x14ac:dyDescent="0.25">
      <c r="H198" t="s">
        <v>536</v>
      </c>
    </row>
    <row r="199" spans="8:8" x14ac:dyDescent="0.25">
      <c r="H199" t="s">
        <v>537</v>
      </c>
    </row>
    <row r="201" spans="8:8" x14ac:dyDescent="0.25">
      <c r="H201" t="s">
        <v>538</v>
      </c>
    </row>
    <row r="202" spans="8:8" x14ac:dyDescent="0.25">
      <c r="H202" t="s">
        <v>1761</v>
      </c>
    </row>
    <row r="203" spans="8:8" x14ac:dyDescent="0.25">
      <c r="H203" t="s">
        <v>1859</v>
      </c>
    </row>
    <row r="205" spans="8:8" x14ac:dyDescent="0.25">
      <c r="H205" t="s">
        <v>539</v>
      </c>
    </row>
    <row r="206" spans="8:8" x14ac:dyDescent="0.25">
      <c r="H206" t="s">
        <v>1761</v>
      </c>
    </row>
    <row r="207" spans="8:8" x14ac:dyDescent="0.25">
      <c r="H207" t="s">
        <v>1860</v>
      </c>
    </row>
    <row r="209" spans="8:8" x14ac:dyDescent="0.25">
      <c r="H209" t="s">
        <v>540</v>
      </c>
    </row>
    <row r="210" spans="8:8" x14ac:dyDescent="0.25">
      <c r="H210" t="s">
        <v>1761</v>
      </c>
    </row>
    <row r="211" spans="8:8" x14ac:dyDescent="0.25">
      <c r="H211" t="s">
        <v>1861</v>
      </c>
    </row>
    <row r="213" spans="8:8" x14ac:dyDescent="0.25">
      <c r="H213" t="s">
        <v>541</v>
      </c>
    </row>
    <row r="214" spans="8:8" x14ac:dyDescent="0.25">
      <c r="H214" t="s">
        <v>1761</v>
      </c>
    </row>
    <row r="215" spans="8:8" x14ac:dyDescent="0.25">
      <c r="H215" t="s">
        <v>1862</v>
      </c>
    </row>
    <row r="217" spans="8:8" x14ac:dyDescent="0.25">
      <c r="H217" t="s">
        <v>123</v>
      </c>
    </row>
    <row r="218" spans="8:8" x14ac:dyDescent="0.25">
      <c r="H218" t="s">
        <v>1762</v>
      </c>
    </row>
    <row r="219" spans="8:8" x14ac:dyDescent="0.25">
      <c r="H219" t="s">
        <v>1863</v>
      </c>
    </row>
    <row r="221" spans="8:8" x14ac:dyDescent="0.25">
      <c r="H221" t="s">
        <v>124</v>
      </c>
    </row>
    <row r="222" spans="8:8" x14ac:dyDescent="0.25">
      <c r="H222" t="s">
        <v>1762</v>
      </c>
    </row>
    <row r="223" spans="8:8" x14ac:dyDescent="0.25">
      <c r="H223" t="s">
        <v>1864</v>
      </c>
    </row>
    <row r="225" spans="8:8" x14ac:dyDescent="0.25">
      <c r="H225" t="s">
        <v>125</v>
      </c>
    </row>
    <row r="226" spans="8:8" x14ac:dyDescent="0.25">
      <c r="H226" t="s">
        <v>1762</v>
      </c>
    </row>
    <row r="227" spans="8:8" x14ac:dyDescent="0.25">
      <c r="H227" t="s">
        <v>1865</v>
      </c>
    </row>
    <row r="229" spans="8:8" x14ac:dyDescent="0.25">
      <c r="H229" t="s">
        <v>126</v>
      </c>
    </row>
    <row r="230" spans="8:8" x14ac:dyDescent="0.25">
      <c r="H230" t="s">
        <v>1762</v>
      </c>
    </row>
    <row r="231" spans="8:8" x14ac:dyDescent="0.25">
      <c r="H231" t="s">
        <v>1866</v>
      </c>
    </row>
    <row r="233" spans="8:8" x14ac:dyDescent="0.25">
      <c r="H233" t="s">
        <v>127</v>
      </c>
    </row>
    <row r="234" spans="8:8" x14ac:dyDescent="0.25">
      <c r="H234" t="s">
        <v>1763</v>
      </c>
    </row>
    <row r="235" spans="8:8" x14ac:dyDescent="0.25">
      <c r="H235" t="s">
        <v>1867</v>
      </c>
    </row>
    <row r="237" spans="8:8" x14ac:dyDescent="0.25">
      <c r="H237" t="s">
        <v>128</v>
      </c>
    </row>
    <row r="238" spans="8:8" x14ac:dyDescent="0.25">
      <c r="H238" t="s">
        <v>1763</v>
      </c>
    </row>
    <row r="239" spans="8:8" x14ac:dyDescent="0.25">
      <c r="H239" t="s">
        <v>1868</v>
      </c>
    </row>
    <row r="241" spans="8:8" x14ac:dyDescent="0.25">
      <c r="H241" t="s">
        <v>129</v>
      </c>
    </row>
    <row r="242" spans="8:8" x14ac:dyDescent="0.25">
      <c r="H242" t="s">
        <v>1763</v>
      </c>
    </row>
    <row r="243" spans="8:8" x14ac:dyDescent="0.25">
      <c r="H243" t="s">
        <v>1869</v>
      </c>
    </row>
    <row r="245" spans="8:8" x14ac:dyDescent="0.25">
      <c r="H245" t="s">
        <v>130</v>
      </c>
    </row>
    <row r="246" spans="8:8" x14ac:dyDescent="0.25">
      <c r="H246" t="s">
        <v>1763</v>
      </c>
    </row>
    <row r="247" spans="8:8" x14ac:dyDescent="0.25">
      <c r="H247" t="s">
        <v>1870</v>
      </c>
    </row>
    <row r="249" spans="8:8" x14ac:dyDescent="0.25">
      <c r="H249" t="s">
        <v>542</v>
      </c>
    </row>
    <row r="250" spans="8:8" x14ac:dyDescent="0.25">
      <c r="H250" t="s">
        <v>1764</v>
      </c>
    </row>
    <row r="251" spans="8:8" x14ac:dyDescent="0.25">
      <c r="H251" t="s">
        <v>1871</v>
      </c>
    </row>
    <row r="253" spans="8:8" x14ac:dyDescent="0.25">
      <c r="H253" t="s">
        <v>543</v>
      </c>
    </row>
    <row r="254" spans="8:8" x14ac:dyDescent="0.25">
      <c r="H254" t="s">
        <v>1764</v>
      </c>
    </row>
    <row r="255" spans="8:8" x14ac:dyDescent="0.25">
      <c r="H255" t="s">
        <v>1872</v>
      </c>
    </row>
    <row r="257" spans="8:8" x14ac:dyDescent="0.25">
      <c r="H257" t="s">
        <v>131</v>
      </c>
    </row>
    <row r="258" spans="8:8" x14ac:dyDescent="0.25">
      <c r="H258" t="s">
        <v>1764</v>
      </c>
    </row>
    <row r="259" spans="8:8" x14ac:dyDescent="0.25">
      <c r="H259" t="s">
        <v>1873</v>
      </c>
    </row>
    <row r="261" spans="8:8" x14ac:dyDescent="0.25">
      <c r="H261" t="s">
        <v>132</v>
      </c>
    </row>
    <row r="262" spans="8:8" x14ac:dyDescent="0.25">
      <c r="H262" t="s">
        <v>1764</v>
      </c>
    </row>
    <row r="263" spans="8:8" x14ac:dyDescent="0.25">
      <c r="H263" t="s">
        <v>1874</v>
      </c>
    </row>
    <row r="265" spans="8:8" x14ac:dyDescent="0.25">
      <c r="H265" t="s">
        <v>133</v>
      </c>
    </row>
    <row r="266" spans="8:8" x14ac:dyDescent="0.25">
      <c r="H266" t="s">
        <v>1765</v>
      </c>
    </row>
    <row r="267" spans="8:8" x14ac:dyDescent="0.25">
      <c r="H267" t="s">
        <v>1875</v>
      </c>
    </row>
    <row r="269" spans="8:8" x14ac:dyDescent="0.25">
      <c r="H269" t="s">
        <v>134</v>
      </c>
    </row>
    <row r="270" spans="8:8" x14ac:dyDescent="0.25">
      <c r="H270" t="s">
        <v>1765</v>
      </c>
    </row>
    <row r="271" spans="8:8" x14ac:dyDescent="0.25">
      <c r="H271" t="s">
        <v>1876</v>
      </c>
    </row>
    <row r="273" spans="8:8" x14ac:dyDescent="0.25">
      <c r="H273" t="s">
        <v>135</v>
      </c>
    </row>
    <row r="274" spans="8:8" x14ac:dyDescent="0.25">
      <c r="H274" t="s">
        <v>1765</v>
      </c>
    </row>
    <row r="275" spans="8:8" x14ac:dyDescent="0.25">
      <c r="H275" t="s">
        <v>1877</v>
      </c>
    </row>
    <row r="277" spans="8:8" x14ac:dyDescent="0.25">
      <c r="H277" t="s">
        <v>136</v>
      </c>
    </row>
    <row r="278" spans="8:8" x14ac:dyDescent="0.25">
      <c r="H278" t="s">
        <v>1765</v>
      </c>
    </row>
    <row r="279" spans="8:8" x14ac:dyDescent="0.25">
      <c r="H279" t="s">
        <v>1878</v>
      </c>
    </row>
    <row r="281" spans="8:8" x14ac:dyDescent="0.25">
      <c r="H281" t="s">
        <v>137</v>
      </c>
    </row>
    <row r="282" spans="8:8" x14ac:dyDescent="0.25">
      <c r="H282" t="s">
        <v>1766</v>
      </c>
    </row>
    <row r="283" spans="8:8" x14ac:dyDescent="0.25">
      <c r="H283" t="s">
        <v>1879</v>
      </c>
    </row>
    <row r="285" spans="8:8" x14ac:dyDescent="0.25">
      <c r="H285" t="s">
        <v>138</v>
      </c>
    </row>
    <row r="286" spans="8:8" x14ac:dyDescent="0.25">
      <c r="H286" t="s">
        <v>1766</v>
      </c>
    </row>
    <row r="287" spans="8:8" x14ac:dyDescent="0.25">
      <c r="H287" t="s">
        <v>1880</v>
      </c>
    </row>
    <row r="289" spans="8:8" x14ac:dyDescent="0.25">
      <c r="H289" t="s">
        <v>139</v>
      </c>
    </row>
    <row r="290" spans="8:8" x14ac:dyDescent="0.25">
      <c r="H290" t="s">
        <v>1766</v>
      </c>
    </row>
    <row r="291" spans="8:8" x14ac:dyDescent="0.25">
      <c r="H291" t="s">
        <v>1881</v>
      </c>
    </row>
    <row r="293" spans="8:8" x14ac:dyDescent="0.25">
      <c r="H293" t="s">
        <v>140</v>
      </c>
    </row>
    <row r="294" spans="8:8" x14ac:dyDescent="0.25">
      <c r="H294" t="s">
        <v>1766</v>
      </c>
    </row>
    <row r="295" spans="8:8" x14ac:dyDescent="0.25">
      <c r="H295" t="s">
        <v>1882</v>
      </c>
    </row>
    <row r="297" spans="8:8" x14ac:dyDescent="0.25">
      <c r="H297" t="s">
        <v>141</v>
      </c>
    </row>
    <row r="298" spans="8:8" x14ac:dyDescent="0.25">
      <c r="H298" t="s">
        <v>544</v>
      </c>
    </row>
    <row r="299" spans="8:8" x14ac:dyDescent="0.25">
      <c r="H299" t="s">
        <v>545</v>
      </c>
    </row>
    <row r="301" spans="8:8" x14ac:dyDescent="0.25">
      <c r="H301" t="s">
        <v>142</v>
      </c>
    </row>
    <row r="302" spans="8:8" x14ac:dyDescent="0.25">
      <c r="H302" t="s">
        <v>544</v>
      </c>
    </row>
    <row r="303" spans="8:8" x14ac:dyDescent="0.25">
      <c r="H303" t="s">
        <v>546</v>
      </c>
    </row>
    <row r="305" spans="8:8" x14ac:dyDescent="0.25">
      <c r="H305" t="s">
        <v>143</v>
      </c>
    </row>
    <row r="306" spans="8:8" x14ac:dyDescent="0.25">
      <c r="H306" t="s">
        <v>544</v>
      </c>
    </row>
    <row r="307" spans="8:8" x14ac:dyDescent="0.25">
      <c r="H307" t="s">
        <v>547</v>
      </c>
    </row>
    <row r="309" spans="8:8" x14ac:dyDescent="0.25">
      <c r="H309" t="s">
        <v>144</v>
      </c>
    </row>
    <row r="310" spans="8:8" x14ac:dyDescent="0.25">
      <c r="H310" t="s">
        <v>544</v>
      </c>
    </row>
    <row r="311" spans="8:8" x14ac:dyDescent="0.25">
      <c r="H311" t="s">
        <v>548</v>
      </c>
    </row>
    <row r="313" spans="8:8" x14ac:dyDescent="0.25">
      <c r="H313" t="s">
        <v>145</v>
      </c>
    </row>
    <row r="314" spans="8:8" x14ac:dyDescent="0.25">
      <c r="H314" t="s">
        <v>549</v>
      </c>
    </row>
    <row r="315" spans="8:8" x14ac:dyDescent="0.25">
      <c r="H315" t="s">
        <v>550</v>
      </c>
    </row>
    <row r="317" spans="8:8" x14ac:dyDescent="0.25">
      <c r="H317" t="s">
        <v>146</v>
      </c>
    </row>
    <row r="318" spans="8:8" x14ac:dyDescent="0.25">
      <c r="H318" t="s">
        <v>549</v>
      </c>
    </row>
    <row r="319" spans="8:8" x14ac:dyDescent="0.25">
      <c r="H319" t="s">
        <v>551</v>
      </c>
    </row>
    <row r="321" spans="8:8" x14ac:dyDescent="0.25">
      <c r="H321" t="s">
        <v>147</v>
      </c>
    </row>
    <row r="322" spans="8:8" x14ac:dyDescent="0.25">
      <c r="H322" t="s">
        <v>549</v>
      </c>
    </row>
    <row r="323" spans="8:8" x14ac:dyDescent="0.25">
      <c r="H323" t="s">
        <v>552</v>
      </c>
    </row>
    <row r="325" spans="8:8" x14ac:dyDescent="0.25">
      <c r="H325" t="s">
        <v>148</v>
      </c>
    </row>
    <row r="326" spans="8:8" x14ac:dyDescent="0.25">
      <c r="H326" t="s">
        <v>549</v>
      </c>
    </row>
    <row r="327" spans="8:8" x14ac:dyDescent="0.25">
      <c r="H327" t="s">
        <v>553</v>
      </c>
    </row>
    <row r="329" spans="8:8" x14ac:dyDescent="0.25">
      <c r="H329" t="s">
        <v>554</v>
      </c>
    </row>
    <row r="330" spans="8:8" x14ac:dyDescent="0.25">
      <c r="H330" t="s">
        <v>1767</v>
      </c>
    </row>
    <row r="331" spans="8:8" x14ac:dyDescent="0.25">
      <c r="H331" t="s">
        <v>1883</v>
      </c>
    </row>
    <row r="333" spans="8:8" x14ac:dyDescent="0.25">
      <c r="H333" t="s">
        <v>555</v>
      </c>
    </row>
    <row r="334" spans="8:8" x14ac:dyDescent="0.25">
      <c r="H334" t="s">
        <v>1767</v>
      </c>
    </row>
    <row r="335" spans="8:8" x14ac:dyDescent="0.25">
      <c r="H335" t="s">
        <v>1884</v>
      </c>
    </row>
    <row r="337" spans="8:8" x14ac:dyDescent="0.25">
      <c r="H337" t="s">
        <v>556</v>
      </c>
    </row>
    <row r="338" spans="8:8" x14ac:dyDescent="0.25">
      <c r="H338" t="s">
        <v>1767</v>
      </c>
    </row>
    <row r="339" spans="8:8" x14ac:dyDescent="0.25">
      <c r="H339" t="s">
        <v>1885</v>
      </c>
    </row>
    <row r="341" spans="8:8" x14ac:dyDescent="0.25">
      <c r="H341" t="s">
        <v>149</v>
      </c>
    </row>
    <row r="342" spans="8:8" x14ac:dyDescent="0.25">
      <c r="H342" t="s">
        <v>1767</v>
      </c>
    </row>
    <row r="343" spans="8:8" x14ac:dyDescent="0.25">
      <c r="H343" t="s">
        <v>1886</v>
      </c>
    </row>
    <row r="345" spans="8:8" x14ac:dyDescent="0.25">
      <c r="H345" t="s">
        <v>150</v>
      </c>
    </row>
    <row r="346" spans="8:8" x14ac:dyDescent="0.25">
      <c r="H346" t="s">
        <v>1768</v>
      </c>
    </row>
    <row r="347" spans="8:8" x14ac:dyDescent="0.25">
      <c r="H347" t="s">
        <v>1887</v>
      </c>
    </row>
    <row r="349" spans="8:8" x14ac:dyDescent="0.25">
      <c r="H349" t="s">
        <v>151</v>
      </c>
    </row>
    <row r="350" spans="8:8" x14ac:dyDescent="0.25">
      <c r="H350" t="s">
        <v>1768</v>
      </c>
    </row>
    <row r="351" spans="8:8" x14ac:dyDescent="0.25">
      <c r="H351" t="s">
        <v>1888</v>
      </c>
    </row>
    <row r="353" spans="8:8" x14ac:dyDescent="0.25">
      <c r="H353" t="s">
        <v>152</v>
      </c>
    </row>
    <row r="354" spans="8:8" x14ac:dyDescent="0.25">
      <c r="H354" t="s">
        <v>1768</v>
      </c>
    </row>
    <row r="355" spans="8:8" x14ac:dyDescent="0.25">
      <c r="H355" t="s">
        <v>1889</v>
      </c>
    </row>
    <row r="357" spans="8:8" x14ac:dyDescent="0.25">
      <c r="H357" t="s">
        <v>153</v>
      </c>
    </row>
    <row r="358" spans="8:8" x14ac:dyDescent="0.25">
      <c r="H358" t="s">
        <v>1768</v>
      </c>
    </row>
    <row r="359" spans="8:8" x14ac:dyDescent="0.25">
      <c r="H359" t="s">
        <v>1890</v>
      </c>
    </row>
    <row r="361" spans="8:8" x14ac:dyDescent="0.25">
      <c r="H361" t="s">
        <v>557</v>
      </c>
    </row>
    <row r="362" spans="8:8" x14ac:dyDescent="0.25">
      <c r="H362" t="s">
        <v>1769</v>
      </c>
    </row>
    <row r="363" spans="8:8" x14ac:dyDescent="0.25">
      <c r="H363" t="s">
        <v>1891</v>
      </c>
    </row>
    <row r="365" spans="8:8" x14ac:dyDescent="0.25">
      <c r="H365" t="s">
        <v>558</v>
      </c>
    </row>
    <row r="366" spans="8:8" x14ac:dyDescent="0.25">
      <c r="H366" t="s">
        <v>1769</v>
      </c>
    </row>
    <row r="367" spans="8:8" x14ac:dyDescent="0.25">
      <c r="H367" t="s">
        <v>1892</v>
      </c>
    </row>
    <row r="369" spans="8:8" x14ac:dyDescent="0.25">
      <c r="H369" t="s">
        <v>559</v>
      </c>
    </row>
    <row r="370" spans="8:8" x14ac:dyDescent="0.25">
      <c r="H370" t="s">
        <v>1769</v>
      </c>
    </row>
    <row r="371" spans="8:8" x14ac:dyDescent="0.25">
      <c r="H371" t="s">
        <v>1893</v>
      </c>
    </row>
    <row r="373" spans="8:8" x14ac:dyDescent="0.25">
      <c r="H373" t="s">
        <v>154</v>
      </c>
    </row>
    <row r="374" spans="8:8" x14ac:dyDescent="0.25">
      <c r="H374" t="s">
        <v>1769</v>
      </c>
    </row>
    <row r="375" spans="8:8" x14ac:dyDescent="0.25">
      <c r="H375" t="s">
        <v>1894</v>
      </c>
    </row>
    <row r="377" spans="8:8" x14ac:dyDescent="0.25">
      <c r="H377" t="s">
        <v>560</v>
      </c>
    </row>
    <row r="378" spans="8:8" x14ac:dyDescent="0.25">
      <c r="H378" t="s">
        <v>1770</v>
      </c>
    </row>
    <row r="379" spans="8:8" x14ac:dyDescent="0.25">
      <c r="H379" t="s">
        <v>1895</v>
      </c>
    </row>
    <row r="381" spans="8:8" x14ac:dyDescent="0.25">
      <c r="H381" t="s">
        <v>561</v>
      </c>
    </row>
    <row r="382" spans="8:8" x14ac:dyDescent="0.25">
      <c r="H382" t="s">
        <v>1770</v>
      </c>
    </row>
    <row r="383" spans="8:8" x14ac:dyDescent="0.25">
      <c r="H383" t="s">
        <v>1896</v>
      </c>
    </row>
    <row r="385" spans="8:8" x14ac:dyDescent="0.25">
      <c r="H385" t="s">
        <v>562</v>
      </c>
    </row>
    <row r="386" spans="8:8" x14ac:dyDescent="0.25">
      <c r="H386" t="s">
        <v>1770</v>
      </c>
    </row>
    <row r="387" spans="8:8" x14ac:dyDescent="0.25">
      <c r="H387" t="s">
        <v>1897</v>
      </c>
    </row>
    <row r="389" spans="8:8" x14ac:dyDescent="0.25">
      <c r="H389" t="s">
        <v>155</v>
      </c>
    </row>
    <row r="390" spans="8:8" x14ac:dyDescent="0.25">
      <c r="H390" t="s">
        <v>1770</v>
      </c>
    </row>
    <row r="391" spans="8:8" x14ac:dyDescent="0.25">
      <c r="H391" t="s">
        <v>1898</v>
      </c>
    </row>
    <row r="393" spans="8:8" x14ac:dyDescent="0.25">
      <c r="H393" t="s">
        <v>563</v>
      </c>
    </row>
    <row r="394" spans="8:8" x14ac:dyDescent="0.25">
      <c r="H394" t="s">
        <v>1771</v>
      </c>
    </row>
    <row r="395" spans="8:8" x14ac:dyDescent="0.25">
      <c r="H395" t="s">
        <v>1899</v>
      </c>
    </row>
    <row r="397" spans="8:8" x14ac:dyDescent="0.25">
      <c r="H397" t="s">
        <v>564</v>
      </c>
    </row>
    <row r="398" spans="8:8" x14ac:dyDescent="0.25">
      <c r="H398" t="s">
        <v>1771</v>
      </c>
    </row>
    <row r="399" spans="8:8" x14ac:dyDescent="0.25">
      <c r="H399" t="s">
        <v>1900</v>
      </c>
    </row>
    <row r="401" spans="8:8" x14ac:dyDescent="0.25">
      <c r="H401" t="s">
        <v>156</v>
      </c>
    </row>
    <row r="402" spans="8:8" x14ac:dyDescent="0.25">
      <c r="H402" t="s">
        <v>1771</v>
      </c>
    </row>
    <row r="403" spans="8:8" x14ac:dyDescent="0.25">
      <c r="H403" t="s">
        <v>1901</v>
      </c>
    </row>
    <row r="405" spans="8:8" x14ac:dyDescent="0.25">
      <c r="H405" t="s">
        <v>157</v>
      </c>
    </row>
    <row r="406" spans="8:8" x14ac:dyDescent="0.25">
      <c r="H406" t="s">
        <v>1771</v>
      </c>
    </row>
    <row r="407" spans="8:8" x14ac:dyDescent="0.25">
      <c r="H407" t="s">
        <v>1902</v>
      </c>
    </row>
    <row r="409" spans="8:8" x14ac:dyDescent="0.25">
      <c r="H409" t="s">
        <v>565</v>
      </c>
    </row>
    <row r="410" spans="8:8" x14ac:dyDescent="0.25">
      <c r="H410" t="s">
        <v>1772</v>
      </c>
    </row>
    <row r="411" spans="8:8" x14ac:dyDescent="0.25">
      <c r="H411" t="s">
        <v>1903</v>
      </c>
    </row>
    <row r="413" spans="8:8" x14ac:dyDescent="0.25">
      <c r="H413" t="s">
        <v>566</v>
      </c>
    </row>
    <row r="414" spans="8:8" x14ac:dyDescent="0.25">
      <c r="H414" t="s">
        <v>1772</v>
      </c>
    </row>
    <row r="415" spans="8:8" x14ac:dyDescent="0.25">
      <c r="H415" t="s">
        <v>1904</v>
      </c>
    </row>
    <row r="417" spans="8:8" x14ac:dyDescent="0.25">
      <c r="H417" t="s">
        <v>567</v>
      </c>
    </row>
    <row r="418" spans="8:8" x14ac:dyDescent="0.25">
      <c r="H418" t="s">
        <v>1772</v>
      </c>
    </row>
    <row r="419" spans="8:8" x14ac:dyDescent="0.25">
      <c r="H419" t="s">
        <v>1905</v>
      </c>
    </row>
    <row r="421" spans="8:8" x14ac:dyDescent="0.25">
      <c r="H421" t="s">
        <v>158</v>
      </c>
    </row>
    <row r="422" spans="8:8" x14ac:dyDescent="0.25">
      <c r="H422" t="s">
        <v>1772</v>
      </c>
    </row>
    <row r="423" spans="8:8" x14ac:dyDescent="0.25">
      <c r="H423" t="s">
        <v>1906</v>
      </c>
    </row>
    <row r="425" spans="8:8" x14ac:dyDescent="0.25">
      <c r="H425" t="s">
        <v>568</v>
      </c>
    </row>
    <row r="426" spans="8:8" x14ac:dyDescent="0.25">
      <c r="H426" t="s">
        <v>569</v>
      </c>
    </row>
    <row r="427" spans="8:8" x14ac:dyDescent="0.25">
      <c r="H427" t="s">
        <v>570</v>
      </c>
    </row>
    <row r="429" spans="8:8" x14ac:dyDescent="0.25">
      <c r="H429" t="s">
        <v>159</v>
      </c>
    </row>
    <row r="430" spans="8:8" x14ac:dyDescent="0.25">
      <c r="H430" t="s">
        <v>569</v>
      </c>
    </row>
    <row r="431" spans="8:8" x14ac:dyDescent="0.25">
      <c r="H431" t="s">
        <v>571</v>
      </c>
    </row>
    <row r="433" spans="8:8" x14ac:dyDescent="0.25">
      <c r="H433" t="s">
        <v>160</v>
      </c>
    </row>
    <row r="434" spans="8:8" x14ac:dyDescent="0.25">
      <c r="H434" t="s">
        <v>569</v>
      </c>
    </row>
    <row r="435" spans="8:8" x14ac:dyDescent="0.25">
      <c r="H435" t="s">
        <v>572</v>
      </c>
    </row>
    <row r="437" spans="8:8" x14ac:dyDescent="0.25">
      <c r="H437" t="s">
        <v>573</v>
      </c>
    </row>
    <row r="438" spans="8:8" x14ac:dyDescent="0.25">
      <c r="H438" t="s">
        <v>569</v>
      </c>
    </row>
    <row r="439" spans="8:8" x14ac:dyDescent="0.25">
      <c r="H439" t="s">
        <v>574</v>
      </c>
    </row>
    <row r="441" spans="8:8" x14ac:dyDescent="0.25">
      <c r="H441" t="s">
        <v>575</v>
      </c>
    </row>
    <row r="442" spans="8:8" x14ac:dyDescent="0.25">
      <c r="H442" t="s">
        <v>576</v>
      </c>
    </row>
    <row r="443" spans="8:8" x14ac:dyDescent="0.25">
      <c r="H443" t="s">
        <v>577</v>
      </c>
    </row>
    <row r="445" spans="8:8" x14ac:dyDescent="0.25">
      <c r="H445" t="s">
        <v>161</v>
      </c>
    </row>
    <row r="446" spans="8:8" x14ac:dyDescent="0.25">
      <c r="H446" t="s">
        <v>576</v>
      </c>
    </row>
    <row r="447" spans="8:8" x14ac:dyDescent="0.25">
      <c r="H447" t="s">
        <v>578</v>
      </c>
    </row>
    <row r="449" spans="8:8" x14ac:dyDescent="0.25">
      <c r="H449" t="s">
        <v>162</v>
      </c>
    </row>
    <row r="450" spans="8:8" x14ac:dyDescent="0.25">
      <c r="H450" t="s">
        <v>576</v>
      </c>
    </row>
    <row r="451" spans="8:8" x14ac:dyDescent="0.25">
      <c r="H451" t="s">
        <v>579</v>
      </c>
    </row>
    <row r="453" spans="8:8" x14ac:dyDescent="0.25">
      <c r="H453" t="s">
        <v>163</v>
      </c>
    </row>
    <row r="454" spans="8:8" x14ac:dyDescent="0.25">
      <c r="H454" t="s">
        <v>576</v>
      </c>
    </row>
    <row r="455" spans="8:8" x14ac:dyDescent="0.25">
      <c r="H455" t="s">
        <v>580</v>
      </c>
    </row>
    <row r="457" spans="8:8" x14ac:dyDescent="0.25">
      <c r="H457" t="s">
        <v>164</v>
      </c>
    </row>
    <row r="458" spans="8:8" x14ac:dyDescent="0.25">
      <c r="H458" t="s">
        <v>581</v>
      </c>
    </row>
    <row r="459" spans="8:8" x14ac:dyDescent="0.25">
      <c r="H459" t="s">
        <v>582</v>
      </c>
    </row>
    <row r="460" spans="8:8" x14ac:dyDescent="0.25">
      <c r="H460" t="s">
        <v>583</v>
      </c>
    </row>
    <row r="461" spans="8:8" x14ac:dyDescent="0.25">
      <c r="H461" t="s">
        <v>584</v>
      </c>
    </row>
    <row r="463" spans="8:8" x14ac:dyDescent="0.25">
      <c r="H463" t="s">
        <v>165</v>
      </c>
    </row>
    <row r="464" spans="8:8" x14ac:dyDescent="0.25">
      <c r="H464" t="s">
        <v>581</v>
      </c>
    </row>
    <row r="465" spans="8:8" x14ac:dyDescent="0.25">
      <c r="H465" t="s">
        <v>585</v>
      </c>
    </row>
    <row r="467" spans="8:8" x14ac:dyDescent="0.25">
      <c r="H467" t="s">
        <v>166</v>
      </c>
    </row>
    <row r="468" spans="8:8" x14ac:dyDescent="0.25">
      <c r="H468" t="s">
        <v>586</v>
      </c>
    </row>
    <row r="469" spans="8:8" x14ac:dyDescent="0.25">
      <c r="H469" t="s">
        <v>587</v>
      </c>
    </row>
    <row r="470" spans="8:8" x14ac:dyDescent="0.25">
      <c r="H470" t="s">
        <v>588</v>
      </c>
    </row>
    <row r="471" spans="8:8" x14ac:dyDescent="0.25">
      <c r="H471" t="s">
        <v>589</v>
      </c>
    </row>
    <row r="472" spans="8:8" x14ac:dyDescent="0.25">
      <c r="H472" t="s">
        <v>590</v>
      </c>
    </row>
    <row r="473" spans="8:8" x14ac:dyDescent="0.25">
      <c r="H473" t="s">
        <v>591</v>
      </c>
    </row>
    <row r="475" spans="8:8" x14ac:dyDescent="0.25">
      <c r="H475" t="s">
        <v>167</v>
      </c>
    </row>
    <row r="476" spans="8:8" x14ac:dyDescent="0.25">
      <c r="H476" t="s">
        <v>586</v>
      </c>
    </row>
    <row r="477" spans="8:8" x14ac:dyDescent="0.25">
      <c r="H477" t="s">
        <v>592</v>
      </c>
    </row>
    <row r="479" spans="8:8" x14ac:dyDescent="0.25">
      <c r="H479" t="s">
        <v>593</v>
      </c>
    </row>
    <row r="480" spans="8:8" x14ac:dyDescent="0.25">
      <c r="H480" t="s">
        <v>594</v>
      </c>
    </row>
    <row r="481" spans="8:8" x14ac:dyDescent="0.25">
      <c r="H481" t="s">
        <v>595</v>
      </c>
    </row>
    <row r="482" spans="8:8" x14ac:dyDescent="0.25">
      <c r="H482" t="s">
        <v>596</v>
      </c>
    </row>
    <row r="483" spans="8:8" x14ac:dyDescent="0.25">
      <c r="H483" t="s">
        <v>597</v>
      </c>
    </row>
    <row r="484" spans="8:8" x14ac:dyDescent="0.25">
      <c r="H484" t="s">
        <v>598</v>
      </c>
    </row>
    <row r="485" spans="8:8" x14ac:dyDescent="0.25">
      <c r="H485" t="s">
        <v>599</v>
      </c>
    </row>
    <row r="487" spans="8:8" x14ac:dyDescent="0.25">
      <c r="H487" t="s">
        <v>600</v>
      </c>
    </row>
    <row r="488" spans="8:8" x14ac:dyDescent="0.25">
      <c r="H488" t="s">
        <v>594</v>
      </c>
    </row>
    <row r="489" spans="8:8" x14ac:dyDescent="0.25">
      <c r="H489" t="s">
        <v>601</v>
      </c>
    </row>
    <row r="491" spans="8:8" x14ac:dyDescent="0.25">
      <c r="H491" t="s">
        <v>602</v>
      </c>
    </row>
    <row r="492" spans="8:8" x14ac:dyDescent="0.25">
      <c r="H492" t="s">
        <v>603</v>
      </c>
    </row>
    <row r="493" spans="8:8" x14ac:dyDescent="0.25">
      <c r="H493" t="s">
        <v>604</v>
      </c>
    </row>
    <row r="494" spans="8:8" x14ac:dyDescent="0.25">
      <c r="H494" t="s">
        <v>605</v>
      </c>
    </row>
    <row r="495" spans="8:8" x14ac:dyDescent="0.25">
      <c r="H495" t="s">
        <v>606</v>
      </c>
    </row>
    <row r="496" spans="8:8" x14ac:dyDescent="0.25">
      <c r="H496" t="s">
        <v>607</v>
      </c>
    </row>
    <row r="497" spans="8:8" x14ac:dyDescent="0.25">
      <c r="H497" t="s">
        <v>608</v>
      </c>
    </row>
    <row r="499" spans="8:8" x14ac:dyDescent="0.25">
      <c r="H499" t="s">
        <v>168</v>
      </c>
    </row>
    <row r="500" spans="8:8" x14ac:dyDescent="0.25">
      <c r="H500" t="s">
        <v>603</v>
      </c>
    </row>
    <row r="501" spans="8:8" x14ac:dyDescent="0.25">
      <c r="H501" t="s">
        <v>609</v>
      </c>
    </row>
    <row r="503" spans="8:8" x14ac:dyDescent="0.25">
      <c r="H503" t="s">
        <v>610</v>
      </c>
    </row>
    <row r="504" spans="8:8" x14ac:dyDescent="0.25">
      <c r="H504" t="s">
        <v>611</v>
      </c>
    </row>
    <row r="505" spans="8:8" x14ac:dyDescent="0.25">
      <c r="H505" t="s">
        <v>612</v>
      </c>
    </row>
    <row r="506" spans="8:8" x14ac:dyDescent="0.25">
      <c r="H506" t="s">
        <v>613</v>
      </c>
    </row>
    <row r="507" spans="8:8" x14ac:dyDescent="0.25">
      <c r="H507" t="s">
        <v>614</v>
      </c>
    </row>
    <row r="508" spans="8:8" x14ac:dyDescent="0.25">
      <c r="H508" t="s">
        <v>615</v>
      </c>
    </row>
    <row r="509" spans="8:8" x14ac:dyDescent="0.25">
      <c r="H509" t="s">
        <v>616</v>
      </c>
    </row>
    <row r="511" spans="8:8" x14ac:dyDescent="0.25">
      <c r="H511" t="s">
        <v>617</v>
      </c>
    </row>
    <row r="512" spans="8:8" x14ac:dyDescent="0.25">
      <c r="H512" t="s">
        <v>611</v>
      </c>
    </row>
    <row r="513" spans="8:8" x14ac:dyDescent="0.25">
      <c r="H513" t="s">
        <v>618</v>
      </c>
    </row>
    <row r="515" spans="8:8" x14ac:dyDescent="0.25">
      <c r="H515" t="s">
        <v>619</v>
      </c>
    </row>
    <row r="516" spans="8:8" x14ac:dyDescent="0.25">
      <c r="H516" t="s">
        <v>620</v>
      </c>
    </row>
    <row r="517" spans="8:8" x14ac:dyDescent="0.25">
      <c r="H517" t="s">
        <v>621</v>
      </c>
    </row>
    <row r="519" spans="8:8" x14ac:dyDescent="0.25">
      <c r="H519" t="s">
        <v>622</v>
      </c>
    </row>
    <row r="520" spans="8:8" x14ac:dyDescent="0.25">
      <c r="H520" t="s">
        <v>620</v>
      </c>
    </row>
    <row r="521" spans="8:8" x14ac:dyDescent="0.25">
      <c r="H521" t="s">
        <v>623</v>
      </c>
    </row>
    <row r="523" spans="8:8" x14ac:dyDescent="0.25">
      <c r="H523" t="s">
        <v>624</v>
      </c>
    </row>
    <row r="524" spans="8:8" x14ac:dyDescent="0.25">
      <c r="H524" t="s">
        <v>625</v>
      </c>
    </row>
    <row r="525" spans="8:8" x14ac:dyDescent="0.25">
      <c r="H525" t="s">
        <v>626</v>
      </c>
    </row>
    <row r="527" spans="8:8" x14ac:dyDescent="0.25">
      <c r="H527" t="s">
        <v>627</v>
      </c>
    </row>
    <row r="528" spans="8:8" x14ac:dyDescent="0.25">
      <c r="H528" t="s">
        <v>625</v>
      </c>
    </row>
    <row r="529" spans="8:8" x14ac:dyDescent="0.25">
      <c r="H529" t="s">
        <v>628</v>
      </c>
    </row>
    <row r="531" spans="8:8" x14ac:dyDescent="0.25">
      <c r="H531" t="s">
        <v>629</v>
      </c>
    </row>
    <row r="532" spans="8:8" x14ac:dyDescent="0.25">
      <c r="H532" t="s">
        <v>630</v>
      </c>
    </row>
    <row r="533" spans="8:8" x14ac:dyDescent="0.25">
      <c r="H533" t="s">
        <v>631</v>
      </c>
    </row>
    <row r="534" spans="8:8" x14ac:dyDescent="0.25">
      <c r="H534" t="s">
        <v>632</v>
      </c>
    </row>
    <row r="535" spans="8:8" x14ac:dyDescent="0.25">
      <c r="H535" t="s">
        <v>633</v>
      </c>
    </row>
    <row r="536" spans="8:8" x14ac:dyDescent="0.25">
      <c r="H536" t="s">
        <v>634</v>
      </c>
    </row>
    <row r="537" spans="8:8" x14ac:dyDescent="0.25">
      <c r="H537" t="s">
        <v>635</v>
      </c>
    </row>
    <row r="539" spans="8:8" x14ac:dyDescent="0.25">
      <c r="H539" t="s">
        <v>636</v>
      </c>
    </row>
    <row r="540" spans="8:8" x14ac:dyDescent="0.25">
      <c r="H540" t="s">
        <v>630</v>
      </c>
    </row>
    <row r="541" spans="8:8" x14ac:dyDescent="0.25">
      <c r="H541" t="s">
        <v>637</v>
      </c>
    </row>
    <row r="543" spans="8:8" x14ac:dyDescent="0.25">
      <c r="H543" t="s">
        <v>638</v>
      </c>
    </row>
    <row r="544" spans="8:8" x14ac:dyDescent="0.25">
      <c r="H544" t="s">
        <v>639</v>
      </c>
    </row>
    <row r="545" spans="8:8" x14ac:dyDescent="0.25">
      <c r="H545" t="s">
        <v>640</v>
      </c>
    </row>
    <row r="546" spans="8:8" x14ac:dyDescent="0.25">
      <c r="H546" t="s">
        <v>641</v>
      </c>
    </row>
    <row r="547" spans="8:8" x14ac:dyDescent="0.25">
      <c r="H547" t="s">
        <v>642</v>
      </c>
    </row>
    <row r="549" spans="8:8" x14ac:dyDescent="0.25">
      <c r="H549" t="s">
        <v>643</v>
      </c>
    </row>
    <row r="550" spans="8:8" x14ac:dyDescent="0.25">
      <c r="H550" t="s">
        <v>639</v>
      </c>
    </row>
    <row r="551" spans="8:8" x14ac:dyDescent="0.25">
      <c r="H551" t="s">
        <v>644</v>
      </c>
    </row>
    <row r="553" spans="8:8" x14ac:dyDescent="0.25">
      <c r="H553" t="s">
        <v>645</v>
      </c>
    </row>
    <row r="554" spans="8:8" x14ac:dyDescent="0.25">
      <c r="H554" t="s">
        <v>646</v>
      </c>
    </row>
    <row r="555" spans="8:8" x14ac:dyDescent="0.25">
      <c r="H555" t="s">
        <v>647</v>
      </c>
    </row>
    <row r="556" spans="8:8" x14ac:dyDescent="0.25">
      <c r="H556" t="s">
        <v>648</v>
      </c>
    </row>
    <row r="557" spans="8:8" x14ac:dyDescent="0.25">
      <c r="H557" t="s">
        <v>649</v>
      </c>
    </row>
    <row r="559" spans="8:8" x14ac:dyDescent="0.25">
      <c r="H559" t="s">
        <v>650</v>
      </c>
    </row>
    <row r="560" spans="8:8" x14ac:dyDescent="0.25">
      <c r="H560" t="s">
        <v>646</v>
      </c>
    </row>
    <row r="561" spans="8:8" x14ac:dyDescent="0.25">
      <c r="H561" t="s">
        <v>651</v>
      </c>
    </row>
    <row r="563" spans="8:8" x14ac:dyDescent="0.25">
      <c r="H563" t="s">
        <v>652</v>
      </c>
    </row>
    <row r="564" spans="8:8" x14ac:dyDescent="0.25">
      <c r="H564" t="s">
        <v>1773</v>
      </c>
    </row>
    <row r="565" spans="8:8" x14ac:dyDescent="0.25">
      <c r="H565" t="s">
        <v>1907</v>
      </c>
    </row>
    <row r="567" spans="8:8" x14ac:dyDescent="0.25">
      <c r="H567" t="s">
        <v>653</v>
      </c>
    </row>
    <row r="568" spans="8:8" x14ac:dyDescent="0.25">
      <c r="H568" t="s">
        <v>1773</v>
      </c>
    </row>
    <row r="569" spans="8:8" x14ac:dyDescent="0.25">
      <c r="H569" t="s">
        <v>1908</v>
      </c>
    </row>
    <row r="571" spans="8:8" x14ac:dyDescent="0.25">
      <c r="H571" t="s">
        <v>654</v>
      </c>
    </row>
    <row r="572" spans="8:8" x14ac:dyDescent="0.25">
      <c r="H572" t="s">
        <v>1773</v>
      </c>
    </row>
    <row r="573" spans="8:8" x14ac:dyDescent="0.25">
      <c r="H573" t="s">
        <v>1909</v>
      </c>
    </row>
    <row r="575" spans="8:8" x14ac:dyDescent="0.25">
      <c r="H575" t="s">
        <v>655</v>
      </c>
    </row>
    <row r="576" spans="8:8" x14ac:dyDescent="0.25">
      <c r="H576" t="s">
        <v>1773</v>
      </c>
    </row>
    <row r="577" spans="8:8" x14ac:dyDescent="0.25">
      <c r="H577" t="s">
        <v>1910</v>
      </c>
    </row>
    <row r="579" spans="8:8" x14ac:dyDescent="0.25">
      <c r="H579" t="s">
        <v>169</v>
      </c>
    </row>
    <row r="580" spans="8:8" x14ac:dyDescent="0.25">
      <c r="H580" t="s">
        <v>847</v>
      </c>
    </row>
    <row r="581" spans="8:8" x14ac:dyDescent="0.25">
      <c r="H581" t="s">
        <v>848</v>
      </c>
    </row>
    <row r="583" spans="8:8" x14ac:dyDescent="0.25">
      <c r="H583" t="s">
        <v>170</v>
      </c>
    </row>
    <row r="584" spans="8:8" x14ac:dyDescent="0.25">
      <c r="H584" t="s">
        <v>1774</v>
      </c>
    </row>
    <row r="585" spans="8:8" x14ac:dyDescent="0.25">
      <c r="H585" t="s">
        <v>1775</v>
      </c>
    </row>
    <row r="586" spans="8:8" x14ac:dyDescent="0.25">
      <c r="H586" t="s">
        <v>1776</v>
      </c>
    </row>
    <row r="587" spans="8:8" x14ac:dyDescent="0.25">
      <c r="H587" t="s">
        <v>1777</v>
      </c>
    </row>
    <row r="589" spans="8:8" x14ac:dyDescent="0.25">
      <c r="H589" t="s">
        <v>171</v>
      </c>
    </row>
    <row r="590" spans="8:8" x14ac:dyDescent="0.25">
      <c r="H590" t="s">
        <v>1774</v>
      </c>
    </row>
    <row r="591" spans="8:8" x14ac:dyDescent="0.25">
      <c r="H591" t="s">
        <v>1778</v>
      </c>
    </row>
    <row r="593" spans="8:8" x14ac:dyDescent="0.25">
      <c r="H593" t="s">
        <v>172</v>
      </c>
    </row>
    <row r="594" spans="8:8" x14ac:dyDescent="0.25">
      <c r="H594" t="s">
        <v>877</v>
      </c>
    </row>
    <row r="595" spans="8:8" x14ac:dyDescent="0.25">
      <c r="H595" t="s">
        <v>878</v>
      </c>
    </row>
    <row r="597" spans="8:8" x14ac:dyDescent="0.25">
      <c r="H597" t="s">
        <v>173</v>
      </c>
    </row>
    <row r="598" spans="8:8" x14ac:dyDescent="0.25">
      <c r="H598" t="s">
        <v>877</v>
      </c>
    </row>
    <row r="599" spans="8:8" x14ac:dyDescent="0.25">
      <c r="H599" t="s">
        <v>879</v>
      </c>
    </row>
    <row r="601" spans="8:8" x14ac:dyDescent="0.25">
      <c r="H601" t="s">
        <v>174</v>
      </c>
    </row>
    <row r="602" spans="8:8" x14ac:dyDescent="0.25">
      <c r="H602" t="s">
        <v>877</v>
      </c>
    </row>
    <row r="603" spans="8:8" x14ac:dyDescent="0.25">
      <c r="H603" t="s">
        <v>880</v>
      </c>
    </row>
    <row r="605" spans="8:8" x14ac:dyDescent="0.25">
      <c r="H605" t="s">
        <v>175</v>
      </c>
    </row>
    <row r="606" spans="8:8" x14ac:dyDescent="0.25">
      <c r="H606" t="s">
        <v>877</v>
      </c>
    </row>
    <row r="607" spans="8:8" x14ac:dyDescent="0.25">
      <c r="H607" t="s">
        <v>881</v>
      </c>
    </row>
    <row r="609" spans="8:8" x14ac:dyDescent="0.25">
      <c r="H609" t="s">
        <v>176</v>
      </c>
    </row>
    <row r="610" spans="8:8" x14ac:dyDescent="0.25">
      <c r="H610" t="s">
        <v>882</v>
      </c>
    </row>
    <row r="611" spans="8:8" x14ac:dyDescent="0.25">
      <c r="H611" t="s">
        <v>883</v>
      </c>
    </row>
    <row r="613" spans="8:8" x14ac:dyDescent="0.25">
      <c r="H613" t="s">
        <v>177</v>
      </c>
    </row>
    <row r="614" spans="8:8" x14ac:dyDescent="0.25">
      <c r="H614" t="s">
        <v>882</v>
      </c>
    </row>
    <row r="615" spans="8:8" x14ac:dyDescent="0.25">
      <c r="H615" t="s">
        <v>884</v>
      </c>
    </row>
    <row r="617" spans="8:8" x14ac:dyDescent="0.25">
      <c r="H617" t="s">
        <v>178</v>
      </c>
    </row>
    <row r="618" spans="8:8" x14ac:dyDescent="0.25">
      <c r="H618" t="s">
        <v>882</v>
      </c>
    </row>
    <row r="619" spans="8:8" x14ac:dyDescent="0.25">
      <c r="H619" t="s">
        <v>885</v>
      </c>
    </row>
    <row r="621" spans="8:8" x14ac:dyDescent="0.25">
      <c r="H621" t="s">
        <v>179</v>
      </c>
    </row>
    <row r="622" spans="8:8" x14ac:dyDescent="0.25">
      <c r="H622" t="s">
        <v>882</v>
      </c>
    </row>
    <row r="623" spans="8:8" x14ac:dyDescent="0.25">
      <c r="H623" t="s">
        <v>886</v>
      </c>
    </row>
    <row r="625" spans="8:8" x14ac:dyDescent="0.25">
      <c r="H625" t="s">
        <v>180</v>
      </c>
    </row>
    <row r="626" spans="8:8" x14ac:dyDescent="0.25">
      <c r="H626" t="s">
        <v>1779</v>
      </c>
    </row>
    <row r="627" spans="8:8" x14ac:dyDescent="0.25">
      <c r="H627" t="s">
        <v>1911</v>
      </c>
    </row>
    <row r="629" spans="8:8" x14ac:dyDescent="0.25">
      <c r="H629" t="s">
        <v>181</v>
      </c>
    </row>
    <row r="630" spans="8:8" x14ac:dyDescent="0.25">
      <c r="H630" t="s">
        <v>1779</v>
      </c>
    </row>
    <row r="631" spans="8:8" x14ac:dyDescent="0.25">
      <c r="H631" t="s">
        <v>1912</v>
      </c>
    </row>
    <row r="633" spans="8:8" x14ac:dyDescent="0.25">
      <c r="H633" t="s">
        <v>182</v>
      </c>
    </row>
    <row r="634" spans="8:8" x14ac:dyDescent="0.25">
      <c r="H634" t="s">
        <v>1779</v>
      </c>
    </row>
    <row r="635" spans="8:8" x14ac:dyDescent="0.25">
      <c r="H635" t="s">
        <v>1913</v>
      </c>
    </row>
    <row r="637" spans="8:8" x14ac:dyDescent="0.25">
      <c r="H637" t="s">
        <v>183</v>
      </c>
    </row>
    <row r="638" spans="8:8" x14ac:dyDescent="0.25">
      <c r="H638" t="s">
        <v>1779</v>
      </c>
    </row>
    <row r="639" spans="8:8" x14ac:dyDescent="0.25">
      <c r="H639" t="s">
        <v>1914</v>
      </c>
    </row>
    <row r="641" spans="8:8" x14ac:dyDescent="0.25">
      <c r="H641" t="s">
        <v>898</v>
      </c>
    </row>
    <row r="642" spans="8:8" x14ac:dyDescent="0.25">
      <c r="H642" t="s">
        <v>1780</v>
      </c>
    </row>
    <row r="643" spans="8:8" x14ac:dyDescent="0.25">
      <c r="H643" t="s">
        <v>1915</v>
      </c>
    </row>
    <row r="645" spans="8:8" x14ac:dyDescent="0.25">
      <c r="H645" t="s">
        <v>906</v>
      </c>
    </row>
    <row r="646" spans="8:8" x14ac:dyDescent="0.25">
      <c r="H646" t="s">
        <v>1780</v>
      </c>
    </row>
    <row r="647" spans="8:8" x14ac:dyDescent="0.25">
      <c r="H647" t="s">
        <v>1916</v>
      </c>
    </row>
    <row r="649" spans="8:8" x14ac:dyDescent="0.25">
      <c r="H649" t="s">
        <v>184</v>
      </c>
    </row>
    <row r="650" spans="8:8" x14ac:dyDescent="0.25">
      <c r="H650" t="s">
        <v>1780</v>
      </c>
    </row>
    <row r="651" spans="8:8" x14ac:dyDescent="0.25">
      <c r="H651" t="s">
        <v>1917</v>
      </c>
    </row>
    <row r="653" spans="8:8" x14ac:dyDescent="0.25">
      <c r="H653" t="s">
        <v>185</v>
      </c>
    </row>
    <row r="654" spans="8:8" x14ac:dyDescent="0.25">
      <c r="H654" t="s">
        <v>1780</v>
      </c>
    </row>
    <row r="655" spans="8:8" x14ac:dyDescent="0.25">
      <c r="H655" t="s">
        <v>1918</v>
      </c>
    </row>
    <row r="657" spans="8:8" x14ac:dyDescent="0.25">
      <c r="H657" t="s">
        <v>911</v>
      </c>
    </row>
    <row r="658" spans="8:8" x14ac:dyDescent="0.25">
      <c r="H658" t="s">
        <v>1781</v>
      </c>
    </row>
    <row r="659" spans="8:8" x14ac:dyDescent="0.25">
      <c r="H659" t="s">
        <v>1919</v>
      </c>
    </row>
    <row r="661" spans="8:8" x14ac:dyDescent="0.25">
      <c r="H661" t="s">
        <v>919</v>
      </c>
    </row>
    <row r="662" spans="8:8" x14ac:dyDescent="0.25">
      <c r="H662" t="s">
        <v>1781</v>
      </c>
    </row>
    <row r="663" spans="8:8" x14ac:dyDescent="0.25">
      <c r="H663" t="s">
        <v>1920</v>
      </c>
    </row>
    <row r="665" spans="8:8" x14ac:dyDescent="0.25">
      <c r="H665" t="s">
        <v>922</v>
      </c>
    </row>
    <row r="666" spans="8:8" x14ac:dyDescent="0.25">
      <c r="H666" t="s">
        <v>1781</v>
      </c>
    </row>
    <row r="667" spans="8:8" x14ac:dyDescent="0.25">
      <c r="H667" t="s">
        <v>1921</v>
      </c>
    </row>
    <row r="669" spans="8:8" x14ac:dyDescent="0.25">
      <c r="H669" t="s">
        <v>924</v>
      </c>
    </row>
    <row r="670" spans="8:8" x14ac:dyDescent="0.25">
      <c r="H670" t="s">
        <v>1781</v>
      </c>
    </row>
    <row r="671" spans="8:8" x14ac:dyDescent="0.25">
      <c r="H671" t="s">
        <v>1922</v>
      </c>
    </row>
    <row r="673" spans="8:8" x14ac:dyDescent="0.25">
      <c r="H673" t="s">
        <v>926</v>
      </c>
    </row>
    <row r="674" spans="8:8" x14ac:dyDescent="0.25">
      <c r="H674" t="s">
        <v>1782</v>
      </c>
    </row>
    <row r="675" spans="8:8" x14ac:dyDescent="0.25">
      <c r="H675" t="s">
        <v>1923</v>
      </c>
    </row>
    <row r="677" spans="8:8" x14ac:dyDescent="0.25">
      <c r="H677" t="s">
        <v>934</v>
      </c>
    </row>
    <row r="678" spans="8:8" x14ac:dyDescent="0.25">
      <c r="H678" t="s">
        <v>1782</v>
      </c>
    </row>
    <row r="679" spans="8:8" x14ac:dyDescent="0.25">
      <c r="H679" t="s">
        <v>1924</v>
      </c>
    </row>
    <row r="681" spans="8:8" x14ac:dyDescent="0.25">
      <c r="H681" t="s">
        <v>937</v>
      </c>
    </row>
    <row r="682" spans="8:8" x14ac:dyDescent="0.25">
      <c r="H682" t="s">
        <v>1782</v>
      </c>
    </row>
    <row r="683" spans="8:8" x14ac:dyDescent="0.25">
      <c r="H683" t="s">
        <v>1925</v>
      </c>
    </row>
    <row r="685" spans="8:8" x14ac:dyDescent="0.25">
      <c r="H685" t="s">
        <v>939</v>
      </c>
    </row>
    <row r="686" spans="8:8" x14ac:dyDescent="0.25">
      <c r="H686" t="s">
        <v>1782</v>
      </c>
    </row>
    <row r="687" spans="8:8" x14ac:dyDescent="0.25">
      <c r="H687" t="s">
        <v>1926</v>
      </c>
    </row>
    <row r="689" spans="8:8" x14ac:dyDescent="0.25">
      <c r="H689" t="s">
        <v>941</v>
      </c>
    </row>
    <row r="690" spans="8:8" x14ac:dyDescent="0.25">
      <c r="H690" t="s">
        <v>1783</v>
      </c>
    </row>
    <row r="691" spans="8:8" x14ac:dyDescent="0.25">
      <c r="H691" t="s">
        <v>1927</v>
      </c>
    </row>
    <row r="693" spans="8:8" x14ac:dyDescent="0.25">
      <c r="H693" t="s">
        <v>949</v>
      </c>
    </row>
    <row r="694" spans="8:8" x14ac:dyDescent="0.25">
      <c r="H694" t="s">
        <v>1783</v>
      </c>
    </row>
    <row r="695" spans="8:8" x14ac:dyDescent="0.25">
      <c r="H695" t="s">
        <v>1928</v>
      </c>
    </row>
    <row r="697" spans="8:8" x14ac:dyDescent="0.25">
      <c r="H697" t="s">
        <v>952</v>
      </c>
    </row>
    <row r="698" spans="8:8" x14ac:dyDescent="0.25">
      <c r="H698" t="s">
        <v>1783</v>
      </c>
    </row>
    <row r="699" spans="8:8" x14ac:dyDescent="0.25">
      <c r="H699" t="s">
        <v>1929</v>
      </c>
    </row>
    <row r="701" spans="8:8" x14ac:dyDescent="0.25">
      <c r="H701" t="s">
        <v>954</v>
      </c>
    </row>
    <row r="702" spans="8:8" x14ac:dyDescent="0.25">
      <c r="H702" t="s">
        <v>1783</v>
      </c>
    </row>
    <row r="703" spans="8:8" x14ac:dyDescent="0.25">
      <c r="H703" t="s">
        <v>1930</v>
      </c>
    </row>
    <row r="705" spans="8:8" x14ac:dyDescent="0.25">
      <c r="H705" t="s">
        <v>956</v>
      </c>
    </row>
    <row r="706" spans="8:8" x14ac:dyDescent="0.25">
      <c r="H706" t="s">
        <v>1784</v>
      </c>
    </row>
    <row r="707" spans="8:8" x14ac:dyDescent="0.25">
      <c r="H707" t="s">
        <v>1931</v>
      </c>
    </row>
    <row r="709" spans="8:8" x14ac:dyDescent="0.25">
      <c r="H709" t="s">
        <v>964</v>
      </c>
    </row>
    <row r="710" spans="8:8" x14ac:dyDescent="0.25">
      <c r="H710" t="s">
        <v>1784</v>
      </c>
    </row>
    <row r="711" spans="8:8" x14ac:dyDescent="0.25">
      <c r="H711" t="s">
        <v>1932</v>
      </c>
    </row>
    <row r="713" spans="8:8" x14ac:dyDescent="0.25">
      <c r="H713" t="s">
        <v>967</v>
      </c>
    </row>
    <row r="714" spans="8:8" x14ac:dyDescent="0.25">
      <c r="H714" t="s">
        <v>1784</v>
      </c>
    </row>
    <row r="715" spans="8:8" x14ac:dyDescent="0.25">
      <c r="H715" t="s">
        <v>1933</v>
      </c>
    </row>
    <row r="717" spans="8:8" x14ac:dyDescent="0.25">
      <c r="H717" t="s">
        <v>969</v>
      </c>
    </row>
    <row r="718" spans="8:8" x14ac:dyDescent="0.25">
      <c r="H718" t="s">
        <v>1784</v>
      </c>
    </row>
    <row r="719" spans="8:8" x14ac:dyDescent="0.25">
      <c r="H719" t="s">
        <v>1934</v>
      </c>
    </row>
    <row r="721" spans="8:8" x14ac:dyDescent="0.25">
      <c r="H721" t="s">
        <v>971</v>
      </c>
    </row>
    <row r="722" spans="8:8" x14ac:dyDescent="0.25">
      <c r="H722" t="s">
        <v>1785</v>
      </c>
    </row>
    <row r="723" spans="8:8" x14ac:dyDescent="0.25">
      <c r="H723" t="s">
        <v>1935</v>
      </c>
    </row>
    <row r="725" spans="8:8" x14ac:dyDescent="0.25">
      <c r="H725" t="s">
        <v>979</v>
      </c>
    </row>
    <row r="726" spans="8:8" x14ac:dyDescent="0.25">
      <c r="H726" t="s">
        <v>1785</v>
      </c>
    </row>
    <row r="727" spans="8:8" x14ac:dyDescent="0.25">
      <c r="H727" t="s">
        <v>1936</v>
      </c>
    </row>
    <row r="729" spans="8:8" x14ac:dyDescent="0.25">
      <c r="H729" t="s">
        <v>982</v>
      </c>
    </row>
    <row r="730" spans="8:8" x14ac:dyDescent="0.25">
      <c r="H730" t="s">
        <v>1785</v>
      </c>
    </row>
    <row r="731" spans="8:8" x14ac:dyDescent="0.25">
      <c r="H731" t="s">
        <v>1937</v>
      </c>
    </row>
    <row r="733" spans="8:8" x14ac:dyDescent="0.25">
      <c r="H733" t="s">
        <v>984</v>
      </c>
    </row>
    <row r="734" spans="8:8" x14ac:dyDescent="0.25">
      <c r="H734" t="s">
        <v>1785</v>
      </c>
    </row>
    <row r="735" spans="8:8" x14ac:dyDescent="0.25">
      <c r="H735" t="s">
        <v>1938</v>
      </c>
    </row>
    <row r="737" spans="8:8" x14ac:dyDescent="0.25">
      <c r="H737" t="s">
        <v>986</v>
      </c>
    </row>
    <row r="738" spans="8:8" x14ac:dyDescent="0.25">
      <c r="H738" t="s">
        <v>1786</v>
      </c>
    </row>
    <row r="739" spans="8:8" x14ac:dyDescent="0.25">
      <c r="H739" t="s">
        <v>1939</v>
      </c>
    </row>
    <row r="741" spans="8:8" x14ac:dyDescent="0.25">
      <c r="H741" t="s">
        <v>994</v>
      </c>
    </row>
    <row r="742" spans="8:8" x14ac:dyDescent="0.25">
      <c r="H742" t="s">
        <v>1786</v>
      </c>
    </row>
    <row r="743" spans="8:8" x14ac:dyDescent="0.25">
      <c r="H743" t="s">
        <v>1940</v>
      </c>
    </row>
    <row r="745" spans="8:8" x14ac:dyDescent="0.25">
      <c r="H745" t="s">
        <v>997</v>
      </c>
    </row>
    <row r="746" spans="8:8" x14ac:dyDescent="0.25">
      <c r="H746" t="s">
        <v>1786</v>
      </c>
    </row>
    <row r="747" spans="8:8" x14ac:dyDescent="0.25">
      <c r="H747" t="s">
        <v>1941</v>
      </c>
    </row>
    <row r="749" spans="8:8" x14ac:dyDescent="0.25">
      <c r="H749" t="s">
        <v>999</v>
      </c>
    </row>
    <row r="750" spans="8:8" x14ac:dyDescent="0.25">
      <c r="H750" t="s">
        <v>1786</v>
      </c>
    </row>
    <row r="751" spans="8:8" x14ac:dyDescent="0.25">
      <c r="H751" t="s">
        <v>1942</v>
      </c>
    </row>
    <row r="753" spans="8:8" x14ac:dyDescent="0.25">
      <c r="H753" t="s">
        <v>1001</v>
      </c>
    </row>
    <row r="754" spans="8:8" x14ac:dyDescent="0.25">
      <c r="H754" t="s">
        <v>1787</v>
      </c>
    </row>
    <row r="755" spans="8:8" x14ac:dyDescent="0.25">
      <c r="H755" t="s">
        <v>1943</v>
      </c>
    </row>
    <row r="757" spans="8:8" x14ac:dyDescent="0.25">
      <c r="H757" t="s">
        <v>1009</v>
      </c>
    </row>
    <row r="758" spans="8:8" x14ac:dyDescent="0.25">
      <c r="H758" t="s">
        <v>1787</v>
      </c>
    </row>
    <row r="759" spans="8:8" x14ac:dyDescent="0.25">
      <c r="H759" t="s">
        <v>1944</v>
      </c>
    </row>
    <row r="761" spans="8:8" x14ac:dyDescent="0.25">
      <c r="H761" t="s">
        <v>1012</v>
      </c>
    </row>
    <row r="762" spans="8:8" x14ac:dyDescent="0.25">
      <c r="H762" t="s">
        <v>1787</v>
      </c>
    </row>
    <row r="763" spans="8:8" x14ac:dyDescent="0.25">
      <c r="H763" t="s">
        <v>1945</v>
      </c>
    </row>
    <row r="765" spans="8:8" x14ac:dyDescent="0.25">
      <c r="H765" t="s">
        <v>1014</v>
      </c>
    </row>
    <row r="766" spans="8:8" x14ac:dyDescent="0.25">
      <c r="H766" t="s">
        <v>1787</v>
      </c>
    </row>
    <row r="767" spans="8:8" x14ac:dyDescent="0.25">
      <c r="H767" t="s">
        <v>1946</v>
      </c>
    </row>
    <row r="769" spans="8:8" x14ac:dyDescent="0.25">
      <c r="H769" t="s">
        <v>1016</v>
      </c>
    </row>
    <row r="770" spans="8:8" x14ac:dyDescent="0.25">
      <c r="H770" t="s">
        <v>1788</v>
      </c>
    </row>
    <row r="771" spans="8:8" x14ac:dyDescent="0.25">
      <c r="H771" t="s">
        <v>1947</v>
      </c>
    </row>
    <row r="773" spans="8:8" x14ac:dyDescent="0.25">
      <c r="H773" t="s">
        <v>1024</v>
      </c>
    </row>
    <row r="774" spans="8:8" x14ac:dyDescent="0.25">
      <c r="H774" t="s">
        <v>1788</v>
      </c>
    </row>
    <row r="775" spans="8:8" x14ac:dyDescent="0.25">
      <c r="H775" t="s">
        <v>1948</v>
      </c>
    </row>
    <row r="777" spans="8:8" x14ac:dyDescent="0.25">
      <c r="H777" t="s">
        <v>1027</v>
      </c>
    </row>
    <row r="778" spans="8:8" x14ac:dyDescent="0.25">
      <c r="H778" t="s">
        <v>1788</v>
      </c>
    </row>
    <row r="779" spans="8:8" x14ac:dyDescent="0.25">
      <c r="H779" t="s">
        <v>1949</v>
      </c>
    </row>
    <row r="781" spans="8:8" x14ac:dyDescent="0.25">
      <c r="H781" t="s">
        <v>1029</v>
      </c>
    </row>
    <row r="782" spans="8:8" x14ac:dyDescent="0.25">
      <c r="H782" t="s">
        <v>1788</v>
      </c>
    </row>
    <row r="783" spans="8:8" x14ac:dyDescent="0.25">
      <c r="H783" t="s">
        <v>1950</v>
      </c>
    </row>
    <row r="785" spans="8:8" x14ac:dyDescent="0.25">
      <c r="H785" t="s">
        <v>1031</v>
      </c>
    </row>
    <row r="786" spans="8:8" x14ac:dyDescent="0.25">
      <c r="H786" t="s">
        <v>1789</v>
      </c>
    </row>
    <row r="787" spans="8:8" x14ac:dyDescent="0.25">
      <c r="H787" t="s">
        <v>1951</v>
      </c>
    </row>
    <row r="789" spans="8:8" x14ac:dyDescent="0.25">
      <c r="H789" t="s">
        <v>1039</v>
      </c>
    </row>
    <row r="790" spans="8:8" x14ac:dyDescent="0.25">
      <c r="H790" t="s">
        <v>1789</v>
      </c>
    </row>
    <row r="791" spans="8:8" x14ac:dyDescent="0.25">
      <c r="H791" t="s">
        <v>1952</v>
      </c>
    </row>
    <row r="793" spans="8:8" x14ac:dyDescent="0.25">
      <c r="H793" t="s">
        <v>1042</v>
      </c>
    </row>
    <row r="794" spans="8:8" x14ac:dyDescent="0.25">
      <c r="H794" t="s">
        <v>1789</v>
      </c>
    </row>
    <row r="795" spans="8:8" x14ac:dyDescent="0.25">
      <c r="H795" t="s">
        <v>1953</v>
      </c>
    </row>
    <row r="797" spans="8:8" x14ac:dyDescent="0.25">
      <c r="H797" t="s">
        <v>1044</v>
      </c>
    </row>
    <row r="798" spans="8:8" x14ac:dyDescent="0.25">
      <c r="H798" t="s">
        <v>1789</v>
      </c>
    </row>
    <row r="799" spans="8:8" x14ac:dyDescent="0.25">
      <c r="H799" t="s">
        <v>1954</v>
      </c>
    </row>
    <row r="801" spans="8:8" x14ac:dyDescent="0.25">
      <c r="H801" t="s">
        <v>1046</v>
      </c>
    </row>
    <row r="802" spans="8:8" x14ac:dyDescent="0.25">
      <c r="H802" t="s">
        <v>1790</v>
      </c>
    </row>
    <row r="803" spans="8:8" x14ac:dyDescent="0.25">
      <c r="H803" t="s">
        <v>1955</v>
      </c>
    </row>
    <row r="805" spans="8:8" x14ac:dyDescent="0.25">
      <c r="H805" t="s">
        <v>1054</v>
      </c>
    </row>
    <row r="806" spans="8:8" x14ac:dyDescent="0.25">
      <c r="H806" t="s">
        <v>1790</v>
      </c>
    </row>
    <row r="807" spans="8:8" x14ac:dyDescent="0.25">
      <c r="H807" t="s">
        <v>1956</v>
      </c>
    </row>
    <row r="809" spans="8:8" x14ac:dyDescent="0.25">
      <c r="H809" t="s">
        <v>1057</v>
      </c>
    </row>
    <row r="810" spans="8:8" x14ac:dyDescent="0.25">
      <c r="H810" t="s">
        <v>1790</v>
      </c>
    </row>
    <row r="811" spans="8:8" x14ac:dyDescent="0.25">
      <c r="H811" t="s">
        <v>1957</v>
      </c>
    </row>
    <row r="813" spans="8:8" x14ac:dyDescent="0.25">
      <c r="H813" t="s">
        <v>1059</v>
      </c>
    </row>
    <row r="814" spans="8:8" x14ac:dyDescent="0.25">
      <c r="H814" t="s">
        <v>1790</v>
      </c>
    </row>
    <row r="815" spans="8:8" x14ac:dyDescent="0.25">
      <c r="H815" t="s">
        <v>1958</v>
      </c>
    </row>
    <row r="817" spans="8:8" x14ac:dyDescent="0.25">
      <c r="H817" t="s">
        <v>1061</v>
      </c>
    </row>
    <row r="818" spans="8:8" x14ac:dyDescent="0.25">
      <c r="H818" t="s">
        <v>1791</v>
      </c>
    </row>
    <row r="819" spans="8:8" x14ac:dyDescent="0.25">
      <c r="H819" t="s">
        <v>1959</v>
      </c>
    </row>
    <row r="821" spans="8:8" x14ac:dyDescent="0.25">
      <c r="H821" t="s">
        <v>1069</v>
      </c>
    </row>
    <row r="822" spans="8:8" x14ac:dyDescent="0.25">
      <c r="H822" t="s">
        <v>1791</v>
      </c>
    </row>
    <row r="823" spans="8:8" x14ac:dyDescent="0.25">
      <c r="H823" t="s">
        <v>1960</v>
      </c>
    </row>
    <row r="825" spans="8:8" x14ac:dyDescent="0.25">
      <c r="H825" t="s">
        <v>1072</v>
      </c>
    </row>
    <row r="826" spans="8:8" x14ac:dyDescent="0.25">
      <c r="H826" t="s">
        <v>1791</v>
      </c>
    </row>
    <row r="827" spans="8:8" x14ac:dyDescent="0.25">
      <c r="H827" t="s">
        <v>1961</v>
      </c>
    </row>
    <row r="829" spans="8:8" x14ac:dyDescent="0.25">
      <c r="H829" t="s">
        <v>1074</v>
      </c>
    </row>
    <row r="830" spans="8:8" x14ac:dyDescent="0.25">
      <c r="H830" t="s">
        <v>1791</v>
      </c>
    </row>
    <row r="831" spans="8:8" x14ac:dyDescent="0.25">
      <c r="H831" t="s">
        <v>1962</v>
      </c>
    </row>
    <row r="833" spans="8:8" x14ac:dyDescent="0.25">
      <c r="H833" t="s">
        <v>1076</v>
      </c>
    </row>
    <row r="834" spans="8:8" x14ac:dyDescent="0.25">
      <c r="H834" t="s">
        <v>1792</v>
      </c>
    </row>
    <row r="835" spans="8:8" x14ac:dyDescent="0.25">
      <c r="H835" t="s">
        <v>1963</v>
      </c>
    </row>
    <row r="837" spans="8:8" x14ac:dyDescent="0.25">
      <c r="H837" t="s">
        <v>1084</v>
      </c>
    </row>
    <row r="838" spans="8:8" x14ac:dyDescent="0.25">
      <c r="H838" t="s">
        <v>1792</v>
      </c>
    </row>
    <row r="839" spans="8:8" x14ac:dyDescent="0.25">
      <c r="H839" t="s">
        <v>1964</v>
      </c>
    </row>
    <row r="841" spans="8:8" x14ac:dyDescent="0.25">
      <c r="H841" t="s">
        <v>1087</v>
      </c>
    </row>
    <row r="842" spans="8:8" x14ac:dyDescent="0.25">
      <c r="H842" t="s">
        <v>1792</v>
      </c>
    </row>
    <row r="843" spans="8:8" x14ac:dyDescent="0.25">
      <c r="H843" t="s">
        <v>1965</v>
      </c>
    </row>
    <row r="845" spans="8:8" x14ac:dyDescent="0.25">
      <c r="H845" t="s">
        <v>1089</v>
      </c>
    </row>
    <row r="846" spans="8:8" x14ac:dyDescent="0.25">
      <c r="H846" t="s">
        <v>1792</v>
      </c>
    </row>
    <row r="847" spans="8:8" x14ac:dyDescent="0.25">
      <c r="H847" t="s">
        <v>1966</v>
      </c>
    </row>
    <row r="849" spans="8:8" x14ac:dyDescent="0.25">
      <c r="H849" t="s">
        <v>1091</v>
      </c>
    </row>
    <row r="850" spans="8:8" x14ac:dyDescent="0.25">
      <c r="H850" t="s">
        <v>1793</v>
      </c>
    </row>
    <row r="851" spans="8:8" x14ac:dyDescent="0.25">
      <c r="H851" t="s">
        <v>1967</v>
      </c>
    </row>
    <row r="853" spans="8:8" x14ac:dyDescent="0.25">
      <c r="H853" t="s">
        <v>1099</v>
      </c>
    </row>
    <row r="854" spans="8:8" x14ac:dyDescent="0.25">
      <c r="H854" t="s">
        <v>1793</v>
      </c>
    </row>
    <row r="855" spans="8:8" x14ac:dyDescent="0.25">
      <c r="H855" t="s">
        <v>1968</v>
      </c>
    </row>
    <row r="857" spans="8:8" x14ac:dyDescent="0.25">
      <c r="H857" t="s">
        <v>1102</v>
      </c>
    </row>
    <row r="858" spans="8:8" x14ac:dyDescent="0.25">
      <c r="H858" t="s">
        <v>1793</v>
      </c>
    </row>
    <row r="859" spans="8:8" x14ac:dyDescent="0.25">
      <c r="H859" t="s">
        <v>1969</v>
      </c>
    </row>
    <row r="861" spans="8:8" x14ac:dyDescent="0.25">
      <c r="H861" t="s">
        <v>1104</v>
      </c>
    </row>
    <row r="862" spans="8:8" x14ac:dyDescent="0.25">
      <c r="H862" t="s">
        <v>1793</v>
      </c>
    </row>
    <row r="863" spans="8:8" x14ac:dyDescent="0.25">
      <c r="H863" t="s">
        <v>1970</v>
      </c>
    </row>
    <row r="865" spans="8:8" x14ac:dyDescent="0.25">
      <c r="H865" t="s">
        <v>1106</v>
      </c>
    </row>
    <row r="866" spans="8:8" x14ac:dyDescent="0.25">
      <c r="H866" t="s">
        <v>1794</v>
      </c>
    </row>
    <row r="867" spans="8:8" x14ac:dyDescent="0.25">
      <c r="H867" t="s">
        <v>1971</v>
      </c>
    </row>
    <row r="869" spans="8:8" x14ac:dyDescent="0.25">
      <c r="H869" t="s">
        <v>1114</v>
      </c>
    </row>
    <row r="870" spans="8:8" x14ac:dyDescent="0.25">
      <c r="H870" t="s">
        <v>1794</v>
      </c>
    </row>
    <row r="871" spans="8:8" x14ac:dyDescent="0.25">
      <c r="H871" t="s">
        <v>1972</v>
      </c>
    </row>
    <row r="873" spans="8:8" x14ac:dyDescent="0.25">
      <c r="H873" t="s">
        <v>1117</v>
      </c>
    </row>
    <row r="874" spans="8:8" x14ac:dyDescent="0.25">
      <c r="H874" t="s">
        <v>1794</v>
      </c>
    </row>
    <row r="875" spans="8:8" x14ac:dyDescent="0.25">
      <c r="H875" t="s">
        <v>1973</v>
      </c>
    </row>
    <row r="877" spans="8:8" x14ac:dyDescent="0.25">
      <c r="H877" t="s">
        <v>1119</v>
      </c>
    </row>
    <row r="878" spans="8:8" x14ac:dyDescent="0.25">
      <c r="H878" t="s">
        <v>1794</v>
      </c>
    </row>
    <row r="879" spans="8:8" x14ac:dyDescent="0.25">
      <c r="H879" t="s">
        <v>1974</v>
      </c>
    </row>
    <row r="881" spans="8:8" x14ac:dyDescent="0.25">
      <c r="H881" t="s">
        <v>1121</v>
      </c>
    </row>
    <row r="882" spans="8:8" x14ac:dyDescent="0.25">
      <c r="H882" t="s">
        <v>1795</v>
      </c>
    </row>
    <row r="883" spans="8:8" x14ac:dyDescent="0.25">
      <c r="H883" t="s">
        <v>1975</v>
      </c>
    </row>
    <row r="885" spans="8:8" x14ac:dyDescent="0.25">
      <c r="H885" t="s">
        <v>1129</v>
      </c>
    </row>
    <row r="886" spans="8:8" x14ac:dyDescent="0.25">
      <c r="H886" t="s">
        <v>1795</v>
      </c>
    </row>
    <row r="887" spans="8:8" x14ac:dyDescent="0.25">
      <c r="H887" t="s">
        <v>1976</v>
      </c>
    </row>
    <row r="889" spans="8:8" x14ac:dyDescent="0.25">
      <c r="H889" t="s">
        <v>1132</v>
      </c>
    </row>
    <row r="890" spans="8:8" x14ac:dyDescent="0.25">
      <c r="H890" t="s">
        <v>1795</v>
      </c>
    </row>
    <row r="891" spans="8:8" x14ac:dyDescent="0.25">
      <c r="H891" t="s">
        <v>1977</v>
      </c>
    </row>
    <row r="893" spans="8:8" x14ac:dyDescent="0.25">
      <c r="H893" t="s">
        <v>1134</v>
      </c>
    </row>
    <row r="894" spans="8:8" x14ac:dyDescent="0.25">
      <c r="H894" t="s">
        <v>1795</v>
      </c>
    </row>
    <row r="895" spans="8:8" x14ac:dyDescent="0.25">
      <c r="H895" t="s">
        <v>1978</v>
      </c>
    </row>
    <row r="897" spans="8:8" x14ac:dyDescent="0.25">
      <c r="H897" t="s">
        <v>1136</v>
      </c>
    </row>
    <row r="898" spans="8:8" x14ac:dyDescent="0.25">
      <c r="H898" t="s">
        <v>1796</v>
      </c>
    </row>
    <row r="899" spans="8:8" x14ac:dyDescent="0.25">
      <c r="H899" t="s">
        <v>1979</v>
      </c>
    </row>
    <row r="901" spans="8:8" x14ac:dyDescent="0.25">
      <c r="H901" t="s">
        <v>1144</v>
      </c>
    </row>
    <row r="902" spans="8:8" x14ac:dyDescent="0.25">
      <c r="H902" t="s">
        <v>1796</v>
      </c>
    </row>
    <row r="903" spans="8:8" x14ac:dyDescent="0.25">
      <c r="H903" t="s">
        <v>1980</v>
      </c>
    </row>
    <row r="905" spans="8:8" x14ac:dyDescent="0.25">
      <c r="H905" t="s">
        <v>1147</v>
      </c>
    </row>
    <row r="906" spans="8:8" x14ac:dyDescent="0.25">
      <c r="H906" t="s">
        <v>1796</v>
      </c>
    </row>
    <row r="907" spans="8:8" x14ac:dyDescent="0.25">
      <c r="H907" t="s">
        <v>1981</v>
      </c>
    </row>
    <row r="909" spans="8:8" x14ac:dyDescent="0.25">
      <c r="H909" t="s">
        <v>1149</v>
      </c>
    </row>
    <row r="910" spans="8:8" x14ac:dyDescent="0.25">
      <c r="H910" t="s">
        <v>1796</v>
      </c>
    </row>
    <row r="911" spans="8:8" x14ac:dyDescent="0.25">
      <c r="H911" t="s">
        <v>1982</v>
      </c>
    </row>
    <row r="913" spans="8:8" x14ac:dyDescent="0.25">
      <c r="H913" t="s">
        <v>1151</v>
      </c>
    </row>
    <row r="914" spans="8:8" x14ac:dyDescent="0.25">
      <c r="H914" t="s">
        <v>1797</v>
      </c>
    </row>
    <row r="915" spans="8:8" x14ac:dyDescent="0.25">
      <c r="H915" t="s">
        <v>1983</v>
      </c>
    </row>
    <row r="917" spans="8:8" x14ac:dyDescent="0.25">
      <c r="H917" t="s">
        <v>1159</v>
      </c>
    </row>
    <row r="918" spans="8:8" x14ac:dyDescent="0.25">
      <c r="H918" t="s">
        <v>1797</v>
      </c>
    </row>
    <row r="919" spans="8:8" x14ac:dyDescent="0.25">
      <c r="H919" t="s">
        <v>1984</v>
      </c>
    </row>
    <row r="921" spans="8:8" x14ac:dyDescent="0.25">
      <c r="H921" t="s">
        <v>1162</v>
      </c>
    </row>
    <row r="922" spans="8:8" x14ac:dyDescent="0.25">
      <c r="H922" t="s">
        <v>1797</v>
      </c>
    </row>
    <row r="923" spans="8:8" x14ac:dyDescent="0.25">
      <c r="H923" t="s">
        <v>1985</v>
      </c>
    </row>
    <row r="925" spans="8:8" x14ac:dyDescent="0.25">
      <c r="H925" t="s">
        <v>1164</v>
      </c>
    </row>
    <row r="926" spans="8:8" x14ac:dyDescent="0.25">
      <c r="H926" t="s">
        <v>1797</v>
      </c>
    </row>
    <row r="927" spans="8:8" x14ac:dyDescent="0.25">
      <c r="H927" t="s">
        <v>1986</v>
      </c>
    </row>
    <row r="929" spans="8:8" x14ac:dyDescent="0.25">
      <c r="H929" t="s">
        <v>1166</v>
      </c>
    </row>
    <row r="930" spans="8:8" x14ac:dyDescent="0.25">
      <c r="H930" t="s">
        <v>1798</v>
      </c>
    </row>
    <row r="931" spans="8:8" x14ac:dyDescent="0.25">
      <c r="H931" t="s">
        <v>1987</v>
      </c>
    </row>
    <row r="933" spans="8:8" x14ac:dyDescent="0.25">
      <c r="H933" t="s">
        <v>1174</v>
      </c>
    </row>
    <row r="934" spans="8:8" x14ac:dyDescent="0.25">
      <c r="H934" t="s">
        <v>1798</v>
      </c>
    </row>
    <row r="935" spans="8:8" x14ac:dyDescent="0.25">
      <c r="H935" t="s">
        <v>1988</v>
      </c>
    </row>
    <row r="937" spans="8:8" x14ac:dyDescent="0.25">
      <c r="H937" t="s">
        <v>1177</v>
      </c>
    </row>
    <row r="938" spans="8:8" x14ac:dyDescent="0.25">
      <c r="H938" t="s">
        <v>1798</v>
      </c>
    </row>
    <row r="939" spans="8:8" x14ac:dyDescent="0.25">
      <c r="H939" t="s">
        <v>1989</v>
      </c>
    </row>
    <row r="941" spans="8:8" x14ac:dyDescent="0.25">
      <c r="H941" t="s">
        <v>1179</v>
      </c>
    </row>
    <row r="942" spans="8:8" x14ac:dyDescent="0.25">
      <c r="H942" t="s">
        <v>1798</v>
      </c>
    </row>
    <row r="943" spans="8:8" x14ac:dyDescent="0.25">
      <c r="H943" t="s">
        <v>1990</v>
      </c>
    </row>
    <row r="945" spans="8:8" x14ac:dyDescent="0.25">
      <c r="H945" t="s">
        <v>1181</v>
      </c>
    </row>
    <row r="946" spans="8:8" x14ac:dyDescent="0.25">
      <c r="H946" t="s">
        <v>1799</v>
      </c>
    </row>
    <row r="947" spans="8:8" x14ac:dyDescent="0.25">
      <c r="H947" t="s">
        <v>1991</v>
      </c>
    </row>
    <row r="949" spans="8:8" x14ac:dyDescent="0.25">
      <c r="H949" t="s">
        <v>1800</v>
      </c>
    </row>
    <row r="950" spans="8:8" x14ac:dyDescent="0.25">
      <c r="H950" t="s">
        <v>1799</v>
      </c>
    </row>
    <row r="951" spans="8:8" x14ac:dyDescent="0.25">
      <c r="H951" t="s">
        <v>1992</v>
      </c>
    </row>
    <row r="953" spans="8:8" x14ac:dyDescent="0.25">
      <c r="H953" t="s">
        <v>1801</v>
      </c>
    </row>
    <row r="954" spans="8:8" x14ac:dyDescent="0.25">
      <c r="H954" t="s">
        <v>1799</v>
      </c>
    </row>
    <row r="955" spans="8:8" x14ac:dyDescent="0.25">
      <c r="H955" t="s">
        <v>1993</v>
      </c>
    </row>
    <row r="957" spans="8:8" x14ac:dyDescent="0.25">
      <c r="H957" t="s">
        <v>1188</v>
      </c>
    </row>
    <row r="958" spans="8:8" x14ac:dyDescent="0.25">
      <c r="H958" t="s">
        <v>1799</v>
      </c>
    </row>
    <row r="959" spans="8:8" x14ac:dyDescent="0.25">
      <c r="H959" t="s">
        <v>1994</v>
      </c>
    </row>
    <row r="961" spans="8:8" x14ac:dyDescent="0.25">
      <c r="H961" t="s">
        <v>1191</v>
      </c>
    </row>
    <row r="962" spans="8:8" x14ac:dyDescent="0.25">
      <c r="H962" t="s">
        <v>1802</v>
      </c>
    </row>
    <row r="963" spans="8:8" x14ac:dyDescent="0.25">
      <c r="H963" t="s">
        <v>1803</v>
      </c>
    </row>
    <row r="965" spans="8:8" x14ac:dyDescent="0.25">
      <c r="H965" t="s">
        <v>1204</v>
      </c>
    </row>
    <row r="966" spans="8:8" x14ac:dyDescent="0.25">
      <c r="H966" t="s">
        <v>1804</v>
      </c>
    </row>
    <row r="967" spans="8:8" x14ac:dyDescent="0.25">
      <c r="H967" t="s">
        <v>1805</v>
      </c>
    </row>
    <row r="969" spans="8:8" x14ac:dyDescent="0.25">
      <c r="H969" t="s">
        <v>1221</v>
      </c>
    </row>
    <row r="970" spans="8:8" x14ac:dyDescent="0.25">
      <c r="H970" t="s">
        <v>1804</v>
      </c>
    </row>
    <row r="971" spans="8:8" x14ac:dyDescent="0.25">
      <c r="H971" t="s">
        <v>1806</v>
      </c>
    </row>
    <row r="973" spans="8:8" x14ac:dyDescent="0.25">
      <c r="H973" t="s">
        <v>1238</v>
      </c>
    </row>
    <row r="974" spans="8:8" x14ac:dyDescent="0.25">
      <c r="H974" t="s">
        <v>1804</v>
      </c>
    </row>
    <row r="975" spans="8:8" x14ac:dyDescent="0.25">
      <c r="H975" t="s">
        <v>1807</v>
      </c>
    </row>
    <row r="977" spans="8:8" x14ac:dyDescent="0.25">
      <c r="H977" t="s">
        <v>1255</v>
      </c>
    </row>
    <row r="978" spans="8:8" x14ac:dyDescent="0.25">
      <c r="H978" t="s">
        <v>1808</v>
      </c>
    </row>
    <row r="979" spans="8:8" x14ac:dyDescent="0.25">
      <c r="H979" t="s">
        <v>1809</v>
      </c>
    </row>
    <row r="981" spans="8:8" x14ac:dyDescent="0.25">
      <c r="H981" t="s">
        <v>1272</v>
      </c>
    </row>
    <row r="982" spans="8:8" x14ac:dyDescent="0.25">
      <c r="H982" t="s">
        <v>1808</v>
      </c>
    </row>
    <row r="983" spans="8:8" x14ac:dyDescent="0.25">
      <c r="H983" t="s">
        <v>1810</v>
      </c>
    </row>
    <row r="985" spans="8:8" x14ac:dyDescent="0.25">
      <c r="H985" t="s">
        <v>1289</v>
      </c>
    </row>
    <row r="986" spans="8:8" x14ac:dyDescent="0.25">
      <c r="H986" t="s">
        <v>1811</v>
      </c>
    </row>
    <row r="987" spans="8:8" x14ac:dyDescent="0.25">
      <c r="H987" t="s">
        <v>1812</v>
      </c>
    </row>
    <row r="988" spans="8:8" x14ac:dyDescent="0.25">
      <c r="H988" t="s">
        <v>1813</v>
      </c>
    </row>
    <row r="989" spans="8:8" x14ac:dyDescent="0.25">
      <c r="H989" t="s">
        <v>1814</v>
      </c>
    </row>
    <row r="991" spans="8:8" x14ac:dyDescent="0.25">
      <c r="H991" t="s">
        <v>1300</v>
      </c>
    </row>
    <row r="992" spans="8:8" x14ac:dyDescent="0.25">
      <c r="H992" t="s">
        <v>1811</v>
      </c>
    </row>
    <row r="993" spans="8:8" x14ac:dyDescent="0.25">
      <c r="H993" t="s">
        <v>1815</v>
      </c>
    </row>
    <row r="995" spans="8:8" x14ac:dyDescent="0.25">
      <c r="H995" t="s">
        <v>1317</v>
      </c>
    </row>
    <row r="996" spans="8:8" x14ac:dyDescent="0.25">
      <c r="H996" t="s">
        <v>1816</v>
      </c>
    </row>
    <row r="997" spans="8:8" x14ac:dyDescent="0.25">
      <c r="H997" t="s">
        <v>1995</v>
      </c>
    </row>
    <row r="999" spans="8:8" x14ac:dyDescent="0.25">
      <c r="H999" t="s">
        <v>1334</v>
      </c>
    </row>
    <row r="1000" spans="8:8" x14ac:dyDescent="0.25">
      <c r="H1000" t="s">
        <v>1817</v>
      </c>
    </row>
    <row r="1001" spans="8:8" x14ac:dyDescent="0.25">
      <c r="H1001" t="s">
        <v>1818</v>
      </c>
    </row>
    <row r="1003" spans="8:8" x14ac:dyDescent="0.25">
      <c r="H1003" t="s">
        <v>1347</v>
      </c>
    </row>
    <row r="1004" spans="8:8" x14ac:dyDescent="0.25">
      <c r="H1004" t="s">
        <v>1819</v>
      </c>
    </row>
    <row r="1005" spans="8:8" x14ac:dyDescent="0.25">
      <c r="H1005" t="s">
        <v>1820</v>
      </c>
    </row>
    <row r="1007" spans="8:8" x14ac:dyDescent="0.25">
      <c r="H1007" t="s">
        <v>1364</v>
      </c>
    </row>
    <row r="1008" spans="8:8" x14ac:dyDescent="0.25">
      <c r="H1008" t="s">
        <v>1819</v>
      </c>
    </row>
    <row r="1009" spans="8:8" x14ac:dyDescent="0.25">
      <c r="H1009" t="s">
        <v>1821</v>
      </c>
    </row>
    <row r="1011" spans="8:8" x14ac:dyDescent="0.25">
      <c r="H1011" t="s">
        <v>1381</v>
      </c>
    </row>
    <row r="1012" spans="8:8" x14ac:dyDescent="0.25">
      <c r="H1012" t="s">
        <v>1819</v>
      </c>
    </row>
    <row r="1013" spans="8:8" x14ac:dyDescent="0.25">
      <c r="H1013" t="s">
        <v>1822</v>
      </c>
    </row>
    <row r="1015" spans="8:8" x14ac:dyDescent="0.25">
      <c r="H1015" t="s">
        <v>1398</v>
      </c>
    </row>
    <row r="1016" spans="8:8" x14ac:dyDescent="0.25">
      <c r="H1016" t="s">
        <v>1823</v>
      </c>
    </row>
    <row r="1017" spans="8:8" x14ac:dyDescent="0.25">
      <c r="H1017" t="s">
        <v>1824</v>
      </c>
    </row>
    <row r="1019" spans="8:8" x14ac:dyDescent="0.25">
      <c r="H1019" t="s">
        <v>1415</v>
      </c>
    </row>
    <row r="1020" spans="8:8" x14ac:dyDescent="0.25">
      <c r="H1020" t="s">
        <v>1823</v>
      </c>
    </row>
    <row r="1021" spans="8:8" x14ac:dyDescent="0.25">
      <c r="H1021" t="s">
        <v>1825</v>
      </c>
    </row>
    <row r="1023" spans="8:8" x14ac:dyDescent="0.25">
      <c r="H1023" t="s">
        <v>1432</v>
      </c>
    </row>
    <row r="1024" spans="8:8" x14ac:dyDescent="0.25">
      <c r="H1024" t="s">
        <v>1826</v>
      </c>
    </row>
    <row r="1025" spans="8:8" x14ac:dyDescent="0.25">
      <c r="H1025" t="s">
        <v>1827</v>
      </c>
    </row>
    <row r="1026" spans="8:8" x14ac:dyDescent="0.25">
      <c r="H1026" t="s">
        <v>1828</v>
      </c>
    </row>
    <row r="1027" spans="8:8" x14ac:dyDescent="0.25">
      <c r="H1027" t="s">
        <v>1829</v>
      </c>
    </row>
    <row r="1029" spans="8:8" x14ac:dyDescent="0.25">
      <c r="H1029" t="s">
        <v>1443</v>
      </c>
    </row>
    <row r="1030" spans="8:8" x14ac:dyDescent="0.25">
      <c r="H1030" t="s">
        <v>1826</v>
      </c>
    </row>
    <row r="1031" spans="8:8" x14ac:dyDescent="0.25">
      <c r="H1031" t="s">
        <v>1830</v>
      </c>
    </row>
    <row r="1033" spans="8:8" x14ac:dyDescent="0.25">
      <c r="H1033" t="s">
        <v>1460</v>
      </c>
    </row>
    <row r="1034" spans="8:8" x14ac:dyDescent="0.25">
      <c r="H1034" t="s">
        <v>1831</v>
      </c>
    </row>
    <row r="1035" spans="8:8" x14ac:dyDescent="0.25">
      <c r="H1035" t="s">
        <v>1996</v>
      </c>
    </row>
    <row r="1037" spans="8:8" x14ac:dyDescent="0.25">
      <c r="H1037" t="s">
        <v>1477</v>
      </c>
    </row>
    <row r="1038" spans="8:8" x14ac:dyDescent="0.25">
      <c r="H1038" t="s">
        <v>1832</v>
      </c>
    </row>
    <row r="1039" spans="8:8" x14ac:dyDescent="0.25">
      <c r="H1039" t="s">
        <v>1997</v>
      </c>
    </row>
    <row r="1041" spans="8:8" x14ac:dyDescent="0.25">
      <c r="H1041" t="s">
        <v>1480</v>
      </c>
    </row>
    <row r="1042" spans="8:8" x14ac:dyDescent="0.25">
      <c r="H1042" t="s">
        <v>1832</v>
      </c>
    </row>
    <row r="1043" spans="8:8" x14ac:dyDescent="0.25">
      <c r="H1043" t="s">
        <v>1998</v>
      </c>
    </row>
    <row r="1045" spans="8:8" x14ac:dyDescent="0.25">
      <c r="H1045" t="s">
        <v>1483</v>
      </c>
    </row>
    <row r="1046" spans="8:8" x14ac:dyDescent="0.25">
      <c r="H1046" t="s">
        <v>1833</v>
      </c>
    </row>
    <row r="1047" spans="8:8" x14ac:dyDescent="0.25">
      <c r="H1047" t="s">
        <v>1999</v>
      </c>
    </row>
    <row r="1049" spans="8:8" x14ac:dyDescent="0.25">
      <c r="H1049" t="s">
        <v>1486</v>
      </c>
    </row>
    <row r="1050" spans="8:8" x14ac:dyDescent="0.25">
      <c r="H1050" t="s">
        <v>1833</v>
      </c>
    </row>
    <row r="1051" spans="8:8" x14ac:dyDescent="0.25">
      <c r="H1051" t="s">
        <v>2000</v>
      </c>
    </row>
    <row r="1053" spans="8:8" x14ac:dyDescent="0.25">
      <c r="H1053" t="s">
        <v>1488</v>
      </c>
    </row>
    <row r="1054" spans="8:8" x14ac:dyDescent="0.25">
      <c r="H1054" t="s">
        <v>1833</v>
      </c>
    </row>
    <row r="1055" spans="8:8" x14ac:dyDescent="0.25">
      <c r="H1055" t="s">
        <v>2001</v>
      </c>
    </row>
    <row r="1057" spans="8:8" x14ac:dyDescent="0.25">
      <c r="H1057" t="s">
        <v>1491</v>
      </c>
    </row>
    <row r="1058" spans="8:8" x14ac:dyDescent="0.25">
      <c r="H1058" t="s">
        <v>1833</v>
      </c>
    </row>
    <row r="1059" spans="8:8" x14ac:dyDescent="0.25">
      <c r="H1059" t="s">
        <v>2002</v>
      </c>
    </row>
    <row r="1061" spans="8:8" x14ac:dyDescent="0.25">
      <c r="H1061" t="s">
        <v>1493</v>
      </c>
    </row>
    <row r="1062" spans="8:8" x14ac:dyDescent="0.25">
      <c r="H1062" t="s">
        <v>1834</v>
      </c>
    </row>
    <row r="1063" spans="8:8" x14ac:dyDescent="0.25">
      <c r="H1063" t="s">
        <v>2003</v>
      </c>
    </row>
    <row r="1065" spans="8:8" x14ac:dyDescent="0.25">
      <c r="H1065" t="s">
        <v>1496</v>
      </c>
    </row>
    <row r="1066" spans="8:8" x14ac:dyDescent="0.25">
      <c r="H1066" t="s">
        <v>1834</v>
      </c>
    </row>
    <row r="1067" spans="8:8" x14ac:dyDescent="0.25">
      <c r="H1067" t="s">
        <v>2004</v>
      </c>
    </row>
    <row r="1069" spans="8:8" x14ac:dyDescent="0.25">
      <c r="H1069" t="s">
        <v>1500</v>
      </c>
    </row>
    <row r="1070" spans="8:8" x14ac:dyDescent="0.25">
      <c r="H1070" t="s">
        <v>1834</v>
      </c>
    </row>
    <row r="1071" spans="8:8" x14ac:dyDescent="0.25">
      <c r="H1071" t="s">
        <v>2005</v>
      </c>
    </row>
    <row r="1073" spans="8:8" x14ac:dyDescent="0.25">
      <c r="H1073" t="s">
        <v>1503</v>
      </c>
    </row>
    <row r="1074" spans="8:8" x14ac:dyDescent="0.25">
      <c r="H1074" t="s">
        <v>1834</v>
      </c>
    </row>
    <row r="1075" spans="8:8" x14ac:dyDescent="0.25">
      <c r="H1075" t="s">
        <v>2006</v>
      </c>
    </row>
    <row r="1077" spans="8:8" x14ac:dyDescent="0.25">
      <c r="H1077" t="s">
        <v>15</v>
      </c>
    </row>
    <row r="1078" spans="8:8" x14ac:dyDescent="0.25">
      <c r="H1078" t="s">
        <v>118</v>
      </c>
    </row>
    <row r="1080" spans="8:8" x14ac:dyDescent="0.25">
      <c r="H1080" t="s">
        <v>16</v>
      </c>
    </row>
    <row r="1081" spans="8:8" x14ac:dyDescent="0.25">
      <c r="H1081" s="9" t="s">
        <v>60</v>
      </c>
    </row>
    <row r="16388" spans="8:8" x14ac:dyDescent="0.25">
      <c r="H16388" t="s">
        <v>656</v>
      </c>
    </row>
    <row r="16389" spans="8:8" x14ac:dyDescent="0.25">
      <c r="H16389" t="s">
        <v>657</v>
      </c>
    </row>
    <row r="16391" spans="8:8" x14ac:dyDescent="0.25">
      <c r="H16391" t="s">
        <v>658</v>
      </c>
    </row>
    <row r="16392" spans="8:8" x14ac:dyDescent="0.25">
      <c r="H16392" t="s">
        <v>659</v>
      </c>
    </row>
    <row r="16393" spans="8:8" x14ac:dyDescent="0.25">
      <c r="H16393" t="s">
        <v>660</v>
      </c>
    </row>
    <row r="16395" spans="8:8" x14ac:dyDescent="0.25">
      <c r="H16395" t="s">
        <v>661</v>
      </c>
    </row>
    <row r="16396" spans="8:8" x14ac:dyDescent="0.25">
      <c r="H16396" t="s">
        <v>659</v>
      </c>
    </row>
    <row r="16397" spans="8:8" x14ac:dyDescent="0.25">
      <c r="H16397" t="s">
        <v>662</v>
      </c>
    </row>
    <row r="16399" spans="8:8" x14ac:dyDescent="0.25">
      <c r="H16399" t="s">
        <v>663</v>
      </c>
    </row>
    <row r="16400" spans="8:8" x14ac:dyDescent="0.25">
      <c r="H16400" t="s">
        <v>659</v>
      </c>
    </row>
    <row r="16401" spans="8:8" x14ac:dyDescent="0.25">
      <c r="H16401" t="s">
        <v>664</v>
      </c>
    </row>
    <row r="16403" spans="8:8" x14ac:dyDescent="0.25">
      <c r="H16403" t="s">
        <v>665</v>
      </c>
    </row>
    <row r="16404" spans="8:8" x14ac:dyDescent="0.25">
      <c r="H16404" t="s">
        <v>659</v>
      </c>
    </row>
    <row r="16405" spans="8:8" x14ac:dyDescent="0.25">
      <c r="H16405" t="s">
        <v>666</v>
      </c>
    </row>
    <row r="16407" spans="8:8" x14ac:dyDescent="0.25">
      <c r="H16407" t="s">
        <v>667</v>
      </c>
    </row>
    <row r="16408" spans="8:8" x14ac:dyDescent="0.25">
      <c r="H16408" t="s">
        <v>668</v>
      </c>
    </row>
    <row r="16409" spans="8:8" x14ac:dyDescent="0.25">
      <c r="H16409" t="s">
        <v>669</v>
      </c>
    </row>
    <row r="16411" spans="8:8" x14ac:dyDescent="0.25">
      <c r="H16411" t="s">
        <v>670</v>
      </c>
    </row>
    <row r="16412" spans="8:8" x14ac:dyDescent="0.25">
      <c r="H16412" t="s">
        <v>668</v>
      </c>
    </row>
    <row r="16413" spans="8:8" x14ac:dyDescent="0.25">
      <c r="H16413" t="s">
        <v>671</v>
      </c>
    </row>
    <row r="16415" spans="8:8" x14ac:dyDescent="0.25">
      <c r="H16415" t="s">
        <v>672</v>
      </c>
    </row>
    <row r="16416" spans="8:8" x14ac:dyDescent="0.25">
      <c r="H16416" t="s">
        <v>668</v>
      </c>
    </row>
    <row r="16417" spans="8:8" x14ac:dyDescent="0.25">
      <c r="H16417" t="s">
        <v>673</v>
      </c>
    </row>
    <row r="16419" spans="8:8" x14ac:dyDescent="0.25">
      <c r="H16419" t="s">
        <v>674</v>
      </c>
    </row>
    <row r="16420" spans="8:8" x14ac:dyDescent="0.25">
      <c r="H16420" t="s">
        <v>668</v>
      </c>
    </row>
    <row r="16421" spans="8:8" x14ac:dyDescent="0.25">
      <c r="H16421" t="s">
        <v>675</v>
      </c>
    </row>
    <row r="16423" spans="8:8" x14ac:dyDescent="0.25">
      <c r="H16423" t="s">
        <v>676</v>
      </c>
    </row>
    <row r="16424" spans="8:8" x14ac:dyDescent="0.25">
      <c r="H16424" t="s">
        <v>677</v>
      </c>
    </row>
    <row r="16425" spans="8:8" x14ac:dyDescent="0.25">
      <c r="H16425" t="s">
        <v>678</v>
      </c>
    </row>
    <row r="16427" spans="8:8" x14ac:dyDescent="0.25">
      <c r="H16427" t="s">
        <v>679</v>
      </c>
    </row>
    <row r="16428" spans="8:8" x14ac:dyDescent="0.25">
      <c r="H16428" t="s">
        <v>677</v>
      </c>
    </row>
    <row r="16429" spans="8:8" x14ac:dyDescent="0.25">
      <c r="H16429" t="s">
        <v>680</v>
      </c>
    </row>
    <row r="16431" spans="8:8" x14ac:dyDescent="0.25">
      <c r="H16431" t="s">
        <v>681</v>
      </c>
    </row>
    <row r="16432" spans="8:8" x14ac:dyDescent="0.25">
      <c r="H16432" t="s">
        <v>677</v>
      </c>
    </row>
    <row r="16433" spans="8:8" x14ac:dyDescent="0.25">
      <c r="H16433" t="s">
        <v>682</v>
      </c>
    </row>
    <row r="16435" spans="8:8" x14ac:dyDescent="0.25">
      <c r="H16435" t="s">
        <v>683</v>
      </c>
    </row>
    <row r="16436" spans="8:8" x14ac:dyDescent="0.25">
      <c r="H16436" t="s">
        <v>677</v>
      </c>
    </row>
    <row r="16437" spans="8:8" x14ac:dyDescent="0.25">
      <c r="H16437" t="s">
        <v>684</v>
      </c>
    </row>
    <row r="16439" spans="8:8" x14ac:dyDescent="0.25">
      <c r="H16439" t="s">
        <v>685</v>
      </c>
    </row>
    <row r="16440" spans="8:8" x14ac:dyDescent="0.25">
      <c r="H16440" t="s">
        <v>686</v>
      </c>
    </row>
    <row r="16441" spans="8:8" x14ac:dyDescent="0.25">
      <c r="H16441" t="s">
        <v>687</v>
      </c>
    </row>
    <row r="16443" spans="8:8" x14ac:dyDescent="0.25">
      <c r="H16443" t="s">
        <v>688</v>
      </c>
    </row>
    <row r="16444" spans="8:8" x14ac:dyDescent="0.25">
      <c r="H16444" t="s">
        <v>686</v>
      </c>
    </row>
    <row r="16445" spans="8:8" x14ac:dyDescent="0.25">
      <c r="H16445" t="s">
        <v>689</v>
      </c>
    </row>
    <row r="16447" spans="8:8" x14ac:dyDescent="0.25">
      <c r="H16447" t="s">
        <v>690</v>
      </c>
    </row>
    <row r="16448" spans="8:8" x14ac:dyDescent="0.25">
      <c r="H16448" t="s">
        <v>686</v>
      </c>
    </row>
    <row r="16449" spans="8:8" x14ac:dyDescent="0.25">
      <c r="H16449" t="s">
        <v>691</v>
      </c>
    </row>
    <row r="16451" spans="8:8" x14ac:dyDescent="0.25">
      <c r="H16451" t="s">
        <v>692</v>
      </c>
    </row>
    <row r="16452" spans="8:8" x14ac:dyDescent="0.25">
      <c r="H16452" t="s">
        <v>686</v>
      </c>
    </row>
    <row r="16453" spans="8:8" x14ac:dyDescent="0.25">
      <c r="H16453" t="s">
        <v>693</v>
      </c>
    </row>
    <row r="16455" spans="8:8" x14ac:dyDescent="0.25">
      <c r="H16455" t="s">
        <v>694</v>
      </c>
    </row>
    <row r="16456" spans="8:8" x14ac:dyDescent="0.25">
      <c r="H16456" t="s">
        <v>695</v>
      </c>
    </row>
    <row r="16457" spans="8:8" x14ac:dyDescent="0.25">
      <c r="H16457" t="s">
        <v>696</v>
      </c>
    </row>
    <row r="16459" spans="8:8" x14ac:dyDescent="0.25">
      <c r="H16459" t="s">
        <v>697</v>
      </c>
    </row>
    <row r="16460" spans="8:8" x14ac:dyDescent="0.25">
      <c r="H16460" t="s">
        <v>695</v>
      </c>
    </row>
    <row r="16461" spans="8:8" x14ac:dyDescent="0.25">
      <c r="H16461" t="s">
        <v>698</v>
      </c>
    </row>
    <row r="16463" spans="8:8" x14ac:dyDescent="0.25">
      <c r="H16463" t="s">
        <v>699</v>
      </c>
    </row>
    <row r="16464" spans="8:8" x14ac:dyDescent="0.25">
      <c r="H16464" t="s">
        <v>695</v>
      </c>
    </row>
    <row r="16465" spans="8:8" x14ac:dyDescent="0.25">
      <c r="H16465" t="s">
        <v>700</v>
      </c>
    </row>
    <row r="16467" spans="8:8" x14ac:dyDescent="0.25">
      <c r="H16467" t="s">
        <v>701</v>
      </c>
    </row>
    <row r="16468" spans="8:8" x14ac:dyDescent="0.25">
      <c r="H16468" t="s">
        <v>695</v>
      </c>
    </row>
    <row r="16469" spans="8:8" x14ac:dyDescent="0.25">
      <c r="H16469" t="s">
        <v>702</v>
      </c>
    </row>
    <row r="16471" spans="8:8" x14ac:dyDescent="0.25">
      <c r="H16471" t="s">
        <v>703</v>
      </c>
    </row>
    <row r="16472" spans="8:8" x14ac:dyDescent="0.25">
      <c r="H16472" t="s">
        <v>704</v>
      </c>
    </row>
    <row r="16473" spans="8:8" x14ac:dyDescent="0.25">
      <c r="H16473" t="s">
        <v>705</v>
      </c>
    </row>
    <row r="16475" spans="8:8" x14ac:dyDescent="0.25">
      <c r="H16475" t="s">
        <v>706</v>
      </c>
    </row>
    <row r="16476" spans="8:8" x14ac:dyDescent="0.25">
      <c r="H16476" t="s">
        <v>704</v>
      </c>
    </row>
    <row r="16477" spans="8:8" x14ac:dyDescent="0.25">
      <c r="H16477" t="s">
        <v>707</v>
      </c>
    </row>
    <row r="16479" spans="8:8" x14ac:dyDescent="0.25">
      <c r="H16479" t="s">
        <v>708</v>
      </c>
    </row>
    <row r="16480" spans="8:8" x14ac:dyDescent="0.25">
      <c r="H16480" t="s">
        <v>704</v>
      </c>
    </row>
    <row r="16481" spans="8:8" x14ac:dyDescent="0.25">
      <c r="H16481" t="s">
        <v>709</v>
      </c>
    </row>
    <row r="16483" spans="8:8" x14ac:dyDescent="0.25">
      <c r="H16483" t="s">
        <v>710</v>
      </c>
    </row>
    <row r="16484" spans="8:8" x14ac:dyDescent="0.25">
      <c r="H16484" t="s">
        <v>704</v>
      </c>
    </row>
    <row r="16485" spans="8:8" x14ac:dyDescent="0.25">
      <c r="H16485" t="s">
        <v>711</v>
      </c>
    </row>
    <row r="16487" spans="8:8" x14ac:dyDescent="0.25">
      <c r="H16487" t="s">
        <v>712</v>
      </c>
    </row>
    <row r="16488" spans="8:8" x14ac:dyDescent="0.25">
      <c r="H16488" t="s">
        <v>713</v>
      </c>
    </row>
    <row r="16489" spans="8:8" x14ac:dyDescent="0.25">
      <c r="H16489" t="s">
        <v>714</v>
      </c>
    </row>
    <row r="16491" spans="8:8" x14ac:dyDescent="0.25">
      <c r="H16491" t="s">
        <v>715</v>
      </c>
    </row>
    <row r="16492" spans="8:8" x14ac:dyDescent="0.25">
      <c r="H16492" t="s">
        <v>713</v>
      </c>
    </row>
    <row r="16493" spans="8:8" x14ac:dyDescent="0.25">
      <c r="H16493" t="s">
        <v>716</v>
      </c>
    </row>
    <row r="16495" spans="8:8" x14ac:dyDescent="0.25">
      <c r="H16495" t="s">
        <v>717</v>
      </c>
    </row>
    <row r="16496" spans="8:8" x14ac:dyDescent="0.25">
      <c r="H16496" t="s">
        <v>713</v>
      </c>
    </row>
    <row r="16497" spans="8:8" x14ac:dyDescent="0.25">
      <c r="H16497" t="s">
        <v>718</v>
      </c>
    </row>
    <row r="16499" spans="8:8" x14ac:dyDescent="0.25">
      <c r="H16499" t="s">
        <v>719</v>
      </c>
    </row>
    <row r="16500" spans="8:8" x14ac:dyDescent="0.25">
      <c r="H16500" t="s">
        <v>713</v>
      </c>
    </row>
    <row r="16501" spans="8:8" x14ac:dyDescent="0.25">
      <c r="H16501" t="s">
        <v>720</v>
      </c>
    </row>
    <row r="16503" spans="8:8" x14ac:dyDescent="0.25">
      <c r="H16503" t="s">
        <v>721</v>
      </c>
    </row>
    <row r="16504" spans="8:8" x14ac:dyDescent="0.25">
      <c r="H16504" t="s">
        <v>722</v>
      </c>
    </row>
    <row r="16505" spans="8:8" x14ac:dyDescent="0.25">
      <c r="H16505" t="s">
        <v>723</v>
      </c>
    </row>
    <row r="16507" spans="8:8" x14ac:dyDescent="0.25">
      <c r="H16507" t="s">
        <v>724</v>
      </c>
    </row>
    <row r="16508" spans="8:8" x14ac:dyDescent="0.25">
      <c r="H16508" t="s">
        <v>722</v>
      </c>
    </row>
    <row r="16509" spans="8:8" x14ac:dyDescent="0.25">
      <c r="H16509" t="s">
        <v>725</v>
      </c>
    </row>
    <row r="16511" spans="8:8" x14ac:dyDescent="0.25">
      <c r="H16511" t="s">
        <v>726</v>
      </c>
    </row>
    <row r="16512" spans="8:8" x14ac:dyDescent="0.25">
      <c r="H16512" t="s">
        <v>722</v>
      </c>
    </row>
    <row r="16513" spans="8:8" x14ac:dyDescent="0.25">
      <c r="H16513" t="s">
        <v>727</v>
      </c>
    </row>
    <row r="16515" spans="8:8" x14ac:dyDescent="0.25">
      <c r="H16515" t="s">
        <v>728</v>
      </c>
    </row>
    <row r="16516" spans="8:8" x14ac:dyDescent="0.25">
      <c r="H16516" t="s">
        <v>722</v>
      </c>
    </row>
    <row r="16517" spans="8:8" x14ac:dyDescent="0.25">
      <c r="H16517" t="s">
        <v>729</v>
      </c>
    </row>
    <row r="16519" spans="8:8" x14ac:dyDescent="0.25">
      <c r="H16519" t="s">
        <v>730</v>
      </c>
    </row>
    <row r="16520" spans="8:8" x14ac:dyDescent="0.25">
      <c r="H16520" t="s">
        <v>731</v>
      </c>
    </row>
    <row r="16521" spans="8:8" x14ac:dyDescent="0.25">
      <c r="H16521" t="s">
        <v>732</v>
      </c>
    </row>
    <row r="16523" spans="8:8" x14ac:dyDescent="0.25">
      <c r="H16523" t="s">
        <v>733</v>
      </c>
    </row>
    <row r="16524" spans="8:8" x14ac:dyDescent="0.25">
      <c r="H16524" t="s">
        <v>731</v>
      </c>
    </row>
    <row r="16525" spans="8:8" x14ac:dyDescent="0.25">
      <c r="H16525" t="s">
        <v>734</v>
      </c>
    </row>
    <row r="16527" spans="8:8" x14ac:dyDescent="0.25">
      <c r="H16527" t="s">
        <v>735</v>
      </c>
    </row>
    <row r="16528" spans="8:8" x14ac:dyDescent="0.25">
      <c r="H16528" t="s">
        <v>731</v>
      </c>
    </row>
    <row r="16529" spans="8:8" x14ac:dyDescent="0.25">
      <c r="H16529" t="s">
        <v>736</v>
      </c>
    </row>
    <row r="16531" spans="8:8" x14ac:dyDescent="0.25">
      <c r="H16531" t="s">
        <v>737</v>
      </c>
    </row>
    <row r="16532" spans="8:8" x14ac:dyDescent="0.25">
      <c r="H16532" t="s">
        <v>731</v>
      </c>
    </row>
    <row r="16533" spans="8:8" x14ac:dyDescent="0.25">
      <c r="H16533" t="s">
        <v>738</v>
      </c>
    </row>
    <row r="16535" spans="8:8" x14ac:dyDescent="0.25">
      <c r="H16535" t="s">
        <v>739</v>
      </c>
    </row>
    <row r="16536" spans="8:8" x14ac:dyDescent="0.25">
      <c r="H16536" t="s">
        <v>740</v>
      </c>
    </row>
    <row r="16537" spans="8:8" x14ac:dyDescent="0.25">
      <c r="H16537" t="s">
        <v>741</v>
      </c>
    </row>
    <row r="16539" spans="8:8" x14ac:dyDescent="0.25">
      <c r="H16539" t="s">
        <v>742</v>
      </c>
    </row>
    <row r="16540" spans="8:8" x14ac:dyDescent="0.25">
      <c r="H16540" t="s">
        <v>740</v>
      </c>
    </row>
    <row r="16541" spans="8:8" x14ac:dyDescent="0.25">
      <c r="H16541" t="s">
        <v>743</v>
      </c>
    </row>
    <row r="16543" spans="8:8" x14ac:dyDescent="0.25">
      <c r="H16543" t="s">
        <v>744</v>
      </c>
    </row>
    <row r="16544" spans="8:8" x14ac:dyDescent="0.25">
      <c r="H16544" t="s">
        <v>740</v>
      </c>
    </row>
    <row r="16545" spans="8:8" x14ac:dyDescent="0.25">
      <c r="H16545" t="s">
        <v>745</v>
      </c>
    </row>
    <row r="16547" spans="8:8" x14ac:dyDescent="0.25">
      <c r="H16547" t="s">
        <v>746</v>
      </c>
    </row>
    <row r="16548" spans="8:8" x14ac:dyDescent="0.25">
      <c r="H16548" t="s">
        <v>740</v>
      </c>
    </row>
    <row r="16549" spans="8:8" x14ac:dyDescent="0.25">
      <c r="H16549" t="s">
        <v>747</v>
      </c>
    </row>
    <row r="16551" spans="8:8" x14ac:dyDescent="0.25">
      <c r="H16551" t="s">
        <v>748</v>
      </c>
    </row>
    <row r="16552" spans="8:8" x14ac:dyDescent="0.25">
      <c r="H16552" t="s">
        <v>749</v>
      </c>
    </row>
    <row r="16553" spans="8:8" x14ac:dyDescent="0.25">
      <c r="H16553" t="s">
        <v>750</v>
      </c>
    </row>
    <row r="16555" spans="8:8" x14ac:dyDescent="0.25">
      <c r="H16555" t="s">
        <v>751</v>
      </c>
    </row>
    <row r="16556" spans="8:8" x14ac:dyDescent="0.25">
      <c r="H16556" t="s">
        <v>749</v>
      </c>
    </row>
    <row r="16557" spans="8:8" x14ac:dyDescent="0.25">
      <c r="H16557" t="s">
        <v>752</v>
      </c>
    </row>
    <row r="16559" spans="8:8" x14ac:dyDescent="0.25">
      <c r="H16559" t="s">
        <v>753</v>
      </c>
    </row>
    <row r="16560" spans="8:8" x14ac:dyDescent="0.25">
      <c r="H16560" t="s">
        <v>749</v>
      </c>
    </row>
    <row r="16561" spans="8:8" x14ac:dyDescent="0.25">
      <c r="H16561" t="s">
        <v>754</v>
      </c>
    </row>
    <row r="16563" spans="8:8" x14ac:dyDescent="0.25">
      <c r="H16563" t="s">
        <v>755</v>
      </c>
    </row>
    <row r="16564" spans="8:8" x14ac:dyDescent="0.25">
      <c r="H16564" t="s">
        <v>749</v>
      </c>
    </row>
    <row r="16565" spans="8:8" x14ac:dyDescent="0.25">
      <c r="H16565" t="s">
        <v>756</v>
      </c>
    </row>
    <row r="16567" spans="8:8" x14ac:dyDescent="0.25">
      <c r="H16567" t="s">
        <v>757</v>
      </c>
    </row>
    <row r="16568" spans="8:8" x14ac:dyDescent="0.25">
      <c r="H16568" t="s">
        <v>758</v>
      </c>
    </row>
    <row r="16569" spans="8:8" x14ac:dyDescent="0.25">
      <c r="H16569" t="s">
        <v>759</v>
      </c>
    </row>
    <row r="16571" spans="8:8" x14ac:dyDescent="0.25">
      <c r="H16571" t="s">
        <v>760</v>
      </c>
    </row>
    <row r="16572" spans="8:8" x14ac:dyDescent="0.25">
      <c r="H16572" t="s">
        <v>758</v>
      </c>
    </row>
    <row r="16573" spans="8:8" x14ac:dyDescent="0.25">
      <c r="H16573" t="s">
        <v>761</v>
      </c>
    </row>
    <row r="16575" spans="8:8" x14ac:dyDescent="0.25">
      <c r="H16575" t="s">
        <v>762</v>
      </c>
    </row>
    <row r="16576" spans="8:8" x14ac:dyDescent="0.25">
      <c r="H16576" t="s">
        <v>758</v>
      </c>
    </row>
    <row r="16577" spans="8:8" x14ac:dyDescent="0.25">
      <c r="H16577" t="s">
        <v>763</v>
      </c>
    </row>
    <row r="16579" spans="8:8" x14ac:dyDescent="0.25">
      <c r="H16579" t="s">
        <v>764</v>
      </c>
    </row>
    <row r="16580" spans="8:8" x14ac:dyDescent="0.25">
      <c r="H16580" t="s">
        <v>758</v>
      </c>
    </row>
    <row r="16581" spans="8:8" x14ac:dyDescent="0.25">
      <c r="H16581" t="s">
        <v>765</v>
      </c>
    </row>
    <row r="16583" spans="8:8" x14ac:dyDescent="0.25">
      <c r="H16583" t="s">
        <v>766</v>
      </c>
    </row>
    <row r="16584" spans="8:8" x14ac:dyDescent="0.25">
      <c r="H16584" t="s">
        <v>767</v>
      </c>
    </row>
    <row r="16585" spans="8:8" x14ac:dyDescent="0.25">
      <c r="H16585" t="s">
        <v>768</v>
      </c>
    </row>
    <row r="16587" spans="8:8" x14ac:dyDescent="0.25">
      <c r="H16587" t="s">
        <v>769</v>
      </c>
    </row>
    <row r="16588" spans="8:8" x14ac:dyDescent="0.25">
      <c r="H16588" t="s">
        <v>767</v>
      </c>
    </row>
    <row r="16589" spans="8:8" x14ac:dyDescent="0.25">
      <c r="H16589" t="s">
        <v>770</v>
      </c>
    </row>
    <row r="16591" spans="8:8" x14ac:dyDescent="0.25">
      <c r="H16591" t="s">
        <v>771</v>
      </c>
    </row>
    <row r="16592" spans="8:8" x14ac:dyDescent="0.25">
      <c r="H16592" t="s">
        <v>767</v>
      </c>
    </row>
    <row r="16593" spans="8:8" x14ac:dyDescent="0.25">
      <c r="H16593" t="s">
        <v>772</v>
      </c>
    </row>
    <row r="16595" spans="8:8" x14ac:dyDescent="0.25">
      <c r="H16595" t="s">
        <v>773</v>
      </c>
    </row>
    <row r="16596" spans="8:8" x14ac:dyDescent="0.25">
      <c r="H16596" t="s">
        <v>767</v>
      </c>
    </row>
    <row r="16597" spans="8:8" x14ac:dyDescent="0.25">
      <c r="H16597" t="s">
        <v>774</v>
      </c>
    </row>
    <row r="16599" spans="8:8" x14ac:dyDescent="0.25">
      <c r="H16599" t="s">
        <v>775</v>
      </c>
    </row>
    <row r="16600" spans="8:8" x14ac:dyDescent="0.25">
      <c r="H16600" t="s">
        <v>776</v>
      </c>
    </row>
    <row r="16601" spans="8:8" x14ac:dyDescent="0.25">
      <c r="H16601" t="s">
        <v>777</v>
      </c>
    </row>
    <row r="16603" spans="8:8" x14ac:dyDescent="0.25">
      <c r="H16603" t="s">
        <v>778</v>
      </c>
    </row>
    <row r="16604" spans="8:8" x14ac:dyDescent="0.25">
      <c r="H16604" t="s">
        <v>776</v>
      </c>
    </row>
    <row r="16605" spans="8:8" x14ac:dyDescent="0.25">
      <c r="H16605" t="s">
        <v>779</v>
      </c>
    </row>
    <row r="16607" spans="8:8" x14ac:dyDescent="0.25">
      <c r="H16607" t="s">
        <v>780</v>
      </c>
    </row>
    <row r="16608" spans="8:8" x14ac:dyDescent="0.25">
      <c r="H16608" t="s">
        <v>776</v>
      </c>
    </row>
    <row r="16609" spans="8:8" x14ac:dyDescent="0.25">
      <c r="H16609" t="s">
        <v>781</v>
      </c>
    </row>
    <row r="16611" spans="8:8" x14ac:dyDescent="0.25">
      <c r="H16611" t="s">
        <v>782</v>
      </c>
    </row>
    <row r="16612" spans="8:8" x14ac:dyDescent="0.25">
      <c r="H16612" t="s">
        <v>776</v>
      </c>
    </row>
    <row r="16613" spans="8:8" x14ac:dyDescent="0.25">
      <c r="H16613" t="s">
        <v>783</v>
      </c>
    </row>
    <row r="16615" spans="8:8" x14ac:dyDescent="0.25">
      <c r="H16615" t="s">
        <v>784</v>
      </c>
    </row>
    <row r="16616" spans="8:8" x14ac:dyDescent="0.25">
      <c r="H16616" t="s">
        <v>785</v>
      </c>
    </row>
    <row r="16617" spans="8:8" x14ac:dyDescent="0.25">
      <c r="H16617" t="s">
        <v>786</v>
      </c>
    </row>
    <row r="16619" spans="8:8" x14ac:dyDescent="0.25">
      <c r="H16619" t="s">
        <v>787</v>
      </c>
    </row>
    <row r="16620" spans="8:8" x14ac:dyDescent="0.25">
      <c r="H16620" t="s">
        <v>785</v>
      </c>
    </row>
    <row r="16621" spans="8:8" x14ac:dyDescent="0.25">
      <c r="H16621" t="s">
        <v>788</v>
      </c>
    </row>
    <row r="16623" spans="8:8" x14ac:dyDescent="0.25">
      <c r="H16623" t="s">
        <v>789</v>
      </c>
    </row>
    <row r="16624" spans="8:8" x14ac:dyDescent="0.25">
      <c r="H16624" t="s">
        <v>785</v>
      </c>
    </row>
    <row r="16625" spans="8:8" x14ac:dyDescent="0.25">
      <c r="H16625" t="s">
        <v>790</v>
      </c>
    </row>
    <row r="16627" spans="8:8" x14ac:dyDescent="0.25">
      <c r="H16627" t="s">
        <v>791</v>
      </c>
    </row>
    <row r="16628" spans="8:8" x14ac:dyDescent="0.25">
      <c r="H16628" t="s">
        <v>785</v>
      </c>
    </row>
    <row r="16629" spans="8:8" x14ac:dyDescent="0.25">
      <c r="H16629" t="s">
        <v>792</v>
      </c>
    </row>
    <row r="16631" spans="8:8" x14ac:dyDescent="0.25">
      <c r="H16631" t="s">
        <v>793</v>
      </c>
    </row>
    <row r="16632" spans="8:8" x14ac:dyDescent="0.25">
      <c r="H16632" t="s">
        <v>794</v>
      </c>
    </row>
    <row r="16633" spans="8:8" x14ac:dyDescent="0.25">
      <c r="H16633" t="s">
        <v>795</v>
      </c>
    </row>
    <row r="16635" spans="8:8" x14ac:dyDescent="0.25">
      <c r="H16635" t="s">
        <v>796</v>
      </c>
    </row>
    <row r="16636" spans="8:8" x14ac:dyDescent="0.25">
      <c r="H16636" t="s">
        <v>794</v>
      </c>
    </row>
    <row r="16637" spans="8:8" x14ac:dyDescent="0.25">
      <c r="H16637" t="s">
        <v>797</v>
      </c>
    </row>
    <row r="16639" spans="8:8" x14ac:dyDescent="0.25">
      <c r="H16639" t="s">
        <v>798</v>
      </c>
    </row>
    <row r="16640" spans="8:8" x14ac:dyDescent="0.25">
      <c r="H16640" t="s">
        <v>794</v>
      </c>
    </row>
    <row r="16641" spans="8:8" x14ac:dyDescent="0.25">
      <c r="H16641" t="s">
        <v>799</v>
      </c>
    </row>
    <row r="16643" spans="8:8" x14ac:dyDescent="0.25">
      <c r="H16643" t="s">
        <v>800</v>
      </c>
    </row>
    <row r="16644" spans="8:8" x14ac:dyDescent="0.25">
      <c r="H16644" t="s">
        <v>794</v>
      </c>
    </row>
    <row r="16645" spans="8:8" x14ac:dyDescent="0.25">
      <c r="H16645" t="s">
        <v>801</v>
      </c>
    </row>
    <row r="16647" spans="8:8" x14ac:dyDescent="0.25">
      <c r="H16647" t="s">
        <v>802</v>
      </c>
    </row>
    <row r="16648" spans="8:8" x14ac:dyDescent="0.25">
      <c r="H16648" t="s">
        <v>803</v>
      </c>
    </row>
    <row r="16649" spans="8:8" x14ac:dyDescent="0.25">
      <c r="H16649" t="s">
        <v>804</v>
      </c>
    </row>
    <row r="16651" spans="8:8" x14ac:dyDescent="0.25">
      <c r="H16651" t="s">
        <v>805</v>
      </c>
    </row>
    <row r="16652" spans="8:8" x14ac:dyDescent="0.25">
      <c r="H16652" t="s">
        <v>803</v>
      </c>
    </row>
    <row r="16653" spans="8:8" x14ac:dyDescent="0.25">
      <c r="H16653" t="s">
        <v>806</v>
      </c>
    </row>
    <row r="16655" spans="8:8" x14ac:dyDescent="0.25">
      <c r="H16655" t="s">
        <v>807</v>
      </c>
    </row>
    <row r="16656" spans="8:8" x14ac:dyDescent="0.25">
      <c r="H16656" t="s">
        <v>803</v>
      </c>
    </row>
    <row r="16657" spans="8:8" x14ac:dyDescent="0.25">
      <c r="H16657" t="s">
        <v>808</v>
      </c>
    </row>
    <row r="16659" spans="8:8" x14ac:dyDescent="0.25">
      <c r="H16659" t="s">
        <v>809</v>
      </c>
    </row>
    <row r="16660" spans="8:8" x14ac:dyDescent="0.25">
      <c r="H16660" t="s">
        <v>803</v>
      </c>
    </row>
    <row r="16661" spans="8:8" x14ac:dyDescent="0.25">
      <c r="H16661" t="s">
        <v>810</v>
      </c>
    </row>
    <row r="16663" spans="8:8" x14ac:dyDescent="0.25">
      <c r="H16663" t="s">
        <v>811</v>
      </c>
    </row>
    <row r="16664" spans="8:8" x14ac:dyDescent="0.25">
      <c r="H16664" t="s">
        <v>812</v>
      </c>
    </row>
    <row r="16665" spans="8:8" x14ac:dyDescent="0.25">
      <c r="H16665" t="s">
        <v>813</v>
      </c>
    </row>
    <row r="16667" spans="8:8" x14ac:dyDescent="0.25">
      <c r="H16667" t="s">
        <v>814</v>
      </c>
    </row>
    <row r="16668" spans="8:8" x14ac:dyDescent="0.25">
      <c r="H16668" t="s">
        <v>812</v>
      </c>
    </row>
    <row r="16669" spans="8:8" x14ac:dyDescent="0.25">
      <c r="H16669" t="s">
        <v>815</v>
      </c>
    </row>
    <row r="16671" spans="8:8" x14ac:dyDescent="0.25">
      <c r="H16671" t="s">
        <v>816</v>
      </c>
    </row>
    <row r="16672" spans="8:8" x14ac:dyDescent="0.25">
      <c r="H16672" t="s">
        <v>812</v>
      </c>
    </row>
    <row r="16673" spans="8:8" x14ac:dyDescent="0.25">
      <c r="H16673" t="s">
        <v>817</v>
      </c>
    </row>
    <row r="16675" spans="8:8" x14ac:dyDescent="0.25">
      <c r="H16675" t="s">
        <v>818</v>
      </c>
    </row>
    <row r="16676" spans="8:8" x14ac:dyDescent="0.25">
      <c r="H16676" t="s">
        <v>812</v>
      </c>
    </row>
    <row r="16677" spans="8:8" x14ac:dyDescent="0.25">
      <c r="H16677" t="s">
        <v>819</v>
      </c>
    </row>
    <row r="16679" spans="8:8" x14ac:dyDescent="0.25">
      <c r="H16679" t="s">
        <v>820</v>
      </c>
    </row>
    <row r="16680" spans="8:8" x14ac:dyDescent="0.25">
      <c r="H16680" t="s">
        <v>821</v>
      </c>
    </row>
    <row r="16681" spans="8:8" x14ac:dyDescent="0.25">
      <c r="H16681" t="s">
        <v>822</v>
      </c>
    </row>
    <row r="16683" spans="8:8" x14ac:dyDescent="0.25">
      <c r="H16683" t="s">
        <v>823</v>
      </c>
    </row>
    <row r="16684" spans="8:8" x14ac:dyDescent="0.25">
      <c r="H16684" t="s">
        <v>821</v>
      </c>
    </row>
    <row r="16685" spans="8:8" x14ac:dyDescent="0.25">
      <c r="H16685" t="s">
        <v>824</v>
      </c>
    </row>
    <row r="16687" spans="8:8" x14ac:dyDescent="0.25">
      <c r="H16687" t="s">
        <v>825</v>
      </c>
    </row>
    <row r="16688" spans="8:8" x14ac:dyDescent="0.25">
      <c r="H16688" t="s">
        <v>821</v>
      </c>
    </row>
    <row r="16689" spans="8:8" x14ac:dyDescent="0.25">
      <c r="H16689" t="s">
        <v>826</v>
      </c>
    </row>
    <row r="16691" spans="8:8" x14ac:dyDescent="0.25">
      <c r="H16691" t="s">
        <v>827</v>
      </c>
    </row>
    <row r="16692" spans="8:8" x14ac:dyDescent="0.25">
      <c r="H16692" t="s">
        <v>821</v>
      </c>
    </row>
    <row r="16693" spans="8:8" x14ac:dyDescent="0.25">
      <c r="H16693" t="s">
        <v>828</v>
      </c>
    </row>
    <row r="16695" spans="8:8" x14ac:dyDescent="0.25">
      <c r="H16695" t="s">
        <v>829</v>
      </c>
    </row>
    <row r="16696" spans="8:8" x14ac:dyDescent="0.25">
      <c r="H16696" t="s">
        <v>830</v>
      </c>
    </row>
    <row r="16697" spans="8:8" x14ac:dyDescent="0.25">
      <c r="H16697" t="s">
        <v>831</v>
      </c>
    </row>
    <row r="16699" spans="8:8" x14ac:dyDescent="0.25">
      <c r="H16699" t="s">
        <v>832</v>
      </c>
    </row>
    <row r="16700" spans="8:8" x14ac:dyDescent="0.25">
      <c r="H16700" t="s">
        <v>830</v>
      </c>
    </row>
    <row r="16701" spans="8:8" x14ac:dyDescent="0.25">
      <c r="H16701" t="s">
        <v>833</v>
      </c>
    </row>
    <row r="16703" spans="8:8" x14ac:dyDescent="0.25">
      <c r="H16703" t="s">
        <v>834</v>
      </c>
    </row>
    <row r="16704" spans="8:8" x14ac:dyDescent="0.25">
      <c r="H16704" t="s">
        <v>830</v>
      </c>
    </row>
    <row r="16705" spans="8:8" x14ac:dyDescent="0.25">
      <c r="H16705" t="s">
        <v>835</v>
      </c>
    </row>
    <row r="16707" spans="8:8" x14ac:dyDescent="0.25">
      <c r="H16707" t="s">
        <v>836</v>
      </c>
    </row>
    <row r="16708" spans="8:8" x14ac:dyDescent="0.25">
      <c r="H16708" t="s">
        <v>830</v>
      </c>
    </row>
    <row r="16709" spans="8:8" x14ac:dyDescent="0.25">
      <c r="H16709" t="s">
        <v>837</v>
      </c>
    </row>
    <row r="16711" spans="8:8" x14ac:dyDescent="0.25">
      <c r="H16711" t="s">
        <v>838</v>
      </c>
    </row>
    <row r="16712" spans="8:8" x14ac:dyDescent="0.25">
      <c r="H16712" t="s">
        <v>839</v>
      </c>
    </row>
    <row r="16713" spans="8:8" x14ac:dyDescent="0.25">
      <c r="H16713" t="s">
        <v>840</v>
      </c>
    </row>
    <row r="16715" spans="8:8" x14ac:dyDescent="0.25">
      <c r="H16715" t="s">
        <v>841</v>
      </c>
    </row>
    <row r="16716" spans="8:8" x14ac:dyDescent="0.25">
      <c r="H16716" t="s">
        <v>839</v>
      </c>
    </row>
    <row r="16717" spans="8:8" x14ac:dyDescent="0.25">
      <c r="H16717" t="s">
        <v>842</v>
      </c>
    </row>
    <row r="16719" spans="8:8" x14ac:dyDescent="0.25">
      <c r="H16719" t="s">
        <v>843</v>
      </c>
    </row>
    <row r="16720" spans="8:8" x14ac:dyDescent="0.25">
      <c r="H16720" t="s">
        <v>839</v>
      </c>
    </row>
    <row r="16721" spans="8:8" x14ac:dyDescent="0.25">
      <c r="H16721" t="s">
        <v>844</v>
      </c>
    </row>
    <row r="16723" spans="8:8" x14ac:dyDescent="0.25">
      <c r="H16723" t="s">
        <v>845</v>
      </c>
    </row>
    <row r="16724" spans="8:8" x14ac:dyDescent="0.25">
      <c r="H16724" t="s">
        <v>839</v>
      </c>
    </row>
    <row r="16725" spans="8:8" x14ac:dyDescent="0.25">
      <c r="H16725" t="s">
        <v>846</v>
      </c>
    </row>
    <row r="16727" spans="8:8" x14ac:dyDescent="0.25">
      <c r="H16727" t="s">
        <v>169</v>
      </c>
    </row>
    <row r="16728" spans="8:8" x14ac:dyDescent="0.25">
      <c r="H16728" t="s">
        <v>847</v>
      </c>
    </row>
    <row r="16729" spans="8:8" x14ac:dyDescent="0.25">
      <c r="H16729" t="s">
        <v>848</v>
      </c>
    </row>
    <row r="16731" spans="8:8" x14ac:dyDescent="0.25">
      <c r="H16731" t="s">
        <v>170</v>
      </c>
    </row>
    <row r="16732" spans="8:8" x14ac:dyDescent="0.25">
      <c r="H16732" t="s">
        <v>849</v>
      </c>
    </row>
    <row r="16733" spans="8:8" x14ac:dyDescent="0.25">
      <c r="H16733" t="s">
        <v>850</v>
      </c>
    </row>
    <row r="16734" spans="8:8" x14ac:dyDescent="0.25">
      <c r="H16734" t="s">
        <v>851</v>
      </c>
    </row>
    <row r="16735" spans="8:8" x14ac:dyDescent="0.25">
      <c r="H16735" t="s">
        <v>852</v>
      </c>
    </row>
    <row r="16736" spans="8:8" x14ac:dyDescent="0.25">
      <c r="H16736" t="s">
        <v>853</v>
      </c>
    </row>
    <row r="16737" spans="8:8" x14ac:dyDescent="0.25">
      <c r="H16737" t="s">
        <v>854</v>
      </c>
    </row>
    <row r="16738" spans="8:8" x14ac:dyDescent="0.25">
      <c r="H16738" t="s">
        <v>855</v>
      </c>
    </row>
    <row r="16739" spans="8:8" x14ac:dyDescent="0.25">
      <c r="H16739" t="s">
        <v>856</v>
      </c>
    </row>
    <row r="16740" spans="8:8" x14ac:dyDescent="0.25">
      <c r="H16740" t="s">
        <v>857</v>
      </c>
    </row>
    <row r="16741" spans="8:8" x14ac:dyDescent="0.25">
      <c r="H16741" t="s">
        <v>858</v>
      </c>
    </row>
    <row r="16742" spans="8:8" x14ac:dyDescent="0.25">
      <c r="H16742" t="s">
        <v>859</v>
      </c>
    </row>
    <row r="16743" spans="8:8" x14ac:dyDescent="0.25">
      <c r="H16743" t="s">
        <v>860</v>
      </c>
    </row>
    <row r="16745" spans="8:8" x14ac:dyDescent="0.25">
      <c r="H16745" t="s">
        <v>171</v>
      </c>
    </row>
    <row r="16746" spans="8:8" x14ac:dyDescent="0.25">
      <c r="H16746" t="s">
        <v>861</v>
      </c>
    </row>
    <row r="16747" spans="8:8" x14ac:dyDescent="0.25">
      <c r="H16747" t="s">
        <v>862</v>
      </c>
    </row>
    <row r="16748" spans="8:8" x14ac:dyDescent="0.25">
      <c r="H16748" t="s">
        <v>863</v>
      </c>
    </row>
    <row r="16749" spans="8:8" x14ac:dyDescent="0.25">
      <c r="H16749" t="s">
        <v>864</v>
      </c>
    </row>
    <row r="16750" spans="8:8" x14ac:dyDescent="0.25">
      <c r="H16750" t="s">
        <v>865</v>
      </c>
    </row>
    <row r="16751" spans="8:8" x14ac:dyDescent="0.25">
      <c r="H16751" t="s">
        <v>866</v>
      </c>
    </row>
    <row r="16752" spans="8:8" x14ac:dyDescent="0.25">
      <c r="H16752" t="s">
        <v>867</v>
      </c>
    </row>
    <row r="16753" spans="8:8" x14ac:dyDescent="0.25">
      <c r="H16753" t="s">
        <v>868</v>
      </c>
    </row>
    <row r="16754" spans="8:8" x14ac:dyDescent="0.25">
      <c r="H16754" t="s">
        <v>869</v>
      </c>
    </row>
    <row r="16755" spans="8:8" x14ac:dyDescent="0.25">
      <c r="H16755" t="s">
        <v>870</v>
      </c>
    </row>
    <row r="16756" spans="8:8" x14ac:dyDescent="0.25">
      <c r="H16756" t="s">
        <v>871</v>
      </c>
    </row>
    <row r="16757" spans="8:8" x14ac:dyDescent="0.25">
      <c r="H16757" t="s">
        <v>872</v>
      </c>
    </row>
    <row r="16758" spans="8:8" x14ac:dyDescent="0.25">
      <c r="H16758" t="s">
        <v>873</v>
      </c>
    </row>
    <row r="16759" spans="8:8" x14ac:dyDescent="0.25">
      <c r="H16759" t="s">
        <v>874</v>
      </c>
    </row>
    <row r="16760" spans="8:8" x14ac:dyDescent="0.25">
      <c r="H16760" t="s">
        <v>875</v>
      </c>
    </row>
    <row r="16761" spans="8:8" x14ac:dyDescent="0.25">
      <c r="H16761" t="s">
        <v>876</v>
      </c>
    </row>
    <row r="16763" spans="8:8" x14ac:dyDescent="0.25">
      <c r="H16763" t="s">
        <v>172</v>
      </c>
    </row>
    <row r="16764" spans="8:8" x14ac:dyDescent="0.25">
      <c r="H16764" t="s">
        <v>877</v>
      </c>
    </row>
    <row r="16765" spans="8:8" x14ac:dyDescent="0.25">
      <c r="H16765" t="s">
        <v>878</v>
      </c>
    </row>
    <row r="16767" spans="8:8" x14ac:dyDescent="0.25">
      <c r="H16767" t="s">
        <v>173</v>
      </c>
    </row>
    <row r="16768" spans="8:8" x14ac:dyDescent="0.25">
      <c r="H16768" t="s">
        <v>877</v>
      </c>
    </row>
    <row r="16769" spans="8:8" x14ac:dyDescent="0.25">
      <c r="H16769" t="s">
        <v>879</v>
      </c>
    </row>
    <row r="16771" spans="8:8" x14ac:dyDescent="0.25">
      <c r="H16771" t="s">
        <v>174</v>
      </c>
    </row>
    <row r="16772" spans="8:8" x14ac:dyDescent="0.25">
      <c r="H16772" t="s">
        <v>877</v>
      </c>
    </row>
    <row r="16773" spans="8:8" x14ac:dyDescent="0.25">
      <c r="H16773" t="s">
        <v>880</v>
      </c>
    </row>
    <row r="16775" spans="8:8" x14ac:dyDescent="0.25">
      <c r="H16775" t="s">
        <v>175</v>
      </c>
    </row>
    <row r="16776" spans="8:8" x14ac:dyDescent="0.25">
      <c r="H16776" t="s">
        <v>877</v>
      </c>
    </row>
    <row r="16777" spans="8:8" x14ac:dyDescent="0.25">
      <c r="H16777" t="s">
        <v>881</v>
      </c>
    </row>
    <row r="16779" spans="8:8" x14ac:dyDescent="0.25">
      <c r="H16779" t="s">
        <v>176</v>
      </c>
    </row>
    <row r="16780" spans="8:8" x14ac:dyDescent="0.25">
      <c r="H16780" t="s">
        <v>882</v>
      </c>
    </row>
    <row r="16781" spans="8:8" x14ac:dyDescent="0.25">
      <c r="H16781" t="s">
        <v>883</v>
      </c>
    </row>
    <row r="16783" spans="8:8" x14ac:dyDescent="0.25">
      <c r="H16783" t="s">
        <v>177</v>
      </c>
    </row>
    <row r="16784" spans="8:8" x14ac:dyDescent="0.25">
      <c r="H16784" t="s">
        <v>882</v>
      </c>
    </row>
    <row r="16785" spans="8:8" x14ac:dyDescent="0.25">
      <c r="H16785" t="s">
        <v>884</v>
      </c>
    </row>
    <row r="16787" spans="8:8" x14ac:dyDescent="0.25">
      <c r="H16787" t="s">
        <v>178</v>
      </c>
    </row>
    <row r="16788" spans="8:8" x14ac:dyDescent="0.25">
      <c r="H16788" t="s">
        <v>882</v>
      </c>
    </row>
    <row r="16789" spans="8:8" x14ac:dyDescent="0.25">
      <c r="H16789" t="s">
        <v>885</v>
      </c>
    </row>
    <row r="16791" spans="8:8" x14ac:dyDescent="0.25">
      <c r="H16791" t="s">
        <v>179</v>
      </c>
    </row>
    <row r="16792" spans="8:8" x14ac:dyDescent="0.25">
      <c r="H16792" t="s">
        <v>882</v>
      </c>
    </row>
    <row r="16793" spans="8:8" x14ac:dyDescent="0.25">
      <c r="H16793" t="s">
        <v>886</v>
      </c>
    </row>
    <row r="16795" spans="8:8" x14ac:dyDescent="0.25">
      <c r="H16795" t="s">
        <v>180</v>
      </c>
    </row>
    <row r="16796" spans="8:8" x14ac:dyDescent="0.25">
      <c r="H16796" t="s">
        <v>887</v>
      </c>
    </row>
    <row r="16797" spans="8:8" x14ac:dyDescent="0.25">
      <c r="H16797" t="s">
        <v>888</v>
      </c>
    </row>
    <row r="16798" spans="8:8" x14ac:dyDescent="0.25">
      <c r="H16798" t="s">
        <v>889</v>
      </c>
    </row>
    <row r="16799" spans="8:8" x14ac:dyDescent="0.25">
      <c r="H16799" t="s">
        <v>890</v>
      </c>
    </row>
    <row r="16800" spans="8:8" x14ac:dyDescent="0.25">
      <c r="H16800" t="s">
        <v>891</v>
      </c>
    </row>
    <row r="16801" spans="8:8" x14ac:dyDescent="0.25">
      <c r="H16801" t="s">
        <v>892</v>
      </c>
    </row>
    <row r="16802" spans="8:8" x14ac:dyDescent="0.25">
      <c r="H16802" t="s">
        <v>893</v>
      </c>
    </row>
    <row r="16803" spans="8:8" x14ac:dyDescent="0.25">
      <c r="H16803" t="s">
        <v>1666</v>
      </c>
    </row>
    <row r="16805" spans="8:8" x14ac:dyDescent="0.25">
      <c r="H16805" t="s">
        <v>181</v>
      </c>
    </row>
    <row r="16806" spans="8:8" x14ac:dyDescent="0.25">
      <c r="H16806" t="s">
        <v>894</v>
      </c>
    </row>
    <row r="16807" spans="8:8" x14ac:dyDescent="0.25">
      <c r="H16807" t="s">
        <v>895</v>
      </c>
    </row>
    <row r="16809" spans="8:8" x14ac:dyDescent="0.25">
      <c r="H16809" t="s">
        <v>182</v>
      </c>
    </row>
    <row r="16810" spans="8:8" x14ac:dyDescent="0.25">
      <c r="H16810" t="s">
        <v>894</v>
      </c>
    </row>
    <row r="16811" spans="8:8" x14ac:dyDescent="0.25">
      <c r="H16811" t="s">
        <v>896</v>
      </c>
    </row>
    <row r="16813" spans="8:8" x14ac:dyDescent="0.25">
      <c r="H16813" t="s">
        <v>183</v>
      </c>
    </row>
    <row r="16814" spans="8:8" x14ac:dyDescent="0.25">
      <c r="H16814" t="s">
        <v>894</v>
      </c>
    </row>
    <row r="16815" spans="8:8" x14ac:dyDescent="0.25">
      <c r="H16815" t="s">
        <v>897</v>
      </c>
    </row>
    <row r="16817" spans="8:8" x14ac:dyDescent="0.25">
      <c r="H16817" t="s">
        <v>898</v>
      </c>
    </row>
    <row r="16818" spans="8:8" x14ac:dyDescent="0.25">
      <c r="H16818" t="s">
        <v>899</v>
      </c>
    </row>
    <row r="16819" spans="8:8" x14ac:dyDescent="0.25">
      <c r="H16819" t="s">
        <v>900</v>
      </c>
    </row>
    <row r="16820" spans="8:8" x14ac:dyDescent="0.25">
      <c r="H16820" t="s">
        <v>901</v>
      </c>
    </row>
    <row r="16821" spans="8:8" x14ac:dyDescent="0.25">
      <c r="H16821" t="s">
        <v>902</v>
      </c>
    </row>
    <row r="16822" spans="8:8" x14ac:dyDescent="0.25">
      <c r="H16822" t="s">
        <v>903</v>
      </c>
    </row>
    <row r="16823" spans="8:8" x14ac:dyDescent="0.25">
      <c r="H16823" t="s">
        <v>904</v>
      </c>
    </row>
    <row r="16824" spans="8:8" x14ac:dyDescent="0.25">
      <c r="H16824" t="s">
        <v>905</v>
      </c>
    </row>
    <row r="16825" spans="8:8" x14ac:dyDescent="0.25">
      <c r="H16825" t="s">
        <v>1667</v>
      </c>
    </row>
    <row r="16827" spans="8:8" x14ac:dyDescent="0.25">
      <c r="H16827" t="s">
        <v>906</v>
      </c>
    </row>
    <row r="16828" spans="8:8" x14ac:dyDescent="0.25">
      <c r="H16828" t="s">
        <v>907</v>
      </c>
    </row>
    <row r="16829" spans="8:8" x14ac:dyDescent="0.25">
      <c r="H16829" t="s">
        <v>908</v>
      </c>
    </row>
    <row r="16831" spans="8:8" x14ac:dyDescent="0.25">
      <c r="H16831" t="s">
        <v>184</v>
      </c>
    </row>
    <row r="16832" spans="8:8" x14ac:dyDescent="0.25">
      <c r="H16832" t="s">
        <v>907</v>
      </c>
    </row>
    <row r="16833" spans="8:8" x14ac:dyDescent="0.25">
      <c r="H16833" t="s">
        <v>909</v>
      </c>
    </row>
    <row r="16835" spans="8:8" x14ac:dyDescent="0.25">
      <c r="H16835" t="s">
        <v>185</v>
      </c>
    </row>
    <row r="16836" spans="8:8" x14ac:dyDescent="0.25">
      <c r="H16836" t="s">
        <v>907</v>
      </c>
    </row>
    <row r="16837" spans="8:8" x14ac:dyDescent="0.25">
      <c r="H16837" t="s">
        <v>910</v>
      </c>
    </row>
    <row r="16839" spans="8:8" x14ac:dyDescent="0.25">
      <c r="H16839" t="s">
        <v>911</v>
      </c>
    </row>
    <row r="16840" spans="8:8" x14ac:dyDescent="0.25">
      <c r="H16840" t="s">
        <v>912</v>
      </c>
    </row>
    <row r="16841" spans="8:8" x14ac:dyDescent="0.25">
      <c r="H16841" t="s">
        <v>913</v>
      </c>
    </row>
    <row r="16842" spans="8:8" x14ac:dyDescent="0.25">
      <c r="H16842" t="s">
        <v>914</v>
      </c>
    </row>
    <row r="16843" spans="8:8" x14ac:dyDescent="0.25">
      <c r="H16843" t="s">
        <v>915</v>
      </c>
    </row>
    <row r="16844" spans="8:8" x14ac:dyDescent="0.25">
      <c r="H16844" t="s">
        <v>916</v>
      </c>
    </row>
    <row r="16845" spans="8:8" x14ac:dyDescent="0.25">
      <c r="H16845" t="s">
        <v>917</v>
      </c>
    </row>
    <row r="16846" spans="8:8" x14ac:dyDescent="0.25">
      <c r="H16846" t="s">
        <v>918</v>
      </c>
    </row>
    <row r="16847" spans="8:8" x14ac:dyDescent="0.25">
      <c r="H16847" t="s">
        <v>1668</v>
      </c>
    </row>
    <row r="16849" spans="8:8" x14ac:dyDescent="0.25">
      <c r="H16849" t="s">
        <v>919</v>
      </c>
    </row>
    <row r="16850" spans="8:8" x14ac:dyDescent="0.25">
      <c r="H16850" t="s">
        <v>920</v>
      </c>
    </row>
    <row r="16851" spans="8:8" x14ac:dyDescent="0.25">
      <c r="H16851" t="s">
        <v>921</v>
      </c>
    </row>
    <row r="16853" spans="8:8" x14ac:dyDescent="0.25">
      <c r="H16853" t="s">
        <v>922</v>
      </c>
    </row>
    <row r="16854" spans="8:8" x14ac:dyDescent="0.25">
      <c r="H16854" t="s">
        <v>920</v>
      </c>
    </row>
    <row r="16855" spans="8:8" x14ac:dyDescent="0.25">
      <c r="H16855" t="s">
        <v>923</v>
      </c>
    </row>
    <row r="16857" spans="8:8" x14ac:dyDescent="0.25">
      <c r="H16857" t="s">
        <v>924</v>
      </c>
    </row>
    <row r="16858" spans="8:8" x14ac:dyDescent="0.25">
      <c r="H16858" t="s">
        <v>920</v>
      </c>
    </row>
    <row r="16859" spans="8:8" x14ac:dyDescent="0.25">
      <c r="H16859" t="s">
        <v>925</v>
      </c>
    </row>
    <row r="16861" spans="8:8" x14ac:dyDescent="0.25">
      <c r="H16861" t="s">
        <v>926</v>
      </c>
    </row>
    <row r="16862" spans="8:8" x14ac:dyDescent="0.25">
      <c r="H16862" t="s">
        <v>927</v>
      </c>
    </row>
    <row r="16863" spans="8:8" x14ac:dyDescent="0.25">
      <c r="H16863" t="s">
        <v>928</v>
      </c>
    </row>
    <row r="16864" spans="8:8" x14ac:dyDescent="0.25">
      <c r="H16864" t="s">
        <v>929</v>
      </c>
    </row>
    <row r="16865" spans="8:8" x14ac:dyDescent="0.25">
      <c r="H16865" t="s">
        <v>930</v>
      </c>
    </row>
    <row r="16866" spans="8:8" x14ac:dyDescent="0.25">
      <c r="H16866" t="s">
        <v>931</v>
      </c>
    </row>
    <row r="16867" spans="8:8" x14ac:dyDescent="0.25">
      <c r="H16867" t="s">
        <v>932</v>
      </c>
    </row>
    <row r="16868" spans="8:8" x14ac:dyDescent="0.25">
      <c r="H16868" t="s">
        <v>933</v>
      </c>
    </row>
    <row r="16869" spans="8:8" x14ac:dyDescent="0.25">
      <c r="H16869" t="s">
        <v>1669</v>
      </c>
    </row>
    <row r="16871" spans="8:8" x14ac:dyDescent="0.25">
      <c r="H16871" t="s">
        <v>934</v>
      </c>
    </row>
    <row r="16872" spans="8:8" x14ac:dyDescent="0.25">
      <c r="H16872" t="s">
        <v>935</v>
      </c>
    </row>
    <row r="16873" spans="8:8" x14ac:dyDescent="0.25">
      <c r="H16873" t="s">
        <v>936</v>
      </c>
    </row>
    <row r="16875" spans="8:8" x14ac:dyDescent="0.25">
      <c r="H16875" t="s">
        <v>937</v>
      </c>
    </row>
    <row r="16876" spans="8:8" x14ac:dyDescent="0.25">
      <c r="H16876" t="s">
        <v>935</v>
      </c>
    </row>
    <row r="16877" spans="8:8" x14ac:dyDescent="0.25">
      <c r="H16877" t="s">
        <v>938</v>
      </c>
    </row>
    <row r="16879" spans="8:8" x14ac:dyDescent="0.25">
      <c r="H16879" t="s">
        <v>939</v>
      </c>
    </row>
    <row r="16880" spans="8:8" x14ac:dyDescent="0.25">
      <c r="H16880" t="s">
        <v>935</v>
      </c>
    </row>
    <row r="16881" spans="8:8" x14ac:dyDescent="0.25">
      <c r="H16881" t="s">
        <v>940</v>
      </c>
    </row>
    <row r="16883" spans="8:8" x14ac:dyDescent="0.25">
      <c r="H16883" t="s">
        <v>941</v>
      </c>
    </row>
    <row r="16884" spans="8:8" x14ac:dyDescent="0.25">
      <c r="H16884" t="s">
        <v>942</v>
      </c>
    </row>
    <row r="16885" spans="8:8" x14ac:dyDescent="0.25">
      <c r="H16885" t="s">
        <v>943</v>
      </c>
    </row>
    <row r="16886" spans="8:8" x14ac:dyDescent="0.25">
      <c r="H16886" t="s">
        <v>944</v>
      </c>
    </row>
    <row r="16887" spans="8:8" x14ac:dyDescent="0.25">
      <c r="H16887" t="s">
        <v>945</v>
      </c>
    </row>
    <row r="16888" spans="8:8" x14ac:dyDescent="0.25">
      <c r="H16888" t="s">
        <v>946</v>
      </c>
    </row>
    <row r="16889" spans="8:8" x14ac:dyDescent="0.25">
      <c r="H16889" t="s">
        <v>947</v>
      </c>
    </row>
    <row r="16890" spans="8:8" x14ac:dyDescent="0.25">
      <c r="H16890" t="s">
        <v>948</v>
      </c>
    </row>
    <row r="16891" spans="8:8" x14ac:dyDescent="0.25">
      <c r="H16891" t="s">
        <v>1670</v>
      </c>
    </row>
    <row r="16893" spans="8:8" x14ac:dyDescent="0.25">
      <c r="H16893" t="s">
        <v>949</v>
      </c>
    </row>
    <row r="16894" spans="8:8" x14ac:dyDescent="0.25">
      <c r="H16894" t="s">
        <v>950</v>
      </c>
    </row>
    <row r="16895" spans="8:8" x14ac:dyDescent="0.25">
      <c r="H16895" t="s">
        <v>951</v>
      </c>
    </row>
    <row r="16897" spans="8:8" x14ac:dyDescent="0.25">
      <c r="H16897" t="s">
        <v>952</v>
      </c>
    </row>
    <row r="16898" spans="8:8" x14ac:dyDescent="0.25">
      <c r="H16898" t="s">
        <v>950</v>
      </c>
    </row>
    <row r="16899" spans="8:8" x14ac:dyDescent="0.25">
      <c r="H16899" t="s">
        <v>953</v>
      </c>
    </row>
    <row r="16901" spans="8:8" x14ac:dyDescent="0.25">
      <c r="H16901" t="s">
        <v>954</v>
      </c>
    </row>
    <row r="16902" spans="8:8" x14ac:dyDescent="0.25">
      <c r="H16902" t="s">
        <v>950</v>
      </c>
    </row>
    <row r="16903" spans="8:8" x14ac:dyDescent="0.25">
      <c r="H16903" t="s">
        <v>955</v>
      </c>
    </row>
    <row r="16905" spans="8:8" x14ac:dyDescent="0.25">
      <c r="H16905" t="s">
        <v>956</v>
      </c>
    </row>
    <row r="16906" spans="8:8" x14ac:dyDescent="0.25">
      <c r="H16906" t="s">
        <v>957</v>
      </c>
    </row>
    <row r="16907" spans="8:8" x14ac:dyDescent="0.25">
      <c r="H16907" t="s">
        <v>958</v>
      </c>
    </row>
    <row r="16908" spans="8:8" x14ac:dyDescent="0.25">
      <c r="H16908" t="s">
        <v>959</v>
      </c>
    </row>
    <row r="16909" spans="8:8" x14ac:dyDescent="0.25">
      <c r="H16909" t="s">
        <v>960</v>
      </c>
    </row>
    <row r="16910" spans="8:8" x14ac:dyDescent="0.25">
      <c r="H16910" t="s">
        <v>961</v>
      </c>
    </row>
    <row r="16911" spans="8:8" x14ac:dyDescent="0.25">
      <c r="H16911" t="s">
        <v>962</v>
      </c>
    </row>
    <row r="16912" spans="8:8" x14ac:dyDescent="0.25">
      <c r="H16912" t="s">
        <v>963</v>
      </c>
    </row>
    <row r="16913" spans="8:8" x14ac:dyDescent="0.25">
      <c r="H16913" t="s">
        <v>1671</v>
      </c>
    </row>
    <row r="16915" spans="8:8" x14ac:dyDescent="0.25">
      <c r="H16915" t="s">
        <v>964</v>
      </c>
    </row>
    <row r="16916" spans="8:8" x14ac:dyDescent="0.25">
      <c r="H16916" t="s">
        <v>965</v>
      </c>
    </row>
    <row r="16917" spans="8:8" x14ac:dyDescent="0.25">
      <c r="H16917" t="s">
        <v>966</v>
      </c>
    </row>
    <row r="16919" spans="8:8" x14ac:dyDescent="0.25">
      <c r="H16919" t="s">
        <v>967</v>
      </c>
    </row>
    <row r="16920" spans="8:8" x14ac:dyDescent="0.25">
      <c r="H16920" t="s">
        <v>965</v>
      </c>
    </row>
    <row r="16921" spans="8:8" x14ac:dyDescent="0.25">
      <c r="H16921" t="s">
        <v>968</v>
      </c>
    </row>
    <row r="16923" spans="8:8" x14ac:dyDescent="0.25">
      <c r="H16923" t="s">
        <v>969</v>
      </c>
    </row>
    <row r="16924" spans="8:8" x14ac:dyDescent="0.25">
      <c r="H16924" t="s">
        <v>965</v>
      </c>
    </row>
    <row r="16925" spans="8:8" x14ac:dyDescent="0.25">
      <c r="H16925" t="s">
        <v>970</v>
      </c>
    </row>
    <row r="16927" spans="8:8" x14ac:dyDescent="0.25">
      <c r="H16927" t="s">
        <v>971</v>
      </c>
    </row>
    <row r="16928" spans="8:8" x14ac:dyDescent="0.25">
      <c r="H16928" t="s">
        <v>972</v>
      </c>
    </row>
    <row r="16929" spans="8:8" x14ac:dyDescent="0.25">
      <c r="H16929" t="s">
        <v>973</v>
      </c>
    </row>
    <row r="16930" spans="8:8" x14ac:dyDescent="0.25">
      <c r="H16930" t="s">
        <v>974</v>
      </c>
    </row>
    <row r="16931" spans="8:8" x14ac:dyDescent="0.25">
      <c r="H16931" t="s">
        <v>975</v>
      </c>
    </row>
    <row r="16932" spans="8:8" x14ac:dyDescent="0.25">
      <c r="H16932" t="s">
        <v>976</v>
      </c>
    </row>
    <row r="16933" spans="8:8" x14ac:dyDescent="0.25">
      <c r="H16933" t="s">
        <v>977</v>
      </c>
    </row>
    <row r="16934" spans="8:8" x14ac:dyDescent="0.25">
      <c r="H16934" t="s">
        <v>978</v>
      </c>
    </row>
    <row r="16935" spans="8:8" x14ac:dyDescent="0.25">
      <c r="H16935" t="s">
        <v>1672</v>
      </c>
    </row>
    <row r="16937" spans="8:8" x14ac:dyDescent="0.25">
      <c r="H16937" t="s">
        <v>979</v>
      </c>
    </row>
    <row r="16938" spans="8:8" x14ac:dyDescent="0.25">
      <c r="H16938" t="s">
        <v>980</v>
      </c>
    </row>
    <row r="16939" spans="8:8" x14ac:dyDescent="0.25">
      <c r="H16939" t="s">
        <v>981</v>
      </c>
    </row>
    <row r="16941" spans="8:8" x14ac:dyDescent="0.25">
      <c r="H16941" t="s">
        <v>982</v>
      </c>
    </row>
    <row r="16942" spans="8:8" x14ac:dyDescent="0.25">
      <c r="H16942" t="s">
        <v>980</v>
      </c>
    </row>
    <row r="16943" spans="8:8" x14ac:dyDescent="0.25">
      <c r="H16943" t="s">
        <v>983</v>
      </c>
    </row>
    <row r="16945" spans="8:8" x14ac:dyDescent="0.25">
      <c r="H16945" t="s">
        <v>984</v>
      </c>
    </row>
    <row r="16946" spans="8:8" x14ac:dyDescent="0.25">
      <c r="H16946" t="s">
        <v>980</v>
      </c>
    </row>
    <row r="16947" spans="8:8" x14ac:dyDescent="0.25">
      <c r="H16947" t="s">
        <v>985</v>
      </c>
    </row>
    <row r="16949" spans="8:8" x14ac:dyDescent="0.25">
      <c r="H16949" t="s">
        <v>986</v>
      </c>
    </row>
    <row r="16950" spans="8:8" x14ac:dyDescent="0.25">
      <c r="H16950" t="s">
        <v>987</v>
      </c>
    </row>
    <row r="16951" spans="8:8" x14ac:dyDescent="0.25">
      <c r="H16951" t="s">
        <v>988</v>
      </c>
    </row>
    <row r="16952" spans="8:8" x14ac:dyDescent="0.25">
      <c r="H16952" t="s">
        <v>989</v>
      </c>
    </row>
    <row r="16953" spans="8:8" x14ac:dyDescent="0.25">
      <c r="H16953" t="s">
        <v>990</v>
      </c>
    </row>
    <row r="16954" spans="8:8" x14ac:dyDescent="0.25">
      <c r="H16954" t="s">
        <v>991</v>
      </c>
    </row>
    <row r="16955" spans="8:8" x14ac:dyDescent="0.25">
      <c r="H16955" t="s">
        <v>992</v>
      </c>
    </row>
    <row r="16956" spans="8:8" x14ac:dyDescent="0.25">
      <c r="H16956" t="s">
        <v>993</v>
      </c>
    </row>
    <row r="16957" spans="8:8" x14ac:dyDescent="0.25">
      <c r="H16957" t="s">
        <v>1673</v>
      </c>
    </row>
    <row r="16959" spans="8:8" x14ac:dyDescent="0.25">
      <c r="H16959" t="s">
        <v>994</v>
      </c>
    </row>
    <row r="16960" spans="8:8" x14ac:dyDescent="0.25">
      <c r="H16960" t="s">
        <v>995</v>
      </c>
    </row>
    <row r="16961" spans="8:8" x14ac:dyDescent="0.25">
      <c r="H16961" t="s">
        <v>996</v>
      </c>
    </row>
    <row r="16963" spans="8:8" x14ac:dyDescent="0.25">
      <c r="H16963" t="s">
        <v>997</v>
      </c>
    </row>
    <row r="16964" spans="8:8" x14ac:dyDescent="0.25">
      <c r="H16964" t="s">
        <v>995</v>
      </c>
    </row>
    <row r="16965" spans="8:8" x14ac:dyDescent="0.25">
      <c r="H16965" t="s">
        <v>998</v>
      </c>
    </row>
    <row r="16967" spans="8:8" x14ac:dyDescent="0.25">
      <c r="H16967" t="s">
        <v>999</v>
      </c>
    </row>
    <row r="16968" spans="8:8" x14ac:dyDescent="0.25">
      <c r="H16968" t="s">
        <v>995</v>
      </c>
    </row>
    <row r="16969" spans="8:8" x14ac:dyDescent="0.25">
      <c r="H16969" t="s">
        <v>1000</v>
      </c>
    </row>
    <row r="16971" spans="8:8" x14ac:dyDescent="0.25">
      <c r="H16971" t="s">
        <v>1001</v>
      </c>
    </row>
    <row r="16972" spans="8:8" x14ac:dyDescent="0.25">
      <c r="H16972" t="s">
        <v>1002</v>
      </c>
    </row>
    <row r="16973" spans="8:8" x14ac:dyDescent="0.25">
      <c r="H16973" t="s">
        <v>1003</v>
      </c>
    </row>
    <row r="16974" spans="8:8" x14ac:dyDescent="0.25">
      <c r="H16974" t="s">
        <v>1004</v>
      </c>
    </row>
    <row r="16975" spans="8:8" x14ac:dyDescent="0.25">
      <c r="H16975" t="s">
        <v>1005</v>
      </c>
    </row>
    <row r="16976" spans="8:8" x14ac:dyDescent="0.25">
      <c r="H16976" t="s">
        <v>1006</v>
      </c>
    </row>
    <row r="16977" spans="8:8" x14ac:dyDescent="0.25">
      <c r="H16977" t="s">
        <v>1007</v>
      </c>
    </row>
    <row r="16978" spans="8:8" x14ac:dyDescent="0.25">
      <c r="H16978" t="s">
        <v>1008</v>
      </c>
    </row>
    <row r="16979" spans="8:8" x14ac:dyDescent="0.25">
      <c r="H16979" t="s">
        <v>1674</v>
      </c>
    </row>
    <row r="16981" spans="8:8" x14ac:dyDescent="0.25">
      <c r="H16981" t="s">
        <v>1009</v>
      </c>
    </row>
    <row r="16982" spans="8:8" x14ac:dyDescent="0.25">
      <c r="H16982" t="s">
        <v>1010</v>
      </c>
    </row>
    <row r="16983" spans="8:8" x14ac:dyDescent="0.25">
      <c r="H16983" t="s">
        <v>1011</v>
      </c>
    </row>
    <row r="16985" spans="8:8" x14ac:dyDescent="0.25">
      <c r="H16985" t="s">
        <v>1012</v>
      </c>
    </row>
    <row r="16986" spans="8:8" x14ac:dyDescent="0.25">
      <c r="H16986" t="s">
        <v>1010</v>
      </c>
    </row>
    <row r="16987" spans="8:8" x14ac:dyDescent="0.25">
      <c r="H16987" t="s">
        <v>1013</v>
      </c>
    </row>
    <row r="16989" spans="8:8" x14ac:dyDescent="0.25">
      <c r="H16989" t="s">
        <v>1014</v>
      </c>
    </row>
    <row r="16990" spans="8:8" x14ac:dyDescent="0.25">
      <c r="H16990" t="s">
        <v>1010</v>
      </c>
    </row>
    <row r="16991" spans="8:8" x14ac:dyDescent="0.25">
      <c r="H16991" t="s">
        <v>1015</v>
      </c>
    </row>
    <row r="16993" spans="8:8" x14ac:dyDescent="0.25">
      <c r="H16993" t="s">
        <v>1016</v>
      </c>
    </row>
    <row r="16994" spans="8:8" x14ac:dyDescent="0.25">
      <c r="H16994" t="s">
        <v>1017</v>
      </c>
    </row>
    <row r="16995" spans="8:8" x14ac:dyDescent="0.25">
      <c r="H16995" t="s">
        <v>1018</v>
      </c>
    </row>
    <row r="16996" spans="8:8" x14ac:dyDescent="0.25">
      <c r="H16996" t="s">
        <v>1019</v>
      </c>
    </row>
    <row r="16997" spans="8:8" x14ac:dyDescent="0.25">
      <c r="H16997" t="s">
        <v>1020</v>
      </c>
    </row>
    <row r="16998" spans="8:8" x14ac:dyDescent="0.25">
      <c r="H16998" t="s">
        <v>1021</v>
      </c>
    </row>
    <row r="16999" spans="8:8" x14ac:dyDescent="0.25">
      <c r="H16999" t="s">
        <v>1022</v>
      </c>
    </row>
    <row r="17000" spans="8:8" x14ac:dyDescent="0.25">
      <c r="H17000" t="s">
        <v>1023</v>
      </c>
    </row>
    <row r="17001" spans="8:8" x14ac:dyDescent="0.25">
      <c r="H17001" t="s">
        <v>1675</v>
      </c>
    </row>
    <row r="17003" spans="8:8" x14ac:dyDescent="0.25">
      <c r="H17003" t="s">
        <v>1024</v>
      </c>
    </row>
    <row r="17004" spans="8:8" x14ac:dyDescent="0.25">
      <c r="H17004" t="s">
        <v>1025</v>
      </c>
    </row>
    <row r="17005" spans="8:8" x14ac:dyDescent="0.25">
      <c r="H17005" t="s">
        <v>1026</v>
      </c>
    </row>
    <row r="17007" spans="8:8" x14ac:dyDescent="0.25">
      <c r="H17007" t="s">
        <v>1027</v>
      </c>
    </row>
    <row r="17008" spans="8:8" x14ac:dyDescent="0.25">
      <c r="H17008" t="s">
        <v>1025</v>
      </c>
    </row>
    <row r="17009" spans="8:8" x14ac:dyDescent="0.25">
      <c r="H17009" t="s">
        <v>1028</v>
      </c>
    </row>
    <row r="17011" spans="8:8" x14ac:dyDescent="0.25">
      <c r="H17011" t="s">
        <v>1029</v>
      </c>
    </row>
    <row r="17012" spans="8:8" x14ac:dyDescent="0.25">
      <c r="H17012" t="s">
        <v>1025</v>
      </c>
    </row>
    <row r="17013" spans="8:8" x14ac:dyDescent="0.25">
      <c r="H17013" t="s">
        <v>1030</v>
      </c>
    </row>
    <row r="17015" spans="8:8" x14ac:dyDescent="0.25">
      <c r="H17015" t="s">
        <v>1031</v>
      </c>
    </row>
    <row r="17016" spans="8:8" x14ac:dyDescent="0.25">
      <c r="H17016" t="s">
        <v>1032</v>
      </c>
    </row>
    <row r="17017" spans="8:8" x14ac:dyDescent="0.25">
      <c r="H17017" t="s">
        <v>1033</v>
      </c>
    </row>
    <row r="17018" spans="8:8" x14ac:dyDescent="0.25">
      <c r="H17018" t="s">
        <v>1034</v>
      </c>
    </row>
    <row r="17019" spans="8:8" x14ac:dyDescent="0.25">
      <c r="H17019" t="s">
        <v>1035</v>
      </c>
    </row>
    <row r="17020" spans="8:8" x14ac:dyDescent="0.25">
      <c r="H17020" t="s">
        <v>1036</v>
      </c>
    </row>
    <row r="17021" spans="8:8" x14ac:dyDescent="0.25">
      <c r="H17021" t="s">
        <v>1037</v>
      </c>
    </row>
    <row r="17022" spans="8:8" x14ac:dyDescent="0.25">
      <c r="H17022" t="s">
        <v>1038</v>
      </c>
    </row>
    <row r="17023" spans="8:8" x14ac:dyDescent="0.25">
      <c r="H17023" t="s">
        <v>1676</v>
      </c>
    </row>
    <row r="17025" spans="8:8" x14ac:dyDescent="0.25">
      <c r="H17025" t="s">
        <v>1039</v>
      </c>
    </row>
    <row r="17026" spans="8:8" x14ac:dyDescent="0.25">
      <c r="H17026" t="s">
        <v>1040</v>
      </c>
    </row>
    <row r="17027" spans="8:8" x14ac:dyDescent="0.25">
      <c r="H17027" t="s">
        <v>1041</v>
      </c>
    </row>
    <row r="17029" spans="8:8" x14ac:dyDescent="0.25">
      <c r="H17029" t="s">
        <v>1042</v>
      </c>
    </row>
    <row r="17030" spans="8:8" x14ac:dyDescent="0.25">
      <c r="H17030" t="s">
        <v>1040</v>
      </c>
    </row>
    <row r="17031" spans="8:8" x14ac:dyDescent="0.25">
      <c r="H17031" t="s">
        <v>1043</v>
      </c>
    </row>
    <row r="17033" spans="8:8" x14ac:dyDescent="0.25">
      <c r="H17033" t="s">
        <v>1044</v>
      </c>
    </row>
    <row r="17034" spans="8:8" x14ac:dyDescent="0.25">
      <c r="H17034" t="s">
        <v>1040</v>
      </c>
    </row>
    <row r="17035" spans="8:8" x14ac:dyDescent="0.25">
      <c r="H17035" t="s">
        <v>1045</v>
      </c>
    </row>
    <row r="17037" spans="8:8" x14ac:dyDescent="0.25">
      <c r="H17037" t="s">
        <v>1046</v>
      </c>
    </row>
    <row r="17038" spans="8:8" x14ac:dyDescent="0.25">
      <c r="H17038" t="s">
        <v>1047</v>
      </c>
    </row>
    <row r="17039" spans="8:8" x14ac:dyDescent="0.25">
      <c r="H17039" t="s">
        <v>1048</v>
      </c>
    </row>
    <row r="17040" spans="8:8" x14ac:dyDescent="0.25">
      <c r="H17040" t="s">
        <v>1049</v>
      </c>
    </row>
    <row r="17041" spans="8:8" x14ac:dyDescent="0.25">
      <c r="H17041" t="s">
        <v>1050</v>
      </c>
    </row>
    <row r="17042" spans="8:8" x14ac:dyDescent="0.25">
      <c r="H17042" t="s">
        <v>1051</v>
      </c>
    </row>
    <row r="17043" spans="8:8" x14ac:dyDescent="0.25">
      <c r="H17043" t="s">
        <v>1052</v>
      </c>
    </row>
    <row r="17044" spans="8:8" x14ac:dyDescent="0.25">
      <c r="H17044" t="s">
        <v>1053</v>
      </c>
    </row>
    <row r="17045" spans="8:8" x14ac:dyDescent="0.25">
      <c r="H17045" t="s">
        <v>1677</v>
      </c>
    </row>
    <row r="17047" spans="8:8" x14ac:dyDescent="0.25">
      <c r="H17047" t="s">
        <v>1054</v>
      </c>
    </row>
    <row r="17048" spans="8:8" x14ac:dyDescent="0.25">
      <c r="H17048" t="s">
        <v>1055</v>
      </c>
    </row>
    <row r="17049" spans="8:8" x14ac:dyDescent="0.25">
      <c r="H17049" t="s">
        <v>1056</v>
      </c>
    </row>
    <row r="17051" spans="8:8" x14ac:dyDescent="0.25">
      <c r="H17051" t="s">
        <v>1057</v>
      </c>
    </row>
    <row r="17052" spans="8:8" x14ac:dyDescent="0.25">
      <c r="H17052" t="s">
        <v>1055</v>
      </c>
    </row>
    <row r="17053" spans="8:8" x14ac:dyDescent="0.25">
      <c r="H17053" t="s">
        <v>1058</v>
      </c>
    </row>
    <row r="17055" spans="8:8" x14ac:dyDescent="0.25">
      <c r="H17055" t="s">
        <v>1059</v>
      </c>
    </row>
    <row r="17056" spans="8:8" x14ac:dyDescent="0.25">
      <c r="H17056" t="s">
        <v>1055</v>
      </c>
    </row>
    <row r="17057" spans="8:8" x14ac:dyDescent="0.25">
      <c r="H17057" t="s">
        <v>1060</v>
      </c>
    </row>
    <row r="17059" spans="8:8" x14ac:dyDescent="0.25">
      <c r="H17059" t="s">
        <v>1061</v>
      </c>
    </row>
    <row r="17060" spans="8:8" x14ac:dyDescent="0.25">
      <c r="H17060" t="s">
        <v>1062</v>
      </c>
    </row>
    <row r="17061" spans="8:8" x14ac:dyDescent="0.25">
      <c r="H17061" t="s">
        <v>1063</v>
      </c>
    </row>
    <row r="17062" spans="8:8" x14ac:dyDescent="0.25">
      <c r="H17062" t="s">
        <v>1064</v>
      </c>
    </row>
    <row r="17063" spans="8:8" x14ac:dyDescent="0.25">
      <c r="H17063" t="s">
        <v>1065</v>
      </c>
    </row>
    <row r="17064" spans="8:8" x14ac:dyDescent="0.25">
      <c r="H17064" t="s">
        <v>1066</v>
      </c>
    </row>
    <row r="17065" spans="8:8" x14ac:dyDescent="0.25">
      <c r="H17065" t="s">
        <v>1067</v>
      </c>
    </row>
    <row r="17066" spans="8:8" x14ac:dyDescent="0.25">
      <c r="H17066" t="s">
        <v>1068</v>
      </c>
    </row>
    <row r="17067" spans="8:8" x14ac:dyDescent="0.25">
      <c r="H17067" t="s">
        <v>1678</v>
      </c>
    </row>
    <row r="17069" spans="8:8" x14ac:dyDescent="0.25">
      <c r="H17069" t="s">
        <v>1069</v>
      </c>
    </row>
    <row r="17070" spans="8:8" x14ac:dyDescent="0.25">
      <c r="H17070" t="s">
        <v>1070</v>
      </c>
    </row>
    <row r="17071" spans="8:8" x14ac:dyDescent="0.25">
      <c r="H17071" t="s">
        <v>1071</v>
      </c>
    </row>
    <row r="17073" spans="8:8" x14ac:dyDescent="0.25">
      <c r="H17073" t="s">
        <v>1072</v>
      </c>
    </row>
    <row r="17074" spans="8:8" x14ac:dyDescent="0.25">
      <c r="H17074" t="s">
        <v>1070</v>
      </c>
    </row>
    <row r="17075" spans="8:8" x14ac:dyDescent="0.25">
      <c r="H17075" t="s">
        <v>1073</v>
      </c>
    </row>
    <row r="17077" spans="8:8" x14ac:dyDescent="0.25">
      <c r="H17077" t="s">
        <v>1074</v>
      </c>
    </row>
    <row r="17078" spans="8:8" x14ac:dyDescent="0.25">
      <c r="H17078" t="s">
        <v>1070</v>
      </c>
    </row>
    <row r="17079" spans="8:8" x14ac:dyDescent="0.25">
      <c r="H17079" t="s">
        <v>1075</v>
      </c>
    </row>
    <row r="17081" spans="8:8" x14ac:dyDescent="0.25">
      <c r="H17081" t="s">
        <v>1076</v>
      </c>
    </row>
    <row r="17082" spans="8:8" x14ac:dyDescent="0.25">
      <c r="H17082" t="s">
        <v>1077</v>
      </c>
    </row>
    <row r="17083" spans="8:8" x14ac:dyDescent="0.25">
      <c r="H17083" t="s">
        <v>1078</v>
      </c>
    </row>
    <row r="17084" spans="8:8" x14ac:dyDescent="0.25">
      <c r="H17084" t="s">
        <v>1079</v>
      </c>
    </row>
    <row r="17085" spans="8:8" x14ac:dyDescent="0.25">
      <c r="H17085" t="s">
        <v>1080</v>
      </c>
    </row>
    <row r="17086" spans="8:8" x14ac:dyDescent="0.25">
      <c r="H17086" t="s">
        <v>1081</v>
      </c>
    </row>
    <row r="17087" spans="8:8" x14ac:dyDescent="0.25">
      <c r="H17087" t="s">
        <v>1082</v>
      </c>
    </row>
    <row r="17088" spans="8:8" x14ac:dyDescent="0.25">
      <c r="H17088" t="s">
        <v>1083</v>
      </c>
    </row>
    <row r="17089" spans="8:8" x14ac:dyDescent="0.25">
      <c r="H17089" t="s">
        <v>1679</v>
      </c>
    </row>
    <row r="17091" spans="8:8" x14ac:dyDescent="0.25">
      <c r="H17091" t="s">
        <v>1084</v>
      </c>
    </row>
    <row r="17092" spans="8:8" x14ac:dyDescent="0.25">
      <c r="H17092" t="s">
        <v>1085</v>
      </c>
    </row>
    <row r="17093" spans="8:8" x14ac:dyDescent="0.25">
      <c r="H17093" t="s">
        <v>1086</v>
      </c>
    </row>
    <row r="17095" spans="8:8" x14ac:dyDescent="0.25">
      <c r="H17095" t="s">
        <v>1087</v>
      </c>
    </row>
    <row r="17096" spans="8:8" x14ac:dyDescent="0.25">
      <c r="H17096" t="s">
        <v>1085</v>
      </c>
    </row>
    <row r="17097" spans="8:8" x14ac:dyDescent="0.25">
      <c r="H17097" t="s">
        <v>1088</v>
      </c>
    </row>
    <row r="17099" spans="8:8" x14ac:dyDescent="0.25">
      <c r="H17099" t="s">
        <v>1089</v>
      </c>
    </row>
    <row r="17100" spans="8:8" x14ac:dyDescent="0.25">
      <c r="H17100" t="s">
        <v>1085</v>
      </c>
    </row>
    <row r="17101" spans="8:8" x14ac:dyDescent="0.25">
      <c r="H17101" t="s">
        <v>1090</v>
      </c>
    </row>
    <row r="17103" spans="8:8" x14ac:dyDescent="0.25">
      <c r="H17103" t="s">
        <v>1091</v>
      </c>
    </row>
    <row r="17104" spans="8:8" x14ac:dyDescent="0.25">
      <c r="H17104" t="s">
        <v>1092</v>
      </c>
    </row>
    <row r="17105" spans="8:8" x14ac:dyDescent="0.25">
      <c r="H17105" t="s">
        <v>1093</v>
      </c>
    </row>
    <row r="17106" spans="8:8" x14ac:dyDescent="0.25">
      <c r="H17106" t="s">
        <v>1094</v>
      </c>
    </row>
    <row r="17107" spans="8:8" x14ac:dyDescent="0.25">
      <c r="H17107" t="s">
        <v>1095</v>
      </c>
    </row>
    <row r="17108" spans="8:8" x14ac:dyDescent="0.25">
      <c r="H17108" t="s">
        <v>1096</v>
      </c>
    </row>
    <row r="17109" spans="8:8" x14ac:dyDescent="0.25">
      <c r="H17109" t="s">
        <v>1097</v>
      </c>
    </row>
    <row r="17110" spans="8:8" x14ac:dyDescent="0.25">
      <c r="H17110" t="s">
        <v>1098</v>
      </c>
    </row>
    <row r="17111" spans="8:8" x14ac:dyDescent="0.25">
      <c r="H17111" t="s">
        <v>1680</v>
      </c>
    </row>
    <row r="17113" spans="8:8" x14ac:dyDescent="0.25">
      <c r="H17113" t="s">
        <v>1099</v>
      </c>
    </row>
    <row r="17114" spans="8:8" x14ac:dyDescent="0.25">
      <c r="H17114" t="s">
        <v>1100</v>
      </c>
    </row>
    <row r="17115" spans="8:8" x14ac:dyDescent="0.25">
      <c r="H17115" t="s">
        <v>1101</v>
      </c>
    </row>
    <row r="17117" spans="8:8" x14ac:dyDescent="0.25">
      <c r="H17117" t="s">
        <v>1102</v>
      </c>
    </row>
    <row r="17118" spans="8:8" x14ac:dyDescent="0.25">
      <c r="H17118" t="s">
        <v>1100</v>
      </c>
    </row>
    <row r="17119" spans="8:8" x14ac:dyDescent="0.25">
      <c r="H17119" t="s">
        <v>1103</v>
      </c>
    </row>
    <row r="17121" spans="8:8" x14ac:dyDescent="0.25">
      <c r="H17121" t="s">
        <v>1104</v>
      </c>
    </row>
    <row r="17122" spans="8:8" x14ac:dyDescent="0.25">
      <c r="H17122" t="s">
        <v>1100</v>
      </c>
    </row>
    <row r="17123" spans="8:8" x14ac:dyDescent="0.25">
      <c r="H17123" t="s">
        <v>1105</v>
      </c>
    </row>
    <row r="17125" spans="8:8" x14ac:dyDescent="0.25">
      <c r="H17125" t="s">
        <v>1106</v>
      </c>
    </row>
    <row r="17126" spans="8:8" x14ac:dyDescent="0.25">
      <c r="H17126" t="s">
        <v>1107</v>
      </c>
    </row>
    <row r="17127" spans="8:8" x14ac:dyDescent="0.25">
      <c r="H17127" t="s">
        <v>1108</v>
      </c>
    </row>
    <row r="17128" spans="8:8" x14ac:dyDescent="0.25">
      <c r="H17128" t="s">
        <v>1109</v>
      </c>
    </row>
    <row r="17129" spans="8:8" x14ac:dyDescent="0.25">
      <c r="H17129" t="s">
        <v>1110</v>
      </c>
    </row>
    <row r="17130" spans="8:8" x14ac:dyDescent="0.25">
      <c r="H17130" t="s">
        <v>1111</v>
      </c>
    </row>
    <row r="17131" spans="8:8" x14ac:dyDescent="0.25">
      <c r="H17131" t="s">
        <v>1112</v>
      </c>
    </row>
    <row r="17132" spans="8:8" x14ac:dyDescent="0.25">
      <c r="H17132" t="s">
        <v>1113</v>
      </c>
    </row>
    <row r="17133" spans="8:8" x14ac:dyDescent="0.25">
      <c r="H17133" t="s">
        <v>1681</v>
      </c>
    </row>
    <row r="17135" spans="8:8" x14ac:dyDescent="0.25">
      <c r="H17135" t="s">
        <v>1114</v>
      </c>
    </row>
    <row r="17136" spans="8:8" x14ac:dyDescent="0.25">
      <c r="H17136" t="s">
        <v>1115</v>
      </c>
    </row>
    <row r="17137" spans="8:8" x14ac:dyDescent="0.25">
      <c r="H17137" t="s">
        <v>1116</v>
      </c>
    </row>
    <row r="17139" spans="8:8" x14ac:dyDescent="0.25">
      <c r="H17139" t="s">
        <v>1117</v>
      </c>
    </row>
    <row r="17140" spans="8:8" x14ac:dyDescent="0.25">
      <c r="H17140" t="s">
        <v>1115</v>
      </c>
    </row>
    <row r="17141" spans="8:8" x14ac:dyDescent="0.25">
      <c r="H17141" t="s">
        <v>1118</v>
      </c>
    </row>
    <row r="17143" spans="8:8" x14ac:dyDescent="0.25">
      <c r="H17143" t="s">
        <v>1119</v>
      </c>
    </row>
    <row r="17144" spans="8:8" x14ac:dyDescent="0.25">
      <c r="H17144" t="s">
        <v>1115</v>
      </c>
    </row>
    <row r="17145" spans="8:8" x14ac:dyDescent="0.25">
      <c r="H17145" t="s">
        <v>1120</v>
      </c>
    </row>
    <row r="17147" spans="8:8" x14ac:dyDescent="0.25">
      <c r="H17147" t="s">
        <v>1121</v>
      </c>
    </row>
    <row r="17148" spans="8:8" x14ac:dyDescent="0.25">
      <c r="H17148" t="s">
        <v>1122</v>
      </c>
    </row>
    <row r="17149" spans="8:8" x14ac:dyDescent="0.25">
      <c r="H17149" t="s">
        <v>1123</v>
      </c>
    </row>
    <row r="17150" spans="8:8" x14ac:dyDescent="0.25">
      <c r="H17150" t="s">
        <v>1124</v>
      </c>
    </row>
    <row r="17151" spans="8:8" x14ac:dyDescent="0.25">
      <c r="H17151" t="s">
        <v>1125</v>
      </c>
    </row>
    <row r="17152" spans="8:8" x14ac:dyDescent="0.25">
      <c r="H17152" t="s">
        <v>1126</v>
      </c>
    </row>
    <row r="17153" spans="8:8" x14ac:dyDescent="0.25">
      <c r="H17153" t="s">
        <v>1127</v>
      </c>
    </row>
    <row r="17154" spans="8:8" x14ac:dyDescent="0.25">
      <c r="H17154" t="s">
        <v>1128</v>
      </c>
    </row>
    <row r="17155" spans="8:8" x14ac:dyDescent="0.25">
      <c r="H17155" t="s">
        <v>1682</v>
      </c>
    </row>
    <row r="17157" spans="8:8" x14ac:dyDescent="0.25">
      <c r="H17157" t="s">
        <v>1129</v>
      </c>
    </row>
    <row r="17158" spans="8:8" x14ac:dyDescent="0.25">
      <c r="H17158" t="s">
        <v>1130</v>
      </c>
    </row>
    <row r="17159" spans="8:8" x14ac:dyDescent="0.25">
      <c r="H17159" t="s">
        <v>1131</v>
      </c>
    </row>
    <row r="17161" spans="8:8" x14ac:dyDescent="0.25">
      <c r="H17161" t="s">
        <v>1132</v>
      </c>
    </row>
    <row r="17162" spans="8:8" x14ac:dyDescent="0.25">
      <c r="H17162" t="s">
        <v>1130</v>
      </c>
    </row>
    <row r="17163" spans="8:8" x14ac:dyDescent="0.25">
      <c r="H17163" t="s">
        <v>1133</v>
      </c>
    </row>
    <row r="17165" spans="8:8" x14ac:dyDescent="0.25">
      <c r="H17165" t="s">
        <v>1134</v>
      </c>
    </row>
    <row r="17166" spans="8:8" x14ac:dyDescent="0.25">
      <c r="H17166" t="s">
        <v>1130</v>
      </c>
    </row>
    <row r="17167" spans="8:8" x14ac:dyDescent="0.25">
      <c r="H17167" t="s">
        <v>1135</v>
      </c>
    </row>
    <row r="17169" spans="8:8" x14ac:dyDescent="0.25">
      <c r="H17169" t="s">
        <v>1136</v>
      </c>
    </row>
    <row r="17170" spans="8:8" x14ac:dyDescent="0.25">
      <c r="H17170" t="s">
        <v>1137</v>
      </c>
    </row>
    <row r="17171" spans="8:8" x14ac:dyDescent="0.25">
      <c r="H17171" t="s">
        <v>1138</v>
      </c>
    </row>
    <row r="17172" spans="8:8" x14ac:dyDescent="0.25">
      <c r="H17172" t="s">
        <v>1139</v>
      </c>
    </row>
    <row r="17173" spans="8:8" x14ac:dyDescent="0.25">
      <c r="H17173" t="s">
        <v>1140</v>
      </c>
    </row>
    <row r="17174" spans="8:8" x14ac:dyDescent="0.25">
      <c r="H17174" t="s">
        <v>1141</v>
      </c>
    </row>
    <row r="17175" spans="8:8" x14ac:dyDescent="0.25">
      <c r="H17175" t="s">
        <v>1142</v>
      </c>
    </row>
    <row r="17176" spans="8:8" x14ac:dyDescent="0.25">
      <c r="H17176" t="s">
        <v>1143</v>
      </c>
    </row>
    <row r="17177" spans="8:8" x14ac:dyDescent="0.25">
      <c r="H17177" t="s">
        <v>1683</v>
      </c>
    </row>
    <row r="17179" spans="8:8" x14ac:dyDescent="0.25">
      <c r="H17179" t="s">
        <v>1144</v>
      </c>
    </row>
    <row r="17180" spans="8:8" x14ac:dyDescent="0.25">
      <c r="H17180" t="s">
        <v>1145</v>
      </c>
    </row>
    <row r="17181" spans="8:8" x14ac:dyDescent="0.25">
      <c r="H17181" t="s">
        <v>1146</v>
      </c>
    </row>
    <row r="17183" spans="8:8" x14ac:dyDescent="0.25">
      <c r="H17183" t="s">
        <v>1147</v>
      </c>
    </row>
    <row r="17184" spans="8:8" x14ac:dyDescent="0.25">
      <c r="H17184" t="s">
        <v>1145</v>
      </c>
    </row>
    <row r="17185" spans="8:8" x14ac:dyDescent="0.25">
      <c r="H17185" t="s">
        <v>1148</v>
      </c>
    </row>
    <row r="17187" spans="8:8" x14ac:dyDescent="0.25">
      <c r="H17187" t="s">
        <v>1149</v>
      </c>
    </row>
    <row r="17188" spans="8:8" x14ac:dyDescent="0.25">
      <c r="H17188" t="s">
        <v>1145</v>
      </c>
    </row>
    <row r="17189" spans="8:8" x14ac:dyDescent="0.25">
      <c r="H17189" t="s">
        <v>1150</v>
      </c>
    </row>
    <row r="17191" spans="8:8" x14ac:dyDescent="0.25">
      <c r="H17191" t="s">
        <v>1151</v>
      </c>
    </row>
    <row r="17192" spans="8:8" x14ac:dyDescent="0.25">
      <c r="H17192" t="s">
        <v>1152</v>
      </c>
    </row>
    <row r="17193" spans="8:8" x14ac:dyDescent="0.25">
      <c r="H17193" t="s">
        <v>1153</v>
      </c>
    </row>
    <row r="17194" spans="8:8" x14ac:dyDescent="0.25">
      <c r="H17194" t="s">
        <v>1154</v>
      </c>
    </row>
    <row r="17195" spans="8:8" x14ac:dyDescent="0.25">
      <c r="H17195" t="s">
        <v>1155</v>
      </c>
    </row>
    <row r="17196" spans="8:8" x14ac:dyDescent="0.25">
      <c r="H17196" t="s">
        <v>1156</v>
      </c>
    </row>
    <row r="17197" spans="8:8" x14ac:dyDescent="0.25">
      <c r="H17197" t="s">
        <v>1157</v>
      </c>
    </row>
    <row r="17198" spans="8:8" x14ac:dyDescent="0.25">
      <c r="H17198" t="s">
        <v>1158</v>
      </c>
    </row>
    <row r="17199" spans="8:8" x14ac:dyDescent="0.25">
      <c r="H17199" t="s">
        <v>1684</v>
      </c>
    </row>
    <row r="17201" spans="8:8" x14ac:dyDescent="0.25">
      <c r="H17201" t="s">
        <v>1159</v>
      </c>
    </row>
    <row r="17202" spans="8:8" x14ac:dyDescent="0.25">
      <c r="H17202" t="s">
        <v>1160</v>
      </c>
    </row>
    <row r="17203" spans="8:8" x14ac:dyDescent="0.25">
      <c r="H17203" t="s">
        <v>1161</v>
      </c>
    </row>
    <row r="17205" spans="8:8" x14ac:dyDescent="0.25">
      <c r="H17205" t="s">
        <v>1162</v>
      </c>
    </row>
    <row r="17206" spans="8:8" x14ac:dyDescent="0.25">
      <c r="H17206" t="s">
        <v>1160</v>
      </c>
    </row>
    <row r="17207" spans="8:8" x14ac:dyDescent="0.25">
      <c r="H17207" t="s">
        <v>1163</v>
      </c>
    </row>
    <row r="17209" spans="8:8" x14ac:dyDescent="0.25">
      <c r="H17209" t="s">
        <v>1164</v>
      </c>
    </row>
    <row r="17210" spans="8:8" x14ac:dyDescent="0.25">
      <c r="H17210" t="s">
        <v>1160</v>
      </c>
    </row>
    <row r="17211" spans="8:8" x14ac:dyDescent="0.25">
      <c r="H17211" t="s">
        <v>1165</v>
      </c>
    </row>
    <row r="17213" spans="8:8" x14ac:dyDescent="0.25">
      <c r="H17213" t="s">
        <v>1166</v>
      </c>
    </row>
    <row r="17214" spans="8:8" x14ac:dyDescent="0.25">
      <c r="H17214" t="s">
        <v>1167</v>
      </c>
    </row>
    <row r="17215" spans="8:8" x14ac:dyDescent="0.25">
      <c r="H17215" t="s">
        <v>1168</v>
      </c>
    </row>
    <row r="17216" spans="8:8" x14ac:dyDescent="0.25">
      <c r="H17216" t="s">
        <v>1169</v>
      </c>
    </row>
    <row r="17217" spans="8:8" x14ac:dyDescent="0.25">
      <c r="H17217" t="s">
        <v>1170</v>
      </c>
    </row>
    <row r="17218" spans="8:8" x14ac:dyDescent="0.25">
      <c r="H17218" t="s">
        <v>1171</v>
      </c>
    </row>
    <row r="17219" spans="8:8" x14ac:dyDescent="0.25">
      <c r="H17219" t="s">
        <v>1172</v>
      </c>
    </row>
    <row r="17220" spans="8:8" x14ac:dyDescent="0.25">
      <c r="H17220" t="s">
        <v>1173</v>
      </c>
    </row>
    <row r="17221" spans="8:8" x14ac:dyDescent="0.25">
      <c r="H17221" t="s">
        <v>1685</v>
      </c>
    </row>
    <row r="17223" spans="8:8" x14ac:dyDescent="0.25">
      <c r="H17223" t="s">
        <v>1174</v>
      </c>
    </row>
    <row r="17224" spans="8:8" x14ac:dyDescent="0.25">
      <c r="H17224" t="s">
        <v>1175</v>
      </c>
    </row>
    <row r="17225" spans="8:8" x14ac:dyDescent="0.25">
      <c r="H17225" t="s">
        <v>1176</v>
      </c>
    </row>
    <row r="17227" spans="8:8" x14ac:dyDescent="0.25">
      <c r="H17227" t="s">
        <v>1177</v>
      </c>
    </row>
    <row r="17228" spans="8:8" x14ac:dyDescent="0.25">
      <c r="H17228" t="s">
        <v>1175</v>
      </c>
    </row>
    <row r="17229" spans="8:8" x14ac:dyDescent="0.25">
      <c r="H17229" t="s">
        <v>1178</v>
      </c>
    </row>
    <row r="17231" spans="8:8" x14ac:dyDescent="0.25">
      <c r="H17231" t="s">
        <v>1179</v>
      </c>
    </row>
    <row r="17232" spans="8:8" x14ac:dyDescent="0.25">
      <c r="H17232" t="s">
        <v>1175</v>
      </c>
    </row>
    <row r="17233" spans="8:8" x14ac:dyDescent="0.25">
      <c r="H17233" t="s">
        <v>1180</v>
      </c>
    </row>
    <row r="17235" spans="8:8" x14ac:dyDescent="0.25">
      <c r="H17235" t="s">
        <v>1181</v>
      </c>
    </row>
    <row r="17236" spans="8:8" x14ac:dyDescent="0.25">
      <c r="H17236" t="s">
        <v>1182</v>
      </c>
    </row>
    <row r="17237" spans="8:8" x14ac:dyDescent="0.25">
      <c r="H17237" t="s">
        <v>1183</v>
      </c>
    </row>
    <row r="17238" spans="8:8" x14ac:dyDescent="0.25">
      <c r="H17238" t="s">
        <v>1184</v>
      </c>
    </row>
    <row r="17239" spans="8:8" x14ac:dyDescent="0.25">
      <c r="H17239" t="s">
        <v>1185</v>
      </c>
    </row>
    <row r="17240" spans="8:8" x14ac:dyDescent="0.25">
      <c r="H17240" t="s">
        <v>1186</v>
      </c>
    </row>
    <row r="17241" spans="8:8" x14ac:dyDescent="0.25">
      <c r="H17241" t="s">
        <v>1187</v>
      </c>
    </row>
    <row r="17243" spans="8:8" x14ac:dyDescent="0.25">
      <c r="H17243" t="s">
        <v>1188</v>
      </c>
    </row>
    <row r="17244" spans="8:8" x14ac:dyDescent="0.25">
      <c r="H17244" t="s">
        <v>1189</v>
      </c>
    </row>
    <row r="17245" spans="8:8" x14ac:dyDescent="0.25">
      <c r="H17245" t="s">
        <v>1190</v>
      </c>
    </row>
    <row r="17247" spans="8:8" x14ac:dyDescent="0.25">
      <c r="H17247" t="s">
        <v>1191</v>
      </c>
    </row>
    <row r="17248" spans="8:8" x14ac:dyDescent="0.25">
      <c r="H17248" t="s">
        <v>1192</v>
      </c>
    </row>
    <row r="17249" spans="8:8" x14ac:dyDescent="0.25">
      <c r="H17249" t="s">
        <v>1193</v>
      </c>
    </row>
    <row r="17250" spans="8:8" x14ac:dyDescent="0.25">
      <c r="H17250" t="s">
        <v>1194</v>
      </c>
    </row>
    <row r="17251" spans="8:8" x14ac:dyDescent="0.25">
      <c r="H17251" t="s">
        <v>1195</v>
      </c>
    </row>
    <row r="17252" spans="8:8" x14ac:dyDescent="0.25">
      <c r="H17252" t="s">
        <v>1196</v>
      </c>
    </row>
    <row r="17253" spans="8:8" x14ac:dyDescent="0.25">
      <c r="H17253" t="s">
        <v>1197</v>
      </c>
    </row>
    <row r="17254" spans="8:8" x14ac:dyDescent="0.25">
      <c r="H17254" t="s">
        <v>1198</v>
      </c>
    </row>
    <row r="17255" spans="8:8" x14ac:dyDescent="0.25">
      <c r="H17255" t="s">
        <v>1199</v>
      </c>
    </row>
    <row r="17256" spans="8:8" x14ac:dyDescent="0.25">
      <c r="H17256" t="s">
        <v>1200</v>
      </c>
    </row>
    <row r="17257" spans="8:8" x14ac:dyDescent="0.25">
      <c r="H17257" t="s">
        <v>1201</v>
      </c>
    </row>
    <row r="17258" spans="8:8" x14ac:dyDescent="0.25">
      <c r="H17258" t="s">
        <v>1202</v>
      </c>
    </row>
    <row r="17259" spans="8:8" x14ac:dyDescent="0.25">
      <c r="H17259" t="s">
        <v>1203</v>
      </c>
    </row>
    <row r="17261" spans="8:8" x14ac:dyDescent="0.25">
      <c r="H17261" t="s">
        <v>1204</v>
      </c>
    </row>
    <row r="17262" spans="8:8" x14ac:dyDescent="0.25">
      <c r="H17262" t="s">
        <v>1205</v>
      </c>
    </row>
    <row r="17263" spans="8:8" x14ac:dyDescent="0.25">
      <c r="H17263" t="s">
        <v>1206</v>
      </c>
    </row>
    <row r="17264" spans="8:8" x14ac:dyDescent="0.25">
      <c r="H17264" t="s">
        <v>1207</v>
      </c>
    </row>
    <row r="17265" spans="8:8" x14ac:dyDescent="0.25">
      <c r="H17265" t="s">
        <v>1208</v>
      </c>
    </row>
    <row r="17266" spans="8:8" x14ac:dyDescent="0.25">
      <c r="H17266" t="s">
        <v>1209</v>
      </c>
    </row>
    <row r="17267" spans="8:8" x14ac:dyDescent="0.25">
      <c r="H17267" t="s">
        <v>1210</v>
      </c>
    </row>
    <row r="17268" spans="8:8" x14ac:dyDescent="0.25">
      <c r="H17268" t="s">
        <v>1211</v>
      </c>
    </row>
    <row r="17269" spans="8:8" x14ac:dyDescent="0.25">
      <c r="H17269" t="s">
        <v>1212</v>
      </c>
    </row>
    <row r="17270" spans="8:8" x14ac:dyDescent="0.25">
      <c r="H17270" t="s">
        <v>1213</v>
      </c>
    </row>
    <row r="17271" spans="8:8" x14ac:dyDescent="0.25">
      <c r="H17271" t="s">
        <v>1214</v>
      </c>
    </row>
    <row r="17272" spans="8:8" x14ac:dyDescent="0.25">
      <c r="H17272" t="s">
        <v>1215</v>
      </c>
    </row>
    <row r="17273" spans="8:8" x14ac:dyDescent="0.25">
      <c r="H17273" t="s">
        <v>1216</v>
      </c>
    </row>
    <row r="17274" spans="8:8" x14ac:dyDescent="0.25">
      <c r="H17274" t="s">
        <v>1217</v>
      </c>
    </row>
    <row r="17275" spans="8:8" x14ac:dyDescent="0.25">
      <c r="H17275" t="s">
        <v>1218</v>
      </c>
    </row>
    <row r="17276" spans="8:8" x14ac:dyDescent="0.25">
      <c r="H17276" t="s">
        <v>1219</v>
      </c>
    </row>
    <row r="17277" spans="8:8" x14ac:dyDescent="0.25">
      <c r="H17277" t="s">
        <v>1220</v>
      </c>
    </row>
    <row r="17279" spans="8:8" x14ac:dyDescent="0.25">
      <c r="H17279" t="s">
        <v>1221</v>
      </c>
    </row>
    <row r="17280" spans="8:8" x14ac:dyDescent="0.25">
      <c r="H17280" t="s">
        <v>1222</v>
      </c>
    </row>
    <row r="17281" spans="8:8" x14ac:dyDescent="0.25">
      <c r="H17281" t="s">
        <v>1223</v>
      </c>
    </row>
    <row r="17282" spans="8:8" x14ac:dyDescent="0.25">
      <c r="H17282" t="s">
        <v>1224</v>
      </c>
    </row>
    <row r="17283" spans="8:8" x14ac:dyDescent="0.25">
      <c r="H17283" t="s">
        <v>1225</v>
      </c>
    </row>
    <row r="17284" spans="8:8" x14ac:dyDescent="0.25">
      <c r="H17284" t="s">
        <v>1226</v>
      </c>
    </row>
    <row r="17285" spans="8:8" x14ac:dyDescent="0.25">
      <c r="H17285" t="s">
        <v>1227</v>
      </c>
    </row>
    <row r="17286" spans="8:8" x14ac:dyDescent="0.25">
      <c r="H17286" t="s">
        <v>1228</v>
      </c>
    </row>
    <row r="17287" spans="8:8" x14ac:dyDescent="0.25">
      <c r="H17287" t="s">
        <v>1229</v>
      </c>
    </row>
    <row r="17288" spans="8:8" x14ac:dyDescent="0.25">
      <c r="H17288" t="s">
        <v>1230</v>
      </c>
    </row>
    <row r="17289" spans="8:8" x14ac:dyDescent="0.25">
      <c r="H17289" t="s">
        <v>1231</v>
      </c>
    </row>
    <row r="17290" spans="8:8" x14ac:dyDescent="0.25">
      <c r="H17290" t="s">
        <v>1232</v>
      </c>
    </row>
    <row r="17291" spans="8:8" x14ac:dyDescent="0.25">
      <c r="H17291" t="s">
        <v>1233</v>
      </c>
    </row>
    <row r="17292" spans="8:8" x14ac:dyDescent="0.25">
      <c r="H17292" t="s">
        <v>1234</v>
      </c>
    </row>
    <row r="17293" spans="8:8" x14ac:dyDescent="0.25">
      <c r="H17293" t="s">
        <v>1235</v>
      </c>
    </row>
    <row r="17294" spans="8:8" x14ac:dyDescent="0.25">
      <c r="H17294" t="s">
        <v>1236</v>
      </c>
    </row>
    <row r="17295" spans="8:8" x14ac:dyDescent="0.25">
      <c r="H17295" t="s">
        <v>1237</v>
      </c>
    </row>
    <row r="17297" spans="8:8" x14ac:dyDescent="0.25">
      <c r="H17297" t="s">
        <v>1238</v>
      </c>
    </row>
    <row r="17298" spans="8:8" x14ac:dyDescent="0.25">
      <c r="H17298" t="s">
        <v>1239</v>
      </c>
    </row>
    <row r="17299" spans="8:8" x14ac:dyDescent="0.25">
      <c r="H17299" t="s">
        <v>1240</v>
      </c>
    </row>
    <row r="17300" spans="8:8" x14ac:dyDescent="0.25">
      <c r="H17300" t="s">
        <v>1241</v>
      </c>
    </row>
    <row r="17301" spans="8:8" x14ac:dyDescent="0.25">
      <c r="H17301" t="s">
        <v>1242</v>
      </c>
    </row>
    <row r="17302" spans="8:8" x14ac:dyDescent="0.25">
      <c r="H17302" t="s">
        <v>1243</v>
      </c>
    </row>
    <row r="17303" spans="8:8" x14ac:dyDescent="0.25">
      <c r="H17303" t="s">
        <v>1244</v>
      </c>
    </row>
    <row r="17304" spans="8:8" x14ac:dyDescent="0.25">
      <c r="H17304" t="s">
        <v>1245</v>
      </c>
    </row>
    <row r="17305" spans="8:8" x14ac:dyDescent="0.25">
      <c r="H17305" t="s">
        <v>1246</v>
      </c>
    </row>
    <row r="17306" spans="8:8" x14ac:dyDescent="0.25">
      <c r="H17306" t="s">
        <v>1247</v>
      </c>
    </row>
    <row r="17307" spans="8:8" x14ac:dyDescent="0.25">
      <c r="H17307" t="s">
        <v>1248</v>
      </c>
    </row>
    <row r="17308" spans="8:8" x14ac:dyDescent="0.25">
      <c r="H17308" t="s">
        <v>1249</v>
      </c>
    </row>
    <row r="17309" spans="8:8" x14ac:dyDescent="0.25">
      <c r="H17309" t="s">
        <v>1250</v>
      </c>
    </row>
    <row r="17310" spans="8:8" x14ac:dyDescent="0.25">
      <c r="H17310" t="s">
        <v>1251</v>
      </c>
    </row>
    <row r="17311" spans="8:8" x14ac:dyDescent="0.25">
      <c r="H17311" t="s">
        <v>1252</v>
      </c>
    </row>
    <row r="17312" spans="8:8" x14ac:dyDescent="0.25">
      <c r="H17312" t="s">
        <v>1253</v>
      </c>
    </row>
    <row r="17313" spans="8:8" x14ac:dyDescent="0.25">
      <c r="H17313" t="s">
        <v>1254</v>
      </c>
    </row>
    <row r="17315" spans="8:8" x14ac:dyDescent="0.25">
      <c r="H17315" t="s">
        <v>1255</v>
      </c>
    </row>
    <row r="17316" spans="8:8" x14ac:dyDescent="0.25">
      <c r="H17316" t="s">
        <v>1256</v>
      </c>
    </row>
    <row r="17317" spans="8:8" x14ac:dyDescent="0.25">
      <c r="H17317" t="s">
        <v>1257</v>
      </c>
    </row>
    <row r="17318" spans="8:8" x14ac:dyDescent="0.25">
      <c r="H17318" t="s">
        <v>1258</v>
      </c>
    </row>
    <row r="17319" spans="8:8" x14ac:dyDescent="0.25">
      <c r="H17319" t="s">
        <v>1259</v>
      </c>
    </row>
    <row r="17320" spans="8:8" x14ac:dyDescent="0.25">
      <c r="H17320" t="s">
        <v>1260</v>
      </c>
    </row>
    <row r="17321" spans="8:8" x14ac:dyDescent="0.25">
      <c r="H17321" t="s">
        <v>1261</v>
      </c>
    </row>
    <row r="17322" spans="8:8" x14ac:dyDescent="0.25">
      <c r="H17322" t="s">
        <v>1262</v>
      </c>
    </row>
    <row r="17323" spans="8:8" x14ac:dyDescent="0.25">
      <c r="H17323" t="s">
        <v>1263</v>
      </c>
    </row>
    <row r="17324" spans="8:8" x14ac:dyDescent="0.25">
      <c r="H17324" t="s">
        <v>1264</v>
      </c>
    </row>
    <row r="17325" spans="8:8" x14ac:dyDescent="0.25">
      <c r="H17325" t="s">
        <v>1265</v>
      </c>
    </row>
    <row r="17326" spans="8:8" x14ac:dyDescent="0.25">
      <c r="H17326" t="s">
        <v>1266</v>
      </c>
    </row>
    <row r="17327" spans="8:8" x14ac:dyDescent="0.25">
      <c r="H17327" t="s">
        <v>1267</v>
      </c>
    </row>
    <row r="17328" spans="8:8" x14ac:dyDescent="0.25">
      <c r="H17328" t="s">
        <v>1268</v>
      </c>
    </row>
    <row r="17329" spans="8:8" x14ac:dyDescent="0.25">
      <c r="H17329" t="s">
        <v>1269</v>
      </c>
    </row>
    <row r="17330" spans="8:8" x14ac:dyDescent="0.25">
      <c r="H17330" t="s">
        <v>1270</v>
      </c>
    </row>
    <row r="17331" spans="8:8" x14ac:dyDescent="0.25">
      <c r="H17331" t="s">
        <v>1271</v>
      </c>
    </row>
    <row r="17333" spans="8:8" x14ac:dyDescent="0.25">
      <c r="H17333" t="s">
        <v>1272</v>
      </c>
    </row>
    <row r="17334" spans="8:8" x14ac:dyDescent="0.25">
      <c r="H17334" t="s">
        <v>1273</v>
      </c>
    </row>
    <row r="17335" spans="8:8" x14ac:dyDescent="0.25">
      <c r="H17335" t="s">
        <v>1274</v>
      </c>
    </row>
    <row r="17336" spans="8:8" x14ac:dyDescent="0.25">
      <c r="H17336" t="s">
        <v>1275</v>
      </c>
    </row>
    <row r="17337" spans="8:8" x14ac:dyDescent="0.25">
      <c r="H17337" t="s">
        <v>1276</v>
      </c>
    </row>
    <row r="17338" spans="8:8" x14ac:dyDescent="0.25">
      <c r="H17338" t="s">
        <v>1277</v>
      </c>
    </row>
    <row r="17339" spans="8:8" x14ac:dyDescent="0.25">
      <c r="H17339" t="s">
        <v>1278</v>
      </c>
    </row>
    <row r="17340" spans="8:8" x14ac:dyDescent="0.25">
      <c r="H17340" t="s">
        <v>1279</v>
      </c>
    </row>
    <row r="17341" spans="8:8" x14ac:dyDescent="0.25">
      <c r="H17341" t="s">
        <v>1280</v>
      </c>
    </row>
    <row r="17342" spans="8:8" x14ac:dyDescent="0.25">
      <c r="H17342" t="s">
        <v>1281</v>
      </c>
    </row>
    <row r="17343" spans="8:8" x14ac:dyDescent="0.25">
      <c r="H17343" t="s">
        <v>1282</v>
      </c>
    </row>
    <row r="17344" spans="8:8" x14ac:dyDescent="0.25">
      <c r="H17344" t="s">
        <v>1283</v>
      </c>
    </row>
    <row r="17345" spans="8:8" x14ac:dyDescent="0.25">
      <c r="H17345" t="s">
        <v>1284</v>
      </c>
    </row>
    <row r="17346" spans="8:8" x14ac:dyDescent="0.25">
      <c r="H17346" t="s">
        <v>1285</v>
      </c>
    </row>
    <row r="17347" spans="8:8" x14ac:dyDescent="0.25">
      <c r="H17347" t="s">
        <v>1286</v>
      </c>
    </row>
    <row r="17348" spans="8:8" x14ac:dyDescent="0.25">
      <c r="H17348" t="s">
        <v>1287</v>
      </c>
    </row>
    <row r="17349" spans="8:8" x14ac:dyDescent="0.25">
      <c r="H17349" t="s">
        <v>1288</v>
      </c>
    </row>
    <row r="17351" spans="8:8" x14ac:dyDescent="0.25">
      <c r="H17351" t="s">
        <v>1289</v>
      </c>
    </row>
    <row r="17352" spans="8:8" x14ac:dyDescent="0.25">
      <c r="H17352" t="s">
        <v>1290</v>
      </c>
    </row>
    <row r="17353" spans="8:8" x14ac:dyDescent="0.25">
      <c r="H17353" t="s">
        <v>1291</v>
      </c>
    </row>
    <row r="17354" spans="8:8" x14ac:dyDescent="0.25">
      <c r="H17354" t="s">
        <v>1292</v>
      </c>
    </row>
    <row r="17355" spans="8:8" x14ac:dyDescent="0.25">
      <c r="H17355" t="s">
        <v>1293</v>
      </c>
    </row>
    <row r="17356" spans="8:8" x14ac:dyDescent="0.25">
      <c r="H17356" t="s">
        <v>1294</v>
      </c>
    </row>
    <row r="17357" spans="8:8" x14ac:dyDescent="0.25">
      <c r="H17357" t="s">
        <v>1295</v>
      </c>
    </row>
    <row r="17358" spans="8:8" x14ac:dyDescent="0.25">
      <c r="H17358" t="s">
        <v>1296</v>
      </c>
    </row>
    <row r="17359" spans="8:8" x14ac:dyDescent="0.25">
      <c r="H17359" t="s">
        <v>1297</v>
      </c>
    </row>
    <row r="17360" spans="8:8" x14ac:dyDescent="0.25">
      <c r="H17360" t="s">
        <v>1298</v>
      </c>
    </row>
    <row r="17361" spans="8:8" x14ac:dyDescent="0.25">
      <c r="H17361" t="s">
        <v>1299</v>
      </c>
    </row>
    <row r="17363" spans="8:8" x14ac:dyDescent="0.25">
      <c r="H17363" t="s">
        <v>1300</v>
      </c>
    </row>
    <row r="17364" spans="8:8" x14ac:dyDescent="0.25">
      <c r="H17364" t="s">
        <v>1301</v>
      </c>
    </row>
    <row r="17365" spans="8:8" x14ac:dyDescent="0.25">
      <c r="H17365" t="s">
        <v>1302</v>
      </c>
    </row>
    <row r="17366" spans="8:8" x14ac:dyDescent="0.25">
      <c r="H17366" t="s">
        <v>1303</v>
      </c>
    </row>
    <row r="17367" spans="8:8" x14ac:dyDescent="0.25">
      <c r="H17367" t="s">
        <v>1304</v>
      </c>
    </row>
    <row r="17368" spans="8:8" x14ac:dyDescent="0.25">
      <c r="H17368" t="s">
        <v>1305</v>
      </c>
    </row>
    <row r="17369" spans="8:8" x14ac:dyDescent="0.25">
      <c r="H17369" t="s">
        <v>1306</v>
      </c>
    </row>
    <row r="17370" spans="8:8" x14ac:dyDescent="0.25">
      <c r="H17370" t="s">
        <v>1307</v>
      </c>
    </row>
    <row r="17371" spans="8:8" x14ac:dyDescent="0.25">
      <c r="H17371" t="s">
        <v>1308</v>
      </c>
    </row>
    <row r="17372" spans="8:8" x14ac:dyDescent="0.25">
      <c r="H17372" t="s">
        <v>1309</v>
      </c>
    </row>
    <row r="17373" spans="8:8" x14ac:dyDescent="0.25">
      <c r="H17373" t="s">
        <v>1310</v>
      </c>
    </row>
    <row r="17374" spans="8:8" x14ac:dyDescent="0.25">
      <c r="H17374" t="s">
        <v>1311</v>
      </c>
    </row>
    <row r="17375" spans="8:8" x14ac:dyDescent="0.25">
      <c r="H17375" t="s">
        <v>1312</v>
      </c>
    </row>
    <row r="17376" spans="8:8" x14ac:dyDescent="0.25">
      <c r="H17376" t="s">
        <v>1313</v>
      </c>
    </row>
    <row r="17377" spans="8:8" x14ac:dyDescent="0.25">
      <c r="H17377" t="s">
        <v>1314</v>
      </c>
    </row>
    <row r="17378" spans="8:8" x14ac:dyDescent="0.25">
      <c r="H17378" t="s">
        <v>1315</v>
      </c>
    </row>
    <row r="17379" spans="8:8" x14ac:dyDescent="0.25">
      <c r="H17379" t="s">
        <v>1316</v>
      </c>
    </row>
    <row r="17381" spans="8:8" x14ac:dyDescent="0.25">
      <c r="H17381" t="s">
        <v>1317</v>
      </c>
    </row>
    <row r="17382" spans="8:8" x14ac:dyDescent="0.25">
      <c r="H17382" t="s">
        <v>1318</v>
      </c>
    </row>
    <row r="17383" spans="8:8" x14ac:dyDescent="0.25">
      <c r="H17383" t="s">
        <v>1319</v>
      </c>
    </row>
    <row r="17384" spans="8:8" x14ac:dyDescent="0.25">
      <c r="H17384" t="s">
        <v>1320</v>
      </c>
    </row>
    <row r="17385" spans="8:8" x14ac:dyDescent="0.25">
      <c r="H17385" t="s">
        <v>1321</v>
      </c>
    </row>
    <row r="17386" spans="8:8" x14ac:dyDescent="0.25">
      <c r="H17386" t="s">
        <v>1322</v>
      </c>
    </row>
    <row r="17387" spans="8:8" x14ac:dyDescent="0.25">
      <c r="H17387" t="s">
        <v>1323</v>
      </c>
    </row>
    <row r="17388" spans="8:8" x14ac:dyDescent="0.25">
      <c r="H17388" t="s">
        <v>1324</v>
      </c>
    </row>
    <row r="17389" spans="8:8" x14ac:dyDescent="0.25">
      <c r="H17389" t="s">
        <v>1325</v>
      </c>
    </row>
    <row r="17390" spans="8:8" x14ac:dyDescent="0.25">
      <c r="H17390" t="s">
        <v>1326</v>
      </c>
    </row>
    <row r="17391" spans="8:8" x14ac:dyDescent="0.25">
      <c r="H17391" t="s">
        <v>1327</v>
      </c>
    </row>
    <row r="17392" spans="8:8" x14ac:dyDescent="0.25">
      <c r="H17392" t="s">
        <v>1328</v>
      </c>
    </row>
    <row r="17393" spans="8:8" x14ac:dyDescent="0.25">
      <c r="H17393" t="s">
        <v>1329</v>
      </c>
    </row>
    <row r="17394" spans="8:8" x14ac:dyDescent="0.25">
      <c r="H17394" t="s">
        <v>1330</v>
      </c>
    </row>
    <row r="17395" spans="8:8" x14ac:dyDescent="0.25">
      <c r="H17395" t="s">
        <v>1331</v>
      </c>
    </row>
    <row r="17396" spans="8:8" x14ac:dyDescent="0.25">
      <c r="H17396" t="s">
        <v>1332</v>
      </c>
    </row>
    <row r="17397" spans="8:8" x14ac:dyDescent="0.25">
      <c r="H17397" t="s">
        <v>1333</v>
      </c>
    </row>
    <row r="17399" spans="8:8" x14ac:dyDescent="0.25">
      <c r="H17399" t="s">
        <v>1334</v>
      </c>
    </row>
    <row r="17400" spans="8:8" x14ac:dyDescent="0.25">
      <c r="H17400" t="s">
        <v>1335</v>
      </c>
    </row>
    <row r="17401" spans="8:8" x14ac:dyDescent="0.25">
      <c r="H17401" t="s">
        <v>1336</v>
      </c>
    </row>
    <row r="17402" spans="8:8" x14ac:dyDescent="0.25">
      <c r="H17402" t="s">
        <v>1337</v>
      </c>
    </row>
    <row r="17403" spans="8:8" x14ac:dyDescent="0.25">
      <c r="H17403" t="s">
        <v>1338</v>
      </c>
    </row>
    <row r="17404" spans="8:8" x14ac:dyDescent="0.25">
      <c r="H17404" t="s">
        <v>1339</v>
      </c>
    </row>
    <row r="17405" spans="8:8" x14ac:dyDescent="0.25">
      <c r="H17405" t="s">
        <v>1340</v>
      </c>
    </row>
    <row r="17406" spans="8:8" x14ac:dyDescent="0.25">
      <c r="H17406" t="s">
        <v>1341</v>
      </c>
    </row>
    <row r="17407" spans="8:8" x14ac:dyDescent="0.25">
      <c r="H17407" t="s">
        <v>1342</v>
      </c>
    </row>
    <row r="17408" spans="8:8" x14ac:dyDescent="0.25">
      <c r="H17408" t="s">
        <v>1343</v>
      </c>
    </row>
    <row r="17409" spans="8:8" x14ac:dyDescent="0.25">
      <c r="H17409" t="s">
        <v>1344</v>
      </c>
    </row>
    <row r="17410" spans="8:8" x14ac:dyDescent="0.25">
      <c r="H17410" t="s">
        <v>1345</v>
      </c>
    </row>
    <row r="17411" spans="8:8" x14ac:dyDescent="0.25">
      <c r="H17411" t="s">
        <v>1346</v>
      </c>
    </row>
    <row r="17413" spans="8:8" x14ac:dyDescent="0.25">
      <c r="H17413" t="s">
        <v>1347</v>
      </c>
    </row>
    <row r="17414" spans="8:8" x14ac:dyDescent="0.25">
      <c r="H17414" t="s">
        <v>1348</v>
      </c>
    </row>
    <row r="17415" spans="8:8" x14ac:dyDescent="0.25">
      <c r="H17415" t="s">
        <v>1349</v>
      </c>
    </row>
    <row r="17416" spans="8:8" x14ac:dyDescent="0.25">
      <c r="H17416" t="s">
        <v>1350</v>
      </c>
    </row>
    <row r="17417" spans="8:8" x14ac:dyDescent="0.25">
      <c r="H17417" t="s">
        <v>1351</v>
      </c>
    </row>
    <row r="17418" spans="8:8" x14ac:dyDescent="0.25">
      <c r="H17418" t="s">
        <v>1352</v>
      </c>
    </row>
    <row r="17419" spans="8:8" x14ac:dyDescent="0.25">
      <c r="H17419" t="s">
        <v>1353</v>
      </c>
    </row>
    <row r="17420" spans="8:8" x14ac:dyDescent="0.25">
      <c r="H17420" t="s">
        <v>1354</v>
      </c>
    </row>
    <row r="17421" spans="8:8" x14ac:dyDescent="0.25">
      <c r="H17421" t="s">
        <v>1355</v>
      </c>
    </row>
    <row r="17422" spans="8:8" x14ac:dyDescent="0.25">
      <c r="H17422" t="s">
        <v>1356</v>
      </c>
    </row>
    <row r="17423" spans="8:8" x14ac:dyDescent="0.25">
      <c r="H17423" t="s">
        <v>1357</v>
      </c>
    </row>
    <row r="17424" spans="8:8" x14ac:dyDescent="0.25">
      <c r="H17424" t="s">
        <v>1358</v>
      </c>
    </row>
    <row r="17425" spans="8:8" x14ac:dyDescent="0.25">
      <c r="H17425" t="s">
        <v>1359</v>
      </c>
    </row>
    <row r="17426" spans="8:8" x14ac:dyDescent="0.25">
      <c r="H17426" t="s">
        <v>1360</v>
      </c>
    </row>
    <row r="17427" spans="8:8" x14ac:dyDescent="0.25">
      <c r="H17427" t="s">
        <v>1361</v>
      </c>
    </row>
    <row r="17428" spans="8:8" x14ac:dyDescent="0.25">
      <c r="H17428" t="s">
        <v>1362</v>
      </c>
    </row>
    <row r="17429" spans="8:8" x14ac:dyDescent="0.25">
      <c r="H17429" t="s">
        <v>1363</v>
      </c>
    </row>
    <row r="17431" spans="8:8" x14ac:dyDescent="0.25">
      <c r="H17431" t="s">
        <v>1364</v>
      </c>
    </row>
    <row r="17432" spans="8:8" x14ac:dyDescent="0.25">
      <c r="H17432" t="s">
        <v>1365</v>
      </c>
    </row>
    <row r="17433" spans="8:8" x14ac:dyDescent="0.25">
      <c r="H17433" t="s">
        <v>1366</v>
      </c>
    </row>
    <row r="17434" spans="8:8" x14ac:dyDescent="0.25">
      <c r="H17434" t="s">
        <v>1367</v>
      </c>
    </row>
    <row r="17435" spans="8:8" x14ac:dyDescent="0.25">
      <c r="H17435" t="s">
        <v>1368</v>
      </c>
    </row>
    <row r="17436" spans="8:8" x14ac:dyDescent="0.25">
      <c r="H17436" t="s">
        <v>1369</v>
      </c>
    </row>
    <row r="17437" spans="8:8" x14ac:dyDescent="0.25">
      <c r="H17437" t="s">
        <v>1370</v>
      </c>
    </row>
    <row r="17438" spans="8:8" x14ac:dyDescent="0.25">
      <c r="H17438" t="s">
        <v>1371</v>
      </c>
    </row>
    <row r="17439" spans="8:8" x14ac:dyDescent="0.25">
      <c r="H17439" t="s">
        <v>1372</v>
      </c>
    </row>
    <row r="17440" spans="8:8" x14ac:dyDescent="0.25">
      <c r="H17440" t="s">
        <v>1373</v>
      </c>
    </row>
    <row r="17441" spans="8:8" x14ac:dyDescent="0.25">
      <c r="H17441" t="s">
        <v>1374</v>
      </c>
    </row>
    <row r="17442" spans="8:8" x14ac:dyDescent="0.25">
      <c r="H17442" t="s">
        <v>1375</v>
      </c>
    </row>
    <row r="17443" spans="8:8" x14ac:dyDescent="0.25">
      <c r="H17443" t="s">
        <v>1376</v>
      </c>
    </row>
    <row r="17444" spans="8:8" x14ac:dyDescent="0.25">
      <c r="H17444" t="s">
        <v>1377</v>
      </c>
    </row>
    <row r="17445" spans="8:8" x14ac:dyDescent="0.25">
      <c r="H17445" t="s">
        <v>1378</v>
      </c>
    </row>
    <row r="17446" spans="8:8" x14ac:dyDescent="0.25">
      <c r="H17446" t="s">
        <v>1379</v>
      </c>
    </row>
    <row r="17447" spans="8:8" x14ac:dyDescent="0.25">
      <c r="H17447" t="s">
        <v>1380</v>
      </c>
    </row>
    <row r="17449" spans="8:8" x14ac:dyDescent="0.25">
      <c r="H17449" t="s">
        <v>1381</v>
      </c>
    </row>
    <row r="17450" spans="8:8" x14ac:dyDescent="0.25">
      <c r="H17450" t="s">
        <v>1382</v>
      </c>
    </row>
    <row r="17451" spans="8:8" x14ac:dyDescent="0.25">
      <c r="H17451" t="s">
        <v>1383</v>
      </c>
    </row>
    <row r="17452" spans="8:8" x14ac:dyDescent="0.25">
      <c r="H17452" t="s">
        <v>1384</v>
      </c>
    </row>
    <row r="17453" spans="8:8" x14ac:dyDescent="0.25">
      <c r="H17453" t="s">
        <v>1385</v>
      </c>
    </row>
    <row r="17454" spans="8:8" x14ac:dyDescent="0.25">
      <c r="H17454" t="s">
        <v>1386</v>
      </c>
    </row>
    <row r="17455" spans="8:8" x14ac:dyDescent="0.25">
      <c r="H17455" t="s">
        <v>1387</v>
      </c>
    </row>
    <row r="17456" spans="8:8" x14ac:dyDescent="0.25">
      <c r="H17456" t="s">
        <v>1388</v>
      </c>
    </row>
    <row r="17457" spans="8:8" x14ac:dyDescent="0.25">
      <c r="H17457" t="s">
        <v>1389</v>
      </c>
    </row>
    <row r="17458" spans="8:8" x14ac:dyDescent="0.25">
      <c r="H17458" t="s">
        <v>1390</v>
      </c>
    </row>
    <row r="17459" spans="8:8" x14ac:dyDescent="0.25">
      <c r="H17459" t="s">
        <v>1391</v>
      </c>
    </row>
    <row r="17460" spans="8:8" x14ac:dyDescent="0.25">
      <c r="H17460" t="s">
        <v>1392</v>
      </c>
    </row>
    <row r="17461" spans="8:8" x14ac:dyDescent="0.25">
      <c r="H17461" t="s">
        <v>1393</v>
      </c>
    </row>
    <row r="17462" spans="8:8" x14ac:dyDescent="0.25">
      <c r="H17462" t="s">
        <v>1394</v>
      </c>
    </row>
    <row r="17463" spans="8:8" x14ac:dyDescent="0.25">
      <c r="H17463" t="s">
        <v>1395</v>
      </c>
    </row>
    <row r="17464" spans="8:8" x14ac:dyDescent="0.25">
      <c r="H17464" t="s">
        <v>1396</v>
      </c>
    </row>
    <row r="17465" spans="8:8" x14ac:dyDescent="0.25">
      <c r="H17465" t="s">
        <v>1397</v>
      </c>
    </row>
    <row r="17467" spans="8:8" x14ac:dyDescent="0.25">
      <c r="H17467" t="s">
        <v>1398</v>
      </c>
    </row>
    <row r="17468" spans="8:8" x14ac:dyDescent="0.25">
      <c r="H17468" t="s">
        <v>1399</v>
      </c>
    </row>
    <row r="17469" spans="8:8" x14ac:dyDescent="0.25">
      <c r="H17469" t="s">
        <v>1400</v>
      </c>
    </row>
    <row r="17470" spans="8:8" x14ac:dyDescent="0.25">
      <c r="H17470" t="s">
        <v>1401</v>
      </c>
    </row>
    <row r="17471" spans="8:8" x14ac:dyDescent="0.25">
      <c r="H17471" t="s">
        <v>1402</v>
      </c>
    </row>
    <row r="17472" spans="8:8" x14ac:dyDescent="0.25">
      <c r="H17472" t="s">
        <v>1403</v>
      </c>
    </row>
    <row r="17473" spans="8:8" x14ac:dyDescent="0.25">
      <c r="H17473" t="s">
        <v>1404</v>
      </c>
    </row>
    <row r="17474" spans="8:8" x14ac:dyDescent="0.25">
      <c r="H17474" t="s">
        <v>1405</v>
      </c>
    </row>
    <row r="17475" spans="8:8" x14ac:dyDescent="0.25">
      <c r="H17475" t="s">
        <v>1406</v>
      </c>
    </row>
    <row r="17476" spans="8:8" x14ac:dyDescent="0.25">
      <c r="H17476" t="s">
        <v>1407</v>
      </c>
    </row>
    <row r="17477" spans="8:8" x14ac:dyDescent="0.25">
      <c r="H17477" t="s">
        <v>1408</v>
      </c>
    </row>
    <row r="17478" spans="8:8" x14ac:dyDescent="0.25">
      <c r="H17478" t="s">
        <v>1409</v>
      </c>
    </row>
    <row r="17479" spans="8:8" x14ac:dyDescent="0.25">
      <c r="H17479" t="s">
        <v>1410</v>
      </c>
    </row>
    <row r="17480" spans="8:8" x14ac:dyDescent="0.25">
      <c r="H17480" t="s">
        <v>1411</v>
      </c>
    </row>
    <row r="17481" spans="8:8" x14ac:dyDescent="0.25">
      <c r="H17481" t="s">
        <v>1412</v>
      </c>
    </row>
    <row r="17482" spans="8:8" x14ac:dyDescent="0.25">
      <c r="H17482" t="s">
        <v>1413</v>
      </c>
    </row>
    <row r="17483" spans="8:8" x14ac:dyDescent="0.25">
      <c r="H17483" t="s">
        <v>1414</v>
      </c>
    </row>
    <row r="17485" spans="8:8" x14ac:dyDescent="0.25">
      <c r="H17485" t="s">
        <v>1415</v>
      </c>
    </row>
    <row r="17486" spans="8:8" x14ac:dyDescent="0.25">
      <c r="H17486" t="s">
        <v>1416</v>
      </c>
    </row>
    <row r="17487" spans="8:8" x14ac:dyDescent="0.25">
      <c r="H17487" t="s">
        <v>1417</v>
      </c>
    </row>
    <row r="17488" spans="8:8" x14ac:dyDescent="0.25">
      <c r="H17488" t="s">
        <v>1418</v>
      </c>
    </row>
    <row r="17489" spans="8:8" x14ac:dyDescent="0.25">
      <c r="H17489" t="s">
        <v>1419</v>
      </c>
    </row>
    <row r="17490" spans="8:8" x14ac:dyDescent="0.25">
      <c r="H17490" t="s">
        <v>1420</v>
      </c>
    </row>
    <row r="17491" spans="8:8" x14ac:dyDescent="0.25">
      <c r="H17491" t="s">
        <v>1421</v>
      </c>
    </row>
    <row r="17492" spans="8:8" x14ac:dyDescent="0.25">
      <c r="H17492" t="s">
        <v>1422</v>
      </c>
    </row>
    <row r="17493" spans="8:8" x14ac:dyDescent="0.25">
      <c r="H17493" t="s">
        <v>1423</v>
      </c>
    </row>
    <row r="17494" spans="8:8" x14ac:dyDescent="0.25">
      <c r="H17494" t="s">
        <v>1424</v>
      </c>
    </row>
    <row r="17495" spans="8:8" x14ac:dyDescent="0.25">
      <c r="H17495" t="s">
        <v>1425</v>
      </c>
    </row>
    <row r="17496" spans="8:8" x14ac:dyDescent="0.25">
      <c r="H17496" t="s">
        <v>1426</v>
      </c>
    </row>
    <row r="17497" spans="8:8" x14ac:dyDescent="0.25">
      <c r="H17497" t="s">
        <v>1427</v>
      </c>
    </row>
    <row r="17498" spans="8:8" x14ac:dyDescent="0.25">
      <c r="H17498" t="s">
        <v>1428</v>
      </c>
    </row>
    <row r="17499" spans="8:8" x14ac:dyDescent="0.25">
      <c r="H17499" t="s">
        <v>1429</v>
      </c>
    </row>
    <row r="17500" spans="8:8" x14ac:dyDescent="0.25">
      <c r="H17500" t="s">
        <v>1430</v>
      </c>
    </row>
    <row r="17501" spans="8:8" x14ac:dyDescent="0.25">
      <c r="H17501" t="s">
        <v>1431</v>
      </c>
    </row>
    <row r="17503" spans="8:8" x14ac:dyDescent="0.25">
      <c r="H17503" t="s">
        <v>1432</v>
      </c>
    </row>
    <row r="17504" spans="8:8" x14ac:dyDescent="0.25">
      <c r="H17504" t="s">
        <v>1433</v>
      </c>
    </row>
    <row r="17505" spans="8:8" x14ac:dyDescent="0.25">
      <c r="H17505" t="s">
        <v>1434</v>
      </c>
    </row>
    <row r="17506" spans="8:8" x14ac:dyDescent="0.25">
      <c r="H17506" t="s">
        <v>1435</v>
      </c>
    </row>
    <row r="17507" spans="8:8" x14ac:dyDescent="0.25">
      <c r="H17507" t="s">
        <v>1436</v>
      </c>
    </row>
    <row r="17508" spans="8:8" x14ac:dyDescent="0.25">
      <c r="H17508" t="s">
        <v>1437</v>
      </c>
    </row>
    <row r="17509" spans="8:8" x14ac:dyDescent="0.25">
      <c r="H17509" t="s">
        <v>1438</v>
      </c>
    </row>
    <row r="17510" spans="8:8" x14ac:dyDescent="0.25">
      <c r="H17510" t="s">
        <v>1439</v>
      </c>
    </row>
    <row r="17511" spans="8:8" x14ac:dyDescent="0.25">
      <c r="H17511" t="s">
        <v>1440</v>
      </c>
    </row>
    <row r="17512" spans="8:8" x14ac:dyDescent="0.25">
      <c r="H17512" t="s">
        <v>1441</v>
      </c>
    </row>
    <row r="17513" spans="8:8" x14ac:dyDescent="0.25">
      <c r="H17513" t="s">
        <v>1442</v>
      </c>
    </row>
    <row r="17515" spans="8:8" x14ac:dyDescent="0.25">
      <c r="H17515" t="s">
        <v>1443</v>
      </c>
    </row>
    <row r="17516" spans="8:8" x14ac:dyDescent="0.25">
      <c r="H17516" t="s">
        <v>1444</v>
      </c>
    </row>
    <row r="17517" spans="8:8" x14ac:dyDescent="0.25">
      <c r="H17517" t="s">
        <v>1445</v>
      </c>
    </row>
    <row r="17518" spans="8:8" x14ac:dyDescent="0.25">
      <c r="H17518" t="s">
        <v>1446</v>
      </c>
    </row>
    <row r="17519" spans="8:8" x14ac:dyDescent="0.25">
      <c r="H17519" t="s">
        <v>1447</v>
      </c>
    </row>
    <row r="17520" spans="8:8" x14ac:dyDescent="0.25">
      <c r="H17520" t="s">
        <v>1448</v>
      </c>
    </row>
    <row r="17521" spans="8:8" x14ac:dyDescent="0.25">
      <c r="H17521" t="s">
        <v>1449</v>
      </c>
    </row>
    <row r="17522" spans="8:8" x14ac:dyDescent="0.25">
      <c r="H17522" t="s">
        <v>1450</v>
      </c>
    </row>
    <row r="17523" spans="8:8" x14ac:dyDescent="0.25">
      <c r="H17523" t="s">
        <v>1451</v>
      </c>
    </row>
    <row r="17524" spans="8:8" x14ac:dyDescent="0.25">
      <c r="H17524" t="s">
        <v>1452</v>
      </c>
    </row>
    <row r="17525" spans="8:8" x14ac:dyDescent="0.25">
      <c r="H17525" t="s">
        <v>1453</v>
      </c>
    </row>
    <row r="17526" spans="8:8" x14ac:dyDescent="0.25">
      <c r="H17526" t="s">
        <v>1454</v>
      </c>
    </row>
    <row r="17527" spans="8:8" x14ac:dyDescent="0.25">
      <c r="H17527" t="s">
        <v>1455</v>
      </c>
    </row>
    <row r="17528" spans="8:8" x14ac:dyDescent="0.25">
      <c r="H17528" t="s">
        <v>1456</v>
      </c>
    </row>
    <row r="17529" spans="8:8" x14ac:dyDescent="0.25">
      <c r="H17529" t="s">
        <v>1457</v>
      </c>
    </row>
    <row r="17530" spans="8:8" x14ac:dyDescent="0.25">
      <c r="H17530" t="s">
        <v>1458</v>
      </c>
    </row>
    <row r="17531" spans="8:8" x14ac:dyDescent="0.25">
      <c r="H17531" t="s">
        <v>1459</v>
      </c>
    </row>
    <row r="17533" spans="8:8" x14ac:dyDescent="0.25">
      <c r="H17533" t="s">
        <v>1460</v>
      </c>
    </row>
    <row r="17534" spans="8:8" x14ac:dyDescent="0.25">
      <c r="H17534" t="s">
        <v>1461</v>
      </c>
    </row>
    <row r="17535" spans="8:8" x14ac:dyDescent="0.25">
      <c r="H17535" t="s">
        <v>1462</v>
      </c>
    </row>
    <row r="17536" spans="8:8" x14ac:dyDescent="0.25">
      <c r="H17536" t="s">
        <v>1463</v>
      </c>
    </row>
    <row r="17537" spans="8:8" x14ac:dyDescent="0.25">
      <c r="H17537" t="s">
        <v>1464</v>
      </c>
    </row>
    <row r="17538" spans="8:8" x14ac:dyDescent="0.25">
      <c r="H17538" t="s">
        <v>1465</v>
      </c>
    </row>
    <row r="17539" spans="8:8" x14ac:dyDescent="0.25">
      <c r="H17539" t="s">
        <v>1466</v>
      </c>
    </row>
    <row r="17540" spans="8:8" x14ac:dyDescent="0.25">
      <c r="H17540" t="s">
        <v>1467</v>
      </c>
    </row>
    <row r="17541" spans="8:8" x14ac:dyDescent="0.25">
      <c r="H17541" t="s">
        <v>1468</v>
      </c>
    </row>
    <row r="17542" spans="8:8" x14ac:dyDescent="0.25">
      <c r="H17542" t="s">
        <v>1469</v>
      </c>
    </row>
    <row r="17543" spans="8:8" x14ac:dyDescent="0.25">
      <c r="H17543" t="s">
        <v>1470</v>
      </c>
    </row>
    <row r="17544" spans="8:8" x14ac:dyDescent="0.25">
      <c r="H17544" t="s">
        <v>1471</v>
      </c>
    </row>
    <row r="17545" spans="8:8" x14ac:dyDescent="0.25">
      <c r="H17545" t="s">
        <v>1472</v>
      </c>
    </row>
    <row r="17546" spans="8:8" x14ac:dyDescent="0.25">
      <c r="H17546" t="s">
        <v>1473</v>
      </c>
    </row>
    <row r="17547" spans="8:8" x14ac:dyDescent="0.25">
      <c r="H17547" t="s">
        <v>1474</v>
      </c>
    </row>
    <row r="17548" spans="8:8" x14ac:dyDescent="0.25">
      <c r="H17548" t="s">
        <v>1475</v>
      </c>
    </row>
    <row r="17549" spans="8:8" x14ac:dyDescent="0.25">
      <c r="H17549" t="s">
        <v>1476</v>
      </c>
    </row>
    <row r="17551" spans="8:8" x14ac:dyDescent="0.25">
      <c r="H17551" t="s">
        <v>1477</v>
      </c>
    </row>
    <row r="17552" spans="8:8" x14ac:dyDescent="0.25">
      <c r="H17552" t="s">
        <v>1478</v>
      </c>
    </row>
    <row r="17553" spans="8:8" x14ac:dyDescent="0.25">
      <c r="H17553" t="s">
        <v>1479</v>
      </c>
    </row>
    <row r="17555" spans="8:8" x14ac:dyDescent="0.25">
      <c r="H17555" t="s">
        <v>1480</v>
      </c>
    </row>
    <row r="17556" spans="8:8" x14ac:dyDescent="0.25">
      <c r="H17556" t="s">
        <v>1481</v>
      </c>
    </row>
    <row r="17557" spans="8:8" x14ac:dyDescent="0.25">
      <c r="H17557" t="s">
        <v>1482</v>
      </c>
    </row>
    <row r="17559" spans="8:8" x14ac:dyDescent="0.25">
      <c r="H17559" t="s">
        <v>1483</v>
      </c>
    </row>
    <row r="17560" spans="8:8" x14ac:dyDescent="0.25">
      <c r="H17560" t="s">
        <v>1484</v>
      </c>
    </row>
    <row r="17561" spans="8:8" x14ac:dyDescent="0.25">
      <c r="H17561" t="s">
        <v>1485</v>
      </c>
    </row>
    <row r="17563" spans="8:8" x14ac:dyDescent="0.25">
      <c r="H17563" t="s">
        <v>1486</v>
      </c>
    </row>
    <row r="17564" spans="8:8" x14ac:dyDescent="0.25">
      <c r="H17564" t="s">
        <v>1484</v>
      </c>
    </row>
    <row r="17565" spans="8:8" x14ac:dyDescent="0.25">
      <c r="H17565" t="s">
        <v>1487</v>
      </c>
    </row>
    <row r="17567" spans="8:8" x14ac:dyDescent="0.25">
      <c r="H17567" t="s">
        <v>1488</v>
      </c>
    </row>
    <row r="17568" spans="8:8" x14ac:dyDescent="0.25">
      <c r="H17568" t="s">
        <v>1489</v>
      </c>
    </row>
    <row r="17569" spans="8:8" x14ac:dyDescent="0.25">
      <c r="H17569" t="s">
        <v>1490</v>
      </c>
    </row>
    <row r="17571" spans="8:8" x14ac:dyDescent="0.25">
      <c r="H17571" t="s">
        <v>1491</v>
      </c>
    </row>
    <row r="17572" spans="8:8" x14ac:dyDescent="0.25">
      <c r="H17572" t="s">
        <v>1489</v>
      </c>
    </row>
    <row r="17573" spans="8:8" x14ac:dyDescent="0.25">
      <c r="H17573" t="s">
        <v>1492</v>
      </c>
    </row>
    <row r="17575" spans="8:8" x14ac:dyDescent="0.25">
      <c r="H17575" t="s">
        <v>1493</v>
      </c>
    </row>
    <row r="17576" spans="8:8" x14ac:dyDescent="0.25">
      <c r="H17576" t="s">
        <v>1494</v>
      </c>
    </row>
    <row r="17577" spans="8:8" x14ac:dyDescent="0.25">
      <c r="H17577" t="s">
        <v>1495</v>
      </c>
    </row>
    <row r="17579" spans="8:8" x14ac:dyDescent="0.25">
      <c r="H17579" t="s">
        <v>1496</v>
      </c>
    </row>
    <row r="17580" spans="8:8" x14ac:dyDescent="0.25">
      <c r="H17580" t="s">
        <v>1494</v>
      </c>
    </row>
    <row r="17581" spans="8:8" x14ac:dyDescent="0.25">
      <c r="H17581" t="s">
        <v>1497</v>
      </c>
    </row>
    <row r="17582" spans="8:8" x14ac:dyDescent="0.25">
      <c r="H17582" t="s">
        <v>1498</v>
      </c>
    </row>
    <row r="17583" spans="8:8" x14ac:dyDescent="0.25">
      <c r="H17583" t="s">
        <v>1499</v>
      </c>
    </row>
    <row r="17585" spans="8:8" x14ac:dyDescent="0.25">
      <c r="H17585" t="s">
        <v>1500</v>
      </c>
    </row>
    <row r="17586" spans="8:8" x14ac:dyDescent="0.25">
      <c r="H17586" t="s">
        <v>1501</v>
      </c>
    </row>
    <row r="17587" spans="8:8" x14ac:dyDescent="0.25">
      <c r="H17587" t="s">
        <v>1502</v>
      </c>
    </row>
    <row r="17589" spans="8:8" x14ac:dyDescent="0.25">
      <c r="H17589" t="s">
        <v>1503</v>
      </c>
    </row>
    <row r="17590" spans="8:8" x14ac:dyDescent="0.25">
      <c r="H17590" t="s">
        <v>1501</v>
      </c>
    </row>
    <row r="17591" spans="8:8" x14ac:dyDescent="0.25">
      <c r="H17591" t="s">
        <v>1504</v>
      </c>
    </row>
    <row r="17593" spans="8:8" x14ac:dyDescent="0.25">
      <c r="H17593" t="s">
        <v>15</v>
      </c>
    </row>
    <row r="17594" spans="8:8" x14ac:dyDescent="0.25">
      <c r="H17594" t="s">
        <v>118</v>
      </c>
    </row>
    <row r="17596" spans="8:8" x14ac:dyDescent="0.25">
      <c r="H17596" t="s">
        <v>16</v>
      </c>
    </row>
    <row r="17597" spans="8:8" x14ac:dyDescent="0.25">
      <c r="H17597" s="9" t="s">
        <v>60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ad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ead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H16731"/>
  <sheetViews>
    <sheetView workbookViewId="0">
      <selection activeCell="H29" sqref="H29"/>
    </sheetView>
  </sheetViews>
  <sheetFormatPr defaultRowHeight="15" x14ac:dyDescent="0.25"/>
  <cols>
    <col min="2" max="2" width="24.7109375" bestFit="1" customWidth="1"/>
    <col min="8" max="8" width="125.7109375" customWidth="1"/>
  </cols>
  <sheetData>
    <row r="1" spans="1:8" x14ac:dyDescent="0.25">
      <c r="A1" s="14"/>
    </row>
    <row r="2" spans="1:8" x14ac:dyDescent="0.25">
      <c r="B2" s="1" t="s">
        <v>10</v>
      </c>
      <c r="H2" s="1" t="s">
        <v>22</v>
      </c>
    </row>
    <row r="3" spans="1:8" x14ac:dyDescent="0.25">
      <c r="B3" t="s">
        <v>87</v>
      </c>
      <c r="H3" t="s">
        <v>89</v>
      </c>
    </row>
    <row r="4" spans="1:8" x14ac:dyDescent="0.25">
      <c r="H4" t="s">
        <v>88</v>
      </c>
    </row>
    <row r="5" spans="1:8" x14ac:dyDescent="0.25">
      <c r="B5" s="1" t="s">
        <v>20</v>
      </c>
      <c r="H5" t="s">
        <v>90</v>
      </c>
    </row>
    <row r="6" spans="1:8" x14ac:dyDescent="0.25">
      <c r="B6" t="s">
        <v>116</v>
      </c>
    </row>
    <row r="7" spans="1:8" x14ac:dyDescent="0.25">
      <c r="H7" t="s">
        <v>465</v>
      </c>
    </row>
    <row r="8" spans="1:8" x14ac:dyDescent="0.25">
      <c r="B8" s="1" t="s">
        <v>11</v>
      </c>
      <c r="H8" t="s">
        <v>466</v>
      </c>
    </row>
    <row r="9" spans="1:8" x14ac:dyDescent="0.25">
      <c r="B9" t="s">
        <v>113</v>
      </c>
      <c r="H9" t="s">
        <v>1505</v>
      </c>
    </row>
    <row r="10" spans="1:8" x14ac:dyDescent="0.25">
      <c r="H10" t="s">
        <v>468</v>
      </c>
    </row>
    <row r="11" spans="1:8" x14ac:dyDescent="0.25">
      <c r="B11" s="1"/>
      <c r="H11" t="s">
        <v>1506</v>
      </c>
    </row>
    <row r="12" spans="1:8" x14ac:dyDescent="0.25">
      <c r="H12" t="s">
        <v>470</v>
      </c>
    </row>
    <row r="13" spans="1:8" x14ac:dyDescent="0.25">
      <c r="H13" t="s">
        <v>1507</v>
      </c>
    </row>
    <row r="14" spans="1:8" x14ac:dyDescent="0.25">
      <c r="H14" t="s">
        <v>1753</v>
      </c>
    </row>
    <row r="15" spans="1:8" x14ac:dyDescent="0.25">
      <c r="H15" t="s">
        <v>1835</v>
      </c>
    </row>
    <row r="17" spans="2:8" x14ac:dyDescent="0.25">
      <c r="H17" t="s">
        <v>472</v>
      </c>
    </row>
    <row r="18" spans="2:8" x14ac:dyDescent="0.25">
      <c r="H18" t="s">
        <v>1755</v>
      </c>
    </row>
    <row r="19" spans="2:8" x14ac:dyDescent="0.25">
      <c r="H19" t="s">
        <v>2007</v>
      </c>
    </row>
    <row r="20" spans="2:8" x14ac:dyDescent="0.25">
      <c r="B20" s="1"/>
    </row>
    <row r="21" spans="2:8" x14ac:dyDescent="0.25">
      <c r="H21" t="s">
        <v>473</v>
      </c>
    </row>
    <row r="22" spans="2:8" x14ac:dyDescent="0.25">
      <c r="H22" t="s">
        <v>1755</v>
      </c>
    </row>
    <row r="23" spans="2:8" x14ac:dyDescent="0.25">
      <c r="H23" t="s">
        <v>2008</v>
      </c>
    </row>
    <row r="25" spans="2:8" x14ac:dyDescent="0.25">
      <c r="H25" t="s">
        <v>91</v>
      </c>
    </row>
    <row r="26" spans="2:8" x14ac:dyDescent="0.25">
      <c r="H26" t="s">
        <v>1755</v>
      </c>
    </row>
    <row r="27" spans="2:8" x14ac:dyDescent="0.25">
      <c r="H27" t="s">
        <v>2009</v>
      </c>
    </row>
    <row r="29" spans="2:8" x14ac:dyDescent="0.25">
      <c r="H29" t="s">
        <v>94</v>
      </c>
    </row>
    <row r="30" spans="2:8" x14ac:dyDescent="0.25">
      <c r="H30" t="s">
        <v>1756</v>
      </c>
    </row>
    <row r="31" spans="2:8" x14ac:dyDescent="0.25">
      <c r="H31" t="s">
        <v>2010</v>
      </c>
    </row>
    <row r="33" spans="8:8" x14ac:dyDescent="0.25">
      <c r="H33" t="s">
        <v>95</v>
      </c>
    </row>
    <row r="34" spans="8:8" x14ac:dyDescent="0.25">
      <c r="H34" t="s">
        <v>1756</v>
      </c>
    </row>
    <row r="35" spans="8:8" x14ac:dyDescent="0.25">
      <c r="H35" t="s">
        <v>2011</v>
      </c>
    </row>
    <row r="37" spans="8:8" x14ac:dyDescent="0.25">
      <c r="H37" t="s">
        <v>92</v>
      </c>
    </row>
    <row r="38" spans="8:8" x14ac:dyDescent="0.25">
      <c r="H38" t="s">
        <v>1756</v>
      </c>
    </row>
    <row r="39" spans="8:8" x14ac:dyDescent="0.25">
      <c r="H39" t="s">
        <v>2012</v>
      </c>
    </row>
    <row r="41" spans="8:8" x14ac:dyDescent="0.25">
      <c r="H41" t="s">
        <v>93</v>
      </c>
    </row>
    <row r="42" spans="8:8" x14ac:dyDescent="0.25">
      <c r="H42" t="s">
        <v>1756</v>
      </c>
    </row>
    <row r="43" spans="8:8" x14ac:dyDescent="0.25">
      <c r="H43" t="s">
        <v>2013</v>
      </c>
    </row>
    <row r="45" spans="8:8" x14ac:dyDescent="0.25">
      <c r="H45" t="s">
        <v>99</v>
      </c>
    </row>
    <row r="46" spans="8:8" x14ac:dyDescent="0.25">
      <c r="H46" t="s">
        <v>474</v>
      </c>
    </row>
    <row r="47" spans="8:8" x14ac:dyDescent="0.25">
      <c r="H47" t="s">
        <v>1508</v>
      </c>
    </row>
    <row r="49" spans="8:8" x14ac:dyDescent="0.25">
      <c r="H49" t="s">
        <v>98</v>
      </c>
    </row>
    <row r="50" spans="8:8" x14ac:dyDescent="0.25">
      <c r="H50" t="s">
        <v>474</v>
      </c>
    </row>
    <row r="51" spans="8:8" x14ac:dyDescent="0.25">
      <c r="H51" t="s">
        <v>1509</v>
      </c>
    </row>
    <row r="53" spans="8:8" x14ac:dyDescent="0.25">
      <c r="H53" t="s">
        <v>96</v>
      </c>
    </row>
    <row r="54" spans="8:8" x14ac:dyDescent="0.25">
      <c r="H54" t="s">
        <v>474</v>
      </c>
    </row>
    <row r="55" spans="8:8" x14ac:dyDescent="0.25">
      <c r="H55" t="s">
        <v>1510</v>
      </c>
    </row>
    <row r="57" spans="8:8" x14ac:dyDescent="0.25">
      <c r="H57" t="s">
        <v>97</v>
      </c>
    </row>
    <row r="58" spans="8:8" x14ac:dyDescent="0.25">
      <c r="H58" t="s">
        <v>474</v>
      </c>
    </row>
    <row r="59" spans="8:8" x14ac:dyDescent="0.25">
      <c r="H59" t="s">
        <v>1511</v>
      </c>
    </row>
    <row r="61" spans="8:8" x14ac:dyDescent="0.25">
      <c r="H61" t="s">
        <v>102</v>
      </c>
    </row>
    <row r="62" spans="8:8" x14ac:dyDescent="0.25">
      <c r="H62" t="s">
        <v>1757</v>
      </c>
    </row>
    <row r="63" spans="8:8" x14ac:dyDescent="0.25">
      <c r="H63" t="s">
        <v>2014</v>
      </c>
    </row>
    <row r="65" spans="8:8" x14ac:dyDescent="0.25">
      <c r="H65" t="s">
        <v>103</v>
      </c>
    </row>
    <row r="66" spans="8:8" x14ac:dyDescent="0.25">
      <c r="H66" t="s">
        <v>1757</v>
      </c>
    </row>
    <row r="67" spans="8:8" x14ac:dyDescent="0.25">
      <c r="H67" t="s">
        <v>2015</v>
      </c>
    </row>
    <row r="69" spans="8:8" x14ac:dyDescent="0.25">
      <c r="H69" t="s">
        <v>100</v>
      </c>
    </row>
    <row r="70" spans="8:8" x14ac:dyDescent="0.25">
      <c r="H70" t="s">
        <v>1757</v>
      </c>
    </row>
    <row r="71" spans="8:8" x14ac:dyDescent="0.25">
      <c r="H71" t="s">
        <v>2016</v>
      </c>
    </row>
    <row r="73" spans="8:8" x14ac:dyDescent="0.25">
      <c r="H73" t="s">
        <v>101</v>
      </c>
    </row>
    <row r="74" spans="8:8" x14ac:dyDescent="0.25">
      <c r="H74" t="s">
        <v>1757</v>
      </c>
    </row>
    <row r="75" spans="8:8" x14ac:dyDescent="0.25">
      <c r="H75" t="s">
        <v>2017</v>
      </c>
    </row>
    <row r="77" spans="8:8" x14ac:dyDescent="0.25">
      <c r="H77" t="s">
        <v>106</v>
      </c>
    </row>
    <row r="78" spans="8:8" x14ac:dyDescent="0.25">
      <c r="H78" t="s">
        <v>479</v>
      </c>
    </row>
    <row r="79" spans="8:8" x14ac:dyDescent="0.25">
      <c r="H79" t="s">
        <v>1512</v>
      </c>
    </row>
    <row r="80" spans="8:8" x14ac:dyDescent="0.25">
      <c r="H80" t="s">
        <v>481</v>
      </c>
    </row>
    <row r="81" spans="8:8" x14ac:dyDescent="0.25">
      <c r="H81" t="s">
        <v>1513</v>
      </c>
    </row>
    <row r="83" spans="8:8" x14ac:dyDescent="0.25">
      <c r="H83" t="s">
        <v>107</v>
      </c>
    </row>
    <row r="84" spans="8:8" x14ac:dyDescent="0.25">
      <c r="H84" t="s">
        <v>479</v>
      </c>
    </row>
    <row r="85" spans="8:8" x14ac:dyDescent="0.25">
      <c r="H85" t="s">
        <v>1514</v>
      </c>
    </row>
    <row r="87" spans="8:8" x14ac:dyDescent="0.25">
      <c r="H87" t="s">
        <v>104</v>
      </c>
    </row>
    <row r="88" spans="8:8" x14ac:dyDescent="0.25">
      <c r="H88" t="s">
        <v>484</v>
      </c>
    </row>
    <row r="89" spans="8:8" x14ac:dyDescent="0.25">
      <c r="H89" t="s">
        <v>1515</v>
      </c>
    </row>
    <row r="90" spans="8:8" x14ac:dyDescent="0.25">
      <c r="H90" t="s">
        <v>486</v>
      </c>
    </row>
    <row r="91" spans="8:8" x14ac:dyDescent="0.25">
      <c r="H91" t="s">
        <v>1516</v>
      </c>
    </row>
    <row r="93" spans="8:8" x14ac:dyDescent="0.25">
      <c r="H93" t="s">
        <v>105</v>
      </c>
    </row>
    <row r="94" spans="8:8" x14ac:dyDescent="0.25">
      <c r="H94" t="s">
        <v>484</v>
      </c>
    </row>
    <row r="95" spans="8:8" x14ac:dyDescent="0.25">
      <c r="H95" t="s">
        <v>1517</v>
      </c>
    </row>
    <row r="97" spans="8:8" x14ac:dyDescent="0.25">
      <c r="H97" t="s">
        <v>489</v>
      </c>
    </row>
    <row r="98" spans="8:8" x14ac:dyDescent="0.25">
      <c r="H98" t="s">
        <v>1758</v>
      </c>
    </row>
    <row r="99" spans="8:8" x14ac:dyDescent="0.25">
      <c r="H99" t="s">
        <v>2018</v>
      </c>
    </row>
    <row r="101" spans="8:8" x14ac:dyDescent="0.25">
      <c r="H101" t="s">
        <v>490</v>
      </c>
    </row>
    <row r="102" spans="8:8" x14ac:dyDescent="0.25">
      <c r="H102" t="s">
        <v>1758</v>
      </c>
    </row>
    <row r="103" spans="8:8" x14ac:dyDescent="0.25">
      <c r="H103" t="s">
        <v>2019</v>
      </c>
    </row>
    <row r="105" spans="8:8" x14ac:dyDescent="0.25">
      <c r="H105" t="s">
        <v>491</v>
      </c>
    </row>
    <row r="106" spans="8:8" x14ac:dyDescent="0.25">
      <c r="H106" t="s">
        <v>1758</v>
      </c>
    </row>
    <row r="107" spans="8:8" x14ac:dyDescent="0.25">
      <c r="H107" t="s">
        <v>2020</v>
      </c>
    </row>
    <row r="109" spans="8:8" x14ac:dyDescent="0.25">
      <c r="H109" t="s">
        <v>108</v>
      </c>
    </row>
    <row r="110" spans="8:8" x14ac:dyDescent="0.25">
      <c r="H110" t="s">
        <v>1758</v>
      </c>
    </row>
    <row r="111" spans="8:8" x14ac:dyDescent="0.25">
      <c r="H111" t="s">
        <v>2021</v>
      </c>
    </row>
    <row r="113" spans="8:8" x14ac:dyDescent="0.25">
      <c r="H113" t="s">
        <v>492</v>
      </c>
    </row>
    <row r="114" spans="8:8" x14ac:dyDescent="0.25">
      <c r="H114" t="s">
        <v>1759</v>
      </c>
    </row>
    <row r="115" spans="8:8" x14ac:dyDescent="0.25">
      <c r="H115" t="s">
        <v>2022</v>
      </c>
    </row>
    <row r="117" spans="8:8" x14ac:dyDescent="0.25">
      <c r="H117" t="s">
        <v>493</v>
      </c>
    </row>
    <row r="118" spans="8:8" x14ac:dyDescent="0.25">
      <c r="H118" t="s">
        <v>1759</v>
      </c>
    </row>
    <row r="119" spans="8:8" x14ac:dyDescent="0.25">
      <c r="H119" t="s">
        <v>2023</v>
      </c>
    </row>
    <row r="121" spans="8:8" x14ac:dyDescent="0.25">
      <c r="H121" t="s">
        <v>494</v>
      </c>
    </row>
    <row r="122" spans="8:8" x14ac:dyDescent="0.25">
      <c r="H122" t="s">
        <v>1759</v>
      </c>
    </row>
    <row r="123" spans="8:8" x14ac:dyDescent="0.25">
      <c r="H123" t="s">
        <v>2024</v>
      </c>
    </row>
    <row r="125" spans="8:8" x14ac:dyDescent="0.25">
      <c r="H125" t="s">
        <v>109</v>
      </c>
    </row>
    <row r="126" spans="8:8" x14ac:dyDescent="0.25">
      <c r="H126" t="s">
        <v>1759</v>
      </c>
    </row>
    <row r="127" spans="8:8" x14ac:dyDescent="0.25">
      <c r="H127" t="s">
        <v>2025</v>
      </c>
    </row>
    <row r="129" spans="8:8" x14ac:dyDescent="0.25">
      <c r="H129" t="s">
        <v>495</v>
      </c>
    </row>
    <row r="130" spans="8:8" x14ac:dyDescent="0.25">
      <c r="H130" t="s">
        <v>1760</v>
      </c>
    </row>
    <row r="131" spans="8:8" x14ac:dyDescent="0.25">
      <c r="H131" t="s">
        <v>2026</v>
      </c>
    </row>
    <row r="133" spans="8:8" x14ac:dyDescent="0.25">
      <c r="H133" t="s">
        <v>496</v>
      </c>
    </row>
    <row r="134" spans="8:8" x14ac:dyDescent="0.25">
      <c r="H134" t="s">
        <v>1760</v>
      </c>
    </row>
    <row r="135" spans="8:8" x14ac:dyDescent="0.25">
      <c r="H135" t="s">
        <v>2027</v>
      </c>
    </row>
    <row r="137" spans="8:8" x14ac:dyDescent="0.25">
      <c r="H137" t="s">
        <v>497</v>
      </c>
    </row>
    <row r="138" spans="8:8" x14ac:dyDescent="0.25">
      <c r="H138" t="s">
        <v>1760</v>
      </c>
    </row>
    <row r="139" spans="8:8" x14ac:dyDescent="0.25">
      <c r="H139" t="s">
        <v>2028</v>
      </c>
    </row>
    <row r="141" spans="8:8" x14ac:dyDescent="0.25">
      <c r="H141" t="s">
        <v>498</v>
      </c>
    </row>
    <row r="142" spans="8:8" x14ac:dyDescent="0.25">
      <c r="H142" t="s">
        <v>1760</v>
      </c>
    </row>
    <row r="143" spans="8:8" x14ac:dyDescent="0.25">
      <c r="H143" t="s">
        <v>2029</v>
      </c>
    </row>
    <row r="145" spans="8:8" x14ac:dyDescent="0.25">
      <c r="H145" t="s">
        <v>499</v>
      </c>
    </row>
    <row r="146" spans="8:8" x14ac:dyDescent="0.25">
      <c r="H146" t="s">
        <v>500</v>
      </c>
    </row>
    <row r="147" spans="8:8" x14ac:dyDescent="0.25">
      <c r="H147" t="s">
        <v>1518</v>
      </c>
    </row>
    <row r="149" spans="8:8" x14ac:dyDescent="0.25">
      <c r="H149" t="s">
        <v>502</v>
      </c>
    </row>
    <row r="150" spans="8:8" x14ac:dyDescent="0.25">
      <c r="H150" t="s">
        <v>500</v>
      </c>
    </row>
    <row r="151" spans="8:8" x14ac:dyDescent="0.25">
      <c r="H151" t="s">
        <v>1519</v>
      </c>
    </row>
    <row r="153" spans="8:8" x14ac:dyDescent="0.25">
      <c r="H153" t="s">
        <v>504</v>
      </c>
    </row>
    <row r="154" spans="8:8" x14ac:dyDescent="0.25">
      <c r="H154" t="s">
        <v>500</v>
      </c>
    </row>
    <row r="155" spans="8:8" x14ac:dyDescent="0.25">
      <c r="H155" t="s">
        <v>1520</v>
      </c>
    </row>
    <row r="157" spans="8:8" x14ac:dyDescent="0.25">
      <c r="H157" t="s">
        <v>506</v>
      </c>
    </row>
    <row r="158" spans="8:8" x14ac:dyDescent="0.25">
      <c r="H158" t="s">
        <v>500</v>
      </c>
    </row>
    <row r="159" spans="8:8" x14ac:dyDescent="0.25">
      <c r="H159" t="s">
        <v>1521</v>
      </c>
    </row>
    <row r="161" spans="8:8" x14ac:dyDescent="0.25">
      <c r="H161" t="s">
        <v>508</v>
      </c>
    </row>
    <row r="162" spans="8:8" x14ac:dyDescent="0.25">
      <c r="H162" t="s">
        <v>509</v>
      </c>
    </row>
    <row r="163" spans="8:8" x14ac:dyDescent="0.25">
      <c r="H163" t="s">
        <v>1522</v>
      </c>
    </row>
    <row r="165" spans="8:8" x14ac:dyDescent="0.25">
      <c r="H165" t="s">
        <v>511</v>
      </c>
    </row>
    <row r="166" spans="8:8" x14ac:dyDescent="0.25">
      <c r="H166" t="s">
        <v>512</v>
      </c>
    </row>
    <row r="167" spans="8:8" x14ac:dyDescent="0.25">
      <c r="H167" t="s">
        <v>1523</v>
      </c>
    </row>
    <row r="169" spans="8:8" x14ac:dyDescent="0.25">
      <c r="H169" t="s">
        <v>514</v>
      </c>
    </row>
    <row r="170" spans="8:8" x14ac:dyDescent="0.25">
      <c r="H170" t="s">
        <v>515</v>
      </c>
    </row>
    <row r="171" spans="8:8" x14ac:dyDescent="0.25">
      <c r="H171" t="s">
        <v>1524</v>
      </c>
    </row>
    <row r="173" spans="8:8" x14ac:dyDescent="0.25">
      <c r="H173" t="s">
        <v>517</v>
      </c>
    </row>
    <row r="174" spans="8:8" x14ac:dyDescent="0.25">
      <c r="H174" t="s">
        <v>518</v>
      </c>
    </row>
    <row r="175" spans="8:8" x14ac:dyDescent="0.25">
      <c r="H175" t="s">
        <v>1525</v>
      </c>
    </row>
    <row r="177" spans="8:8" x14ac:dyDescent="0.25">
      <c r="H177" t="s">
        <v>520</v>
      </c>
    </row>
    <row r="178" spans="8:8" x14ac:dyDescent="0.25">
      <c r="H178" t="s">
        <v>521</v>
      </c>
    </row>
    <row r="179" spans="8:8" x14ac:dyDescent="0.25">
      <c r="H179" t="s">
        <v>1526</v>
      </c>
    </row>
    <row r="181" spans="8:8" x14ac:dyDescent="0.25">
      <c r="H181" t="s">
        <v>523</v>
      </c>
    </row>
    <row r="182" spans="8:8" x14ac:dyDescent="0.25">
      <c r="H182" t="s">
        <v>524</v>
      </c>
    </row>
    <row r="183" spans="8:8" x14ac:dyDescent="0.25">
      <c r="H183" t="s">
        <v>1527</v>
      </c>
    </row>
    <row r="185" spans="8:8" x14ac:dyDescent="0.25">
      <c r="H185" t="s">
        <v>526</v>
      </c>
    </row>
    <row r="186" spans="8:8" x14ac:dyDescent="0.25">
      <c r="H186" t="s">
        <v>527</v>
      </c>
    </row>
    <row r="187" spans="8:8" x14ac:dyDescent="0.25">
      <c r="H187" t="s">
        <v>1528</v>
      </c>
    </row>
    <row r="189" spans="8:8" x14ac:dyDescent="0.25">
      <c r="H189" t="s">
        <v>529</v>
      </c>
    </row>
    <row r="190" spans="8:8" x14ac:dyDescent="0.25">
      <c r="H190" t="s">
        <v>530</v>
      </c>
    </row>
    <row r="191" spans="8:8" x14ac:dyDescent="0.25">
      <c r="H191" t="s">
        <v>1529</v>
      </c>
    </row>
    <row r="193" spans="8:8" x14ac:dyDescent="0.25">
      <c r="H193" t="s">
        <v>532</v>
      </c>
    </row>
    <row r="194" spans="8:8" x14ac:dyDescent="0.25">
      <c r="H194" t="s">
        <v>533</v>
      </c>
    </row>
    <row r="195" spans="8:8" x14ac:dyDescent="0.25">
      <c r="H195" t="s">
        <v>1530</v>
      </c>
    </row>
    <row r="197" spans="8:8" x14ac:dyDescent="0.25">
      <c r="H197" t="s">
        <v>535</v>
      </c>
    </row>
    <row r="198" spans="8:8" x14ac:dyDescent="0.25">
      <c r="H198" t="s">
        <v>536</v>
      </c>
    </row>
    <row r="199" spans="8:8" x14ac:dyDescent="0.25">
      <c r="H199" t="s">
        <v>1531</v>
      </c>
    </row>
    <row r="201" spans="8:8" x14ac:dyDescent="0.25">
      <c r="H201" t="s">
        <v>538</v>
      </c>
    </row>
    <row r="202" spans="8:8" x14ac:dyDescent="0.25">
      <c r="H202" t="s">
        <v>1761</v>
      </c>
    </row>
    <row r="203" spans="8:8" x14ac:dyDescent="0.25">
      <c r="H203" t="s">
        <v>2030</v>
      </c>
    </row>
    <row r="205" spans="8:8" x14ac:dyDescent="0.25">
      <c r="H205" t="s">
        <v>539</v>
      </c>
    </row>
    <row r="206" spans="8:8" x14ac:dyDescent="0.25">
      <c r="H206" t="s">
        <v>1761</v>
      </c>
    </row>
    <row r="207" spans="8:8" x14ac:dyDescent="0.25">
      <c r="H207" t="s">
        <v>2031</v>
      </c>
    </row>
    <row r="209" spans="8:8" x14ac:dyDescent="0.25">
      <c r="H209" t="s">
        <v>540</v>
      </c>
    </row>
    <row r="210" spans="8:8" x14ac:dyDescent="0.25">
      <c r="H210" t="s">
        <v>1761</v>
      </c>
    </row>
    <row r="211" spans="8:8" x14ac:dyDescent="0.25">
      <c r="H211" t="s">
        <v>2032</v>
      </c>
    </row>
    <row r="213" spans="8:8" x14ac:dyDescent="0.25">
      <c r="H213" t="s">
        <v>541</v>
      </c>
    </row>
    <row r="214" spans="8:8" x14ac:dyDescent="0.25">
      <c r="H214" t="s">
        <v>1761</v>
      </c>
    </row>
    <row r="215" spans="8:8" x14ac:dyDescent="0.25">
      <c r="H215" t="s">
        <v>2033</v>
      </c>
    </row>
    <row r="217" spans="8:8" x14ac:dyDescent="0.25">
      <c r="H217" t="s">
        <v>123</v>
      </c>
    </row>
    <row r="218" spans="8:8" x14ac:dyDescent="0.25">
      <c r="H218" t="s">
        <v>1762</v>
      </c>
    </row>
    <row r="219" spans="8:8" x14ac:dyDescent="0.25">
      <c r="H219" t="s">
        <v>2034</v>
      </c>
    </row>
    <row r="221" spans="8:8" x14ac:dyDescent="0.25">
      <c r="H221" t="s">
        <v>124</v>
      </c>
    </row>
    <row r="222" spans="8:8" x14ac:dyDescent="0.25">
      <c r="H222" t="s">
        <v>1762</v>
      </c>
    </row>
    <row r="223" spans="8:8" x14ac:dyDescent="0.25">
      <c r="H223" t="s">
        <v>2035</v>
      </c>
    </row>
    <row r="225" spans="8:8" x14ac:dyDescent="0.25">
      <c r="H225" t="s">
        <v>125</v>
      </c>
    </row>
    <row r="226" spans="8:8" x14ac:dyDescent="0.25">
      <c r="H226" t="s">
        <v>1762</v>
      </c>
    </row>
    <row r="227" spans="8:8" x14ac:dyDescent="0.25">
      <c r="H227" t="s">
        <v>2036</v>
      </c>
    </row>
    <row r="229" spans="8:8" x14ac:dyDescent="0.25">
      <c r="H229" t="s">
        <v>126</v>
      </c>
    </row>
    <row r="230" spans="8:8" x14ac:dyDescent="0.25">
      <c r="H230" t="s">
        <v>1762</v>
      </c>
    </row>
    <row r="231" spans="8:8" x14ac:dyDescent="0.25">
      <c r="H231" t="s">
        <v>2037</v>
      </c>
    </row>
    <row r="233" spans="8:8" x14ac:dyDescent="0.25">
      <c r="H233" t="s">
        <v>127</v>
      </c>
    </row>
    <row r="234" spans="8:8" x14ac:dyDescent="0.25">
      <c r="H234" t="s">
        <v>1763</v>
      </c>
    </row>
    <row r="235" spans="8:8" x14ac:dyDescent="0.25">
      <c r="H235" t="s">
        <v>2038</v>
      </c>
    </row>
    <row r="237" spans="8:8" x14ac:dyDescent="0.25">
      <c r="H237" t="s">
        <v>128</v>
      </c>
    </row>
    <row r="238" spans="8:8" x14ac:dyDescent="0.25">
      <c r="H238" t="s">
        <v>1763</v>
      </c>
    </row>
    <row r="239" spans="8:8" x14ac:dyDescent="0.25">
      <c r="H239" t="s">
        <v>2039</v>
      </c>
    </row>
    <row r="241" spans="8:8" x14ac:dyDescent="0.25">
      <c r="H241" t="s">
        <v>129</v>
      </c>
    </row>
    <row r="242" spans="8:8" x14ac:dyDescent="0.25">
      <c r="H242" t="s">
        <v>1763</v>
      </c>
    </row>
    <row r="243" spans="8:8" x14ac:dyDescent="0.25">
      <c r="H243" t="s">
        <v>2040</v>
      </c>
    </row>
    <row r="245" spans="8:8" x14ac:dyDescent="0.25">
      <c r="H245" t="s">
        <v>130</v>
      </c>
    </row>
    <row r="246" spans="8:8" x14ac:dyDescent="0.25">
      <c r="H246" t="s">
        <v>1763</v>
      </c>
    </row>
    <row r="247" spans="8:8" x14ac:dyDescent="0.25">
      <c r="H247" t="s">
        <v>2041</v>
      </c>
    </row>
    <row r="249" spans="8:8" x14ac:dyDescent="0.25">
      <c r="H249" t="s">
        <v>542</v>
      </c>
    </row>
    <row r="250" spans="8:8" x14ac:dyDescent="0.25">
      <c r="H250" t="s">
        <v>1764</v>
      </c>
    </row>
    <row r="251" spans="8:8" x14ac:dyDescent="0.25">
      <c r="H251" t="s">
        <v>2042</v>
      </c>
    </row>
    <row r="253" spans="8:8" x14ac:dyDescent="0.25">
      <c r="H253" t="s">
        <v>543</v>
      </c>
    </row>
    <row r="254" spans="8:8" x14ac:dyDescent="0.25">
      <c r="H254" t="s">
        <v>1764</v>
      </c>
    </row>
    <row r="255" spans="8:8" x14ac:dyDescent="0.25">
      <c r="H255" t="s">
        <v>2043</v>
      </c>
    </row>
    <row r="257" spans="8:8" x14ac:dyDescent="0.25">
      <c r="H257" t="s">
        <v>131</v>
      </c>
    </row>
    <row r="258" spans="8:8" x14ac:dyDescent="0.25">
      <c r="H258" t="s">
        <v>1764</v>
      </c>
    </row>
    <row r="259" spans="8:8" x14ac:dyDescent="0.25">
      <c r="H259" t="s">
        <v>2044</v>
      </c>
    </row>
    <row r="261" spans="8:8" x14ac:dyDescent="0.25">
      <c r="H261" t="s">
        <v>132</v>
      </c>
    </row>
    <row r="262" spans="8:8" x14ac:dyDescent="0.25">
      <c r="H262" t="s">
        <v>1764</v>
      </c>
    </row>
    <row r="263" spans="8:8" x14ac:dyDescent="0.25">
      <c r="H263" t="s">
        <v>2045</v>
      </c>
    </row>
    <row r="265" spans="8:8" x14ac:dyDescent="0.25">
      <c r="H265" t="s">
        <v>133</v>
      </c>
    </row>
    <row r="266" spans="8:8" x14ac:dyDescent="0.25">
      <c r="H266" t="s">
        <v>1765</v>
      </c>
    </row>
    <row r="267" spans="8:8" x14ac:dyDescent="0.25">
      <c r="H267" t="s">
        <v>2046</v>
      </c>
    </row>
    <row r="269" spans="8:8" x14ac:dyDescent="0.25">
      <c r="H269" t="s">
        <v>134</v>
      </c>
    </row>
    <row r="270" spans="8:8" x14ac:dyDescent="0.25">
      <c r="H270" t="s">
        <v>1765</v>
      </c>
    </row>
    <row r="271" spans="8:8" x14ac:dyDescent="0.25">
      <c r="H271" t="s">
        <v>2047</v>
      </c>
    </row>
    <row r="273" spans="8:8" x14ac:dyDescent="0.25">
      <c r="H273" t="s">
        <v>135</v>
      </c>
    </row>
    <row r="274" spans="8:8" x14ac:dyDescent="0.25">
      <c r="H274" t="s">
        <v>1765</v>
      </c>
    </row>
    <row r="275" spans="8:8" x14ac:dyDescent="0.25">
      <c r="H275" t="s">
        <v>2048</v>
      </c>
    </row>
    <row r="277" spans="8:8" x14ac:dyDescent="0.25">
      <c r="H277" t="s">
        <v>136</v>
      </c>
    </row>
    <row r="278" spans="8:8" x14ac:dyDescent="0.25">
      <c r="H278" t="s">
        <v>1765</v>
      </c>
    </row>
    <row r="279" spans="8:8" x14ac:dyDescent="0.25">
      <c r="H279" t="s">
        <v>2049</v>
      </c>
    </row>
    <row r="281" spans="8:8" x14ac:dyDescent="0.25">
      <c r="H281" t="s">
        <v>137</v>
      </c>
    </row>
    <row r="282" spans="8:8" x14ac:dyDescent="0.25">
      <c r="H282" t="s">
        <v>1766</v>
      </c>
    </row>
    <row r="283" spans="8:8" x14ac:dyDescent="0.25">
      <c r="H283" t="s">
        <v>2050</v>
      </c>
    </row>
    <row r="285" spans="8:8" x14ac:dyDescent="0.25">
      <c r="H285" t="s">
        <v>138</v>
      </c>
    </row>
    <row r="286" spans="8:8" x14ac:dyDescent="0.25">
      <c r="H286" t="s">
        <v>1766</v>
      </c>
    </row>
    <row r="287" spans="8:8" x14ac:dyDescent="0.25">
      <c r="H287" t="s">
        <v>2051</v>
      </c>
    </row>
    <row r="289" spans="8:8" x14ac:dyDescent="0.25">
      <c r="H289" t="s">
        <v>139</v>
      </c>
    </row>
    <row r="290" spans="8:8" x14ac:dyDescent="0.25">
      <c r="H290" t="s">
        <v>1766</v>
      </c>
    </row>
    <row r="291" spans="8:8" x14ac:dyDescent="0.25">
      <c r="H291" t="s">
        <v>2052</v>
      </c>
    </row>
    <row r="293" spans="8:8" x14ac:dyDescent="0.25">
      <c r="H293" t="s">
        <v>140</v>
      </c>
    </row>
    <row r="294" spans="8:8" x14ac:dyDescent="0.25">
      <c r="H294" t="s">
        <v>1766</v>
      </c>
    </row>
    <row r="295" spans="8:8" x14ac:dyDescent="0.25">
      <c r="H295" t="s">
        <v>2053</v>
      </c>
    </row>
    <row r="297" spans="8:8" x14ac:dyDescent="0.25">
      <c r="H297" t="s">
        <v>141</v>
      </c>
    </row>
    <row r="298" spans="8:8" x14ac:dyDescent="0.25">
      <c r="H298" t="s">
        <v>544</v>
      </c>
    </row>
    <row r="299" spans="8:8" x14ac:dyDescent="0.25">
      <c r="H299" t="s">
        <v>1532</v>
      </c>
    </row>
    <row r="301" spans="8:8" x14ac:dyDescent="0.25">
      <c r="H301" t="s">
        <v>142</v>
      </c>
    </row>
    <row r="302" spans="8:8" x14ac:dyDescent="0.25">
      <c r="H302" t="s">
        <v>544</v>
      </c>
    </row>
    <row r="303" spans="8:8" x14ac:dyDescent="0.25">
      <c r="H303" t="s">
        <v>1533</v>
      </c>
    </row>
    <row r="305" spans="8:8" x14ac:dyDescent="0.25">
      <c r="H305" t="s">
        <v>143</v>
      </c>
    </row>
    <row r="306" spans="8:8" x14ac:dyDescent="0.25">
      <c r="H306" t="s">
        <v>544</v>
      </c>
    </row>
    <row r="307" spans="8:8" x14ac:dyDescent="0.25">
      <c r="H307" t="s">
        <v>1534</v>
      </c>
    </row>
    <row r="309" spans="8:8" x14ac:dyDescent="0.25">
      <c r="H309" t="s">
        <v>144</v>
      </c>
    </row>
    <row r="310" spans="8:8" x14ac:dyDescent="0.25">
      <c r="H310" t="s">
        <v>544</v>
      </c>
    </row>
    <row r="311" spans="8:8" x14ac:dyDescent="0.25">
      <c r="H311" t="s">
        <v>1535</v>
      </c>
    </row>
    <row r="313" spans="8:8" x14ac:dyDescent="0.25">
      <c r="H313" t="s">
        <v>145</v>
      </c>
    </row>
    <row r="314" spans="8:8" x14ac:dyDescent="0.25">
      <c r="H314" t="s">
        <v>549</v>
      </c>
    </row>
    <row r="315" spans="8:8" x14ac:dyDescent="0.25">
      <c r="H315" t="s">
        <v>1536</v>
      </c>
    </row>
    <row r="317" spans="8:8" x14ac:dyDescent="0.25">
      <c r="H317" t="s">
        <v>146</v>
      </c>
    </row>
    <row r="318" spans="8:8" x14ac:dyDescent="0.25">
      <c r="H318" t="s">
        <v>549</v>
      </c>
    </row>
    <row r="319" spans="8:8" x14ac:dyDescent="0.25">
      <c r="H319" t="s">
        <v>1537</v>
      </c>
    </row>
    <row r="321" spans="8:8" x14ac:dyDescent="0.25">
      <c r="H321" t="s">
        <v>147</v>
      </c>
    </row>
    <row r="322" spans="8:8" x14ac:dyDescent="0.25">
      <c r="H322" t="s">
        <v>549</v>
      </c>
    </row>
    <row r="323" spans="8:8" x14ac:dyDescent="0.25">
      <c r="H323" t="s">
        <v>1538</v>
      </c>
    </row>
    <row r="325" spans="8:8" x14ac:dyDescent="0.25">
      <c r="H325" t="s">
        <v>148</v>
      </c>
    </row>
    <row r="326" spans="8:8" x14ac:dyDescent="0.25">
      <c r="H326" t="s">
        <v>549</v>
      </c>
    </row>
    <row r="327" spans="8:8" x14ac:dyDescent="0.25">
      <c r="H327" t="s">
        <v>1539</v>
      </c>
    </row>
    <row r="329" spans="8:8" x14ac:dyDescent="0.25">
      <c r="H329" t="s">
        <v>554</v>
      </c>
    </row>
    <row r="330" spans="8:8" x14ac:dyDescent="0.25">
      <c r="H330" t="s">
        <v>1767</v>
      </c>
    </row>
    <row r="331" spans="8:8" x14ac:dyDescent="0.25">
      <c r="H331" t="s">
        <v>2054</v>
      </c>
    </row>
    <row r="333" spans="8:8" x14ac:dyDescent="0.25">
      <c r="H333" t="s">
        <v>555</v>
      </c>
    </row>
    <row r="334" spans="8:8" x14ac:dyDescent="0.25">
      <c r="H334" t="s">
        <v>1767</v>
      </c>
    </row>
    <row r="335" spans="8:8" x14ac:dyDescent="0.25">
      <c r="H335" t="s">
        <v>2055</v>
      </c>
    </row>
    <row r="337" spans="8:8" x14ac:dyDescent="0.25">
      <c r="H337" t="s">
        <v>556</v>
      </c>
    </row>
    <row r="338" spans="8:8" x14ac:dyDescent="0.25">
      <c r="H338" t="s">
        <v>1767</v>
      </c>
    </row>
    <row r="339" spans="8:8" x14ac:dyDescent="0.25">
      <c r="H339" t="s">
        <v>2056</v>
      </c>
    </row>
    <row r="341" spans="8:8" x14ac:dyDescent="0.25">
      <c r="H341" t="s">
        <v>149</v>
      </c>
    </row>
    <row r="342" spans="8:8" x14ac:dyDescent="0.25">
      <c r="H342" t="s">
        <v>1767</v>
      </c>
    </row>
    <row r="343" spans="8:8" x14ac:dyDescent="0.25">
      <c r="H343" t="s">
        <v>2057</v>
      </c>
    </row>
    <row r="345" spans="8:8" x14ac:dyDescent="0.25">
      <c r="H345" t="s">
        <v>150</v>
      </c>
    </row>
    <row r="346" spans="8:8" x14ac:dyDescent="0.25">
      <c r="H346" t="s">
        <v>1768</v>
      </c>
    </row>
    <row r="347" spans="8:8" x14ac:dyDescent="0.25">
      <c r="H347" t="s">
        <v>2058</v>
      </c>
    </row>
    <row r="349" spans="8:8" x14ac:dyDescent="0.25">
      <c r="H349" t="s">
        <v>151</v>
      </c>
    </row>
    <row r="350" spans="8:8" x14ac:dyDescent="0.25">
      <c r="H350" t="s">
        <v>1768</v>
      </c>
    </row>
    <row r="351" spans="8:8" x14ac:dyDescent="0.25">
      <c r="H351" t="s">
        <v>2059</v>
      </c>
    </row>
    <row r="353" spans="8:8" x14ac:dyDescent="0.25">
      <c r="H353" t="s">
        <v>152</v>
      </c>
    </row>
    <row r="354" spans="8:8" x14ac:dyDescent="0.25">
      <c r="H354" t="s">
        <v>1768</v>
      </c>
    </row>
    <row r="355" spans="8:8" x14ac:dyDescent="0.25">
      <c r="H355" t="s">
        <v>2060</v>
      </c>
    </row>
    <row r="357" spans="8:8" x14ac:dyDescent="0.25">
      <c r="H357" t="s">
        <v>153</v>
      </c>
    </row>
    <row r="358" spans="8:8" x14ac:dyDescent="0.25">
      <c r="H358" t="s">
        <v>1768</v>
      </c>
    </row>
    <row r="359" spans="8:8" x14ac:dyDescent="0.25">
      <c r="H359" t="s">
        <v>2061</v>
      </c>
    </row>
    <row r="361" spans="8:8" x14ac:dyDescent="0.25">
      <c r="H361" t="s">
        <v>557</v>
      </c>
    </row>
    <row r="362" spans="8:8" x14ac:dyDescent="0.25">
      <c r="H362" t="s">
        <v>1769</v>
      </c>
    </row>
    <row r="363" spans="8:8" x14ac:dyDescent="0.25">
      <c r="H363" t="s">
        <v>2062</v>
      </c>
    </row>
    <row r="365" spans="8:8" x14ac:dyDescent="0.25">
      <c r="H365" t="s">
        <v>558</v>
      </c>
    </row>
    <row r="366" spans="8:8" x14ac:dyDescent="0.25">
      <c r="H366" t="s">
        <v>1769</v>
      </c>
    </row>
    <row r="367" spans="8:8" x14ac:dyDescent="0.25">
      <c r="H367" t="s">
        <v>2063</v>
      </c>
    </row>
    <row r="369" spans="8:8" x14ac:dyDescent="0.25">
      <c r="H369" t="s">
        <v>559</v>
      </c>
    </row>
    <row r="370" spans="8:8" x14ac:dyDescent="0.25">
      <c r="H370" t="s">
        <v>1769</v>
      </c>
    </row>
    <row r="371" spans="8:8" x14ac:dyDescent="0.25">
      <c r="H371" t="s">
        <v>2064</v>
      </c>
    </row>
    <row r="373" spans="8:8" x14ac:dyDescent="0.25">
      <c r="H373" t="s">
        <v>154</v>
      </c>
    </row>
    <row r="374" spans="8:8" x14ac:dyDescent="0.25">
      <c r="H374" t="s">
        <v>1769</v>
      </c>
    </row>
    <row r="375" spans="8:8" x14ac:dyDescent="0.25">
      <c r="H375" t="s">
        <v>2065</v>
      </c>
    </row>
    <row r="377" spans="8:8" x14ac:dyDescent="0.25">
      <c r="H377" t="s">
        <v>560</v>
      </c>
    </row>
    <row r="378" spans="8:8" x14ac:dyDescent="0.25">
      <c r="H378" t="s">
        <v>1770</v>
      </c>
    </row>
    <row r="379" spans="8:8" x14ac:dyDescent="0.25">
      <c r="H379" t="s">
        <v>2066</v>
      </c>
    </row>
    <row r="381" spans="8:8" x14ac:dyDescent="0.25">
      <c r="H381" t="s">
        <v>561</v>
      </c>
    </row>
    <row r="382" spans="8:8" x14ac:dyDescent="0.25">
      <c r="H382" t="s">
        <v>1770</v>
      </c>
    </row>
    <row r="383" spans="8:8" x14ac:dyDescent="0.25">
      <c r="H383" t="s">
        <v>2067</v>
      </c>
    </row>
    <row r="385" spans="8:8" x14ac:dyDescent="0.25">
      <c r="H385" t="s">
        <v>562</v>
      </c>
    </row>
    <row r="386" spans="8:8" x14ac:dyDescent="0.25">
      <c r="H386" t="s">
        <v>1770</v>
      </c>
    </row>
    <row r="387" spans="8:8" x14ac:dyDescent="0.25">
      <c r="H387" t="s">
        <v>2068</v>
      </c>
    </row>
    <row r="389" spans="8:8" x14ac:dyDescent="0.25">
      <c r="H389" t="s">
        <v>155</v>
      </c>
    </row>
    <row r="390" spans="8:8" x14ac:dyDescent="0.25">
      <c r="H390" t="s">
        <v>1770</v>
      </c>
    </row>
    <row r="391" spans="8:8" x14ac:dyDescent="0.25">
      <c r="H391" t="s">
        <v>2069</v>
      </c>
    </row>
    <row r="393" spans="8:8" x14ac:dyDescent="0.25">
      <c r="H393" t="s">
        <v>563</v>
      </c>
    </row>
    <row r="394" spans="8:8" x14ac:dyDescent="0.25">
      <c r="H394" t="s">
        <v>1771</v>
      </c>
    </row>
    <row r="395" spans="8:8" x14ac:dyDescent="0.25">
      <c r="H395" t="s">
        <v>2070</v>
      </c>
    </row>
    <row r="397" spans="8:8" x14ac:dyDescent="0.25">
      <c r="H397" t="s">
        <v>564</v>
      </c>
    </row>
    <row r="398" spans="8:8" x14ac:dyDescent="0.25">
      <c r="H398" t="s">
        <v>1771</v>
      </c>
    </row>
    <row r="399" spans="8:8" x14ac:dyDescent="0.25">
      <c r="H399" t="s">
        <v>2071</v>
      </c>
    </row>
    <row r="401" spans="8:8" x14ac:dyDescent="0.25">
      <c r="H401" t="s">
        <v>156</v>
      </c>
    </row>
    <row r="402" spans="8:8" x14ac:dyDescent="0.25">
      <c r="H402" t="s">
        <v>1771</v>
      </c>
    </row>
    <row r="403" spans="8:8" x14ac:dyDescent="0.25">
      <c r="H403" t="s">
        <v>2072</v>
      </c>
    </row>
    <row r="405" spans="8:8" x14ac:dyDescent="0.25">
      <c r="H405" t="s">
        <v>157</v>
      </c>
    </row>
    <row r="406" spans="8:8" x14ac:dyDescent="0.25">
      <c r="H406" t="s">
        <v>1771</v>
      </c>
    </row>
    <row r="407" spans="8:8" x14ac:dyDescent="0.25">
      <c r="H407" t="s">
        <v>2073</v>
      </c>
    </row>
    <row r="409" spans="8:8" x14ac:dyDescent="0.25">
      <c r="H409" t="s">
        <v>565</v>
      </c>
    </row>
    <row r="410" spans="8:8" x14ac:dyDescent="0.25">
      <c r="H410" t="s">
        <v>1772</v>
      </c>
    </row>
    <row r="411" spans="8:8" x14ac:dyDescent="0.25">
      <c r="H411" t="s">
        <v>2074</v>
      </c>
    </row>
    <row r="413" spans="8:8" x14ac:dyDescent="0.25">
      <c r="H413" t="s">
        <v>566</v>
      </c>
    </row>
    <row r="414" spans="8:8" x14ac:dyDescent="0.25">
      <c r="H414" t="s">
        <v>1772</v>
      </c>
    </row>
    <row r="415" spans="8:8" x14ac:dyDescent="0.25">
      <c r="H415" t="s">
        <v>2075</v>
      </c>
    </row>
    <row r="417" spans="8:8" x14ac:dyDescent="0.25">
      <c r="H417" t="s">
        <v>567</v>
      </c>
    </row>
    <row r="418" spans="8:8" x14ac:dyDescent="0.25">
      <c r="H418" t="s">
        <v>1772</v>
      </c>
    </row>
    <row r="419" spans="8:8" x14ac:dyDescent="0.25">
      <c r="H419" t="s">
        <v>2076</v>
      </c>
    </row>
    <row r="421" spans="8:8" x14ac:dyDescent="0.25">
      <c r="H421" t="s">
        <v>158</v>
      </c>
    </row>
    <row r="422" spans="8:8" x14ac:dyDescent="0.25">
      <c r="H422" t="s">
        <v>1772</v>
      </c>
    </row>
    <row r="423" spans="8:8" x14ac:dyDescent="0.25">
      <c r="H423" t="s">
        <v>2077</v>
      </c>
    </row>
    <row r="425" spans="8:8" x14ac:dyDescent="0.25">
      <c r="H425" t="s">
        <v>568</v>
      </c>
    </row>
    <row r="426" spans="8:8" x14ac:dyDescent="0.25">
      <c r="H426" t="s">
        <v>569</v>
      </c>
    </row>
    <row r="427" spans="8:8" x14ac:dyDescent="0.25">
      <c r="H427" t="s">
        <v>1540</v>
      </c>
    </row>
    <row r="429" spans="8:8" x14ac:dyDescent="0.25">
      <c r="H429" t="s">
        <v>159</v>
      </c>
    </row>
    <row r="430" spans="8:8" x14ac:dyDescent="0.25">
      <c r="H430" t="s">
        <v>569</v>
      </c>
    </row>
    <row r="431" spans="8:8" x14ac:dyDescent="0.25">
      <c r="H431" t="s">
        <v>1541</v>
      </c>
    </row>
    <row r="433" spans="8:8" x14ac:dyDescent="0.25">
      <c r="H433" t="s">
        <v>160</v>
      </c>
    </row>
    <row r="434" spans="8:8" x14ac:dyDescent="0.25">
      <c r="H434" t="s">
        <v>569</v>
      </c>
    </row>
    <row r="435" spans="8:8" x14ac:dyDescent="0.25">
      <c r="H435" t="s">
        <v>1542</v>
      </c>
    </row>
    <row r="437" spans="8:8" x14ac:dyDescent="0.25">
      <c r="H437" t="s">
        <v>573</v>
      </c>
    </row>
    <row r="438" spans="8:8" x14ac:dyDescent="0.25">
      <c r="H438" t="s">
        <v>569</v>
      </c>
    </row>
    <row r="439" spans="8:8" x14ac:dyDescent="0.25">
      <c r="H439" t="s">
        <v>1543</v>
      </c>
    </row>
    <row r="441" spans="8:8" x14ac:dyDescent="0.25">
      <c r="H441" t="s">
        <v>575</v>
      </c>
    </row>
    <row r="442" spans="8:8" x14ac:dyDescent="0.25">
      <c r="H442" t="s">
        <v>576</v>
      </c>
    </row>
    <row r="443" spans="8:8" x14ac:dyDescent="0.25">
      <c r="H443" t="s">
        <v>1544</v>
      </c>
    </row>
    <row r="445" spans="8:8" x14ac:dyDescent="0.25">
      <c r="H445" t="s">
        <v>161</v>
      </c>
    </row>
    <row r="446" spans="8:8" x14ac:dyDescent="0.25">
      <c r="H446" t="s">
        <v>576</v>
      </c>
    </row>
    <row r="447" spans="8:8" x14ac:dyDescent="0.25">
      <c r="H447" t="s">
        <v>1545</v>
      </c>
    </row>
    <row r="449" spans="8:8" x14ac:dyDescent="0.25">
      <c r="H449" t="s">
        <v>162</v>
      </c>
    </row>
    <row r="450" spans="8:8" x14ac:dyDescent="0.25">
      <c r="H450" t="s">
        <v>576</v>
      </c>
    </row>
    <row r="451" spans="8:8" x14ac:dyDescent="0.25">
      <c r="H451" t="s">
        <v>1546</v>
      </c>
    </row>
    <row r="453" spans="8:8" x14ac:dyDescent="0.25">
      <c r="H453" t="s">
        <v>163</v>
      </c>
    </row>
    <row r="454" spans="8:8" x14ac:dyDescent="0.25">
      <c r="H454" t="s">
        <v>576</v>
      </c>
    </row>
    <row r="455" spans="8:8" x14ac:dyDescent="0.25">
      <c r="H455" t="s">
        <v>1547</v>
      </c>
    </row>
    <row r="457" spans="8:8" x14ac:dyDescent="0.25">
      <c r="H457" t="s">
        <v>164</v>
      </c>
    </row>
    <row r="458" spans="8:8" x14ac:dyDescent="0.25">
      <c r="H458" t="s">
        <v>581</v>
      </c>
    </row>
    <row r="459" spans="8:8" x14ac:dyDescent="0.25">
      <c r="H459" t="s">
        <v>1548</v>
      </c>
    </row>
    <row r="460" spans="8:8" x14ac:dyDescent="0.25">
      <c r="H460" t="s">
        <v>583</v>
      </c>
    </row>
    <row r="461" spans="8:8" x14ac:dyDescent="0.25">
      <c r="H461" t="s">
        <v>1549</v>
      </c>
    </row>
    <row r="463" spans="8:8" x14ac:dyDescent="0.25">
      <c r="H463" t="s">
        <v>165</v>
      </c>
    </row>
    <row r="464" spans="8:8" x14ac:dyDescent="0.25">
      <c r="H464" t="s">
        <v>581</v>
      </c>
    </row>
    <row r="465" spans="8:8" x14ac:dyDescent="0.25">
      <c r="H465" t="s">
        <v>1550</v>
      </c>
    </row>
    <row r="467" spans="8:8" x14ac:dyDescent="0.25">
      <c r="H467" t="s">
        <v>166</v>
      </c>
    </row>
    <row r="468" spans="8:8" x14ac:dyDescent="0.25">
      <c r="H468" t="s">
        <v>586</v>
      </c>
    </row>
    <row r="469" spans="8:8" x14ac:dyDescent="0.25">
      <c r="H469" t="s">
        <v>1551</v>
      </c>
    </row>
    <row r="470" spans="8:8" x14ac:dyDescent="0.25">
      <c r="H470" t="s">
        <v>588</v>
      </c>
    </row>
    <row r="471" spans="8:8" x14ac:dyDescent="0.25">
      <c r="H471" t="s">
        <v>1552</v>
      </c>
    </row>
    <row r="472" spans="8:8" x14ac:dyDescent="0.25">
      <c r="H472" t="s">
        <v>590</v>
      </c>
    </row>
    <row r="473" spans="8:8" x14ac:dyDescent="0.25">
      <c r="H473" t="s">
        <v>1553</v>
      </c>
    </row>
    <row r="475" spans="8:8" x14ac:dyDescent="0.25">
      <c r="H475" t="s">
        <v>167</v>
      </c>
    </row>
    <row r="476" spans="8:8" x14ac:dyDescent="0.25">
      <c r="H476" t="s">
        <v>586</v>
      </c>
    </row>
    <row r="477" spans="8:8" x14ac:dyDescent="0.25">
      <c r="H477" t="s">
        <v>1554</v>
      </c>
    </row>
    <row r="479" spans="8:8" x14ac:dyDescent="0.25">
      <c r="H479" t="s">
        <v>593</v>
      </c>
    </row>
    <row r="480" spans="8:8" x14ac:dyDescent="0.25">
      <c r="H480" t="s">
        <v>594</v>
      </c>
    </row>
    <row r="481" spans="8:8" x14ac:dyDescent="0.25">
      <c r="H481" t="s">
        <v>1555</v>
      </c>
    </row>
    <row r="482" spans="8:8" x14ac:dyDescent="0.25">
      <c r="H482" t="s">
        <v>596</v>
      </c>
    </row>
    <row r="483" spans="8:8" x14ac:dyDescent="0.25">
      <c r="H483" t="s">
        <v>1556</v>
      </c>
    </row>
    <row r="484" spans="8:8" x14ac:dyDescent="0.25">
      <c r="H484" t="s">
        <v>598</v>
      </c>
    </row>
    <row r="485" spans="8:8" x14ac:dyDescent="0.25">
      <c r="H485" t="s">
        <v>1557</v>
      </c>
    </row>
    <row r="487" spans="8:8" x14ac:dyDescent="0.25">
      <c r="H487" t="s">
        <v>600</v>
      </c>
    </row>
    <row r="488" spans="8:8" x14ac:dyDescent="0.25">
      <c r="H488" t="s">
        <v>594</v>
      </c>
    </row>
    <row r="489" spans="8:8" x14ac:dyDescent="0.25">
      <c r="H489" t="s">
        <v>1558</v>
      </c>
    </row>
    <row r="491" spans="8:8" x14ac:dyDescent="0.25">
      <c r="H491" t="s">
        <v>602</v>
      </c>
    </row>
    <row r="492" spans="8:8" x14ac:dyDescent="0.25">
      <c r="H492" t="s">
        <v>603</v>
      </c>
    </row>
    <row r="493" spans="8:8" x14ac:dyDescent="0.25">
      <c r="H493" t="s">
        <v>1559</v>
      </c>
    </row>
    <row r="494" spans="8:8" x14ac:dyDescent="0.25">
      <c r="H494" t="s">
        <v>605</v>
      </c>
    </row>
    <row r="495" spans="8:8" x14ac:dyDescent="0.25">
      <c r="H495" t="s">
        <v>1560</v>
      </c>
    </row>
    <row r="496" spans="8:8" x14ac:dyDescent="0.25">
      <c r="H496" t="s">
        <v>607</v>
      </c>
    </row>
    <row r="497" spans="8:8" x14ac:dyDescent="0.25">
      <c r="H497" t="s">
        <v>1561</v>
      </c>
    </row>
    <row r="499" spans="8:8" x14ac:dyDescent="0.25">
      <c r="H499" t="s">
        <v>168</v>
      </c>
    </row>
    <row r="500" spans="8:8" x14ac:dyDescent="0.25">
      <c r="H500" t="s">
        <v>603</v>
      </c>
    </row>
    <row r="501" spans="8:8" x14ac:dyDescent="0.25">
      <c r="H501" t="s">
        <v>1562</v>
      </c>
    </row>
    <row r="503" spans="8:8" x14ac:dyDescent="0.25">
      <c r="H503" t="s">
        <v>610</v>
      </c>
    </row>
    <row r="504" spans="8:8" x14ac:dyDescent="0.25">
      <c r="H504" t="s">
        <v>611</v>
      </c>
    </row>
    <row r="505" spans="8:8" x14ac:dyDescent="0.25">
      <c r="H505" t="s">
        <v>1563</v>
      </c>
    </row>
    <row r="506" spans="8:8" x14ac:dyDescent="0.25">
      <c r="H506" t="s">
        <v>613</v>
      </c>
    </row>
    <row r="507" spans="8:8" x14ac:dyDescent="0.25">
      <c r="H507" t="s">
        <v>1564</v>
      </c>
    </row>
    <row r="508" spans="8:8" x14ac:dyDescent="0.25">
      <c r="H508" t="s">
        <v>615</v>
      </c>
    </row>
    <row r="509" spans="8:8" x14ac:dyDescent="0.25">
      <c r="H509" t="s">
        <v>1565</v>
      </c>
    </row>
    <row r="511" spans="8:8" x14ac:dyDescent="0.25">
      <c r="H511" t="s">
        <v>617</v>
      </c>
    </row>
    <row r="512" spans="8:8" x14ac:dyDescent="0.25">
      <c r="H512" t="s">
        <v>611</v>
      </c>
    </row>
    <row r="513" spans="8:8" x14ac:dyDescent="0.25">
      <c r="H513" t="s">
        <v>1566</v>
      </c>
    </row>
    <row r="515" spans="8:8" x14ac:dyDescent="0.25">
      <c r="H515" t="s">
        <v>619</v>
      </c>
    </row>
    <row r="516" spans="8:8" x14ac:dyDescent="0.25">
      <c r="H516" t="s">
        <v>620</v>
      </c>
    </row>
    <row r="517" spans="8:8" x14ac:dyDescent="0.25">
      <c r="H517" t="s">
        <v>1567</v>
      </c>
    </row>
    <row r="519" spans="8:8" x14ac:dyDescent="0.25">
      <c r="H519" t="s">
        <v>622</v>
      </c>
    </row>
    <row r="520" spans="8:8" x14ac:dyDescent="0.25">
      <c r="H520" t="s">
        <v>620</v>
      </c>
    </row>
    <row r="521" spans="8:8" x14ac:dyDescent="0.25">
      <c r="H521" t="s">
        <v>1568</v>
      </c>
    </row>
    <row r="523" spans="8:8" x14ac:dyDescent="0.25">
      <c r="H523" t="s">
        <v>624</v>
      </c>
    </row>
    <row r="524" spans="8:8" x14ac:dyDescent="0.25">
      <c r="H524" t="s">
        <v>625</v>
      </c>
    </row>
    <row r="525" spans="8:8" x14ac:dyDescent="0.25">
      <c r="H525" t="s">
        <v>1569</v>
      </c>
    </row>
    <row r="527" spans="8:8" x14ac:dyDescent="0.25">
      <c r="H527" t="s">
        <v>627</v>
      </c>
    </row>
    <row r="528" spans="8:8" x14ac:dyDescent="0.25">
      <c r="H528" t="s">
        <v>625</v>
      </c>
    </row>
    <row r="529" spans="8:8" x14ac:dyDescent="0.25">
      <c r="H529" t="s">
        <v>1570</v>
      </c>
    </row>
    <row r="531" spans="8:8" x14ac:dyDescent="0.25">
      <c r="H531" t="s">
        <v>629</v>
      </c>
    </row>
    <row r="532" spans="8:8" x14ac:dyDescent="0.25">
      <c r="H532" t="s">
        <v>630</v>
      </c>
    </row>
    <row r="533" spans="8:8" x14ac:dyDescent="0.25">
      <c r="H533" t="s">
        <v>1571</v>
      </c>
    </row>
    <row r="534" spans="8:8" x14ac:dyDescent="0.25">
      <c r="H534" t="s">
        <v>632</v>
      </c>
    </row>
    <row r="535" spans="8:8" x14ac:dyDescent="0.25">
      <c r="H535" t="s">
        <v>1572</v>
      </c>
    </row>
    <row r="536" spans="8:8" x14ac:dyDescent="0.25">
      <c r="H536" t="s">
        <v>634</v>
      </c>
    </row>
    <row r="537" spans="8:8" x14ac:dyDescent="0.25">
      <c r="H537" t="s">
        <v>1573</v>
      </c>
    </row>
    <row r="539" spans="8:8" x14ac:dyDescent="0.25">
      <c r="H539" t="s">
        <v>636</v>
      </c>
    </row>
    <row r="540" spans="8:8" x14ac:dyDescent="0.25">
      <c r="H540" t="s">
        <v>630</v>
      </c>
    </row>
    <row r="541" spans="8:8" x14ac:dyDescent="0.25">
      <c r="H541" t="s">
        <v>1574</v>
      </c>
    </row>
    <row r="543" spans="8:8" x14ac:dyDescent="0.25">
      <c r="H543" t="s">
        <v>638</v>
      </c>
    </row>
    <row r="544" spans="8:8" x14ac:dyDescent="0.25">
      <c r="H544" t="s">
        <v>639</v>
      </c>
    </row>
    <row r="545" spans="8:8" x14ac:dyDescent="0.25">
      <c r="H545" t="s">
        <v>1575</v>
      </c>
    </row>
    <row r="546" spans="8:8" x14ac:dyDescent="0.25">
      <c r="H546" t="s">
        <v>641</v>
      </c>
    </row>
    <row r="547" spans="8:8" x14ac:dyDescent="0.25">
      <c r="H547" t="s">
        <v>1576</v>
      </c>
    </row>
    <row r="549" spans="8:8" x14ac:dyDescent="0.25">
      <c r="H549" t="s">
        <v>643</v>
      </c>
    </row>
    <row r="550" spans="8:8" x14ac:dyDescent="0.25">
      <c r="H550" t="s">
        <v>639</v>
      </c>
    </row>
    <row r="551" spans="8:8" x14ac:dyDescent="0.25">
      <c r="H551" t="s">
        <v>1577</v>
      </c>
    </row>
    <row r="553" spans="8:8" x14ac:dyDescent="0.25">
      <c r="H553" t="s">
        <v>645</v>
      </c>
    </row>
    <row r="554" spans="8:8" x14ac:dyDescent="0.25">
      <c r="H554" t="s">
        <v>646</v>
      </c>
    </row>
    <row r="555" spans="8:8" x14ac:dyDescent="0.25">
      <c r="H555" t="s">
        <v>1578</v>
      </c>
    </row>
    <row r="556" spans="8:8" x14ac:dyDescent="0.25">
      <c r="H556" t="s">
        <v>648</v>
      </c>
    </row>
    <row r="557" spans="8:8" x14ac:dyDescent="0.25">
      <c r="H557" t="s">
        <v>1579</v>
      </c>
    </row>
    <row r="559" spans="8:8" x14ac:dyDescent="0.25">
      <c r="H559" t="s">
        <v>650</v>
      </c>
    </row>
    <row r="560" spans="8:8" x14ac:dyDescent="0.25">
      <c r="H560" t="s">
        <v>646</v>
      </c>
    </row>
    <row r="561" spans="8:8" x14ac:dyDescent="0.25">
      <c r="H561" t="s">
        <v>1580</v>
      </c>
    </row>
    <row r="563" spans="8:8" x14ac:dyDescent="0.25">
      <c r="H563" t="s">
        <v>652</v>
      </c>
    </row>
    <row r="564" spans="8:8" x14ac:dyDescent="0.25">
      <c r="H564" t="s">
        <v>1773</v>
      </c>
    </row>
    <row r="565" spans="8:8" x14ac:dyDescent="0.25">
      <c r="H565" t="s">
        <v>2078</v>
      </c>
    </row>
    <row r="567" spans="8:8" x14ac:dyDescent="0.25">
      <c r="H567" t="s">
        <v>653</v>
      </c>
    </row>
    <row r="568" spans="8:8" x14ac:dyDescent="0.25">
      <c r="H568" t="s">
        <v>1773</v>
      </c>
    </row>
    <row r="569" spans="8:8" x14ac:dyDescent="0.25">
      <c r="H569" t="s">
        <v>2079</v>
      </c>
    </row>
    <row r="571" spans="8:8" x14ac:dyDescent="0.25">
      <c r="H571" t="s">
        <v>654</v>
      </c>
    </row>
    <row r="572" spans="8:8" x14ac:dyDescent="0.25">
      <c r="H572" t="s">
        <v>1773</v>
      </c>
    </row>
    <row r="573" spans="8:8" x14ac:dyDescent="0.25">
      <c r="H573" t="s">
        <v>2080</v>
      </c>
    </row>
    <row r="575" spans="8:8" x14ac:dyDescent="0.25">
      <c r="H575" t="s">
        <v>655</v>
      </c>
    </row>
    <row r="576" spans="8:8" x14ac:dyDescent="0.25">
      <c r="H576" t="s">
        <v>1773</v>
      </c>
    </row>
    <row r="577" spans="8:8" x14ac:dyDescent="0.25">
      <c r="H577" t="s">
        <v>2081</v>
      </c>
    </row>
    <row r="579" spans="8:8" x14ac:dyDescent="0.25">
      <c r="H579" t="s">
        <v>15</v>
      </c>
    </row>
    <row r="580" spans="8:8" x14ac:dyDescent="0.25">
      <c r="H580" t="s">
        <v>21</v>
      </c>
    </row>
    <row r="582" spans="8:8" x14ac:dyDescent="0.25">
      <c r="H582" t="s">
        <v>16</v>
      </c>
    </row>
    <row r="583" spans="8:8" x14ac:dyDescent="0.25">
      <c r="H583" s="9" t="s">
        <v>60</v>
      </c>
    </row>
    <row r="16388" spans="8:8" x14ac:dyDescent="0.25">
      <c r="H16388" t="s">
        <v>656</v>
      </c>
    </row>
    <row r="16389" spans="8:8" x14ac:dyDescent="0.25">
      <c r="H16389" t="s">
        <v>1581</v>
      </c>
    </row>
    <row r="16391" spans="8:8" x14ac:dyDescent="0.25">
      <c r="H16391" t="s">
        <v>658</v>
      </c>
    </row>
    <row r="16392" spans="8:8" x14ac:dyDescent="0.25">
      <c r="H16392" t="s">
        <v>659</v>
      </c>
    </row>
    <row r="16393" spans="8:8" x14ac:dyDescent="0.25">
      <c r="H16393" t="s">
        <v>1582</v>
      </c>
    </row>
    <row r="16395" spans="8:8" x14ac:dyDescent="0.25">
      <c r="H16395" t="s">
        <v>661</v>
      </c>
    </row>
    <row r="16396" spans="8:8" x14ac:dyDescent="0.25">
      <c r="H16396" t="s">
        <v>659</v>
      </c>
    </row>
    <row r="16397" spans="8:8" x14ac:dyDescent="0.25">
      <c r="H16397" t="s">
        <v>1583</v>
      </c>
    </row>
    <row r="16399" spans="8:8" x14ac:dyDescent="0.25">
      <c r="H16399" t="s">
        <v>663</v>
      </c>
    </row>
    <row r="16400" spans="8:8" x14ac:dyDescent="0.25">
      <c r="H16400" t="s">
        <v>659</v>
      </c>
    </row>
    <row r="16401" spans="8:8" x14ac:dyDescent="0.25">
      <c r="H16401" t="s">
        <v>1584</v>
      </c>
    </row>
    <row r="16403" spans="8:8" x14ac:dyDescent="0.25">
      <c r="H16403" t="s">
        <v>665</v>
      </c>
    </row>
    <row r="16404" spans="8:8" x14ac:dyDescent="0.25">
      <c r="H16404" t="s">
        <v>659</v>
      </c>
    </row>
    <row r="16405" spans="8:8" x14ac:dyDescent="0.25">
      <c r="H16405" t="s">
        <v>1585</v>
      </c>
    </row>
    <row r="16407" spans="8:8" x14ac:dyDescent="0.25">
      <c r="H16407" t="s">
        <v>667</v>
      </c>
    </row>
    <row r="16408" spans="8:8" x14ac:dyDescent="0.25">
      <c r="H16408" t="s">
        <v>668</v>
      </c>
    </row>
    <row r="16409" spans="8:8" x14ac:dyDescent="0.25">
      <c r="H16409" t="s">
        <v>1586</v>
      </c>
    </row>
    <row r="16411" spans="8:8" x14ac:dyDescent="0.25">
      <c r="H16411" t="s">
        <v>670</v>
      </c>
    </row>
    <row r="16412" spans="8:8" x14ac:dyDescent="0.25">
      <c r="H16412" t="s">
        <v>668</v>
      </c>
    </row>
    <row r="16413" spans="8:8" x14ac:dyDescent="0.25">
      <c r="H16413" t="s">
        <v>1587</v>
      </c>
    </row>
    <row r="16415" spans="8:8" x14ac:dyDescent="0.25">
      <c r="H16415" t="s">
        <v>672</v>
      </c>
    </row>
    <row r="16416" spans="8:8" x14ac:dyDescent="0.25">
      <c r="H16416" t="s">
        <v>668</v>
      </c>
    </row>
    <row r="16417" spans="8:8" x14ac:dyDescent="0.25">
      <c r="H16417" t="s">
        <v>1588</v>
      </c>
    </row>
    <row r="16419" spans="8:8" x14ac:dyDescent="0.25">
      <c r="H16419" t="s">
        <v>674</v>
      </c>
    </row>
    <row r="16420" spans="8:8" x14ac:dyDescent="0.25">
      <c r="H16420" t="s">
        <v>668</v>
      </c>
    </row>
    <row r="16421" spans="8:8" x14ac:dyDescent="0.25">
      <c r="H16421" t="s">
        <v>1589</v>
      </c>
    </row>
    <row r="16423" spans="8:8" x14ac:dyDescent="0.25">
      <c r="H16423" t="s">
        <v>676</v>
      </c>
    </row>
    <row r="16424" spans="8:8" x14ac:dyDescent="0.25">
      <c r="H16424" t="s">
        <v>677</v>
      </c>
    </row>
    <row r="16425" spans="8:8" x14ac:dyDescent="0.25">
      <c r="H16425" t="s">
        <v>1590</v>
      </c>
    </row>
    <row r="16427" spans="8:8" x14ac:dyDescent="0.25">
      <c r="H16427" t="s">
        <v>679</v>
      </c>
    </row>
    <row r="16428" spans="8:8" x14ac:dyDescent="0.25">
      <c r="H16428" t="s">
        <v>677</v>
      </c>
    </row>
    <row r="16429" spans="8:8" x14ac:dyDescent="0.25">
      <c r="H16429" t="s">
        <v>1591</v>
      </c>
    </row>
    <row r="16431" spans="8:8" x14ac:dyDescent="0.25">
      <c r="H16431" t="s">
        <v>681</v>
      </c>
    </row>
    <row r="16432" spans="8:8" x14ac:dyDescent="0.25">
      <c r="H16432" t="s">
        <v>677</v>
      </c>
    </row>
    <row r="16433" spans="8:8" x14ac:dyDescent="0.25">
      <c r="H16433" t="s">
        <v>1592</v>
      </c>
    </row>
    <row r="16435" spans="8:8" x14ac:dyDescent="0.25">
      <c r="H16435" t="s">
        <v>683</v>
      </c>
    </row>
    <row r="16436" spans="8:8" x14ac:dyDescent="0.25">
      <c r="H16436" t="s">
        <v>677</v>
      </c>
    </row>
    <row r="16437" spans="8:8" x14ac:dyDescent="0.25">
      <c r="H16437" t="s">
        <v>1593</v>
      </c>
    </row>
    <row r="16439" spans="8:8" x14ac:dyDescent="0.25">
      <c r="H16439" t="s">
        <v>685</v>
      </c>
    </row>
    <row r="16440" spans="8:8" x14ac:dyDescent="0.25">
      <c r="H16440" t="s">
        <v>686</v>
      </c>
    </row>
    <row r="16441" spans="8:8" x14ac:dyDescent="0.25">
      <c r="H16441" t="s">
        <v>1594</v>
      </c>
    </row>
    <row r="16443" spans="8:8" x14ac:dyDescent="0.25">
      <c r="H16443" t="s">
        <v>688</v>
      </c>
    </row>
    <row r="16444" spans="8:8" x14ac:dyDescent="0.25">
      <c r="H16444" t="s">
        <v>686</v>
      </c>
    </row>
    <row r="16445" spans="8:8" x14ac:dyDescent="0.25">
      <c r="H16445" t="s">
        <v>1595</v>
      </c>
    </row>
    <row r="16447" spans="8:8" x14ac:dyDescent="0.25">
      <c r="H16447" t="s">
        <v>690</v>
      </c>
    </row>
    <row r="16448" spans="8:8" x14ac:dyDescent="0.25">
      <c r="H16448" t="s">
        <v>686</v>
      </c>
    </row>
    <row r="16449" spans="8:8" x14ac:dyDescent="0.25">
      <c r="H16449" t="s">
        <v>1596</v>
      </c>
    </row>
    <row r="16451" spans="8:8" x14ac:dyDescent="0.25">
      <c r="H16451" t="s">
        <v>692</v>
      </c>
    </row>
    <row r="16452" spans="8:8" x14ac:dyDescent="0.25">
      <c r="H16452" t="s">
        <v>686</v>
      </c>
    </row>
    <row r="16453" spans="8:8" x14ac:dyDescent="0.25">
      <c r="H16453" t="s">
        <v>1597</v>
      </c>
    </row>
    <row r="16455" spans="8:8" x14ac:dyDescent="0.25">
      <c r="H16455" t="s">
        <v>694</v>
      </c>
    </row>
    <row r="16456" spans="8:8" x14ac:dyDescent="0.25">
      <c r="H16456" t="s">
        <v>695</v>
      </c>
    </row>
    <row r="16457" spans="8:8" x14ac:dyDescent="0.25">
      <c r="H16457" t="s">
        <v>1598</v>
      </c>
    </row>
    <row r="16459" spans="8:8" x14ac:dyDescent="0.25">
      <c r="H16459" t="s">
        <v>697</v>
      </c>
    </row>
    <row r="16460" spans="8:8" x14ac:dyDescent="0.25">
      <c r="H16460" t="s">
        <v>695</v>
      </c>
    </row>
    <row r="16461" spans="8:8" x14ac:dyDescent="0.25">
      <c r="H16461" t="s">
        <v>1599</v>
      </c>
    </row>
    <row r="16463" spans="8:8" x14ac:dyDescent="0.25">
      <c r="H16463" t="s">
        <v>699</v>
      </c>
    </row>
    <row r="16464" spans="8:8" x14ac:dyDescent="0.25">
      <c r="H16464" t="s">
        <v>695</v>
      </c>
    </row>
    <row r="16465" spans="8:8" x14ac:dyDescent="0.25">
      <c r="H16465" t="s">
        <v>1600</v>
      </c>
    </row>
    <row r="16467" spans="8:8" x14ac:dyDescent="0.25">
      <c r="H16467" t="s">
        <v>701</v>
      </c>
    </row>
    <row r="16468" spans="8:8" x14ac:dyDescent="0.25">
      <c r="H16468" t="s">
        <v>695</v>
      </c>
    </row>
    <row r="16469" spans="8:8" x14ac:dyDescent="0.25">
      <c r="H16469" t="s">
        <v>1601</v>
      </c>
    </row>
    <row r="16471" spans="8:8" x14ac:dyDescent="0.25">
      <c r="H16471" t="s">
        <v>703</v>
      </c>
    </row>
    <row r="16472" spans="8:8" x14ac:dyDescent="0.25">
      <c r="H16472" t="s">
        <v>704</v>
      </c>
    </row>
    <row r="16473" spans="8:8" x14ac:dyDescent="0.25">
      <c r="H16473" t="s">
        <v>1602</v>
      </c>
    </row>
    <row r="16475" spans="8:8" x14ac:dyDescent="0.25">
      <c r="H16475" t="s">
        <v>706</v>
      </c>
    </row>
    <row r="16476" spans="8:8" x14ac:dyDescent="0.25">
      <c r="H16476" t="s">
        <v>704</v>
      </c>
    </row>
    <row r="16477" spans="8:8" x14ac:dyDescent="0.25">
      <c r="H16477" t="s">
        <v>1603</v>
      </c>
    </row>
    <row r="16479" spans="8:8" x14ac:dyDescent="0.25">
      <c r="H16479" t="s">
        <v>708</v>
      </c>
    </row>
    <row r="16480" spans="8:8" x14ac:dyDescent="0.25">
      <c r="H16480" t="s">
        <v>704</v>
      </c>
    </row>
    <row r="16481" spans="8:8" x14ac:dyDescent="0.25">
      <c r="H16481" t="s">
        <v>1604</v>
      </c>
    </row>
    <row r="16483" spans="8:8" x14ac:dyDescent="0.25">
      <c r="H16483" t="s">
        <v>710</v>
      </c>
    </row>
    <row r="16484" spans="8:8" x14ac:dyDescent="0.25">
      <c r="H16484" t="s">
        <v>704</v>
      </c>
    </row>
    <row r="16485" spans="8:8" x14ac:dyDescent="0.25">
      <c r="H16485" t="s">
        <v>1605</v>
      </c>
    </row>
    <row r="16487" spans="8:8" x14ac:dyDescent="0.25">
      <c r="H16487" t="s">
        <v>712</v>
      </c>
    </row>
    <row r="16488" spans="8:8" x14ac:dyDescent="0.25">
      <c r="H16488" t="s">
        <v>713</v>
      </c>
    </row>
    <row r="16489" spans="8:8" x14ac:dyDescent="0.25">
      <c r="H16489" t="s">
        <v>1606</v>
      </c>
    </row>
    <row r="16491" spans="8:8" x14ac:dyDescent="0.25">
      <c r="H16491" t="s">
        <v>715</v>
      </c>
    </row>
    <row r="16492" spans="8:8" x14ac:dyDescent="0.25">
      <c r="H16492" t="s">
        <v>713</v>
      </c>
    </row>
    <row r="16493" spans="8:8" x14ac:dyDescent="0.25">
      <c r="H16493" t="s">
        <v>1607</v>
      </c>
    </row>
    <row r="16495" spans="8:8" x14ac:dyDescent="0.25">
      <c r="H16495" t="s">
        <v>717</v>
      </c>
    </row>
    <row r="16496" spans="8:8" x14ac:dyDescent="0.25">
      <c r="H16496" t="s">
        <v>713</v>
      </c>
    </row>
    <row r="16497" spans="8:8" x14ac:dyDescent="0.25">
      <c r="H16497" t="s">
        <v>1608</v>
      </c>
    </row>
    <row r="16499" spans="8:8" x14ac:dyDescent="0.25">
      <c r="H16499" t="s">
        <v>719</v>
      </c>
    </row>
    <row r="16500" spans="8:8" x14ac:dyDescent="0.25">
      <c r="H16500" t="s">
        <v>713</v>
      </c>
    </row>
    <row r="16501" spans="8:8" x14ac:dyDescent="0.25">
      <c r="H16501" t="s">
        <v>1609</v>
      </c>
    </row>
    <row r="16503" spans="8:8" x14ac:dyDescent="0.25">
      <c r="H16503" t="s">
        <v>721</v>
      </c>
    </row>
    <row r="16504" spans="8:8" x14ac:dyDescent="0.25">
      <c r="H16504" t="s">
        <v>722</v>
      </c>
    </row>
    <row r="16505" spans="8:8" x14ac:dyDescent="0.25">
      <c r="H16505" t="s">
        <v>1610</v>
      </c>
    </row>
    <row r="16507" spans="8:8" x14ac:dyDescent="0.25">
      <c r="H16507" t="s">
        <v>724</v>
      </c>
    </row>
    <row r="16508" spans="8:8" x14ac:dyDescent="0.25">
      <c r="H16508" t="s">
        <v>722</v>
      </c>
    </row>
    <row r="16509" spans="8:8" x14ac:dyDescent="0.25">
      <c r="H16509" t="s">
        <v>1611</v>
      </c>
    </row>
    <row r="16511" spans="8:8" x14ac:dyDescent="0.25">
      <c r="H16511" t="s">
        <v>726</v>
      </c>
    </row>
    <row r="16512" spans="8:8" x14ac:dyDescent="0.25">
      <c r="H16512" t="s">
        <v>722</v>
      </c>
    </row>
    <row r="16513" spans="8:8" x14ac:dyDescent="0.25">
      <c r="H16513" t="s">
        <v>1612</v>
      </c>
    </row>
    <row r="16515" spans="8:8" x14ac:dyDescent="0.25">
      <c r="H16515" t="s">
        <v>728</v>
      </c>
    </row>
    <row r="16516" spans="8:8" x14ac:dyDescent="0.25">
      <c r="H16516" t="s">
        <v>722</v>
      </c>
    </row>
    <row r="16517" spans="8:8" x14ac:dyDescent="0.25">
      <c r="H16517" t="s">
        <v>1613</v>
      </c>
    </row>
    <row r="16519" spans="8:8" x14ac:dyDescent="0.25">
      <c r="H16519" t="s">
        <v>730</v>
      </c>
    </row>
    <row r="16520" spans="8:8" x14ac:dyDescent="0.25">
      <c r="H16520" t="s">
        <v>731</v>
      </c>
    </row>
    <row r="16521" spans="8:8" x14ac:dyDescent="0.25">
      <c r="H16521" t="s">
        <v>1614</v>
      </c>
    </row>
    <row r="16523" spans="8:8" x14ac:dyDescent="0.25">
      <c r="H16523" t="s">
        <v>733</v>
      </c>
    </row>
    <row r="16524" spans="8:8" x14ac:dyDescent="0.25">
      <c r="H16524" t="s">
        <v>731</v>
      </c>
    </row>
    <row r="16525" spans="8:8" x14ac:dyDescent="0.25">
      <c r="H16525" t="s">
        <v>1615</v>
      </c>
    </row>
    <row r="16527" spans="8:8" x14ac:dyDescent="0.25">
      <c r="H16527" t="s">
        <v>735</v>
      </c>
    </row>
    <row r="16528" spans="8:8" x14ac:dyDescent="0.25">
      <c r="H16528" t="s">
        <v>731</v>
      </c>
    </row>
    <row r="16529" spans="8:8" x14ac:dyDescent="0.25">
      <c r="H16529" t="s">
        <v>1616</v>
      </c>
    </row>
    <row r="16531" spans="8:8" x14ac:dyDescent="0.25">
      <c r="H16531" t="s">
        <v>737</v>
      </c>
    </row>
    <row r="16532" spans="8:8" x14ac:dyDescent="0.25">
      <c r="H16532" t="s">
        <v>731</v>
      </c>
    </row>
    <row r="16533" spans="8:8" x14ac:dyDescent="0.25">
      <c r="H16533" t="s">
        <v>1617</v>
      </c>
    </row>
    <row r="16535" spans="8:8" x14ac:dyDescent="0.25">
      <c r="H16535" t="s">
        <v>739</v>
      </c>
    </row>
    <row r="16536" spans="8:8" x14ac:dyDescent="0.25">
      <c r="H16536" t="s">
        <v>740</v>
      </c>
    </row>
    <row r="16537" spans="8:8" x14ac:dyDescent="0.25">
      <c r="H16537" t="s">
        <v>1618</v>
      </c>
    </row>
    <row r="16539" spans="8:8" x14ac:dyDescent="0.25">
      <c r="H16539" t="s">
        <v>742</v>
      </c>
    </row>
    <row r="16540" spans="8:8" x14ac:dyDescent="0.25">
      <c r="H16540" t="s">
        <v>740</v>
      </c>
    </row>
    <row r="16541" spans="8:8" x14ac:dyDescent="0.25">
      <c r="H16541" t="s">
        <v>1619</v>
      </c>
    </row>
    <row r="16543" spans="8:8" x14ac:dyDescent="0.25">
      <c r="H16543" t="s">
        <v>744</v>
      </c>
    </row>
    <row r="16544" spans="8:8" x14ac:dyDescent="0.25">
      <c r="H16544" t="s">
        <v>740</v>
      </c>
    </row>
    <row r="16545" spans="8:8" x14ac:dyDescent="0.25">
      <c r="H16545" t="s">
        <v>1620</v>
      </c>
    </row>
    <row r="16547" spans="8:8" x14ac:dyDescent="0.25">
      <c r="H16547" t="s">
        <v>746</v>
      </c>
    </row>
    <row r="16548" spans="8:8" x14ac:dyDescent="0.25">
      <c r="H16548" t="s">
        <v>740</v>
      </c>
    </row>
    <row r="16549" spans="8:8" x14ac:dyDescent="0.25">
      <c r="H16549" t="s">
        <v>1621</v>
      </c>
    </row>
    <row r="16551" spans="8:8" x14ac:dyDescent="0.25">
      <c r="H16551" t="s">
        <v>748</v>
      </c>
    </row>
    <row r="16552" spans="8:8" x14ac:dyDescent="0.25">
      <c r="H16552" t="s">
        <v>749</v>
      </c>
    </row>
    <row r="16553" spans="8:8" x14ac:dyDescent="0.25">
      <c r="H16553" t="s">
        <v>1622</v>
      </c>
    </row>
    <row r="16555" spans="8:8" x14ac:dyDescent="0.25">
      <c r="H16555" t="s">
        <v>751</v>
      </c>
    </row>
    <row r="16556" spans="8:8" x14ac:dyDescent="0.25">
      <c r="H16556" t="s">
        <v>749</v>
      </c>
    </row>
    <row r="16557" spans="8:8" x14ac:dyDescent="0.25">
      <c r="H16557" t="s">
        <v>1623</v>
      </c>
    </row>
    <row r="16559" spans="8:8" x14ac:dyDescent="0.25">
      <c r="H16559" t="s">
        <v>753</v>
      </c>
    </row>
    <row r="16560" spans="8:8" x14ac:dyDescent="0.25">
      <c r="H16560" t="s">
        <v>749</v>
      </c>
    </row>
    <row r="16561" spans="8:8" x14ac:dyDescent="0.25">
      <c r="H16561" t="s">
        <v>1624</v>
      </c>
    </row>
    <row r="16563" spans="8:8" x14ac:dyDescent="0.25">
      <c r="H16563" t="s">
        <v>755</v>
      </c>
    </row>
    <row r="16564" spans="8:8" x14ac:dyDescent="0.25">
      <c r="H16564" t="s">
        <v>749</v>
      </c>
    </row>
    <row r="16565" spans="8:8" x14ac:dyDescent="0.25">
      <c r="H16565" t="s">
        <v>1625</v>
      </c>
    </row>
    <row r="16567" spans="8:8" x14ac:dyDescent="0.25">
      <c r="H16567" t="s">
        <v>757</v>
      </c>
    </row>
    <row r="16568" spans="8:8" x14ac:dyDescent="0.25">
      <c r="H16568" t="s">
        <v>758</v>
      </c>
    </row>
    <row r="16569" spans="8:8" x14ac:dyDescent="0.25">
      <c r="H16569" t="s">
        <v>1626</v>
      </c>
    </row>
    <row r="16571" spans="8:8" x14ac:dyDescent="0.25">
      <c r="H16571" t="s">
        <v>760</v>
      </c>
    </row>
    <row r="16572" spans="8:8" x14ac:dyDescent="0.25">
      <c r="H16572" t="s">
        <v>758</v>
      </c>
    </row>
    <row r="16573" spans="8:8" x14ac:dyDescent="0.25">
      <c r="H16573" t="s">
        <v>1627</v>
      </c>
    </row>
    <row r="16575" spans="8:8" x14ac:dyDescent="0.25">
      <c r="H16575" t="s">
        <v>762</v>
      </c>
    </row>
    <row r="16576" spans="8:8" x14ac:dyDescent="0.25">
      <c r="H16576" t="s">
        <v>758</v>
      </c>
    </row>
    <row r="16577" spans="8:8" x14ac:dyDescent="0.25">
      <c r="H16577" t="s">
        <v>1628</v>
      </c>
    </row>
    <row r="16579" spans="8:8" x14ac:dyDescent="0.25">
      <c r="H16579" t="s">
        <v>764</v>
      </c>
    </row>
    <row r="16580" spans="8:8" x14ac:dyDescent="0.25">
      <c r="H16580" t="s">
        <v>758</v>
      </c>
    </row>
    <row r="16581" spans="8:8" x14ac:dyDescent="0.25">
      <c r="H16581" t="s">
        <v>1629</v>
      </c>
    </row>
    <row r="16583" spans="8:8" x14ac:dyDescent="0.25">
      <c r="H16583" t="s">
        <v>766</v>
      </c>
    </row>
    <row r="16584" spans="8:8" x14ac:dyDescent="0.25">
      <c r="H16584" t="s">
        <v>767</v>
      </c>
    </row>
    <row r="16585" spans="8:8" x14ac:dyDescent="0.25">
      <c r="H16585" t="s">
        <v>1630</v>
      </c>
    </row>
    <row r="16587" spans="8:8" x14ac:dyDescent="0.25">
      <c r="H16587" t="s">
        <v>769</v>
      </c>
    </row>
    <row r="16588" spans="8:8" x14ac:dyDescent="0.25">
      <c r="H16588" t="s">
        <v>767</v>
      </c>
    </row>
    <row r="16589" spans="8:8" x14ac:dyDescent="0.25">
      <c r="H16589" t="s">
        <v>1631</v>
      </c>
    </row>
    <row r="16591" spans="8:8" x14ac:dyDescent="0.25">
      <c r="H16591" t="s">
        <v>771</v>
      </c>
    </row>
    <row r="16592" spans="8:8" x14ac:dyDescent="0.25">
      <c r="H16592" t="s">
        <v>767</v>
      </c>
    </row>
    <row r="16593" spans="8:8" x14ac:dyDescent="0.25">
      <c r="H16593" t="s">
        <v>1632</v>
      </c>
    </row>
    <row r="16595" spans="8:8" x14ac:dyDescent="0.25">
      <c r="H16595" t="s">
        <v>773</v>
      </c>
    </row>
    <row r="16596" spans="8:8" x14ac:dyDescent="0.25">
      <c r="H16596" t="s">
        <v>767</v>
      </c>
    </row>
    <row r="16597" spans="8:8" x14ac:dyDescent="0.25">
      <c r="H16597" t="s">
        <v>1633</v>
      </c>
    </row>
    <row r="16599" spans="8:8" x14ac:dyDescent="0.25">
      <c r="H16599" t="s">
        <v>775</v>
      </c>
    </row>
    <row r="16600" spans="8:8" x14ac:dyDescent="0.25">
      <c r="H16600" t="s">
        <v>776</v>
      </c>
    </row>
    <row r="16601" spans="8:8" x14ac:dyDescent="0.25">
      <c r="H16601" t="s">
        <v>1634</v>
      </c>
    </row>
    <row r="16603" spans="8:8" x14ac:dyDescent="0.25">
      <c r="H16603" t="s">
        <v>778</v>
      </c>
    </row>
    <row r="16604" spans="8:8" x14ac:dyDescent="0.25">
      <c r="H16604" t="s">
        <v>776</v>
      </c>
    </row>
    <row r="16605" spans="8:8" x14ac:dyDescent="0.25">
      <c r="H16605" t="s">
        <v>1635</v>
      </c>
    </row>
    <row r="16607" spans="8:8" x14ac:dyDescent="0.25">
      <c r="H16607" t="s">
        <v>780</v>
      </c>
    </row>
    <row r="16608" spans="8:8" x14ac:dyDescent="0.25">
      <c r="H16608" t="s">
        <v>776</v>
      </c>
    </row>
    <row r="16609" spans="8:8" x14ac:dyDescent="0.25">
      <c r="H16609" t="s">
        <v>1636</v>
      </c>
    </row>
    <row r="16611" spans="8:8" x14ac:dyDescent="0.25">
      <c r="H16611" t="s">
        <v>782</v>
      </c>
    </row>
    <row r="16612" spans="8:8" x14ac:dyDescent="0.25">
      <c r="H16612" t="s">
        <v>776</v>
      </c>
    </row>
    <row r="16613" spans="8:8" x14ac:dyDescent="0.25">
      <c r="H16613" t="s">
        <v>1637</v>
      </c>
    </row>
    <row r="16615" spans="8:8" x14ac:dyDescent="0.25">
      <c r="H16615" t="s">
        <v>784</v>
      </c>
    </row>
    <row r="16616" spans="8:8" x14ac:dyDescent="0.25">
      <c r="H16616" t="s">
        <v>785</v>
      </c>
    </row>
    <row r="16617" spans="8:8" x14ac:dyDescent="0.25">
      <c r="H16617" t="s">
        <v>1638</v>
      </c>
    </row>
    <row r="16619" spans="8:8" x14ac:dyDescent="0.25">
      <c r="H16619" t="s">
        <v>787</v>
      </c>
    </row>
    <row r="16620" spans="8:8" x14ac:dyDescent="0.25">
      <c r="H16620" t="s">
        <v>785</v>
      </c>
    </row>
    <row r="16621" spans="8:8" x14ac:dyDescent="0.25">
      <c r="H16621" t="s">
        <v>1639</v>
      </c>
    </row>
    <row r="16623" spans="8:8" x14ac:dyDescent="0.25">
      <c r="H16623" t="s">
        <v>789</v>
      </c>
    </row>
    <row r="16624" spans="8:8" x14ac:dyDescent="0.25">
      <c r="H16624" t="s">
        <v>785</v>
      </c>
    </row>
    <row r="16625" spans="8:8" x14ac:dyDescent="0.25">
      <c r="H16625" t="s">
        <v>1640</v>
      </c>
    </row>
    <row r="16627" spans="8:8" x14ac:dyDescent="0.25">
      <c r="H16627" t="s">
        <v>791</v>
      </c>
    </row>
    <row r="16628" spans="8:8" x14ac:dyDescent="0.25">
      <c r="H16628" t="s">
        <v>785</v>
      </c>
    </row>
    <row r="16629" spans="8:8" x14ac:dyDescent="0.25">
      <c r="H16629" t="s">
        <v>1641</v>
      </c>
    </row>
    <row r="16631" spans="8:8" x14ac:dyDescent="0.25">
      <c r="H16631" t="s">
        <v>793</v>
      </c>
    </row>
    <row r="16632" spans="8:8" x14ac:dyDescent="0.25">
      <c r="H16632" t="s">
        <v>794</v>
      </c>
    </row>
    <row r="16633" spans="8:8" x14ac:dyDescent="0.25">
      <c r="H16633" t="s">
        <v>1642</v>
      </c>
    </row>
    <row r="16635" spans="8:8" x14ac:dyDescent="0.25">
      <c r="H16635" t="s">
        <v>796</v>
      </c>
    </row>
    <row r="16636" spans="8:8" x14ac:dyDescent="0.25">
      <c r="H16636" t="s">
        <v>794</v>
      </c>
    </row>
    <row r="16637" spans="8:8" x14ac:dyDescent="0.25">
      <c r="H16637" t="s">
        <v>1643</v>
      </c>
    </row>
    <row r="16639" spans="8:8" x14ac:dyDescent="0.25">
      <c r="H16639" t="s">
        <v>798</v>
      </c>
    </row>
    <row r="16640" spans="8:8" x14ac:dyDescent="0.25">
      <c r="H16640" t="s">
        <v>794</v>
      </c>
    </row>
    <row r="16641" spans="8:8" x14ac:dyDescent="0.25">
      <c r="H16641" t="s">
        <v>1644</v>
      </c>
    </row>
    <row r="16643" spans="8:8" x14ac:dyDescent="0.25">
      <c r="H16643" t="s">
        <v>800</v>
      </c>
    </row>
    <row r="16644" spans="8:8" x14ac:dyDescent="0.25">
      <c r="H16644" t="s">
        <v>794</v>
      </c>
    </row>
    <row r="16645" spans="8:8" x14ac:dyDescent="0.25">
      <c r="H16645" t="s">
        <v>1645</v>
      </c>
    </row>
    <row r="16647" spans="8:8" x14ac:dyDescent="0.25">
      <c r="H16647" t="s">
        <v>802</v>
      </c>
    </row>
    <row r="16648" spans="8:8" x14ac:dyDescent="0.25">
      <c r="H16648" t="s">
        <v>803</v>
      </c>
    </row>
    <row r="16649" spans="8:8" x14ac:dyDescent="0.25">
      <c r="H16649" t="s">
        <v>1646</v>
      </c>
    </row>
    <row r="16651" spans="8:8" x14ac:dyDescent="0.25">
      <c r="H16651" t="s">
        <v>805</v>
      </c>
    </row>
    <row r="16652" spans="8:8" x14ac:dyDescent="0.25">
      <c r="H16652" t="s">
        <v>803</v>
      </c>
    </row>
    <row r="16653" spans="8:8" x14ac:dyDescent="0.25">
      <c r="H16653" t="s">
        <v>1647</v>
      </c>
    </row>
    <row r="16655" spans="8:8" x14ac:dyDescent="0.25">
      <c r="H16655" t="s">
        <v>807</v>
      </c>
    </row>
    <row r="16656" spans="8:8" x14ac:dyDescent="0.25">
      <c r="H16656" t="s">
        <v>803</v>
      </c>
    </row>
    <row r="16657" spans="8:8" x14ac:dyDescent="0.25">
      <c r="H16657" t="s">
        <v>1648</v>
      </c>
    </row>
    <row r="16659" spans="8:8" x14ac:dyDescent="0.25">
      <c r="H16659" t="s">
        <v>809</v>
      </c>
    </row>
    <row r="16660" spans="8:8" x14ac:dyDescent="0.25">
      <c r="H16660" t="s">
        <v>803</v>
      </c>
    </row>
    <row r="16661" spans="8:8" x14ac:dyDescent="0.25">
      <c r="H16661" t="s">
        <v>1649</v>
      </c>
    </row>
    <row r="16663" spans="8:8" x14ac:dyDescent="0.25">
      <c r="H16663" t="s">
        <v>811</v>
      </c>
    </row>
    <row r="16664" spans="8:8" x14ac:dyDescent="0.25">
      <c r="H16664" t="s">
        <v>812</v>
      </c>
    </row>
    <row r="16665" spans="8:8" x14ac:dyDescent="0.25">
      <c r="H16665" t="s">
        <v>1650</v>
      </c>
    </row>
    <row r="16667" spans="8:8" x14ac:dyDescent="0.25">
      <c r="H16667" t="s">
        <v>814</v>
      </c>
    </row>
    <row r="16668" spans="8:8" x14ac:dyDescent="0.25">
      <c r="H16668" t="s">
        <v>812</v>
      </c>
    </row>
    <row r="16669" spans="8:8" x14ac:dyDescent="0.25">
      <c r="H16669" t="s">
        <v>1651</v>
      </c>
    </row>
    <row r="16671" spans="8:8" x14ac:dyDescent="0.25">
      <c r="H16671" t="s">
        <v>816</v>
      </c>
    </row>
    <row r="16672" spans="8:8" x14ac:dyDescent="0.25">
      <c r="H16672" t="s">
        <v>812</v>
      </c>
    </row>
    <row r="16673" spans="8:8" x14ac:dyDescent="0.25">
      <c r="H16673" t="s">
        <v>1652</v>
      </c>
    </row>
    <row r="16675" spans="8:8" x14ac:dyDescent="0.25">
      <c r="H16675" t="s">
        <v>818</v>
      </c>
    </row>
    <row r="16676" spans="8:8" x14ac:dyDescent="0.25">
      <c r="H16676" t="s">
        <v>812</v>
      </c>
    </row>
    <row r="16677" spans="8:8" x14ac:dyDescent="0.25">
      <c r="H16677" t="s">
        <v>1653</v>
      </c>
    </row>
    <row r="16679" spans="8:8" x14ac:dyDescent="0.25">
      <c r="H16679" t="s">
        <v>820</v>
      </c>
    </row>
    <row r="16680" spans="8:8" x14ac:dyDescent="0.25">
      <c r="H16680" t="s">
        <v>821</v>
      </c>
    </row>
    <row r="16681" spans="8:8" x14ac:dyDescent="0.25">
      <c r="H16681" t="s">
        <v>1654</v>
      </c>
    </row>
    <row r="16683" spans="8:8" x14ac:dyDescent="0.25">
      <c r="H16683" t="s">
        <v>823</v>
      </c>
    </row>
    <row r="16684" spans="8:8" x14ac:dyDescent="0.25">
      <c r="H16684" t="s">
        <v>821</v>
      </c>
    </row>
    <row r="16685" spans="8:8" x14ac:dyDescent="0.25">
      <c r="H16685" t="s">
        <v>1655</v>
      </c>
    </row>
    <row r="16687" spans="8:8" x14ac:dyDescent="0.25">
      <c r="H16687" t="s">
        <v>825</v>
      </c>
    </row>
    <row r="16688" spans="8:8" x14ac:dyDescent="0.25">
      <c r="H16688" t="s">
        <v>821</v>
      </c>
    </row>
    <row r="16689" spans="8:8" x14ac:dyDescent="0.25">
      <c r="H16689" t="s">
        <v>1656</v>
      </c>
    </row>
    <row r="16691" spans="8:8" x14ac:dyDescent="0.25">
      <c r="H16691" t="s">
        <v>827</v>
      </c>
    </row>
    <row r="16692" spans="8:8" x14ac:dyDescent="0.25">
      <c r="H16692" t="s">
        <v>821</v>
      </c>
    </row>
    <row r="16693" spans="8:8" x14ac:dyDescent="0.25">
      <c r="H16693" t="s">
        <v>1657</v>
      </c>
    </row>
    <row r="16695" spans="8:8" x14ac:dyDescent="0.25">
      <c r="H16695" t="s">
        <v>829</v>
      </c>
    </row>
    <row r="16696" spans="8:8" x14ac:dyDescent="0.25">
      <c r="H16696" t="s">
        <v>830</v>
      </c>
    </row>
    <row r="16697" spans="8:8" x14ac:dyDescent="0.25">
      <c r="H16697" t="s">
        <v>1658</v>
      </c>
    </row>
    <row r="16699" spans="8:8" x14ac:dyDescent="0.25">
      <c r="H16699" t="s">
        <v>832</v>
      </c>
    </row>
    <row r="16700" spans="8:8" x14ac:dyDescent="0.25">
      <c r="H16700" t="s">
        <v>830</v>
      </c>
    </row>
    <row r="16701" spans="8:8" x14ac:dyDescent="0.25">
      <c r="H16701" t="s">
        <v>1659</v>
      </c>
    </row>
    <row r="16703" spans="8:8" x14ac:dyDescent="0.25">
      <c r="H16703" t="s">
        <v>834</v>
      </c>
    </row>
    <row r="16704" spans="8:8" x14ac:dyDescent="0.25">
      <c r="H16704" t="s">
        <v>830</v>
      </c>
    </row>
    <row r="16705" spans="8:8" x14ac:dyDescent="0.25">
      <c r="H16705" t="s">
        <v>1660</v>
      </c>
    </row>
    <row r="16707" spans="8:8" x14ac:dyDescent="0.25">
      <c r="H16707" t="s">
        <v>836</v>
      </c>
    </row>
    <row r="16708" spans="8:8" x14ac:dyDescent="0.25">
      <c r="H16708" t="s">
        <v>830</v>
      </c>
    </row>
    <row r="16709" spans="8:8" x14ac:dyDescent="0.25">
      <c r="H16709" t="s">
        <v>1661</v>
      </c>
    </row>
    <row r="16711" spans="8:8" x14ac:dyDescent="0.25">
      <c r="H16711" t="s">
        <v>838</v>
      </c>
    </row>
    <row r="16712" spans="8:8" x14ac:dyDescent="0.25">
      <c r="H16712" t="s">
        <v>839</v>
      </c>
    </row>
    <row r="16713" spans="8:8" x14ac:dyDescent="0.25">
      <c r="H16713" t="s">
        <v>1662</v>
      </c>
    </row>
    <row r="16715" spans="8:8" x14ac:dyDescent="0.25">
      <c r="H16715" t="s">
        <v>841</v>
      </c>
    </row>
    <row r="16716" spans="8:8" x14ac:dyDescent="0.25">
      <c r="H16716" t="s">
        <v>839</v>
      </c>
    </row>
    <row r="16717" spans="8:8" x14ac:dyDescent="0.25">
      <c r="H16717" t="s">
        <v>1663</v>
      </c>
    </row>
    <row r="16719" spans="8:8" x14ac:dyDescent="0.25">
      <c r="H16719" t="s">
        <v>843</v>
      </c>
    </row>
    <row r="16720" spans="8:8" x14ac:dyDescent="0.25">
      <c r="H16720" t="s">
        <v>839</v>
      </c>
    </row>
    <row r="16721" spans="8:8" x14ac:dyDescent="0.25">
      <c r="H16721" t="s">
        <v>1664</v>
      </c>
    </row>
    <row r="16723" spans="8:8" x14ac:dyDescent="0.25">
      <c r="H16723" t="s">
        <v>845</v>
      </c>
    </row>
    <row r="16724" spans="8:8" x14ac:dyDescent="0.25">
      <c r="H16724" t="s">
        <v>839</v>
      </c>
    </row>
    <row r="16725" spans="8:8" x14ac:dyDescent="0.25">
      <c r="H16725" t="s">
        <v>1665</v>
      </c>
    </row>
    <row r="16727" spans="8:8" x14ac:dyDescent="0.25">
      <c r="H16727" t="s">
        <v>15</v>
      </c>
    </row>
    <row r="16728" spans="8:8" x14ac:dyDescent="0.25">
      <c r="H16728" t="s">
        <v>21</v>
      </c>
    </row>
    <row r="16730" spans="8:8" x14ac:dyDescent="0.25">
      <c r="H16730" t="s">
        <v>16</v>
      </c>
    </row>
    <row r="16731" spans="8:8" x14ac:dyDescent="0.25">
      <c r="H16731" s="9" t="s">
        <v>60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Write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Write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"/>
  <sheetViews>
    <sheetView workbookViewId="0">
      <selection activeCell="BA322" sqref="BA322:BA428"/>
    </sheetView>
  </sheetViews>
  <sheetFormatPr defaultRowHeight="15" x14ac:dyDescent="0.25"/>
  <sheetData/>
  <sortState xmlns:xlrd2="http://schemas.microsoft.com/office/spreadsheetml/2017/richdata2" ref="A1:BA428">
    <sortCondition ref="AW1"/>
    <sortCondition ref="AY1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Main</vt:lpstr>
      <vt:lpstr>Tables</vt:lpstr>
      <vt:lpstr>Read Case</vt:lpstr>
      <vt:lpstr>Write Case</vt:lpstr>
      <vt:lpstr>Temp</vt:lpstr>
      <vt:lpstr>tableMainColumns</vt:lpstr>
      <vt:lpstr>tableMainColumnsColumn</vt:lpstr>
      <vt:lpstr>tableMainColumnsName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França</dc:creator>
  <cp:lastModifiedBy>Rodrigo França</cp:lastModifiedBy>
  <dcterms:created xsi:type="dcterms:W3CDTF">2019-08-27T01:57:59Z</dcterms:created>
  <dcterms:modified xsi:type="dcterms:W3CDTF">2020-10-20T05:11:42Z</dcterms:modified>
</cp:coreProperties>
</file>