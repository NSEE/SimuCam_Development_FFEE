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\FPGA_Developments\RMAP_Memory_FFEE_AEB_Area\References\"/>
    </mc:Choice>
  </mc:AlternateContent>
  <xr:revisionPtr revIDLastSave="0" documentId="13_ncr:1_{ABDC239A-A464-4D64-BABF-70766428A833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10" i="1" l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R6" i="1"/>
  <c r="Q6" i="1"/>
  <c r="Q4" i="1"/>
  <c r="R4" i="1"/>
  <c r="T4" i="1"/>
  <c r="U4" i="1"/>
  <c r="V4" i="1" s="1"/>
  <c r="W4" i="1"/>
  <c r="AA4" i="1" s="1"/>
  <c r="X4" i="1"/>
  <c r="AB4" i="1" s="1"/>
  <c r="Y4" i="1"/>
  <c r="AC4" i="1" s="1"/>
  <c r="Z4" i="1"/>
  <c r="AH4" i="1" s="1"/>
  <c r="Q5" i="1"/>
  <c r="R5" i="1"/>
  <c r="AD4" i="1" l="1"/>
  <c r="AG4" i="1"/>
  <c r="AF4" i="1"/>
  <c r="AE4" i="1"/>
  <c r="I27" i="5" l="1"/>
  <c r="J27" i="5" s="1"/>
  <c r="I28" i="5"/>
  <c r="J28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S5" i="1" l="1"/>
  <c r="Z5" i="1" l="1"/>
  <c r="Y5" i="1"/>
  <c r="U5" i="1"/>
  <c r="V5" i="1" s="1"/>
  <c r="X5" i="1"/>
  <c r="T5" i="1"/>
  <c r="W5" i="1"/>
  <c r="AE5" i="1" l="1"/>
  <c r="AA5" i="1"/>
  <c r="AG5" i="1"/>
  <c r="AC5" i="1"/>
  <c r="AH5" i="1"/>
  <c r="AD5" i="1"/>
  <c r="AB5" i="1"/>
  <c r="AF5" i="1"/>
  <c r="S6" i="1" l="1"/>
  <c r="Z6" i="1" s="1"/>
  <c r="T6" i="1" l="1"/>
  <c r="Y6" i="1"/>
  <c r="AG6" i="1" s="1"/>
  <c r="W6" i="1"/>
  <c r="AA6" i="1" s="1"/>
  <c r="X6" i="1"/>
  <c r="S7" i="1"/>
  <c r="AD6" i="1"/>
  <c r="AH6" i="1"/>
  <c r="U6" i="1"/>
  <c r="V6" i="1" s="1"/>
  <c r="X7" i="1" l="1"/>
  <c r="AB7" i="1" s="1"/>
  <c r="S8" i="1"/>
  <c r="Z7" i="1"/>
  <c r="AD7" i="1" s="1"/>
  <c r="U7" i="1"/>
  <c r="V7" i="1" s="1"/>
  <c r="AF7" i="1"/>
  <c r="W7" i="1"/>
  <c r="AE7" i="1" s="1"/>
  <c r="Y7" i="1"/>
  <c r="AC7" i="1" s="1"/>
  <c r="T7" i="1"/>
  <c r="AE6" i="1"/>
  <c r="AC6" i="1"/>
  <c r="AF6" i="1"/>
  <c r="AB6" i="1"/>
  <c r="Z8" i="1" l="1"/>
  <c r="T8" i="1"/>
  <c r="Y8" i="1"/>
  <c r="W8" i="1"/>
  <c r="U8" i="1"/>
  <c r="V8" i="1" s="1"/>
  <c r="X8" i="1"/>
  <c r="AH7" i="1"/>
  <c r="AG7" i="1"/>
  <c r="AA7" i="1"/>
  <c r="S9" i="1" l="1"/>
  <c r="T9" i="1" s="1"/>
  <c r="U9" i="1"/>
  <c r="V9" i="1" s="1"/>
  <c r="W9" i="1"/>
  <c r="AF8" i="1"/>
  <c r="AB8" i="1"/>
  <c r="AE8" i="1"/>
  <c r="AA8" i="1"/>
  <c r="AC8" i="1"/>
  <c r="AG8" i="1"/>
  <c r="AD8" i="1"/>
  <c r="AH8" i="1"/>
  <c r="Y9" i="1" l="1"/>
  <c r="Z9" i="1"/>
  <c r="AH9" i="1" s="1"/>
  <c r="X9" i="1"/>
  <c r="AA9" i="1" s="1"/>
  <c r="S10" i="1"/>
  <c r="AD9" i="1"/>
  <c r="AC9" i="1"/>
  <c r="AG9" i="1"/>
  <c r="AE9" i="1"/>
  <c r="AB9" i="1"/>
  <c r="AF9" i="1"/>
  <c r="Z10" i="1" l="1"/>
  <c r="T10" i="1"/>
  <c r="Y10" i="1"/>
  <c r="W10" i="1"/>
  <c r="U10" i="1"/>
  <c r="V10" i="1" s="1"/>
  <c r="X10" i="1"/>
  <c r="S11" i="1"/>
  <c r="AE10" i="1" l="1"/>
  <c r="AA10" i="1"/>
  <c r="X11" i="1"/>
  <c r="Y11" i="1"/>
  <c r="W11" i="1"/>
  <c r="U11" i="1"/>
  <c r="V11" i="1" s="1"/>
  <c r="Z11" i="1"/>
  <c r="T11" i="1"/>
  <c r="S12" i="1"/>
  <c r="AG10" i="1"/>
  <c r="AC10" i="1"/>
  <c r="AF10" i="1"/>
  <c r="AB10" i="1"/>
  <c r="AD10" i="1"/>
  <c r="AH10" i="1"/>
  <c r="AD11" i="1" l="1"/>
  <c r="AH11" i="1"/>
  <c r="AG11" i="1"/>
  <c r="AC11" i="1"/>
  <c r="AF11" i="1"/>
  <c r="AB11" i="1"/>
  <c r="Z12" i="1"/>
  <c r="X12" i="1"/>
  <c r="S13" i="1"/>
  <c r="T12" i="1"/>
  <c r="Y12" i="1"/>
  <c r="W12" i="1"/>
  <c r="U12" i="1"/>
  <c r="V12" i="1" s="1"/>
  <c r="AA11" i="1"/>
  <c r="AE11" i="1"/>
  <c r="AE12" i="1" l="1"/>
  <c r="AA12" i="1"/>
  <c r="AB12" i="1"/>
  <c r="AF12" i="1"/>
  <c r="AG12" i="1"/>
  <c r="AC12" i="1"/>
  <c r="AH12" i="1"/>
  <c r="AD12" i="1"/>
  <c r="Y13" i="1"/>
  <c r="S14" i="1"/>
  <c r="U13" i="1"/>
  <c r="V13" i="1" s="1"/>
  <c r="X13" i="1"/>
  <c r="W13" i="1"/>
  <c r="T13" i="1"/>
  <c r="Z13" i="1"/>
  <c r="AH13" i="1" l="1"/>
  <c r="AD13" i="1"/>
  <c r="AF13" i="1"/>
  <c r="AB13" i="1"/>
  <c r="S15" i="1"/>
  <c r="T14" i="1"/>
  <c r="Y14" i="1"/>
  <c r="Z14" i="1"/>
  <c r="U14" i="1"/>
  <c r="V14" i="1" s="1"/>
  <c r="W14" i="1"/>
  <c r="X14" i="1"/>
  <c r="AE13" i="1"/>
  <c r="AA13" i="1"/>
  <c r="AG13" i="1"/>
  <c r="AC13" i="1"/>
  <c r="AH14" i="1" l="1"/>
  <c r="AD14" i="1"/>
  <c r="AA14" i="1"/>
  <c r="AE14" i="1"/>
  <c r="AF14" i="1"/>
  <c r="AB14" i="1"/>
  <c r="AG14" i="1"/>
  <c r="AC14" i="1"/>
  <c r="X15" i="1"/>
  <c r="W15" i="1"/>
  <c r="T15" i="1"/>
  <c r="Z15" i="1"/>
  <c r="U15" i="1"/>
  <c r="V15" i="1" s="1"/>
  <c r="Y15" i="1"/>
  <c r="S16" i="1"/>
  <c r="AD15" i="1" l="1"/>
  <c r="AH15" i="1"/>
  <c r="Z16" i="1"/>
  <c r="U16" i="1"/>
  <c r="V16" i="1" s="1"/>
  <c r="T16" i="1"/>
  <c r="W16" i="1"/>
  <c r="X16" i="1"/>
  <c r="Y16" i="1"/>
  <c r="AG15" i="1"/>
  <c r="AC15" i="1"/>
  <c r="AA15" i="1"/>
  <c r="AE15" i="1"/>
  <c r="AB15" i="1"/>
  <c r="AF15" i="1"/>
  <c r="AE16" i="1" l="1"/>
  <c r="AA16" i="1"/>
  <c r="AH16" i="1"/>
  <c r="AD16" i="1"/>
  <c r="AF16" i="1"/>
  <c r="AB16" i="1"/>
  <c r="AG16" i="1"/>
  <c r="AC16" i="1"/>
  <c r="S17" i="1"/>
  <c r="Y17" i="1" l="1"/>
  <c r="U17" i="1"/>
  <c r="V17" i="1" s="1"/>
  <c r="X17" i="1"/>
  <c r="W17" i="1"/>
  <c r="T17" i="1"/>
  <c r="Z17" i="1"/>
  <c r="AF17" i="1" l="1"/>
  <c r="AB17" i="1"/>
  <c r="AH17" i="1"/>
  <c r="AD17" i="1"/>
  <c r="AG17" i="1"/>
  <c r="AC17" i="1"/>
  <c r="AE17" i="1"/>
  <c r="AA17" i="1"/>
  <c r="S18" i="1"/>
  <c r="Z18" i="1" l="1"/>
  <c r="U18" i="1"/>
  <c r="V18" i="1" s="1"/>
  <c r="W18" i="1"/>
  <c r="X18" i="1"/>
  <c r="T18" i="1"/>
  <c r="Y18" i="1"/>
  <c r="AF18" i="1" l="1"/>
  <c r="AB18" i="1"/>
  <c r="AG18" i="1"/>
  <c r="AC18" i="1"/>
  <c r="AE18" i="1"/>
  <c r="AA18" i="1"/>
  <c r="S19" i="1"/>
  <c r="AH18" i="1"/>
  <c r="AD18" i="1"/>
  <c r="X19" i="1" l="1"/>
  <c r="W19" i="1"/>
  <c r="Z19" i="1"/>
  <c r="Y19" i="1"/>
  <c r="T19" i="1"/>
  <c r="U19" i="1"/>
  <c r="V19" i="1" s="1"/>
  <c r="S20" i="1"/>
  <c r="AG19" i="1" l="1"/>
  <c r="AC19" i="1"/>
  <c r="AD19" i="1"/>
  <c r="AH19" i="1"/>
  <c r="AA19" i="1"/>
  <c r="AE19" i="1"/>
  <c r="W20" i="1"/>
  <c r="X20" i="1"/>
  <c r="S21" i="1"/>
  <c r="Y20" i="1"/>
  <c r="T20" i="1"/>
  <c r="Z20" i="1"/>
  <c r="U20" i="1"/>
  <c r="V20" i="1" s="1"/>
  <c r="AF19" i="1"/>
  <c r="AB19" i="1"/>
  <c r="AF20" i="1" l="1"/>
  <c r="AB20" i="1"/>
  <c r="AC20" i="1"/>
  <c r="AG20" i="1"/>
  <c r="AH20" i="1"/>
  <c r="AD20" i="1"/>
  <c r="AA20" i="1"/>
  <c r="AE20" i="1"/>
  <c r="U21" i="1"/>
  <c r="V21" i="1" s="1"/>
  <c r="S22" i="1"/>
  <c r="Y21" i="1"/>
  <c r="X21" i="1"/>
  <c r="W21" i="1"/>
  <c r="T21" i="1"/>
  <c r="Z21" i="1"/>
  <c r="U22" i="1" l="1"/>
  <c r="V22" i="1" s="1"/>
  <c r="S23" i="1"/>
  <c r="W22" i="1"/>
  <c r="Z22" i="1"/>
  <c r="X22" i="1"/>
  <c r="T22" i="1"/>
  <c r="Y22" i="1"/>
  <c r="AF21" i="1"/>
  <c r="AB21" i="1"/>
  <c r="AH21" i="1"/>
  <c r="AD21" i="1"/>
  <c r="AG21" i="1"/>
  <c r="AC21" i="1"/>
  <c r="AA21" i="1"/>
  <c r="AE21" i="1"/>
  <c r="AD22" i="1" l="1"/>
  <c r="AH22" i="1"/>
  <c r="AE22" i="1"/>
  <c r="AA22" i="1"/>
  <c r="T23" i="1"/>
  <c r="Z23" i="1"/>
  <c r="Y23" i="1"/>
  <c r="U23" i="1"/>
  <c r="V23" i="1" s="1"/>
  <c r="X23" i="1"/>
  <c r="W23" i="1"/>
  <c r="AC22" i="1"/>
  <c r="AG22" i="1"/>
  <c r="AF22" i="1"/>
  <c r="AB22" i="1"/>
  <c r="AC23" i="1" l="1"/>
  <c r="AG23" i="1"/>
  <c r="S24" i="1"/>
  <c r="AE23" i="1"/>
  <c r="AA23" i="1"/>
  <c r="AH23" i="1"/>
  <c r="AD23" i="1"/>
  <c r="AF23" i="1"/>
  <c r="AB23" i="1"/>
  <c r="W24" i="1" l="1"/>
  <c r="X24" i="1"/>
  <c r="S25" i="1"/>
  <c r="T24" i="1"/>
  <c r="Z24" i="1"/>
  <c r="U24" i="1"/>
  <c r="V24" i="1" s="1"/>
  <c r="Y24" i="1"/>
  <c r="AC24" i="1" l="1"/>
  <c r="AG24" i="1"/>
  <c r="W25" i="1"/>
  <c r="X25" i="1"/>
  <c r="U25" i="1"/>
  <c r="V25" i="1" s="1"/>
  <c r="Z25" i="1"/>
  <c r="Y25" i="1"/>
  <c r="S26" i="1"/>
  <c r="T25" i="1"/>
  <c r="AF24" i="1"/>
  <c r="AB24" i="1"/>
  <c r="AH24" i="1"/>
  <c r="AD24" i="1"/>
  <c r="AE24" i="1"/>
  <c r="AA24" i="1"/>
  <c r="Y26" i="1" l="1"/>
  <c r="S27" i="1"/>
  <c r="X26" i="1"/>
  <c r="W26" i="1"/>
  <c r="T26" i="1"/>
  <c r="Z26" i="1"/>
  <c r="U26" i="1"/>
  <c r="V26" i="1" s="1"/>
  <c r="AB25" i="1"/>
  <c r="AF25" i="1"/>
  <c r="AG25" i="1"/>
  <c r="AC25" i="1"/>
  <c r="AA25" i="1"/>
  <c r="AE25" i="1"/>
  <c r="AD25" i="1"/>
  <c r="AH25" i="1"/>
  <c r="AE26" i="1" l="1"/>
  <c r="AA26" i="1"/>
  <c r="AF26" i="1"/>
  <c r="AB26" i="1"/>
  <c r="AH26" i="1"/>
  <c r="AD26" i="1"/>
  <c r="U27" i="1"/>
  <c r="V27" i="1" s="1"/>
  <c r="Z27" i="1"/>
  <c r="X27" i="1"/>
  <c r="W27" i="1"/>
  <c r="T27" i="1"/>
  <c r="S28" i="1"/>
  <c r="Y27" i="1"/>
  <c r="AC26" i="1"/>
  <c r="AG26" i="1"/>
  <c r="AE27" i="1" l="1"/>
  <c r="AA27" i="1"/>
  <c r="S29" i="1"/>
  <c r="T28" i="1"/>
  <c r="U28" i="1"/>
  <c r="V28" i="1" s="1"/>
  <c r="X28" i="1"/>
  <c r="Y28" i="1"/>
  <c r="W28" i="1"/>
  <c r="Z28" i="1"/>
  <c r="AH27" i="1"/>
  <c r="AD27" i="1"/>
  <c r="AG27" i="1"/>
  <c r="AC27" i="1"/>
  <c r="AF27" i="1"/>
  <c r="AB27" i="1"/>
  <c r="AE28" i="1" l="1"/>
  <c r="AA28" i="1"/>
  <c r="AC28" i="1"/>
  <c r="AG28" i="1"/>
  <c r="W29" i="1"/>
  <c r="Y29" i="1"/>
  <c r="T29" i="1"/>
  <c r="U29" i="1"/>
  <c r="V29" i="1" s="1"/>
  <c r="Z29" i="1"/>
  <c r="X29" i="1"/>
  <c r="AB28" i="1"/>
  <c r="AF28" i="1"/>
  <c r="AD28" i="1"/>
  <c r="AH28" i="1"/>
  <c r="AC29" i="1" l="1"/>
  <c r="AG29" i="1"/>
  <c r="AH29" i="1"/>
  <c r="AD29" i="1"/>
  <c r="AE29" i="1"/>
  <c r="AA29" i="1"/>
  <c r="AB29" i="1"/>
  <c r="AF29" i="1"/>
  <c r="S30" i="1"/>
  <c r="Y30" i="1" l="1"/>
  <c r="X30" i="1"/>
  <c r="U30" i="1"/>
  <c r="V30" i="1" s="1"/>
  <c r="T30" i="1"/>
  <c r="Z30" i="1"/>
  <c r="W30" i="1"/>
  <c r="S31" i="1"/>
  <c r="Y31" i="1" l="1"/>
  <c r="W31" i="1"/>
  <c r="U31" i="1"/>
  <c r="V31" i="1" s="1"/>
  <c r="X31" i="1"/>
  <c r="Z31" i="1"/>
  <c r="T31" i="1"/>
  <c r="S32" i="1"/>
  <c r="AB30" i="1"/>
  <c r="AF30" i="1"/>
  <c r="AE30" i="1"/>
  <c r="AA30" i="1"/>
  <c r="AD30" i="1"/>
  <c r="AH30" i="1"/>
  <c r="AC30" i="1"/>
  <c r="AG30" i="1"/>
  <c r="AA31" i="1" l="1"/>
  <c r="AE31" i="1"/>
  <c r="AB31" i="1"/>
  <c r="AF31" i="1"/>
  <c r="T32" i="1"/>
  <c r="U32" i="1"/>
  <c r="V32" i="1" s="1"/>
  <c r="W32" i="1"/>
  <c r="S33" i="1"/>
  <c r="Z32" i="1"/>
  <c r="X32" i="1"/>
  <c r="Y32" i="1"/>
  <c r="AH31" i="1"/>
  <c r="AD31" i="1"/>
  <c r="AG31" i="1"/>
  <c r="AC31" i="1"/>
  <c r="Y33" i="1" l="1"/>
  <c r="W33" i="1"/>
  <c r="U33" i="1"/>
  <c r="V33" i="1" s="1"/>
  <c r="T33" i="1"/>
  <c r="X33" i="1"/>
  <c r="Z33" i="1"/>
  <c r="S34" i="1"/>
  <c r="AG32" i="1"/>
  <c r="AC32" i="1"/>
  <c r="AE32" i="1"/>
  <c r="AA32" i="1"/>
  <c r="AB32" i="1"/>
  <c r="AF32" i="1"/>
  <c r="AD32" i="1"/>
  <c r="AH32" i="1"/>
  <c r="T34" i="1" l="1"/>
  <c r="U34" i="1"/>
  <c r="V34" i="1" s="1"/>
  <c r="Z34" i="1"/>
  <c r="W34" i="1"/>
  <c r="S35" i="1"/>
  <c r="X34" i="1"/>
  <c r="Y34" i="1"/>
  <c r="AD33" i="1"/>
  <c r="AH33" i="1"/>
  <c r="AE33" i="1"/>
  <c r="AA33" i="1"/>
  <c r="AF33" i="1"/>
  <c r="AB33" i="1"/>
  <c r="AG33" i="1"/>
  <c r="AC33" i="1"/>
  <c r="AA34" i="1" l="1"/>
  <c r="AE34" i="1"/>
  <c r="AH34" i="1"/>
  <c r="AD34" i="1"/>
  <c r="AB34" i="1"/>
  <c r="AF34" i="1"/>
  <c r="AC34" i="1"/>
  <c r="AG34" i="1"/>
  <c r="Y35" i="1"/>
  <c r="W35" i="1"/>
  <c r="U35" i="1"/>
  <c r="V35" i="1" s="1"/>
  <c r="X35" i="1"/>
  <c r="Z35" i="1"/>
  <c r="T35" i="1"/>
  <c r="S36" i="1"/>
  <c r="AF35" i="1" l="1"/>
  <c r="AB35" i="1"/>
  <c r="T36" i="1"/>
  <c r="U36" i="1"/>
  <c r="V36" i="1" s="1"/>
  <c r="W36" i="1"/>
  <c r="Z36" i="1"/>
  <c r="X36" i="1"/>
  <c r="Y36" i="1"/>
  <c r="AE35" i="1"/>
  <c r="AA35" i="1"/>
  <c r="AH35" i="1"/>
  <c r="AD35" i="1"/>
  <c r="AG35" i="1"/>
  <c r="AC35" i="1"/>
  <c r="AD36" i="1" l="1"/>
  <c r="AH36" i="1"/>
  <c r="AB36" i="1"/>
  <c r="AF36" i="1"/>
  <c r="S37" i="1"/>
  <c r="AC36" i="1"/>
  <c r="AG36" i="1"/>
  <c r="AE36" i="1"/>
  <c r="AA36" i="1"/>
  <c r="Y37" i="1" l="1"/>
  <c r="W37" i="1"/>
  <c r="U37" i="1"/>
  <c r="V37" i="1" s="1"/>
  <c r="X37" i="1"/>
  <c r="Z37" i="1"/>
  <c r="T37" i="1"/>
  <c r="S38" i="1"/>
  <c r="T38" i="1" l="1"/>
  <c r="U38" i="1"/>
  <c r="V38" i="1" s="1"/>
  <c r="X38" i="1"/>
  <c r="Y38" i="1"/>
  <c r="W38" i="1"/>
  <c r="S39" i="1"/>
  <c r="Z38" i="1"/>
  <c r="AA37" i="1"/>
  <c r="AE37" i="1"/>
  <c r="AF37" i="1"/>
  <c r="AB37" i="1"/>
  <c r="AH37" i="1"/>
  <c r="AD37" i="1"/>
  <c r="AG37" i="1"/>
  <c r="AC37" i="1"/>
  <c r="AD38" i="1" l="1"/>
  <c r="AH38" i="1"/>
  <c r="AF38" i="1"/>
  <c r="AB38" i="1"/>
  <c r="U39" i="1"/>
  <c r="V39" i="1" s="1"/>
  <c r="Z39" i="1"/>
  <c r="X39" i="1"/>
  <c r="S40" i="1"/>
  <c r="T39" i="1"/>
  <c r="Y39" i="1"/>
  <c r="W39" i="1"/>
  <c r="AC38" i="1"/>
  <c r="AG38" i="1"/>
  <c r="AE38" i="1"/>
  <c r="AA38" i="1"/>
  <c r="AE39" i="1" l="1"/>
  <c r="AA39" i="1"/>
  <c r="AF39" i="1"/>
  <c r="AB39" i="1"/>
  <c r="T40" i="1"/>
  <c r="U40" i="1"/>
  <c r="V40" i="1" s="1"/>
  <c r="W40" i="1"/>
  <c r="Z40" i="1"/>
  <c r="X40" i="1"/>
  <c r="Y40" i="1"/>
  <c r="S41" i="1"/>
  <c r="AC39" i="1"/>
  <c r="AG39" i="1"/>
  <c r="AD39" i="1"/>
  <c r="AH39" i="1"/>
  <c r="AH40" i="1" l="1"/>
  <c r="AD40" i="1"/>
  <c r="Y41" i="1"/>
  <c r="W41" i="1"/>
  <c r="X41" i="1"/>
  <c r="Z41" i="1"/>
  <c r="T41" i="1"/>
  <c r="U41" i="1"/>
  <c r="V41" i="1" s="1"/>
  <c r="AA40" i="1"/>
  <c r="AE40" i="1"/>
  <c r="AC40" i="1"/>
  <c r="AG40" i="1"/>
  <c r="AF40" i="1"/>
  <c r="AB40" i="1"/>
  <c r="AC41" i="1" l="1"/>
  <c r="AG41" i="1"/>
  <c r="AH41" i="1"/>
  <c r="AD41" i="1"/>
  <c r="AA41" i="1"/>
  <c r="AE41" i="1"/>
  <c r="S42" i="1"/>
  <c r="AF41" i="1"/>
  <c r="AB41" i="1"/>
  <c r="T42" i="1" l="1"/>
  <c r="W42" i="1"/>
  <c r="U42" i="1"/>
  <c r="V42" i="1" s="1"/>
  <c r="Z42" i="1"/>
  <c r="X42" i="1"/>
  <c r="Y42" i="1"/>
  <c r="AC42" i="1" l="1"/>
  <c r="AG42" i="1"/>
  <c r="AE42" i="1"/>
  <c r="AA42" i="1"/>
  <c r="S43" i="1"/>
  <c r="AF42" i="1"/>
  <c r="AB42" i="1"/>
  <c r="AD42" i="1"/>
  <c r="AH42" i="1"/>
  <c r="W43" i="1" l="1"/>
  <c r="U43" i="1"/>
  <c r="V43" i="1" s="1"/>
  <c r="X43" i="1"/>
  <c r="Z43" i="1"/>
  <c r="T43" i="1"/>
  <c r="Y43" i="1"/>
  <c r="S44" i="1"/>
  <c r="AH43" i="1" l="1"/>
  <c r="AD43" i="1"/>
  <c r="AF43" i="1"/>
  <c r="AB43" i="1"/>
  <c r="AG43" i="1"/>
  <c r="AC43" i="1"/>
  <c r="T44" i="1"/>
  <c r="U44" i="1"/>
  <c r="V44" i="1" s="1"/>
  <c r="W44" i="1"/>
  <c r="X44" i="1"/>
  <c r="Y44" i="1"/>
  <c r="Z44" i="1"/>
  <c r="AE43" i="1"/>
  <c r="AA43" i="1"/>
  <c r="AC44" i="1" l="1"/>
  <c r="AG44" i="1"/>
  <c r="AF44" i="1"/>
  <c r="AB44" i="1"/>
  <c r="S45" i="1"/>
  <c r="AH44" i="1"/>
  <c r="AD44" i="1"/>
  <c r="AA44" i="1"/>
  <c r="AE44" i="1"/>
  <c r="U45" i="1" l="1"/>
  <c r="V45" i="1" s="1"/>
  <c r="Z45" i="1"/>
  <c r="X45" i="1"/>
  <c r="Y45" i="1"/>
  <c r="T45" i="1"/>
  <c r="W45" i="1"/>
  <c r="S46" i="1" l="1"/>
  <c r="AE45" i="1"/>
  <c r="AA45" i="1"/>
  <c r="AF45" i="1"/>
  <c r="AB45" i="1"/>
  <c r="AH45" i="1"/>
  <c r="AD45" i="1"/>
  <c r="Z46" i="1"/>
  <c r="X46" i="1"/>
  <c r="Y46" i="1"/>
  <c r="T46" i="1"/>
  <c r="U46" i="1"/>
  <c r="V46" i="1" s="1"/>
  <c r="W46" i="1"/>
  <c r="S47" i="1"/>
  <c r="AG45" i="1"/>
  <c r="AC45" i="1"/>
  <c r="U47" i="1" l="1"/>
  <c r="V47" i="1" s="1"/>
  <c r="T47" i="1"/>
  <c r="Z47" i="1"/>
  <c r="X47" i="1"/>
  <c r="S48" i="1"/>
  <c r="Y47" i="1"/>
  <c r="W47" i="1"/>
  <c r="AC46" i="1"/>
  <c r="AG46" i="1"/>
  <c r="AE46" i="1"/>
  <c r="AA46" i="1"/>
  <c r="AF46" i="1"/>
  <c r="AB46" i="1"/>
  <c r="AD46" i="1"/>
  <c r="AH46" i="1"/>
  <c r="T48" i="1" l="1"/>
  <c r="U48" i="1"/>
  <c r="V48" i="1" s="1"/>
  <c r="Z48" i="1"/>
  <c r="W48" i="1"/>
  <c r="S49" i="1"/>
  <c r="X48" i="1"/>
  <c r="Y48" i="1"/>
  <c r="AF47" i="1"/>
  <c r="AB47" i="1"/>
  <c r="AA47" i="1"/>
  <c r="AE47" i="1"/>
  <c r="AH47" i="1"/>
  <c r="AD47" i="1"/>
  <c r="AC47" i="1"/>
  <c r="AG47" i="1"/>
  <c r="AC48" i="1" l="1"/>
  <c r="AG48" i="1"/>
  <c r="AD48" i="1"/>
  <c r="AH48" i="1"/>
  <c r="AE48" i="1"/>
  <c r="AA48" i="1"/>
  <c r="AF48" i="1"/>
  <c r="AB48" i="1"/>
  <c r="S50" i="1"/>
  <c r="T49" i="1"/>
  <c r="W49" i="1"/>
  <c r="U49" i="1"/>
  <c r="V49" i="1" s="1"/>
  <c r="Z49" i="1"/>
  <c r="X49" i="1"/>
  <c r="Y49" i="1"/>
  <c r="AA49" i="1" l="1"/>
  <c r="AE49" i="1"/>
  <c r="AG49" i="1"/>
  <c r="AC49" i="1"/>
  <c r="AB49" i="1"/>
  <c r="AF49" i="1"/>
  <c r="AH49" i="1"/>
  <c r="AD49" i="1"/>
  <c r="T50" i="1"/>
  <c r="X50" i="1"/>
  <c r="Y50" i="1"/>
  <c r="W50" i="1"/>
  <c r="U50" i="1"/>
  <c r="V50" i="1" s="1"/>
  <c r="Z50" i="1"/>
  <c r="AD50" i="1" l="1"/>
  <c r="AH50" i="1"/>
  <c r="AF50" i="1"/>
  <c r="AB50" i="1"/>
  <c r="AC50" i="1"/>
  <c r="AG50" i="1"/>
  <c r="S51" i="1"/>
  <c r="AE50" i="1"/>
  <c r="AA50" i="1"/>
  <c r="S52" i="1" l="1"/>
  <c r="T51" i="1"/>
  <c r="U51" i="1"/>
  <c r="V51" i="1" s="1"/>
  <c r="Z51" i="1"/>
  <c r="X51" i="1"/>
  <c r="Y51" i="1"/>
  <c r="W51" i="1"/>
  <c r="AE51" i="1" l="1"/>
  <c r="AA51" i="1"/>
  <c r="AD51" i="1"/>
  <c r="AH51" i="1"/>
  <c r="AC51" i="1"/>
  <c r="AG51" i="1"/>
  <c r="AF51" i="1"/>
  <c r="AB51" i="1"/>
  <c r="Z52" i="1"/>
  <c r="X52" i="1"/>
  <c r="Y52" i="1"/>
  <c r="W52" i="1"/>
  <c r="S53" i="1"/>
  <c r="T52" i="1"/>
  <c r="U52" i="1"/>
  <c r="V52" i="1" s="1"/>
  <c r="AG52" i="1" l="1"/>
  <c r="AC52" i="1"/>
  <c r="AE52" i="1"/>
  <c r="AA52" i="1"/>
  <c r="AF52" i="1"/>
  <c r="AB52" i="1"/>
  <c r="U53" i="1"/>
  <c r="V53" i="1" s="1"/>
  <c r="X53" i="1"/>
  <c r="S54" i="1"/>
  <c r="W53" i="1"/>
  <c r="Z53" i="1"/>
  <c r="T53" i="1"/>
  <c r="Y53" i="1"/>
  <c r="AD52" i="1"/>
  <c r="AH52" i="1"/>
  <c r="AD53" i="1" l="1"/>
  <c r="AH53" i="1"/>
  <c r="AE53" i="1"/>
  <c r="AA53" i="1"/>
  <c r="AF53" i="1"/>
  <c r="AB53" i="1"/>
  <c r="AC53" i="1"/>
  <c r="AG53" i="1"/>
  <c r="Z54" i="1"/>
  <c r="X54" i="1"/>
  <c r="Y54" i="1"/>
  <c r="T54" i="1"/>
  <c r="W54" i="1"/>
  <c r="U54" i="1"/>
  <c r="V54" i="1" s="1"/>
  <c r="S55" i="1"/>
  <c r="AF54" i="1" l="1"/>
  <c r="AB54" i="1"/>
  <c r="U55" i="1"/>
  <c r="V55" i="1" s="1"/>
  <c r="X55" i="1"/>
  <c r="Z55" i="1"/>
  <c r="S56" i="1"/>
  <c r="T55" i="1"/>
  <c r="Y55" i="1"/>
  <c r="W55" i="1"/>
  <c r="AC54" i="1"/>
  <c r="AG54" i="1"/>
  <c r="AE54" i="1"/>
  <c r="AA54" i="1"/>
  <c r="AD54" i="1"/>
  <c r="AH54" i="1"/>
  <c r="AC55" i="1" l="1"/>
  <c r="AG55" i="1"/>
  <c r="Y56" i="1"/>
  <c r="U56" i="1"/>
  <c r="V56" i="1" s="1"/>
  <c r="T56" i="1"/>
  <c r="W56" i="1"/>
  <c r="X56" i="1"/>
  <c r="Z56" i="1"/>
  <c r="AB55" i="1"/>
  <c r="AF55" i="1"/>
  <c r="AE55" i="1"/>
  <c r="AA55" i="1"/>
  <c r="AH55" i="1"/>
  <c r="AD55" i="1"/>
  <c r="AD56" i="1" l="1"/>
  <c r="AH56" i="1"/>
  <c r="AF56" i="1"/>
  <c r="AB56" i="1"/>
  <c r="AC56" i="1"/>
  <c r="AG56" i="1"/>
  <c r="AE56" i="1"/>
  <c r="AA56" i="1"/>
  <c r="S57" i="1"/>
  <c r="S58" i="1" l="1"/>
  <c r="X57" i="1"/>
  <c r="U57" i="1"/>
  <c r="V57" i="1" s="1"/>
  <c r="W57" i="1"/>
  <c r="Y57" i="1"/>
  <c r="Z57" i="1"/>
  <c r="T57" i="1"/>
  <c r="AA57" i="1" l="1"/>
  <c r="AE57" i="1"/>
  <c r="AD57" i="1"/>
  <c r="AH57" i="1"/>
  <c r="AF57" i="1"/>
  <c r="AB57" i="1"/>
  <c r="AC57" i="1"/>
  <c r="AG57" i="1"/>
  <c r="X58" i="1"/>
  <c r="S59" i="1"/>
  <c r="T58" i="1"/>
  <c r="U58" i="1"/>
  <c r="V58" i="1" s="1"/>
  <c r="Y58" i="1"/>
  <c r="Z58" i="1"/>
  <c r="W58" i="1"/>
  <c r="U59" i="1" l="1"/>
  <c r="V59" i="1" s="1"/>
  <c r="W59" i="1"/>
  <c r="S60" i="1"/>
  <c r="Y59" i="1"/>
  <c r="Z59" i="1"/>
  <c r="T59" i="1"/>
  <c r="X59" i="1"/>
  <c r="AA58" i="1"/>
  <c r="AE58" i="1"/>
  <c r="AH58" i="1"/>
  <c r="AD58" i="1"/>
  <c r="AG58" i="1"/>
  <c r="AC58" i="1"/>
  <c r="AB58" i="1"/>
  <c r="AF58" i="1"/>
  <c r="AF59" i="1" l="1"/>
  <c r="AB59" i="1"/>
  <c r="T60" i="1"/>
  <c r="Z60" i="1"/>
  <c r="W60" i="1"/>
  <c r="Y60" i="1"/>
  <c r="U60" i="1"/>
  <c r="V60" i="1" s="1"/>
  <c r="X60" i="1"/>
  <c r="AA59" i="1"/>
  <c r="AE59" i="1"/>
  <c r="AG59" i="1"/>
  <c r="AC59" i="1"/>
  <c r="AH59" i="1"/>
  <c r="AD59" i="1"/>
  <c r="AF60" i="1" l="1"/>
  <c r="AB60" i="1"/>
  <c r="AG60" i="1"/>
  <c r="AC60" i="1"/>
  <c r="AH60" i="1"/>
  <c r="AD60" i="1"/>
  <c r="S61" i="1"/>
  <c r="AA60" i="1"/>
  <c r="AE60" i="1"/>
  <c r="Y61" i="1" l="1"/>
  <c r="T61" i="1"/>
  <c r="S62" i="1"/>
  <c r="U61" i="1"/>
  <c r="V61" i="1" s="1"/>
  <c r="Z61" i="1"/>
  <c r="X61" i="1"/>
  <c r="W61" i="1"/>
  <c r="AA61" i="1" l="1"/>
  <c r="AE61" i="1"/>
  <c r="T62" i="1"/>
  <c r="Z62" i="1"/>
  <c r="S63" i="1"/>
  <c r="Y62" i="1"/>
  <c r="U62" i="1"/>
  <c r="V62" i="1" s="1"/>
  <c r="W62" i="1"/>
  <c r="X62" i="1"/>
  <c r="AF61" i="1"/>
  <c r="AB61" i="1"/>
  <c r="AD61" i="1"/>
  <c r="AH61" i="1"/>
  <c r="AC61" i="1"/>
  <c r="AG61" i="1"/>
  <c r="AC62" i="1" l="1"/>
  <c r="AG62" i="1"/>
  <c r="AA62" i="1"/>
  <c r="AE62" i="1"/>
  <c r="AD62" i="1"/>
  <c r="AH62" i="1"/>
  <c r="AF62" i="1"/>
  <c r="AB62" i="1"/>
  <c r="U63" i="1"/>
  <c r="V63" i="1" s="1"/>
  <c r="W63" i="1"/>
  <c r="Y63" i="1"/>
  <c r="Z63" i="1"/>
  <c r="T63" i="1"/>
  <c r="S64" i="1"/>
  <c r="X63" i="1"/>
  <c r="AB63" i="1" l="1"/>
  <c r="AF63" i="1"/>
  <c r="U64" i="1"/>
  <c r="V64" i="1" s="1"/>
  <c r="S65" i="1"/>
  <c r="Y64" i="1"/>
  <c r="X64" i="1"/>
  <c r="Z64" i="1"/>
  <c r="T64" i="1"/>
  <c r="W64" i="1"/>
  <c r="AA63" i="1"/>
  <c r="AE63" i="1"/>
  <c r="AH63" i="1"/>
  <c r="AD63" i="1"/>
  <c r="AG63" i="1"/>
  <c r="AC63" i="1"/>
  <c r="AB64" i="1" l="1"/>
  <c r="AF64" i="1"/>
  <c r="S66" i="1"/>
  <c r="Y65" i="1"/>
  <c r="X65" i="1"/>
  <c r="U65" i="1"/>
  <c r="V65" i="1" s="1"/>
  <c r="Z65" i="1"/>
  <c r="W65" i="1"/>
  <c r="T65" i="1"/>
  <c r="AH64" i="1"/>
  <c r="AD64" i="1"/>
  <c r="AA64" i="1"/>
  <c r="AE64" i="1"/>
  <c r="AC64" i="1"/>
  <c r="AG64" i="1"/>
  <c r="AE65" i="1" l="1"/>
  <c r="AA65" i="1"/>
  <c r="AG65" i="1"/>
  <c r="AC65" i="1"/>
  <c r="AH65" i="1"/>
  <c r="AD65" i="1"/>
  <c r="T66" i="1"/>
  <c r="U66" i="1"/>
  <c r="V66" i="1" s="1"/>
  <c r="Z66" i="1"/>
  <c r="W66" i="1"/>
  <c r="S67" i="1"/>
  <c r="X66" i="1"/>
  <c r="Y66" i="1"/>
  <c r="AB65" i="1"/>
  <c r="AF65" i="1"/>
  <c r="S68" i="1" l="1"/>
  <c r="T67" i="1"/>
  <c r="Y67" i="1"/>
  <c r="W67" i="1"/>
  <c r="U67" i="1"/>
  <c r="V67" i="1" s="1"/>
  <c r="Z67" i="1"/>
  <c r="X67" i="1"/>
  <c r="AE66" i="1"/>
  <c r="AA66" i="1"/>
  <c r="AF66" i="1"/>
  <c r="AB66" i="1"/>
  <c r="AG66" i="1"/>
  <c r="AC66" i="1"/>
  <c r="AH66" i="1"/>
  <c r="AD66" i="1"/>
  <c r="AA67" i="1" l="1"/>
  <c r="AE67" i="1"/>
  <c r="AD67" i="1"/>
  <c r="AH67" i="1"/>
  <c r="AF67" i="1"/>
  <c r="AB67" i="1"/>
  <c r="AC67" i="1"/>
  <c r="AG67" i="1"/>
  <c r="Z68" i="1"/>
  <c r="X68" i="1"/>
  <c r="U68" i="1"/>
  <c r="V68" i="1" s="1"/>
  <c r="W68" i="1"/>
  <c r="Y68" i="1"/>
  <c r="T68" i="1"/>
  <c r="S69" i="1"/>
  <c r="AE68" i="1" l="1"/>
  <c r="AA68" i="1"/>
  <c r="X69" i="1"/>
  <c r="Z69" i="1"/>
  <c r="T69" i="1"/>
  <c r="Y69" i="1"/>
  <c r="W69" i="1"/>
  <c r="U69" i="1"/>
  <c r="V69" i="1" s="1"/>
  <c r="AB68" i="1"/>
  <c r="AF68" i="1"/>
  <c r="AC68" i="1"/>
  <c r="AG68" i="1"/>
  <c r="AH68" i="1"/>
  <c r="AD68" i="1"/>
  <c r="AH69" i="1" l="1"/>
  <c r="AD69" i="1"/>
  <c r="AE69" i="1"/>
  <c r="AA69" i="1"/>
  <c r="AC69" i="1"/>
  <c r="AG69" i="1"/>
  <c r="AF69" i="1"/>
  <c r="AB69" i="1"/>
  <c r="S70" i="1"/>
  <c r="T70" i="1" l="1"/>
  <c r="U70" i="1"/>
  <c r="V70" i="1" s="1"/>
  <c r="W70" i="1"/>
  <c r="S71" i="1"/>
  <c r="Z70" i="1"/>
  <c r="X70" i="1"/>
  <c r="Y70" i="1"/>
  <c r="S72" i="1" l="1"/>
  <c r="T71" i="1"/>
  <c r="Y71" i="1"/>
  <c r="W71" i="1"/>
  <c r="U71" i="1"/>
  <c r="V71" i="1" s="1"/>
  <c r="Z71" i="1"/>
  <c r="X71" i="1"/>
  <c r="AG70" i="1"/>
  <c r="AC70" i="1"/>
  <c r="AE70" i="1"/>
  <c r="AA70" i="1"/>
  <c r="AF70" i="1"/>
  <c r="AB70" i="1"/>
  <c r="AD70" i="1"/>
  <c r="AH70" i="1"/>
  <c r="AF71" i="1" l="1"/>
  <c r="AB71" i="1"/>
  <c r="AD71" i="1"/>
  <c r="AH71" i="1"/>
  <c r="AA71" i="1"/>
  <c r="AE71" i="1"/>
  <c r="AC71" i="1"/>
  <c r="AG71" i="1"/>
  <c r="Z72" i="1"/>
  <c r="T72" i="1"/>
  <c r="U72" i="1"/>
  <c r="V72" i="1" s="1"/>
  <c r="X72" i="1"/>
  <c r="Y72" i="1"/>
  <c r="W72" i="1"/>
  <c r="S73" i="1"/>
  <c r="AB72" i="1" l="1"/>
  <c r="AF72" i="1"/>
  <c r="Y73" i="1"/>
  <c r="W73" i="1"/>
  <c r="U73" i="1"/>
  <c r="V73" i="1" s="1"/>
  <c r="Z73" i="1"/>
  <c r="T73" i="1"/>
  <c r="X73" i="1"/>
  <c r="S74" i="1"/>
  <c r="AE72" i="1"/>
  <c r="AA72" i="1"/>
  <c r="AG72" i="1"/>
  <c r="AC72" i="1"/>
  <c r="AH72" i="1"/>
  <c r="AD72" i="1"/>
  <c r="AA73" i="1" l="1"/>
  <c r="AE73" i="1"/>
  <c r="AG73" i="1"/>
  <c r="AC73" i="1"/>
  <c r="AF73" i="1"/>
  <c r="AB73" i="1"/>
  <c r="AH73" i="1"/>
  <c r="AD73" i="1"/>
  <c r="T74" i="1"/>
  <c r="U74" i="1"/>
  <c r="V74" i="1" s="1"/>
  <c r="W74" i="1"/>
  <c r="S75" i="1"/>
  <c r="Z74" i="1"/>
  <c r="Y74" i="1"/>
  <c r="X74" i="1"/>
  <c r="Y75" i="1" l="1"/>
  <c r="W75" i="1"/>
  <c r="X75" i="1"/>
  <c r="U75" i="1"/>
  <c r="V75" i="1" s="1"/>
  <c r="Z75" i="1"/>
  <c r="T75" i="1"/>
  <c r="AB74" i="1"/>
  <c r="AF74" i="1"/>
  <c r="AC74" i="1"/>
  <c r="AG74" i="1"/>
  <c r="AA74" i="1"/>
  <c r="AE74" i="1"/>
  <c r="AD74" i="1"/>
  <c r="AH74" i="1"/>
  <c r="S76" i="1" l="1"/>
  <c r="AF75" i="1"/>
  <c r="AB75" i="1"/>
  <c r="AE75" i="1"/>
  <c r="AA75" i="1"/>
  <c r="AH75" i="1"/>
  <c r="AD75" i="1"/>
  <c r="AG75" i="1"/>
  <c r="AC75" i="1"/>
  <c r="U76" i="1" l="1"/>
  <c r="V76" i="1" s="1"/>
  <c r="W76" i="1"/>
  <c r="Z76" i="1"/>
  <c r="T76" i="1"/>
  <c r="X76" i="1"/>
  <c r="Y76" i="1"/>
  <c r="S77" i="1"/>
  <c r="X77" i="1" l="1"/>
  <c r="T77" i="1"/>
  <c r="Y77" i="1"/>
  <c r="W77" i="1"/>
  <c r="U77" i="1"/>
  <c r="V77" i="1" s="1"/>
  <c r="Z77" i="1"/>
  <c r="AD76" i="1"/>
  <c r="AH76" i="1"/>
  <c r="AC76" i="1"/>
  <c r="AG76" i="1"/>
  <c r="AA76" i="1"/>
  <c r="AE76" i="1"/>
  <c r="AB76" i="1"/>
  <c r="AF76" i="1"/>
  <c r="AG77" i="1" l="1"/>
  <c r="AC77" i="1"/>
  <c r="AH77" i="1"/>
  <c r="AD77" i="1"/>
  <c r="S78" i="1"/>
  <c r="AE77" i="1"/>
  <c r="AA77" i="1"/>
  <c r="AF77" i="1"/>
  <c r="AB77" i="1"/>
  <c r="Z78" i="1" l="1"/>
  <c r="T78" i="1"/>
  <c r="Y78" i="1"/>
  <c r="X78" i="1"/>
  <c r="U78" i="1"/>
  <c r="V78" i="1" s="1"/>
  <c r="W78" i="1"/>
  <c r="AA78" i="1" l="1"/>
  <c r="AE78" i="1"/>
  <c r="S79" i="1"/>
  <c r="AC78" i="1"/>
  <c r="AG78" i="1"/>
  <c r="AF78" i="1"/>
  <c r="AB78" i="1"/>
  <c r="AH78" i="1"/>
  <c r="AD78" i="1"/>
  <c r="Z79" i="1" l="1"/>
  <c r="T79" i="1"/>
  <c r="X79" i="1"/>
  <c r="W79" i="1"/>
  <c r="U79" i="1"/>
  <c r="V79" i="1" s="1"/>
  <c r="Y79" i="1"/>
  <c r="S80" i="1"/>
  <c r="Y80" i="1" l="1"/>
  <c r="Z80" i="1"/>
  <c r="X80" i="1"/>
  <c r="U80" i="1"/>
  <c r="V80" i="1" s="1"/>
  <c r="W80" i="1"/>
  <c r="T80" i="1"/>
  <c r="AG79" i="1"/>
  <c r="AC79" i="1"/>
  <c r="AE79" i="1"/>
  <c r="AA79" i="1"/>
  <c r="AB79" i="1"/>
  <c r="AF79" i="1"/>
  <c r="AH79" i="1"/>
  <c r="AD79" i="1"/>
  <c r="AB80" i="1" l="1"/>
  <c r="AF80" i="1"/>
  <c r="S81" i="1"/>
  <c r="AH80" i="1"/>
  <c r="AD80" i="1"/>
  <c r="AA80" i="1"/>
  <c r="AE80" i="1"/>
  <c r="AG80" i="1"/>
  <c r="AC80" i="1"/>
  <c r="Z81" i="1" l="1"/>
  <c r="U81" i="1"/>
  <c r="V81" i="1" s="1"/>
  <c r="Y81" i="1"/>
  <c r="T81" i="1"/>
  <c r="W81" i="1"/>
  <c r="S82" i="1"/>
  <c r="X81" i="1"/>
  <c r="AB81" i="1" l="1"/>
  <c r="AF81" i="1"/>
  <c r="AC81" i="1"/>
  <c r="AG81" i="1"/>
  <c r="Y82" i="1"/>
  <c r="Z82" i="1"/>
  <c r="U82" i="1"/>
  <c r="V82" i="1" s="1"/>
  <c r="W82" i="1"/>
  <c r="X82" i="1"/>
  <c r="T82" i="1"/>
  <c r="AE81" i="1"/>
  <c r="AA81" i="1"/>
  <c r="AH81" i="1"/>
  <c r="AD81" i="1"/>
  <c r="AA82" i="1" l="1"/>
  <c r="AE82" i="1"/>
  <c r="AB82" i="1"/>
  <c r="AF82" i="1"/>
  <c r="AH82" i="1"/>
  <c r="AD82" i="1"/>
  <c r="S83" i="1"/>
  <c r="AG82" i="1"/>
  <c r="AC82" i="1"/>
  <c r="Z83" i="1" l="1"/>
  <c r="U83" i="1"/>
  <c r="V83" i="1" s="1"/>
  <c r="W83" i="1"/>
  <c r="X83" i="1"/>
  <c r="Y83" i="1"/>
  <c r="T83" i="1"/>
  <c r="S84" i="1"/>
  <c r="AF83" i="1" l="1"/>
  <c r="AB83" i="1"/>
  <c r="AE83" i="1"/>
  <c r="AA83" i="1"/>
  <c r="Y84" i="1"/>
  <c r="Z84" i="1"/>
  <c r="X84" i="1"/>
  <c r="U84" i="1"/>
  <c r="V84" i="1" s="1"/>
  <c r="W84" i="1"/>
  <c r="T84" i="1"/>
  <c r="AC83" i="1"/>
  <c r="AG83" i="1"/>
  <c r="AD83" i="1"/>
  <c r="AH83" i="1"/>
  <c r="AE84" i="1" l="1"/>
  <c r="AA84" i="1"/>
  <c r="AC84" i="1"/>
  <c r="AG84" i="1"/>
  <c r="AF84" i="1"/>
  <c r="AB84" i="1"/>
  <c r="S85" i="1"/>
  <c r="AD84" i="1"/>
  <c r="AH84" i="1"/>
  <c r="Y85" i="1" l="1"/>
  <c r="W85" i="1"/>
  <c r="U85" i="1"/>
  <c r="V85" i="1" s="1"/>
  <c r="Z85" i="1"/>
  <c r="X85" i="1"/>
  <c r="T85" i="1"/>
  <c r="S86" i="1" l="1"/>
  <c r="AE85" i="1"/>
  <c r="AA85" i="1"/>
  <c r="AH85" i="1"/>
  <c r="AD85" i="1"/>
  <c r="X86" i="1"/>
  <c r="Y86" i="1"/>
  <c r="W86" i="1"/>
  <c r="T86" i="1"/>
  <c r="U86" i="1"/>
  <c r="V86" i="1" s="1"/>
  <c r="Z86" i="1"/>
  <c r="AB85" i="1"/>
  <c r="AF85" i="1"/>
  <c r="AC85" i="1"/>
  <c r="AG85" i="1"/>
  <c r="S87" i="1" l="1"/>
  <c r="W87" i="1" s="1"/>
  <c r="X87" i="1"/>
  <c r="AH86" i="1"/>
  <c r="AD86" i="1"/>
  <c r="AA86" i="1"/>
  <c r="AE86" i="1"/>
  <c r="AG86" i="1"/>
  <c r="AC86" i="1"/>
  <c r="AB86" i="1"/>
  <c r="AF86" i="1"/>
  <c r="T87" i="1" l="1"/>
  <c r="U87" i="1"/>
  <c r="V87" i="1" s="1"/>
  <c r="Y87" i="1"/>
  <c r="AG87" i="1" s="1"/>
  <c r="Z87" i="1"/>
  <c r="AD87" i="1" s="1"/>
  <c r="S88" i="1"/>
  <c r="W88" i="1" s="1"/>
  <c r="Z88" i="1"/>
  <c r="AB87" i="1"/>
  <c r="AF87" i="1"/>
  <c r="AH87" i="1"/>
  <c r="AE87" i="1"/>
  <c r="AA87" i="1"/>
  <c r="AC87" i="1"/>
  <c r="U88" i="1" l="1"/>
  <c r="V88" i="1" s="1"/>
  <c r="Y88" i="1"/>
  <c r="X88" i="1"/>
  <c r="T88" i="1"/>
  <c r="S89" i="1"/>
  <c r="AA88" i="1"/>
  <c r="AE88" i="1"/>
  <c r="AB88" i="1"/>
  <c r="AF88" i="1"/>
  <c r="AC88" i="1"/>
  <c r="AG88" i="1"/>
  <c r="AD88" i="1"/>
  <c r="AH88" i="1"/>
  <c r="U89" i="1" l="1"/>
  <c r="V89" i="1" s="1"/>
  <c r="W89" i="1"/>
  <c r="X89" i="1"/>
  <c r="Z89" i="1"/>
  <c r="T89" i="1"/>
  <c r="Y89" i="1"/>
  <c r="S90" i="1"/>
  <c r="AF89" i="1" l="1"/>
  <c r="AB89" i="1"/>
  <c r="W90" i="1"/>
  <c r="T90" i="1"/>
  <c r="U90" i="1"/>
  <c r="V90" i="1" s="1"/>
  <c r="S91" i="1"/>
  <c r="X90" i="1"/>
  <c r="Z90" i="1"/>
  <c r="Y90" i="1"/>
  <c r="AG89" i="1"/>
  <c r="AC89" i="1"/>
  <c r="AE89" i="1"/>
  <c r="AA89" i="1"/>
  <c r="AH89" i="1"/>
  <c r="AD89" i="1"/>
  <c r="AB90" i="1" l="1"/>
  <c r="AF90" i="1"/>
  <c r="AE90" i="1"/>
  <c r="AA90" i="1"/>
  <c r="AH90" i="1"/>
  <c r="AD90" i="1"/>
  <c r="U91" i="1"/>
  <c r="V91" i="1" s="1"/>
  <c r="X91" i="1"/>
  <c r="Y91" i="1"/>
  <c r="T91" i="1"/>
  <c r="W91" i="1"/>
  <c r="Z91" i="1"/>
  <c r="AC90" i="1"/>
  <c r="AG90" i="1"/>
  <c r="AB91" i="1" l="1"/>
  <c r="AF91" i="1"/>
  <c r="AA91" i="1"/>
  <c r="AE91" i="1"/>
  <c r="AD91" i="1"/>
  <c r="AH91" i="1"/>
  <c r="S92" i="1"/>
  <c r="AC91" i="1"/>
  <c r="AG91" i="1"/>
  <c r="Y92" i="1" l="1"/>
  <c r="T92" i="1"/>
  <c r="X92" i="1"/>
  <c r="U92" i="1"/>
  <c r="V92" i="1" s="1"/>
  <c r="Z92" i="1"/>
  <c r="W92" i="1"/>
  <c r="S93" i="1"/>
  <c r="T93" i="1" l="1"/>
  <c r="Y93" i="1"/>
  <c r="W93" i="1"/>
  <c r="S94" i="1"/>
  <c r="U93" i="1"/>
  <c r="V93" i="1" s="1"/>
  <c r="X93" i="1"/>
  <c r="Z93" i="1"/>
  <c r="AF92" i="1"/>
  <c r="AB92" i="1"/>
  <c r="AA92" i="1"/>
  <c r="AE92" i="1"/>
  <c r="AH92" i="1"/>
  <c r="AD92" i="1"/>
  <c r="AG92" i="1"/>
  <c r="AC92" i="1"/>
  <c r="U94" i="1" l="1"/>
  <c r="V94" i="1" s="1"/>
  <c r="X94" i="1"/>
  <c r="Z94" i="1"/>
  <c r="W94" i="1"/>
  <c r="Y94" i="1"/>
  <c r="T94" i="1"/>
  <c r="S95" i="1"/>
  <c r="AD93" i="1"/>
  <c r="AH93" i="1"/>
  <c r="AE93" i="1"/>
  <c r="AA93" i="1"/>
  <c r="AF93" i="1"/>
  <c r="AB93" i="1"/>
  <c r="AC93" i="1"/>
  <c r="AG93" i="1"/>
  <c r="AE94" i="1" l="1"/>
  <c r="AA94" i="1"/>
  <c r="T95" i="1"/>
  <c r="Y95" i="1"/>
  <c r="U95" i="1"/>
  <c r="V95" i="1" s="1"/>
  <c r="X95" i="1"/>
  <c r="Z95" i="1"/>
  <c r="W95" i="1"/>
  <c r="S96" i="1"/>
  <c r="AD94" i="1"/>
  <c r="AH94" i="1"/>
  <c r="AF94" i="1"/>
  <c r="AB94" i="1"/>
  <c r="AG94" i="1"/>
  <c r="AC94" i="1"/>
  <c r="AE95" i="1" l="1"/>
  <c r="AA95" i="1"/>
  <c r="AG95" i="1"/>
  <c r="AC95" i="1"/>
  <c r="AD95" i="1"/>
  <c r="AH95" i="1"/>
  <c r="AB95" i="1"/>
  <c r="AF95" i="1"/>
  <c r="Y96" i="1"/>
  <c r="T96" i="1"/>
  <c r="U96" i="1"/>
  <c r="V96" i="1" s="1"/>
  <c r="Z96" i="1"/>
  <c r="S97" i="1"/>
  <c r="X96" i="1"/>
  <c r="W96" i="1"/>
  <c r="AD96" i="1" l="1"/>
  <c r="AH96" i="1"/>
  <c r="AA96" i="1"/>
  <c r="AE96" i="1"/>
  <c r="AB96" i="1"/>
  <c r="AF96" i="1"/>
  <c r="T97" i="1"/>
  <c r="Y97" i="1"/>
  <c r="U97" i="1"/>
  <c r="V97" i="1" s="1"/>
  <c r="W97" i="1"/>
  <c r="X97" i="1"/>
  <c r="Z97" i="1"/>
  <c r="S98" i="1"/>
  <c r="AC96" i="1"/>
  <c r="AG96" i="1"/>
  <c r="AF97" i="1" l="1"/>
  <c r="AB97" i="1"/>
  <c r="AH97" i="1"/>
  <c r="AD97" i="1"/>
  <c r="AC97" i="1"/>
  <c r="AG97" i="1"/>
  <c r="AA97" i="1"/>
  <c r="AE97" i="1"/>
  <c r="U98" i="1"/>
  <c r="V98" i="1" s="1"/>
  <c r="Z98" i="1"/>
  <c r="X98" i="1"/>
  <c r="S99" i="1"/>
  <c r="Y98" i="1"/>
  <c r="T98" i="1"/>
  <c r="W98" i="1"/>
  <c r="AH98" i="1" l="1"/>
  <c r="AD98" i="1"/>
  <c r="AG98" i="1"/>
  <c r="AC98" i="1"/>
  <c r="T99" i="1"/>
  <c r="Y99" i="1"/>
  <c r="U99" i="1"/>
  <c r="V99" i="1" s="1"/>
  <c r="W99" i="1"/>
  <c r="S100" i="1"/>
  <c r="X99" i="1"/>
  <c r="Z99" i="1"/>
  <c r="AE98" i="1"/>
  <c r="AA98" i="1"/>
  <c r="AF98" i="1"/>
  <c r="AB98" i="1"/>
  <c r="AA99" i="1" l="1"/>
  <c r="AE99" i="1"/>
  <c r="AD99" i="1"/>
  <c r="AH99" i="1"/>
  <c r="AB99" i="1"/>
  <c r="AF99" i="1"/>
  <c r="AC99" i="1"/>
  <c r="AG99" i="1"/>
  <c r="Y100" i="1"/>
  <c r="T100" i="1"/>
  <c r="U100" i="1"/>
  <c r="V100" i="1" s="1"/>
  <c r="X100" i="1"/>
  <c r="W100" i="1"/>
  <c r="Z100" i="1"/>
  <c r="S101" i="1"/>
  <c r="AA100" i="1" l="1"/>
  <c r="AE100" i="1"/>
  <c r="U101" i="1"/>
  <c r="V101" i="1" s="1"/>
  <c r="S102" i="1"/>
  <c r="X101" i="1"/>
  <c r="Z101" i="1"/>
  <c r="T101" i="1"/>
  <c r="Y101" i="1"/>
  <c r="W101" i="1"/>
  <c r="AF100" i="1"/>
  <c r="AB100" i="1"/>
  <c r="AH100" i="1"/>
  <c r="AD100" i="1"/>
  <c r="AG100" i="1"/>
  <c r="AC100" i="1"/>
  <c r="S103" i="1" l="1"/>
  <c r="W102" i="1"/>
  <c r="Y102" i="1"/>
  <c r="T102" i="1"/>
  <c r="U102" i="1"/>
  <c r="V102" i="1" s="1"/>
  <c r="Z102" i="1"/>
  <c r="X102" i="1"/>
  <c r="AD101" i="1"/>
  <c r="AH101" i="1"/>
  <c r="AC101" i="1"/>
  <c r="AG101" i="1"/>
  <c r="AE101" i="1"/>
  <c r="AA101" i="1"/>
  <c r="AF101" i="1"/>
  <c r="AB101" i="1"/>
  <c r="AF102" i="1" l="1"/>
  <c r="AB102" i="1"/>
  <c r="AG102" i="1"/>
  <c r="AC102" i="1"/>
  <c r="AH102" i="1"/>
  <c r="AD102" i="1"/>
  <c r="AA102" i="1"/>
  <c r="AE102" i="1"/>
  <c r="U103" i="1"/>
  <c r="V103" i="1" s="1"/>
  <c r="X103" i="1"/>
  <c r="Z103" i="1"/>
  <c r="T103" i="1"/>
  <c r="Y103" i="1"/>
  <c r="W103" i="1"/>
  <c r="S104" i="1"/>
  <c r="U104" i="1" l="1"/>
  <c r="V104" i="1" s="1"/>
  <c r="Y104" i="1"/>
  <c r="Z104" i="1"/>
  <c r="X104" i="1"/>
  <c r="S105" i="1"/>
  <c r="W104" i="1"/>
  <c r="T104" i="1"/>
  <c r="AH103" i="1"/>
  <c r="AD103" i="1"/>
  <c r="AE103" i="1"/>
  <c r="AA103" i="1"/>
  <c r="AF103" i="1"/>
  <c r="AB103" i="1"/>
  <c r="AG103" i="1"/>
  <c r="AC103" i="1"/>
  <c r="AF104" i="1" l="1"/>
  <c r="AB104" i="1"/>
  <c r="AH104" i="1"/>
  <c r="AD104" i="1"/>
  <c r="AA104" i="1"/>
  <c r="AE104" i="1"/>
  <c r="AG104" i="1"/>
  <c r="AC104" i="1"/>
  <c r="T105" i="1"/>
  <c r="Y105" i="1"/>
  <c r="W105" i="1"/>
  <c r="S106" i="1"/>
  <c r="U105" i="1"/>
  <c r="V105" i="1" s="1"/>
  <c r="X105" i="1"/>
  <c r="Z105" i="1"/>
  <c r="Y106" i="1" l="1"/>
  <c r="T106" i="1"/>
  <c r="U106" i="1"/>
  <c r="V106" i="1" s="1"/>
  <c r="Z106" i="1"/>
  <c r="W106" i="1"/>
  <c r="X106" i="1"/>
  <c r="S107" i="1"/>
  <c r="AD105" i="1"/>
  <c r="AH105" i="1"/>
  <c r="AE105" i="1"/>
  <c r="AA105" i="1"/>
  <c r="AB105" i="1"/>
  <c r="AF105" i="1"/>
  <c r="AG105" i="1"/>
  <c r="AC105" i="1"/>
  <c r="AH106" i="1" l="1"/>
  <c r="AD106" i="1"/>
  <c r="Y107" i="1"/>
  <c r="U107" i="1"/>
  <c r="V107" i="1" s="1"/>
  <c r="T107" i="1"/>
  <c r="W107" i="1"/>
  <c r="S108" i="1"/>
  <c r="X107" i="1"/>
  <c r="Z107" i="1"/>
  <c r="AB106" i="1"/>
  <c r="AF106" i="1"/>
  <c r="AE106" i="1"/>
  <c r="AA106" i="1"/>
  <c r="AC106" i="1"/>
  <c r="AG106" i="1"/>
  <c r="AG107" i="1" l="1"/>
  <c r="AC107" i="1"/>
  <c r="AB107" i="1"/>
  <c r="AF107" i="1"/>
  <c r="Y108" i="1"/>
  <c r="T108" i="1"/>
  <c r="Z108" i="1"/>
  <c r="W108" i="1"/>
  <c r="U108" i="1"/>
  <c r="V108" i="1" s="1"/>
  <c r="X108" i="1"/>
  <c r="S109" i="1"/>
  <c r="AE107" i="1"/>
  <c r="AA107" i="1"/>
  <c r="AH107" i="1"/>
  <c r="AD107" i="1"/>
  <c r="T109" i="1" l="1"/>
  <c r="U109" i="1"/>
  <c r="V109" i="1" s="1"/>
  <c r="W109" i="1"/>
  <c r="S110" i="1"/>
  <c r="Z109" i="1"/>
  <c r="X109" i="1"/>
  <c r="Y109" i="1"/>
  <c r="AE108" i="1"/>
  <c r="AA108" i="1"/>
  <c r="AH108" i="1"/>
  <c r="AD108" i="1"/>
  <c r="AB108" i="1"/>
  <c r="AF108" i="1"/>
  <c r="AC108" i="1"/>
  <c r="AG108" i="1"/>
  <c r="AE109" i="1" l="1"/>
  <c r="AA109" i="1"/>
  <c r="U110" i="1"/>
  <c r="V110" i="1" s="1"/>
  <c r="Y110" i="1"/>
  <c r="X110" i="1"/>
  <c r="Z110" i="1"/>
  <c r="T110" i="1"/>
  <c r="W110" i="1"/>
  <c r="AG109" i="1"/>
  <c r="AC109" i="1"/>
  <c r="AB109" i="1"/>
  <c r="AF109" i="1"/>
  <c r="AD109" i="1"/>
  <c r="AH109" i="1"/>
  <c r="AA110" i="1" l="1"/>
  <c r="AE110" i="1"/>
  <c r="AG110" i="1"/>
  <c r="AC110" i="1"/>
  <c r="AH110" i="1"/>
  <c r="AD110" i="1"/>
  <c r="AB110" i="1"/>
  <c r="AF110" i="1"/>
</calcChain>
</file>

<file path=xl/sharedStrings.xml><?xml version="1.0" encoding="utf-8"?>
<sst xmlns="http://schemas.openxmlformats.org/spreadsheetml/2006/main" count="7752" uniqueCount="3447">
  <si>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</si>
  <si>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</si>
  <si>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</si>
  <si>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</si>
  <si>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</si>
  <si>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</si>
  <si>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</si>
  <si>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</si>
  <si>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</si>
  <si>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</si>
  <si>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</si>
  <si>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</si>
  <si>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</si>
  <si>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</si>
  <si>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</si>
  <si>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</si>
  <si>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</si>
  <si>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</si>
  <si>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</si>
  <si>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</si>
  <si>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</si>
  <si>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</si>
  <si>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</si>
  <si>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</si>
  <si>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</si>
  <si>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</si>
  <si>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</si>
  <si>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</si>
  <si>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</si>
  <si>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</si>
  <si>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</si>
  <si>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</si>
  <si>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</si>
  <si>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</si>
  <si>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</si>
  <si>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</si>
  <si>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</si>
  <si>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</si>
  <si>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</si>
  <si>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</si>
  <si>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</si>
  <si>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</si>
  <si>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</si>
  <si>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</si>
  <si>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</si>
  <si>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</si>
  <si>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</si>
  <si>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</si>
  <si>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</si>
  <si>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</si>
  <si>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</si>
  <si>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</si>
  <si>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</si>
  <si>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</si>
  <si>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</si>
  <si>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</si>
  <si>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</si>
  <si>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</si>
  <si>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</si>
  <si>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</si>
  <si>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</si>
  <si>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</si>
  <si>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</si>
  <si>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</si>
  <si>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</si>
  <si>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</si>
  <si>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</si>
  <si>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</si>
  <si>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</si>
  <si>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</si>
  <si>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</si>
  <si>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</si>
  <si>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</si>
  <si>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</si>
  <si>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</si>
  <si>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</si>
  <si>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</si>
  <si>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</si>
  <si>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</si>
  <si>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</si>
  <si>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</si>
  <si>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</si>
  <si>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</si>
  <si>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</si>
  <si>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</si>
  <si>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</si>
  <si>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</si>
  <si>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</si>
  <si>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</si>
  <si>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</si>
  <si>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</si>
  <si>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</si>
  <si>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</si>
  <si>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</si>
  <si>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</si>
  <si>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</si>
  <si>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</si>
  <si>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</si>
  <si>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</si>
  <si>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</si>
  <si>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</si>
  <si>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</si>
  <si>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</si>
  <si>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</si>
  <si>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</si>
  <si>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</si>
  <si>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</si>
  <si>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</si>
  <si>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</si>
  <si>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</si>
  <si>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</si>
  <si>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</si>
  <si>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</si>
  <si>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</si>
  <si>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</si>
  <si>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</si>
  <si>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</si>
  <si>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</si>
  <si>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</si>
  <si>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</si>
  <si>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</si>
  <si>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</si>
  <si>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</si>
  <si>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</si>
  <si>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</si>
  <si>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</si>
  <si>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</si>
  <si>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</si>
  <si>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</si>
  <si>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</si>
  <si>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</si>
  <si>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</si>
  <si>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</si>
  <si>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</si>
  <si>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</si>
  <si>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</si>
  <si>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</si>
  <si>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</si>
  <si>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</si>
  <si>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</si>
  <si>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>"00"</t>
  </si>
  <si>
    <t>"RESERVED" Field</t>
  </si>
  <si>
    <t>reserved</t>
  </si>
  <si>
    <t xml:space="preserve">  reserved : std_logic_vector(31 downto 0); -- "RESERVED" Field</t>
  </si>
  <si>
    <t>AEB Critical Configuration Area Register "AEB_CONTROL"</t>
  </si>
  <si>
    <t>"RESERVED_0" Field</t>
  </si>
  <si>
    <t>aeb_crit_cfg_aeb_control</t>
  </si>
  <si>
    <t>t_aeb_crit_cfg_aeb_control_wr_reg</t>
  </si>
  <si>
    <t>reserved_0</t>
  </si>
  <si>
    <t>"NEW_STATE" Field</t>
  </si>
  <si>
    <t>new_state</t>
  </si>
  <si>
    <t>"0000"</t>
  </si>
  <si>
    <t>"SET_STATE" Field</t>
  </si>
  <si>
    <t>set_state</t>
  </si>
  <si>
    <t>"AEB_RESET" Field</t>
  </si>
  <si>
    <t>aeb_reset</t>
  </si>
  <si>
    <t>"RESERVED_1" Field</t>
  </si>
  <si>
    <t>reserved_1</t>
  </si>
  <si>
    <t>AEB Critical Configuration Area Register "AEB_CONFIG"</t>
  </si>
  <si>
    <t>aeb_crit_cfg_aeb_config</t>
  </si>
  <si>
    <t>t_aeb_crit_cfg_aeb_config_wr_reg</t>
  </si>
  <si>
    <t>AEB Critical Configuration Area Register "AEB_CONFIG_KEY"</t>
  </si>
  <si>
    <t>"KEY" Field</t>
  </si>
  <si>
    <t>aeb_crit_cfg_aeb_config_key</t>
  </si>
  <si>
    <t>t_aeb_crit_cfg_aeb_config_key_wr_reg</t>
  </si>
  <si>
    <t>key</t>
  </si>
  <si>
    <t>AEB Critical Configuration Area Register "AEB_CONFIG_AIT"</t>
  </si>
  <si>
    <t>aeb_crit_cfg_aeb_config_ait</t>
  </si>
  <si>
    <t>t_aeb_crit_cfg_aeb_config_ait_wr_reg</t>
  </si>
  <si>
    <t>AEB Critical Configuration Area Register "AEB_CONFIG_PATTERN"</t>
  </si>
  <si>
    <t>"PATTERN_CCDID" Field</t>
  </si>
  <si>
    <t>aeb_crit_cfg_aeb_config_pattern</t>
  </si>
  <si>
    <t>t_aeb_crit_cfg_aeb_config_pattern_wr_reg</t>
  </si>
  <si>
    <t>pattern_ccdid</t>
  </si>
  <si>
    <t>"PATTERN_COLS" Field</t>
  </si>
  <si>
    <t>pattern_cols</t>
  </si>
  <si>
    <t>std_logic_vector(to_unsigned(32, 14))</t>
  </si>
  <si>
    <t>"PATTERN_ROWS" Field</t>
  </si>
  <si>
    <t>pattern_rows</t>
  </si>
  <si>
    <t>AEB Critical Configuration Area Register "VASP_I2C_CONTROL"</t>
  </si>
  <si>
    <t>aeb_crit_cfg_vasp_i2c_control</t>
  </si>
  <si>
    <t>t_aeb_crit_cfg_vasp_i2c_control_wr_reg</t>
  </si>
  <si>
    <t>AEB Critical Configuration Area Register "DAC_CONFIG_1"</t>
  </si>
  <si>
    <t>aeb_crit_cfg_dac_config_1</t>
  </si>
  <si>
    <t>t_aeb_crit_cfg_dac_config_1_wr_reg</t>
  </si>
  <si>
    <t>AEB Critical Configuration Area Register "DAC_CONFIG_2"</t>
  </si>
  <si>
    <t>aeb_crit_cfg_dac_config_2</t>
  </si>
  <si>
    <t>t_aeb_crit_cfg_dac_config_2_wr_reg</t>
  </si>
  <si>
    <t>AEB Critical Configuration Area Register "RESERVED_20"</t>
  </si>
  <si>
    <t>aeb_crit_cfg_reserved_20</t>
  </si>
  <si>
    <t>t_aeb_crit_cfg_reserved_20_wr_reg</t>
  </si>
  <si>
    <t>AEB Critical Configuration Area Register "PWR_CONFIG1"</t>
  </si>
  <si>
    <t>"TIME_VCCD_ON" Field</t>
  </si>
  <si>
    <t>aeb_crit_cfg_pwr_config1</t>
  </si>
  <si>
    <t>t_aeb_crit_cfg_pwr_config1_wr_reg</t>
  </si>
  <si>
    <t>time_vccd_on</t>
  </si>
  <si>
    <t>x"00"</t>
  </si>
  <si>
    <t>"TIME_VCLK_ON" Field</t>
  </si>
  <si>
    <t>time_vclk_on</t>
  </si>
  <si>
    <t>x"63"</t>
  </si>
  <si>
    <t>"TIME_VAN1_ON" Field</t>
  </si>
  <si>
    <t>time_van1_on</t>
  </si>
  <si>
    <t>x"C8"</t>
  </si>
  <si>
    <t>"TIME_VAN2_ON" Field</t>
  </si>
  <si>
    <t>time_van2_on</t>
  </si>
  <si>
    <t>AEB Critical Configuration Area Register "PWR_CONFIG2"</t>
  </si>
  <si>
    <t>"TIME_VAN3_ON" Field</t>
  </si>
  <si>
    <t>aeb_crit_cfg_pwr_config2</t>
  </si>
  <si>
    <t>t_aeb_crit_cfg_pwr_config2_wr_reg</t>
  </si>
  <si>
    <t>time_van3_on</t>
  </si>
  <si>
    <t>"TIME_VCCD_OFF" Field</t>
  </si>
  <si>
    <t>time_vccd_off</t>
  </si>
  <si>
    <t>"TIME_VCLK_OFF" Field</t>
  </si>
  <si>
    <t>time_vclk_off</t>
  </si>
  <si>
    <t>"TIME_VAN1_OFF" Field</t>
  </si>
  <si>
    <t>time_van1_off</t>
  </si>
  <si>
    <t>AEB Critical Configuration Area Register "PWR_CONFIG3"</t>
  </si>
  <si>
    <t>"TIME_VAN2_OFF" Field</t>
  </si>
  <si>
    <t>aeb_crit_cfg_pwr_config3</t>
  </si>
  <si>
    <t>t_aeb_crit_cfg_pwr_config3_wr_reg</t>
  </si>
  <si>
    <t>time_van2_off</t>
  </si>
  <si>
    <t>"TIME_VAN3_OFF" Field</t>
  </si>
  <si>
    <t>time_van3_off</t>
  </si>
  <si>
    <t>AEB General Configuration Area Register "ADC1_CONFIG_1"</t>
  </si>
  <si>
    <t>aeb_gen_cfg_adc1_config_1</t>
  </si>
  <si>
    <t>t_aeb_gen_cfg_adc1_config_1_wr_reg</t>
  </si>
  <si>
    <t>AEB General Configuration Area Register "ADC1_CONFIG_2"</t>
  </si>
  <si>
    <t>aeb_gen_cfg_adc1_config_2</t>
  </si>
  <si>
    <t>t_aeb_gen_cfg_adc1_config_2_wr_reg</t>
  </si>
  <si>
    <t>AEB General Configuration Area Register "ADC1_CONFIG_3"</t>
  </si>
  <si>
    <t>aeb_gen_cfg_adc1_config_3</t>
  </si>
  <si>
    <t>t_aeb_gen_cfg_adc1_config_3_wr_reg</t>
  </si>
  <si>
    <t>AEB General Configuration Area Register "ADC2_CONFIG_1"</t>
  </si>
  <si>
    <t>aeb_gen_cfg_adc2_config_1</t>
  </si>
  <si>
    <t>t_aeb_gen_cfg_adc2_config_1_wr_reg</t>
  </si>
  <si>
    <t>AEB General Configuration Area Register "ADC2_CONFIG_2"</t>
  </si>
  <si>
    <t>aeb_gen_cfg_adc2_config_2</t>
  </si>
  <si>
    <t>t_aeb_gen_cfg_adc2_config_2_wr_reg</t>
  </si>
  <si>
    <t>AEB General Configuration Area Register "ADC2_CONFIG_3"</t>
  </si>
  <si>
    <t>aeb_gen_cfg_adc2_config_3</t>
  </si>
  <si>
    <t>t_aeb_gen_cfg_adc2_config_3_wr_reg</t>
  </si>
  <si>
    <t>AEB General Configuration Area Register "RESERVED_118"</t>
  </si>
  <si>
    <t>aeb_gen_cfg_reserved_118</t>
  </si>
  <si>
    <t>t_aeb_gen_cfg_reserved_118_wr_reg</t>
  </si>
  <si>
    <t>AEB General Configuration Area Register "RESERVED_11C"</t>
  </si>
  <si>
    <t>aeb_gen_cfg_reserved_11c</t>
  </si>
  <si>
    <t>t_aeb_gen_cfg_reserved_11c_wr_reg</t>
  </si>
  <si>
    <t>AEB General Configuration Area Register "SEQ_CONFIG_1"</t>
  </si>
  <si>
    <t>aeb_gen_cfg_seq_config_1</t>
  </si>
  <si>
    <t>t_aeb_gen_cfg_seq_config_1_wr_reg</t>
  </si>
  <si>
    <t>AEB General Configuration Area Register "SEQ_CONFIG_2"</t>
  </si>
  <si>
    <t>aeb_gen_cfg_seq_config_2</t>
  </si>
  <si>
    <t>t_aeb_gen_cfg_seq_config_2_wr_reg</t>
  </si>
  <si>
    <t>AEB General Configuration Area Register "SEQ_CONFIG_3"</t>
  </si>
  <si>
    <t>aeb_gen_cfg_seq_config_3</t>
  </si>
  <si>
    <t>t_aeb_gen_cfg_seq_config_3_wr_reg</t>
  </si>
  <si>
    <t>AEB General Configuration Area Register "SEQ_CONFIG_4"</t>
  </si>
  <si>
    <t>aeb_gen_cfg_seq_config_4</t>
  </si>
  <si>
    <t>t_aeb_gen_cfg_seq_config_4_wr_reg</t>
  </si>
  <si>
    <t>AEB General Configuration Area Register "SEQ_CONFIG_5"</t>
  </si>
  <si>
    <t>aeb_gen_cfg_seq_config_5</t>
  </si>
  <si>
    <t>t_aeb_gen_cfg_seq_config_5_wr_reg</t>
  </si>
  <si>
    <t>AEB General Configuration Area Register "SEQ_CONFIG_6"</t>
  </si>
  <si>
    <t>aeb_gen_cfg_seq_config_6</t>
  </si>
  <si>
    <t>t_aeb_gen_cfg_seq_config_6_wr_reg</t>
  </si>
  <si>
    <t>AEB General Configuration Area Register "SEQ_CONFIG_7"</t>
  </si>
  <si>
    <t>aeb_gen_cfg_seq_config_7</t>
  </si>
  <si>
    <t>t_aeb_gen_cfg_seq_config_7_wr_reg</t>
  </si>
  <si>
    <t>AEB General Configuration Area Register "SEQ_CONFIG_8"</t>
  </si>
  <si>
    <t>aeb_gen_cfg_seq_config_8</t>
  </si>
  <si>
    <t>t_aeb_gen_cfg_seq_config_8_wr_reg</t>
  </si>
  <si>
    <t>AEB General Configuration Area Register "SEQ_CONFIG_9"</t>
  </si>
  <si>
    <t>aeb_gen_cfg_seq_config_9</t>
  </si>
  <si>
    <t>t_aeb_gen_cfg_seq_config_9_wr_reg</t>
  </si>
  <si>
    <t>"FT_LOOP_CNT" Field</t>
  </si>
  <si>
    <t>ft_loop_cnt</t>
  </si>
  <si>
    <t>"00100011000101"</t>
  </si>
  <si>
    <t>"LT0_ENABLED" Field</t>
  </si>
  <si>
    <t>lt0_enabled</t>
  </si>
  <si>
    <t>"LT0_LOOP_CNT" Field</t>
  </si>
  <si>
    <t>lt0_loop_cnt</t>
  </si>
  <si>
    <t>AEB General Configuration Area Register "SEQ_CONFIG_10"</t>
  </si>
  <si>
    <t>"LT1_ENABLED" Field</t>
  </si>
  <si>
    <t>aeb_gen_cfg_seq_config_10</t>
  </si>
  <si>
    <t>t_aeb_gen_cfg_seq_config_10_wr_reg</t>
  </si>
  <si>
    <t>lt1_enabled</t>
  </si>
  <si>
    <t>"LT1_LOOP_CNT" Field</t>
  </si>
  <si>
    <t>lt1_loop_cnt</t>
  </si>
  <si>
    <t>"LT2_ENABLED" Field</t>
  </si>
  <si>
    <t>lt2_enabled</t>
  </si>
  <si>
    <t>"LT2_LOOP_CNT" Field</t>
  </si>
  <si>
    <t>lt2_loop_cnt</t>
  </si>
  <si>
    <t>AEB General Configuration Area Register "SEQ_CONFIG_11"</t>
  </si>
  <si>
    <t>"LT3_ENABLED" Field</t>
  </si>
  <si>
    <t>aeb_gen_cfg_seq_config_11</t>
  </si>
  <si>
    <t>t_aeb_gen_cfg_seq_config_11_wr_reg</t>
  </si>
  <si>
    <t>lt3_enabled</t>
  </si>
  <si>
    <t>"LT3_LOOP_CNT" Field</t>
  </si>
  <si>
    <t>lt3_loop_cnt</t>
  </si>
  <si>
    <t>"00101000000000"</t>
  </si>
  <si>
    <t>"PIX_LOOP_CNT_WORD_1" Field</t>
  </si>
  <si>
    <t>pix_loop_cnt_word_1</t>
  </si>
  <si>
    <t>x"0000"</t>
  </si>
  <si>
    <t>AEB General Configuration Area Register "SEQ_CONFIG_12"</t>
  </si>
  <si>
    <t>"PIX_LOOP_CNT_WORD_0" Field</t>
  </si>
  <si>
    <t>aeb_gen_cfg_seq_config_12</t>
  </si>
  <si>
    <t>t_aeb_gen_cfg_seq_config_12_wr_reg</t>
  </si>
  <si>
    <t>pix_loop_cnt_word_0</t>
  </si>
  <si>
    <t>x"08C5"</t>
  </si>
  <si>
    <t>"PC_ENABLED" Field</t>
  </si>
  <si>
    <t>pc_enabled</t>
  </si>
  <si>
    <t>"PC_LOOP_CNT" Field</t>
  </si>
  <si>
    <t>pc_loop_cnt</t>
  </si>
  <si>
    <t>"01000110001010"</t>
  </si>
  <si>
    <t>AEB General Configuration Area Register "SEQ_CONFIG_13"</t>
  </si>
  <si>
    <t>aeb_gen_cfg_seq_config_13</t>
  </si>
  <si>
    <t>t_aeb_gen_cfg_seq_config_13_wr_reg</t>
  </si>
  <si>
    <t>"INT1_LOOP_CNT" Field</t>
  </si>
  <si>
    <t>int1_loop_cnt</t>
  </si>
  <si>
    <t>"INT2_LOOP_CNT" Field</t>
  </si>
  <si>
    <t>int2_loop_cnt</t>
  </si>
  <si>
    <t>AEB General Configuration Area Register "SEQ_CONFIG_14"</t>
  </si>
  <si>
    <t>aeb_gen_cfg_seq_config_14</t>
  </si>
  <si>
    <t>t_aeb_gen_cfg_seq_config_14_wr_reg</t>
  </si>
  <si>
    <t>AEB Housekeeping Area Register "AEB_STATUS"</t>
  </si>
  <si>
    <t>"AEB_STATUS" Field</t>
  </si>
  <si>
    <t>aeb_hk_aeb_status</t>
  </si>
  <si>
    <t>t_aeb_hk_aeb_status_wr_reg</t>
  </si>
  <si>
    <t>aeb_status</t>
  </si>
  <si>
    <t>AEB Housekeeping Area Register "TIMESTAMP_1"</t>
  </si>
  <si>
    <t>"TIMESTAMP_DWORD_1" Field</t>
  </si>
  <si>
    <t>aeb_hk_timestamp_1</t>
  </si>
  <si>
    <t>t_aeb_hk_timestamp_1_wr_reg</t>
  </si>
  <si>
    <t>timestamp_dword_1</t>
  </si>
  <si>
    <t>AEB Housekeeping Area Register "TIMESTAMP_2"</t>
  </si>
  <si>
    <t>"TIMESTAMP_DWORD_0" Field</t>
  </si>
  <si>
    <t>aeb_hk_timestamp_2</t>
  </si>
  <si>
    <t>t_aeb_hk_timestamp_2_wr_reg</t>
  </si>
  <si>
    <t>timestamp_dword_0</t>
  </si>
  <si>
    <t>AEB Housekeeping Area Register "ADC_RD_DATA_T_VASP_L"</t>
  </si>
  <si>
    <t>aeb_hk_adc_rd_data_t_vasp_l</t>
  </si>
  <si>
    <t>t_aeb_hk_adc_rd_data_t_vasp_l_wr_reg</t>
  </si>
  <si>
    <t>AEB Housekeeping Area Register "ADC_RD_DATA_T_VASP_R"</t>
  </si>
  <si>
    <t>aeb_hk_adc_rd_data_t_vasp_r</t>
  </si>
  <si>
    <t>t_aeb_hk_adc_rd_data_t_vasp_r_wr_reg</t>
  </si>
  <si>
    <t>AEB Housekeeping Area Register "ADC_RD_DATA_T_BIAS_P"</t>
  </si>
  <si>
    <t>aeb_hk_adc_rd_data_t_bias_p</t>
  </si>
  <si>
    <t>t_aeb_hk_adc_rd_data_t_bias_p_wr_reg</t>
  </si>
  <si>
    <t>AEB Housekeeping Area Register "ADC_RD_DATA_T_HK_P"</t>
  </si>
  <si>
    <t>aeb_hk_adc_rd_data_t_hk_p</t>
  </si>
  <si>
    <t>t_aeb_hk_adc_rd_data_t_hk_p_wr_reg</t>
  </si>
  <si>
    <t>AEB Housekeeping Area Register "ADC_RD_DATA_T_TOU_1_P"</t>
  </si>
  <si>
    <t>aeb_hk_adc_rd_data_t_tou_1_p</t>
  </si>
  <si>
    <t>t_aeb_hk_adc_rd_data_t_tou_1_p_wr_reg</t>
  </si>
  <si>
    <t>AEB Housekeeping Area Register "ADC_RD_DATA_T_TOU_2_P"</t>
  </si>
  <si>
    <t>aeb_hk_adc_rd_data_t_tou_2_p</t>
  </si>
  <si>
    <t>t_aeb_hk_adc_rd_data_t_tou_2_p_wr_reg</t>
  </si>
  <si>
    <t>AEB Housekeeping Area Register "ADC_RD_DATA_HK_VODE"</t>
  </si>
  <si>
    <t>aeb_hk_adc_rd_data_hk_vode</t>
  </si>
  <si>
    <t>t_aeb_hk_adc_rd_data_hk_vode_wr_reg</t>
  </si>
  <si>
    <t>AEB Housekeeping Area Register "ADC_RD_DATA_HK_VODF"</t>
  </si>
  <si>
    <t>aeb_hk_adc_rd_data_hk_vodf</t>
  </si>
  <si>
    <t>t_aeb_hk_adc_rd_data_hk_vodf_wr_reg</t>
  </si>
  <si>
    <t>AEB Housekeeping Area Register "ADC_RD_DATA_HK_VRD"</t>
  </si>
  <si>
    <t>aeb_hk_adc_rd_data_hk_vrd</t>
  </si>
  <si>
    <t>t_aeb_hk_adc_rd_data_hk_vrd_wr_reg</t>
  </si>
  <si>
    <t>AEB Housekeeping Area Register "ADC_RD_DATA_HK_VOG"</t>
  </si>
  <si>
    <t>aeb_hk_adc_rd_data_hk_vog</t>
  </si>
  <si>
    <t>t_aeb_hk_adc_rd_data_hk_vog_wr_reg</t>
  </si>
  <si>
    <t>AEB Housekeeping Area Register "ADC_RD_DATA_T_CCD"</t>
  </si>
  <si>
    <t>aeb_hk_adc_rd_data_t_ccd</t>
  </si>
  <si>
    <t>t_aeb_hk_adc_rd_data_t_ccd_wr_reg</t>
  </si>
  <si>
    <t>AEB Housekeeping Area Register "ADC_RD_DATA_T_REF1K_MEA"</t>
  </si>
  <si>
    <t>aeb_hk_adc_rd_data_t_ref1k_mea</t>
  </si>
  <si>
    <t>t_aeb_hk_adc_rd_data_t_ref1k_mea_wr_reg</t>
  </si>
  <si>
    <t>AEB Housekeeping Area Register "ADC_RD_DATA_T_REF649R_MEA"</t>
  </si>
  <si>
    <t>aeb_hk_adc_rd_data_t_ref649r_mea</t>
  </si>
  <si>
    <t>t_aeb_hk_adc_rd_data_t_ref649r_mea_wr_reg</t>
  </si>
  <si>
    <t>AEB Housekeeping Area Register "ADC_RD_DATA_HK_ANA_N5V"</t>
  </si>
  <si>
    <t>aeb_hk_adc_rd_data_hk_ana_n5v</t>
  </si>
  <si>
    <t>t_aeb_hk_adc_rd_data_hk_ana_n5v_wr_reg</t>
  </si>
  <si>
    <t>AEB Housekeeping Area Register "ADC_RD_DATA_S_REF"</t>
  </si>
  <si>
    <t>aeb_hk_adc_rd_data_s_ref</t>
  </si>
  <si>
    <t>t_aeb_hk_adc_rd_data_s_ref_wr_reg</t>
  </si>
  <si>
    <t>AEB Housekeeping Area Register "ADC_RD_DATA_HK_CCD_P31V"</t>
  </si>
  <si>
    <t>aeb_hk_adc_rd_data_hk_ccd_p31v</t>
  </si>
  <si>
    <t>t_aeb_hk_adc_rd_data_hk_ccd_p31v_wr_reg</t>
  </si>
  <si>
    <t>AEB Housekeeping Area Register "ADC_RD_DATA_HK_CLK_P15V"</t>
  </si>
  <si>
    <t>aeb_hk_adc_rd_data_hk_clk_p15v</t>
  </si>
  <si>
    <t>t_aeb_hk_adc_rd_data_hk_clk_p15v_wr_reg</t>
  </si>
  <si>
    <t>AEB Housekeeping Area Register "ADC_RD_DATA_HK_ANA_P5V"</t>
  </si>
  <si>
    <t>aeb_hk_adc_rd_data_hk_ana_p5v</t>
  </si>
  <si>
    <t>t_aeb_hk_adc_rd_data_hk_ana_p5v_wr_reg</t>
  </si>
  <si>
    <t>AEB Housekeeping Area Register "ADC_RD_DATA_HK_ANA_P3V3"</t>
  </si>
  <si>
    <t>aeb_hk_adc_rd_data_hk_ana_p3v3</t>
  </si>
  <si>
    <t>t_aeb_hk_adc_rd_data_hk_ana_p3v3_wr_reg</t>
  </si>
  <si>
    <t>AEB Housekeeping Area Register "ADC_RD_DATA_HK_DIG_P3V3"</t>
  </si>
  <si>
    <t>aeb_hk_adc_rd_data_hk_dig_p3v3</t>
  </si>
  <si>
    <t>t_aeb_hk_adc_rd_data_hk_dig_p3v3_wr_reg</t>
  </si>
  <si>
    <t>AEB Housekeeping Area Register "ADC_RD_DATA_ADC_REF_BUF_2"</t>
  </si>
  <si>
    <t>aeb_hk_adc_rd_data_adc_ref_buf_2</t>
  </si>
  <si>
    <t>t_aeb_hk_adc_rd_data_adc_ref_buf_2_wr_reg</t>
  </si>
  <si>
    <t>AEB Housekeeping Area Register "ADC1_RD_CONFIG_1"</t>
  </si>
  <si>
    <t>aeb_hk_adc1_rd_config_1</t>
  </si>
  <si>
    <t>AEB Housekeeping Area Register "ADC1_RD_CONFIG_2"</t>
  </si>
  <si>
    <t>aeb_hk_adc1_rd_config_2</t>
  </si>
  <si>
    <t>AEB Housekeeping Area Register "ADC1_RD_CONFIG_3"</t>
  </si>
  <si>
    <t>aeb_hk_adc1_rd_config_3</t>
  </si>
  <si>
    <t>AEB Housekeeping Area Register "ADC2_RD_CONFIG_1"</t>
  </si>
  <si>
    <t>aeb_hk_adc2_rd_config_1</t>
  </si>
  <si>
    <t>AEB Housekeeping Area Register "ADC2_RD_CONFIG_2"</t>
  </si>
  <si>
    <t>aeb_hk_adc2_rd_config_2</t>
  </si>
  <si>
    <t>AEB Housekeeping Area Register "ADC2_RD_CONFIG_3"</t>
  </si>
  <si>
    <t>aeb_hk_adc2_rd_config_3</t>
  </si>
  <si>
    <t>AEB Housekeeping Area Register "VASP_RD_CONFIG"</t>
  </si>
  <si>
    <t>aeb_hk_vasp_rd_config</t>
  </si>
  <si>
    <t>t_aeb_hk_vasp_rd_config_wr_reg</t>
  </si>
  <si>
    <t>AEB Housekeeping Area Register "REVISION_ID_1"</t>
  </si>
  <si>
    <t>aeb_hk_revision_id_1</t>
  </si>
  <si>
    <t>t_aeb_hk_revision_id_1_wr_reg</t>
  </si>
  <si>
    <t>AEB Housekeeping Area Register "REVISION_ID_2"</t>
  </si>
  <si>
    <t>aeb_hk_revision_id_2</t>
  </si>
  <si>
    <t>t_aeb_hk_revision_id_2_wr_reg</t>
  </si>
  <si>
    <t>c_FARM_AVALON_MM_FFEE_AEB_RMAP_MAX_ADDR</t>
  </si>
  <si>
    <t>c_FARM_AVALON_MM_FFEE_AEB_RMAP_MIN_ADDR</t>
  </si>
  <si>
    <t>-- AEB Critical Configuration Area Register "AEB_CONFIG_AIT"</t>
  </si>
  <si>
    <t>type t_aeb_crit_cfg_aeb_config_ait_wr_reg is record</t>
  </si>
  <si>
    <t xml:space="preserve">  reserved_0 : std_logic_vector(1 downto 0); -- "RESERVED_0" Field</t>
  </si>
  <si>
    <t xml:space="preserve">  reserved_1 : std_logic; -- "RESERVED_1" Field</t>
  </si>
  <si>
    <t>end record t_aeb_crit_cfg_aeb_config_ait_wr_reg;</t>
  </si>
  <si>
    <t>-- AEB Critical Configuration Area Register "AEB_CONFIG_KEY"</t>
  </si>
  <si>
    <t>type t_aeb_crit_cfg_aeb_config_key_wr_reg is record</t>
  </si>
  <si>
    <t xml:space="preserve">  key : std_logic_vector(31 downto 0); -- "KEY" Field</t>
  </si>
  <si>
    <t>end record t_aeb_crit_cfg_aeb_config_key_wr_reg;</t>
  </si>
  <si>
    <t>-- AEB Critical Configuration Area Register "AEB_CONFIG_PATTERN"</t>
  </si>
  <si>
    <t>type t_aeb_crit_cfg_aeb_config_pattern_wr_reg is record</t>
  </si>
  <si>
    <t xml:space="preserve">  pattern_ccdid : std_logic_vector(1 downto 0); -- "PATTERN_CCDID" Field</t>
  </si>
  <si>
    <t xml:space="preserve">  pattern_cols : std_logic_vector(13 downto 0); -- "PATTERN_COLS" Field</t>
  </si>
  <si>
    <t xml:space="preserve">  reserved : std_logic_vector(1 downto 0); -- "RESERVED" Field</t>
  </si>
  <si>
    <t xml:space="preserve">  pattern_rows : std_logic_vector(13 downto 0); -- "PATTERN_ROWS" Field</t>
  </si>
  <si>
    <t>end record t_aeb_crit_cfg_aeb_config_pattern_wr_reg;</t>
  </si>
  <si>
    <t>-- AEB Critical Configuration Area Register "AEB_CONFIG"</t>
  </si>
  <si>
    <t>type t_aeb_crit_cfg_aeb_config_wr_reg is record</t>
  </si>
  <si>
    <t>end record t_aeb_crit_cfg_aeb_config_wr_reg;</t>
  </si>
  <si>
    <t>-- AEB Critical Configuration Area Register "AEB_CONTROL"</t>
  </si>
  <si>
    <t>type t_aeb_crit_cfg_aeb_control_wr_reg is record</t>
  </si>
  <si>
    <t xml:space="preserve">  new_state : std_logic_vector(3 downto 0); -- "NEW_STATE" Field</t>
  </si>
  <si>
    <t xml:space="preserve">  set_state : std_logic; -- "SET_STATE" Field</t>
  </si>
  <si>
    <t xml:space="preserve">  aeb_reset : std_logic; -- "AEB_RESET" Field</t>
  </si>
  <si>
    <t>end record t_aeb_crit_cfg_aeb_control_wr_reg;</t>
  </si>
  <si>
    <t>-- AEB Critical Configuration Area Register "DAC_CONFIG_1"</t>
  </si>
  <si>
    <t>type t_aeb_crit_cfg_dac_config_1_wr_reg is record</t>
  </si>
  <si>
    <t>end record t_aeb_crit_cfg_dac_config_1_wr_reg;</t>
  </si>
  <si>
    <t>-- AEB Critical Configuration Area Register "DAC_CONFIG_2"</t>
  </si>
  <si>
    <t>type t_aeb_crit_cfg_dac_config_2_wr_reg is record</t>
  </si>
  <si>
    <t>end record t_aeb_crit_cfg_dac_config_2_wr_reg;</t>
  </si>
  <si>
    <t>-- AEB Critical Configuration Area Register "PWR_CONFIG1"</t>
  </si>
  <si>
    <t>type t_aeb_crit_cfg_pwr_config1_wr_reg is record</t>
  </si>
  <si>
    <t xml:space="preserve">  time_vccd_on : std_logic_vector(7 downto 0); -- "TIME_VCCD_ON" Field</t>
  </si>
  <si>
    <t xml:space="preserve">  time_vclk_on : std_logic_vector(7 downto 0); -- "TIME_VCLK_ON" Field</t>
  </si>
  <si>
    <t xml:space="preserve">  time_van1_on : std_logic_vector(7 downto 0); -- "TIME_VAN1_ON" Field</t>
  </si>
  <si>
    <t xml:space="preserve">  time_van2_on : std_logic_vector(7 downto 0); -- "TIME_VAN2_ON" Field</t>
  </si>
  <si>
    <t>end record t_aeb_crit_cfg_pwr_config1_wr_reg;</t>
  </si>
  <si>
    <t>-- AEB Critical Configuration Area Register "PWR_CONFIG2"</t>
  </si>
  <si>
    <t>type t_aeb_crit_cfg_pwr_config2_wr_reg is record</t>
  </si>
  <si>
    <t xml:space="preserve">  time_van3_on : std_logic_vector(7 downto 0); -- "TIME_VAN3_ON" Field</t>
  </si>
  <si>
    <t xml:space="preserve">  time_vccd_off : std_logic_vector(7 downto 0); -- "TIME_VCCD_OFF" Field</t>
  </si>
  <si>
    <t xml:space="preserve">  time_vclk_off : std_logic_vector(7 downto 0); -- "TIME_VCLK_OFF" Field</t>
  </si>
  <si>
    <t xml:space="preserve">  time_van1_off : std_logic_vector(7 downto 0); -- "TIME_VAN1_OFF" Field</t>
  </si>
  <si>
    <t>end record t_aeb_crit_cfg_pwr_config2_wr_reg;</t>
  </si>
  <si>
    <t>-- AEB Critical Configuration Area Register "PWR_CONFIG3"</t>
  </si>
  <si>
    <t>type t_aeb_crit_cfg_pwr_config3_wr_reg is record</t>
  </si>
  <si>
    <t xml:space="preserve">  time_van2_off : std_logic_vector(7 downto 0); -- "TIME_VAN2_OFF" Field</t>
  </si>
  <si>
    <t xml:space="preserve">  time_van3_off : std_logic_vector(7 downto 0); -- "TIME_VAN3_OFF" Field</t>
  </si>
  <si>
    <t>end record t_aeb_crit_cfg_pwr_config3_wr_reg;</t>
  </si>
  <si>
    <t>-- AEB Critical Configuration Area Register "RESERVED_20"</t>
  </si>
  <si>
    <t>type t_aeb_crit_cfg_reserved_20_wr_reg is record</t>
  </si>
  <si>
    <t>end record t_aeb_crit_cfg_reserved_20_wr_reg;</t>
  </si>
  <si>
    <t>-- AEB Critical Configuration Area Register "VASP_I2C_CONTROL"</t>
  </si>
  <si>
    <t>type t_aeb_crit_cfg_vasp_i2c_control_wr_reg is record</t>
  </si>
  <si>
    <t>end record t_aeb_crit_cfg_vasp_i2c_control_wr_reg;</t>
  </si>
  <si>
    <t>-- AEB General Configuration Area Register "ADC1_CONFIG_1"</t>
  </si>
  <si>
    <t>type t_aeb_gen_cfg_adc1_config_1_wr_reg is record</t>
  </si>
  <si>
    <t xml:space="preserve">  reserved_0 : std_logic; -- "RESERVED_0" Field</t>
  </si>
  <si>
    <t>end record t_aeb_gen_cfg_adc1_config_1_wr_reg;</t>
  </si>
  <si>
    <t>-- AEB General Configuration Area Register "ADC1_CONFIG_2"</t>
  </si>
  <si>
    <t>type t_aeb_gen_cfg_adc1_config_2_wr_reg is record</t>
  </si>
  <si>
    <t>end record t_aeb_gen_cfg_adc1_config_2_wr_reg;</t>
  </si>
  <si>
    <t>-- AEB General Configuration Area Register "ADC1_CONFIG_3"</t>
  </si>
  <si>
    <t>type t_aeb_gen_cfg_adc1_config_3_wr_reg is record</t>
  </si>
  <si>
    <t>end record t_aeb_gen_cfg_adc1_config_3_wr_reg;</t>
  </si>
  <si>
    <t>-- AEB General Configuration Area Register "ADC2_CONFIG_1"</t>
  </si>
  <si>
    <t>type t_aeb_gen_cfg_adc2_config_1_wr_reg is record</t>
  </si>
  <si>
    <t>end record t_aeb_gen_cfg_adc2_config_1_wr_reg;</t>
  </si>
  <si>
    <t>-- AEB General Configuration Area Register "ADC2_CONFIG_2"</t>
  </si>
  <si>
    <t>type t_aeb_gen_cfg_adc2_config_2_wr_reg is record</t>
  </si>
  <si>
    <t>end record t_aeb_gen_cfg_adc2_config_2_wr_reg;</t>
  </si>
  <si>
    <t>-- AEB General Configuration Area Register "ADC2_CONFIG_3"</t>
  </si>
  <si>
    <t>type t_aeb_gen_cfg_adc2_config_3_wr_reg is record</t>
  </si>
  <si>
    <t>end record t_aeb_gen_cfg_adc2_config_3_wr_reg;</t>
  </si>
  <si>
    <t>-- AEB General Configuration Area Register "RESERVED_118"</t>
  </si>
  <si>
    <t>type t_aeb_gen_cfg_reserved_118_wr_reg is record</t>
  </si>
  <si>
    <t>end record t_aeb_gen_cfg_reserved_118_wr_reg;</t>
  </si>
  <si>
    <t>-- AEB General Configuration Area Register "RESERVED_11C"</t>
  </si>
  <si>
    <t>type t_aeb_gen_cfg_reserved_11c_wr_reg is record</t>
  </si>
  <si>
    <t>end record t_aeb_gen_cfg_reserved_11c_wr_reg;</t>
  </si>
  <si>
    <t>-- AEB General Configuration Area Register "SEQ_CONFIG_1"</t>
  </si>
  <si>
    <t>type t_aeb_gen_cfg_seq_config_1_wr_reg is record</t>
  </si>
  <si>
    <t>end record t_aeb_gen_cfg_seq_config_1_wr_reg;</t>
  </si>
  <si>
    <t>-- AEB General Configuration Area Register "SEQ_CONFIG_10"</t>
  </si>
  <si>
    <t>type t_aeb_gen_cfg_seq_config_10_wr_reg is record</t>
  </si>
  <si>
    <t xml:space="preserve">  lt1_enabled : std_logic; -- "LT1_ENABLED" Field</t>
  </si>
  <si>
    <t xml:space="preserve">  lt1_loop_cnt : std_logic_vector(13 downto 0); -- "LT1_LOOP_CNT" Field</t>
  </si>
  <si>
    <t xml:space="preserve">  lt2_enabled : std_logic; -- "LT2_ENABLED" Field</t>
  </si>
  <si>
    <t xml:space="preserve">  lt2_loop_cnt : std_logic_vector(13 downto 0); -- "LT2_LOOP_CNT" Field</t>
  </si>
  <si>
    <t>end record t_aeb_gen_cfg_seq_config_10_wr_reg;</t>
  </si>
  <si>
    <t>-- AEB General Configuration Area Register "SEQ_CONFIG_11"</t>
  </si>
  <si>
    <t>type t_aeb_gen_cfg_seq_config_11_wr_reg is record</t>
  </si>
  <si>
    <t xml:space="preserve">  lt3_enabled : std_logic; -- "LT3_ENABLED" Field</t>
  </si>
  <si>
    <t xml:space="preserve">  reserved : std_logic; -- "RESERVED" Field</t>
  </si>
  <si>
    <t xml:space="preserve">  lt3_loop_cnt : std_logic_vector(13 downto 0); -- "LT3_LOOP_CNT" Field</t>
  </si>
  <si>
    <t xml:space="preserve">  pix_loop_cnt_word_1 : std_logic_vector(15 downto 0); -- "PIX_LOOP_CNT_WORD_1" Field</t>
  </si>
  <si>
    <t>end record t_aeb_gen_cfg_seq_config_11_wr_reg;</t>
  </si>
  <si>
    <t>-- AEB General Configuration Area Register "SEQ_CONFIG_12"</t>
  </si>
  <si>
    <t>type t_aeb_gen_cfg_seq_config_12_wr_reg is record</t>
  </si>
  <si>
    <t xml:space="preserve">  pix_loop_cnt_word_0 : std_logic_vector(15 downto 0); -- "PIX_LOOP_CNT_WORD_0" Field</t>
  </si>
  <si>
    <t xml:space="preserve">  pc_enabled : std_logic; -- "PC_ENABLED" Field</t>
  </si>
  <si>
    <t xml:space="preserve">  pc_loop_cnt : std_logic_vector(13 downto 0); -- "PC_LOOP_CNT" Field</t>
  </si>
  <si>
    <t>end record t_aeb_gen_cfg_seq_config_12_wr_reg;</t>
  </si>
  <si>
    <t>-- AEB General Configuration Area Register "SEQ_CONFIG_13"</t>
  </si>
  <si>
    <t>type t_aeb_gen_cfg_seq_config_13_wr_reg is record</t>
  </si>
  <si>
    <t xml:space="preserve">  int1_loop_cnt : std_logic_vector(13 downto 0); -- "INT1_LOOP_CNT" Field</t>
  </si>
  <si>
    <t xml:space="preserve">  reserved_1 : std_logic_vector(1 downto 0); -- "RESERVED_1" Field</t>
  </si>
  <si>
    <t xml:space="preserve">  int2_loop_cnt : std_logic_vector(13 downto 0); -- "INT2_LOOP_CNT" Field</t>
  </si>
  <si>
    <t>end record t_aeb_gen_cfg_seq_config_13_wr_reg;</t>
  </si>
  <si>
    <t>-- AEB General Configuration Area Register "SEQ_CONFIG_14"</t>
  </si>
  <si>
    <t>type t_aeb_gen_cfg_seq_config_14_wr_reg is record</t>
  </si>
  <si>
    <t>end record t_aeb_gen_cfg_seq_config_14_wr_reg;</t>
  </si>
  <si>
    <t>-- AEB General Configuration Area Register "SEQ_CONFIG_2"</t>
  </si>
  <si>
    <t>type t_aeb_gen_cfg_seq_config_2_wr_reg is record</t>
  </si>
  <si>
    <t>end record t_aeb_gen_cfg_seq_config_2_wr_reg;</t>
  </si>
  <si>
    <t>-- AEB General Configuration Area Register "SEQ_CONFIG_3"</t>
  </si>
  <si>
    <t>type t_aeb_gen_cfg_seq_config_3_wr_reg is record</t>
  </si>
  <si>
    <t>end record t_aeb_gen_cfg_seq_config_3_wr_reg;</t>
  </si>
  <si>
    <t>-- AEB General Configuration Area Register "SEQ_CONFIG_4"</t>
  </si>
  <si>
    <t>type t_aeb_gen_cfg_seq_config_4_wr_reg is record</t>
  </si>
  <si>
    <t>end record t_aeb_gen_cfg_seq_config_4_wr_reg;</t>
  </si>
  <si>
    <t>-- AEB General Configuration Area Register "SEQ_CONFIG_5"</t>
  </si>
  <si>
    <t>type t_aeb_gen_cfg_seq_config_5_wr_reg is record</t>
  </si>
  <si>
    <t>end record t_aeb_gen_cfg_seq_config_5_wr_reg;</t>
  </si>
  <si>
    <t>-- AEB General Configuration Area Register "SEQ_CONFIG_6"</t>
  </si>
  <si>
    <t>type t_aeb_gen_cfg_seq_config_6_wr_reg is record</t>
  </si>
  <si>
    <t>end record t_aeb_gen_cfg_seq_config_6_wr_reg;</t>
  </si>
  <si>
    <t>-- AEB General Configuration Area Register "SEQ_CONFIG_7"</t>
  </si>
  <si>
    <t>type t_aeb_gen_cfg_seq_config_7_wr_reg is record</t>
  </si>
  <si>
    <t>end record t_aeb_gen_cfg_seq_config_7_wr_reg;</t>
  </si>
  <si>
    <t>-- AEB General Configuration Area Register "SEQ_CONFIG_8"</t>
  </si>
  <si>
    <t>type t_aeb_gen_cfg_seq_config_8_wr_reg is record</t>
  </si>
  <si>
    <t>end record t_aeb_gen_cfg_seq_config_8_wr_reg;</t>
  </si>
  <si>
    <t>-- AEB General Configuration Area Register "SEQ_CONFIG_9"</t>
  </si>
  <si>
    <t>type t_aeb_gen_cfg_seq_config_9_wr_reg is record</t>
  </si>
  <si>
    <t xml:space="preserve">  ft_loop_cnt : std_logic_vector(13 downto 0); -- "FT_LOOP_CNT" Field</t>
  </si>
  <si>
    <t xml:space="preserve">  lt0_enabled : std_logic; -- "LT0_ENABLED" Field</t>
  </si>
  <si>
    <t xml:space="preserve">  lt0_loop_cnt : std_logic_vector(13 downto 0); -- "LT0_LOOP_CNT" Field</t>
  </si>
  <si>
    <t>end record t_aeb_gen_cfg_seq_config_9_wr_reg;</t>
  </si>
  <si>
    <t>-- AEB Housekeeping Area Register "ADC_RD_DATA_ADC_REF_BUF_2"</t>
  </si>
  <si>
    <t>type t_aeb_hk_adc_rd_data_adc_ref_buf_2_wr_reg is record</t>
  </si>
  <si>
    <t>end record t_aeb_hk_adc_rd_data_adc_ref_buf_2_wr_reg;</t>
  </si>
  <si>
    <t>-- AEB Housekeeping Area Register "ADC_RD_DATA_HK_ANA_N5V"</t>
  </si>
  <si>
    <t>type t_aeb_hk_adc_rd_data_hk_ana_n5v_wr_reg is record</t>
  </si>
  <si>
    <t>end record t_aeb_hk_adc_rd_data_hk_ana_n5v_wr_reg;</t>
  </si>
  <si>
    <t>-- AEB Housekeeping Area Register "ADC_RD_DATA_HK_ANA_P3V3"</t>
  </si>
  <si>
    <t>type t_aeb_hk_adc_rd_data_hk_ana_p3v3_wr_reg is record</t>
  </si>
  <si>
    <t>end record t_aeb_hk_adc_rd_data_hk_ana_p3v3_wr_reg;</t>
  </si>
  <si>
    <t>-- AEB Housekeeping Area Register "ADC_RD_DATA_HK_ANA_P5V"</t>
  </si>
  <si>
    <t>type t_aeb_hk_adc_rd_data_hk_ana_p5v_wr_reg is record</t>
  </si>
  <si>
    <t>end record t_aeb_hk_adc_rd_data_hk_ana_p5v_wr_reg;</t>
  </si>
  <si>
    <t>-- AEB Housekeeping Area Register "ADC_RD_DATA_HK_CCD_P31V"</t>
  </si>
  <si>
    <t>type t_aeb_hk_adc_rd_data_hk_ccd_p31v_wr_reg is record</t>
  </si>
  <si>
    <t>end record t_aeb_hk_adc_rd_data_hk_ccd_p31v_wr_reg;</t>
  </si>
  <si>
    <t>-- AEB Housekeeping Area Register "ADC_RD_DATA_HK_CLK_P15V"</t>
  </si>
  <si>
    <t>type t_aeb_hk_adc_rd_data_hk_clk_p15v_wr_reg is record</t>
  </si>
  <si>
    <t>end record t_aeb_hk_adc_rd_data_hk_clk_p15v_wr_reg;</t>
  </si>
  <si>
    <t>-- AEB Housekeeping Area Register "ADC_RD_DATA_HK_DIG_P3V3"</t>
  </si>
  <si>
    <t>type t_aeb_hk_adc_rd_data_hk_dig_p3v3_wr_reg is record</t>
  </si>
  <si>
    <t>end record t_aeb_hk_adc_rd_data_hk_dig_p3v3_wr_reg;</t>
  </si>
  <si>
    <t>-- AEB Housekeeping Area Register "ADC_RD_DATA_HK_VODE"</t>
  </si>
  <si>
    <t>type t_aeb_hk_adc_rd_data_hk_vode_wr_reg is record</t>
  </si>
  <si>
    <t>end record t_aeb_hk_adc_rd_data_hk_vode_wr_reg;</t>
  </si>
  <si>
    <t>-- AEB Housekeeping Area Register "ADC_RD_DATA_HK_VODF"</t>
  </si>
  <si>
    <t>type t_aeb_hk_adc_rd_data_hk_vodf_wr_reg is record</t>
  </si>
  <si>
    <t>end record t_aeb_hk_adc_rd_data_hk_vodf_wr_reg;</t>
  </si>
  <si>
    <t>-- AEB Housekeeping Area Register "ADC_RD_DATA_HK_VOG"</t>
  </si>
  <si>
    <t>type t_aeb_hk_adc_rd_data_hk_vog_wr_reg is record</t>
  </si>
  <si>
    <t>end record t_aeb_hk_adc_rd_data_hk_vog_wr_reg;</t>
  </si>
  <si>
    <t>-- AEB Housekeeping Area Register "ADC_RD_DATA_HK_VRD"</t>
  </si>
  <si>
    <t>type t_aeb_hk_adc_rd_data_hk_vrd_wr_reg is record</t>
  </si>
  <si>
    <t>end record t_aeb_hk_adc_rd_data_hk_vrd_wr_reg;</t>
  </si>
  <si>
    <t>-- AEB Housekeeping Area Register "ADC_RD_DATA_S_REF"</t>
  </si>
  <si>
    <t>type t_aeb_hk_adc_rd_data_s_ref_wr_reg is record</t>
  </si>
  <si>
    <t>end record t_aeb_hk_adc_rd_data_s_ref_wr_reg;</t>
  </si>
  <si>
    <t>-- AEB Housekeeping Area Register "ADC_RD_DATA_T_BIAS_P"</t>
  </si>
  <si>
    <t>type t_aeb_hk_adc_rd_data_t_bias_p_wr_reg is record</t>
  </si>
  <si>
    <t>end record t_aeb_hk_adc_rd_data_t_bias_p_wr_reg;</t>
  </si>
  <si>
    <t>-- AEB Housekeeping Area Register "ADC_RD_DATA_T_CCD"</t>
  </si>
  <si>
    <t>type t_aeb_hk_adc_rd_data_t_ccd_wr_reg is record</t>
  </si>
  <si>
    <t>end record t_aeb_hk_adc_rd_data_t_ccd_wr_reg;</t>
  </si>
  <si>
    <t>-- AEB Housekeeping Area Register "ADC_RD_DATA_T_HK_P"</t>
  </si>
  <si>
    <t>type t_aeb_hk_adc_rd_data_t_hk_p_wr_reg is record</t>
  </si>
  <si>
    <t>end record t_aeb_hk_adc_rd_data_t_hk_p_wr_reg;</t>
  </si>
  <si>
    <t>-- AEB Housekeeping Area Register "ADC_RD_DATA_T_REF1K_MEA"</t>
  </si>
  <si>
    <t>type t_aeb_hk_adc_rd_data_t_ref1k_mea_wr_reg is record</t>
  </si>
  <si>
    <t>end record t_aeb_hk_adc_rd_data_t_ref1k_mea_wr_reg;</t>
  </si>
  <si>
    <t>-- AEB Housekeeping Area Register "ADC_RD_DATA_T_REF649R_MEA"</t>
  </si>
  <si>
    <t>type t_aeb_hk_adc_rd_data_t_ref649r_mea_wr_reg is record</t>
  </si>
  <si>
    <t>end record t_aeb_hk_adc_rd_data_t_ref649r_mea_wr_reg;</t>
  </si>
  <si>
    <t>-- AEB Housekeeping Area Register "ADC_RD_DATA_T_TOU_1_P"</t>
  </si>
  <si>
    <t>type t_aeb_hk_adc_rd_data_t_tou_1_p_wr_reg is record</t>
  </si>
  <si>
    <t>end record t_aeb_hk_adc_rd_data_t_tou_1_p_wr_reg;</t>
  </si>
  <si>
    <t>-- AEB Housekeeping Area Register "ADC_RD_DATA_T_TOU_2_P"</t>
  </si>
  <si>
    <t>type t_aeb_hk_adc_rd_data_t_tou_2_p_wr_reg is record</t>
  </si>
  <si>
    <t>end record t_aeb_hk_adc_rd_data_t_tou_2_p_wr_reg;</t>
  </si>
  <si>
    <t>-- AEB Housekeeping Area Register "ADC_RD_DATA_T_VASP_L"</t>
  </si>
  <si>
    <t>type t_aeb_hk_adc_rd_data_t_vasp_l_wr_reg is record</t>
  </si>
  <si>
    <t>end record t_aeb_hk_adc_rd_data_t_vasp_l_wr_reg;</t>
  </si>
  <si>
    <t>-- AEB Housekeeping Area Register "ADC_RD_DATA_T_VASP_R"</t>
  </si>
  <si>
    <t>type t_aeb_hk_adc_rd_data_t_vasp_r_wr_reg is record</t>
  </si>
  <si>
    <t>end record t_aeb_hk_adc_rd_data_t_vasp_r_wr_reg;</t>
  </si>
  <si>
    <t>-- AEB Housekeeping Area Register "ADC1_RD_CONFIG_1"</t>
  </si>
  <si>
    <t>-- AEB Housekeeping Area Register "ADC1_RD_CONFIG_2"</t>
  </si>
  <si>
    <t>-- AEB Housekeeping Area Register "ADC1_RD_CONFIG_3"</t>
  </si>
  <si>
    <t>-- AEB Housekeeping Area Register "ADC2_RD_CONFIG_1"</t>
  </si>
  <si>
    <t>-- AEB Housekeeping Area Register "ADC2_RD_CONFIG_2"</t>
  </si>
  <si>
    <t>-- AEB Housekeeping Area Register "ADC2_RD_CONFIG_3"</t>
  </si>
  <si>
    <t>-- AEB Housekeeping Area Register "AEB_STATUS"</t>
  </si>
  <si>
    <t>type t_aeb_hk_aeb_status_wr_reg is record</t>
  </si>
  <si>
    <t xml:space="preserve">  aeb_status : std_logic_vector(3 downto 0); -- "AEB_STATUS" Field</t>
  </si>
  <si>
    <t>end record t_aeb_hk_aeb_status_wr_reg;</t>
  </si>
  <si>
    <t>-- AEB Housekeeping Area Register "REVISION_ID_1"</t>
  </si>
  <si>
    <t>type t_aeb_hk_revision_id_1_wr_reg is record</t>
  </si>
  <si>
    <t>end record t_aeb_hk_revision_id_1_wr_reg;</t>
  </si>
  <si>
    <t>-- AEB Housekeeping Area Register "REVISION_ID_2"</t>
  </si>
  <si>
    <t>type t_aeb_hk_revision_id_2_wr_reg is record</t>
  </si>
  <si>
    <t>end record t_aeb_hk_revision_id_2_wr_reg;</t>
  </si>
  <si>
    <t>-- AEB Housekeeping Area Register "TIMESTAMP_1"</t>
  </si>
  <si>
    <t>type t_aeb_hk_timestamp_1_wr_reg is record</t>
  </si>
  <si>
    <t xml:space="preserve">  timestamp_dword_1 : std_logic_vector(31 downto 0); -- "TIMESTAMP_DWORD_1" Field</t>
  </si>
  <si>
    <t>end record t_aeb_hk_timestamp_1_wr_reg;</t>
  </si>
  <si>
    <t>-- AEB Housekeeping Area Register "TIMESTAMP_2"</t>
  </si>
  <si>
    <t>type t_aeb_hk_timestamp_2_wr_reg is record</t>
  </si>
  <si>
    <t xml:space="preserve">  timestamp_dword_0 : std_logic_vector(31 downto 0); -- "TIMESTAMP_DWORD_0" Field</t>
  </si>
  <si>
    <t>end record t_aeb_hk_timestamp_2_wr_reg;</t>
  </si>
  <si>
    <t>-- AEB Housekeeping Area Register "VASP_RD_CONFIG"</t>
  </si>
  <si>
    <t>type t_aeb_hk_vasp_rd_config_wr_reg is record</t>
  </si>
  <si>
    <t>end record t_aeb_hk_vasp_rd_config_wr_reg;</t>
  </si>
  <si>
    <t xml:space="preserve">  aeb_crit_cfg_aeb_config_ait : t_aeb_crit_cfg_aeb_config_ait_wr_reg; -- AEB Critical Configuration Area Register "AEB_CONFIG_AIT"</t>
  </si>
  <si>
    <t xml:space="preserve">  aeb_crit_cfg_aeb_config_key : t_aeb_crit_cfg_aeb_config_key_wr_reg; -- AEB Critical Configuration Area Register "AEB_CONFIG_KEY"</t>
  </si>
  <si>
    <t xml:space="preserve">  aeb_crit_cfg_aeb_config_pattern : t_aeb_crit_cfg_aeb_config_pattern_wr_reg; -- AEB Critical Configuration Area Register "AEB_CONFIG_PATTERN"</t>
  </si>
  <si>
    <t xml:space="preserve">  aeb_crit_cfg_aeb_config : t_aeb_crit_cfg_aeb_config_wr_reg; -- AEB Critical Configuration Area Register "AEB_CONFIG"</t>
  </si>
  <si>
    <t xml:space="preserve">  aeb_crit_cfg_aeb_control : t_aeb_crit_cfg_aeb_control_wr_reg; -- AEB Critical Configuration Area Register "AEB_CONTROL"</t>
  </si>
  <si>
    <t xml:space="preserve">  aeb_crit_cfg_dac_config_1 : t_aeb_crit_cfg_dac_config_1_wr_reg; -- AEB Critical Configuration Area Register "DAC_CONFIG_1"</t>
  </si>
  <si>
    <t xml:space="preserve">  aeb_crit_cfg_dac_config_2 : t_aeb_crit_cfg_dac_config_2_wr_reg; -- AEB Critical Configuration Area Register "DAC_CONFIG_2"</t>
  </si>
  <si>
    <t xml:space="preserve">  aeb_crit_cfg_pwr_config1 : t_aeb_crit_cfg_pwr_config1_wr_reg; -- AEB Critical Configuration Area Register "PWR_CONFIG1"</t>
  </si>
  <si>
    <t xml:space="preserve">  aeb_crit_cfg_pwr_config2 : t_aeb_crit_cfg_pwr_config2_wr_reg; -- AEB Critical Configuration Area Register "PWR_CONFIG2"</t>
  </si>
  <si>
    <t xml:space="preserve">  aeb_crit_cfg_pwr_config3 : t_aeb_crit_cfg_pwr_config3_wr_reg; -- AEB Critical Configuration Area Register "PWR_CONFIG3"</t>
  </si>
  <si>
    <t xml:space="preserve">  aeb_crit_cfg_reserved_20 : t_aeb_crit_cfg_reserved_20_wr_reg; -- AEB Critical Configuration Area Register "RESERVED_20"</t>
  </si>
  <si>
    <t xml:space="preserve">  aeb_crit_cfg_vasp_i2c_control : t_aeb_crit_cfg_vasp_i2c_control_wr_reg; -- AEB Critical Configuration Area Register "VASP_I2C_CONTROL"</t>
  </si>
  <si>
    <t xml:space="preserve">  aeb_gen_cfg_adc1_config_1 : t_aeb_gen_cfg_adc1_config_1_wr_reg; -- AEB General Configuration Area Register "ADC1_CONFIG_1"</t>
  </si>
  <si>
    <t xml:space="preserve">  aeb_gen_cfg_adc1_config_2 : t_aeb_gen_cfg_adc1_config_2_wr_reg; -- AEB General Configuration Area Register "ADC1_CONFIG_2"</t>
  </si>
  <si>
    <t xml:space="preserve">  aeb_gen_cfg_adc1_config_3 : t_aeb_gen_cfg_adc1_config_3_wr_reg; -- AEB General Configuration Area Register "ADC1_CONFIG_3"</t>
  </si>
  <si>
    <t xml:space="preserve">  aeb_gen_cfg_adc2_config_1 : t_aeb_gen_cfg_adc2_config_1_wr_reg; -- AEB General Configuration Area Register "ADC2_CONFIG_1"</t>
  </si>
  <si>
    <t xml:space="preserve">  aeb_gen_cfg_adc2_config_2 : t_aeb_gen_cfg_adc2_config_2_wr_reg; -- AEB General Configuration Area Register "ADC2_CONFIG_2"</t>
  </si>
  <si>
    <t xml:space="preserve">  aeb_gen_cfg_adc2_config_3 : t_aeb_gen_cfg_adc2_config_3_wr_reg; -- AEB General Configuration Area Register "ADC2_CONFIG_3"</t>
  </si>
  <si>
    <t xml:space="preserve">  aeb_gen_cfg_reserved_118 : t_aeb_gen_cfg_reserved_118_wr_reg; -- AEB General Configuration Area Register "RESERVED_118"</t>
  </si>
  <si>
    <t xml:space="preserve">  aeb_gen_cfg_reserved_11c : t_aeb_gen_cfg_reserved_11c_wr_reg; -- AEB General Configuration Area Register "RESERVED_11C"</t>
  </si>
  <si>
    <t xml:space="preserve">  aeb_gen_cfg_seq_config_1 : t_aeb_gen_cfg_seq_config_1_wr_reg; -- AEB General Configuration Area Register "SEQ_CONFIG_1"</t>
  </si>
  <si>
    <t xml:space="preserve">  aeb_gen_cfg_seq_config_10 : t_aeb_gen_cfg_seq_config_10_wr_reg; -- AEB General Configuration Area Register "SEQ_CONFIG_10"</t>
  </si>
  <si>
    <t xml:space="preserve">  aeb_gen_cfg_seq_config_11 : t_aeb_gen_cfg_seq_config_11_wr_reg; -- AEB General Configuration Area Register "SEQ_CONFIG_11"</t>
  </si>
  <si>
    <t xml:space="preserve">  aeb_gen_cfg_seq_config_12 : t_aeb_gen_cfg_seq_config_12_wr_reg; -- AEB General Configuration Area Register "SEQ_CONFIG_12"</t>
  </si>
  <si>
    <t xml:space="preserve">  aeb_gen_cfg_seq_config_13 : t_aeb_gen_cfg_seq_config_13_wr_reg; -- AEB General Configuration Area Register "SEQ_CONFIG_13"</t>
  </si>
  <si>
    <t xml:space="preserve">  aeb_gen_cfg_seq_config_14 : t_aeb_gen_cfg_seq_config_14_wr_reg; -- AEB General Configuration Area Register "SEQ_CONFIG_14"</t>
  </si>
  <si>
    <t xml:space="preserve">  aeb_gen_cfg_seq_config_2 : t_aeb_gen_cfg_seq_config_2_wr_reg; -- AEB General Configuration Area Register "SEQ_CONFIG_2"</t>
  </si>
  <si>
    <t xml:space="preserve">  aeb_gen_cfg_seq_config_3 : t_aeb_gen_cfg_seq_config_3_wr_reg; -- AEB General Configuration Area Register "SEQ_CONFIG_3"</t>
  </si>
  <si>
    <t xml:space="preserve">  aeb_gen_cfg_seq_config_4 : t_aeb_gen_cfg_seq_config_4_wr_reg; -- AEB General Configuration Area Register "SEQ_CONFIG_4"</t>
  </si>
  <si>
    <t xml:space="preserve">  aeb_gen_cfg_seq_config_5 : t_aeb_gen_cfg_seq_config_5_wr_reg; -- AEB General Configuration Area Register "SEQ_CONFIG_5"</t>
  </si>
  <si>
    <t xml:space="preserve">  aeb_gen_cfg_seq_config_6 : t_aeb_gen_cfg_seq_config_6_wr_reg; -- AEB General Configuration Area Register "SEQ_CONFIG_6"</t>
  </si>
  <si>
    <t xml:space="preserve">  aeb_gen_cfg_seq_config_7 : t_aeb_gen_cfg_seq_config_7_wr_reg; -- AEB General Configuration Area Register "SEQ_CONFIG_7"</t>
  </si>
  <si>
    <t xml:space="preserve">  aeb_gen_cfg_seq_config_8 : t_aeb_gen_cfg_seq_config_8_wr_reg; -- AEB General Configuration Area Register "SEQ_CONFIG_8"</t>
  </si>
  <si>
    <t xml:space="preserve">  aeb_gen_cfg_seq_config_9 : t_aeb_gen_cfg_seq_config_9_wr_reg; -- AEB General Configuration Area Register "SEQ_CONFIG_9"</t>
  </si>
  <si>
    <t xml:space="preserve">  aeb_hk_adc_rd_data_adc_ref_buf_2 : t_aeb_hk_adc_rd_data_adc_ref_buf_2_wr_reg; -- AEB Housekeeping Area Register "ADC_RD_DATA_ADC_REF_BUF_2"</t>
  </si>
  <si>
    <t xml:space="preserve">  aeb_hk_adc_rd_data_hk_ana_n5v : t_aeb_hk_adc_rd_data_hk_ana_n5v_wr_reg; -- AEB Housekeeping Area Register "ADC_RD_DATA_HK_ANA_N5V"</t>
  </si>
  <si>
    <t xml:space="preserve">  aeb_hk_adc_rd_data_hk_ana_p3v3 : t_aeb_hk_adc_rd_data_hk_ana_p3v3_wr_reg; -- AEB Housekeeping Area Register "ADC_RD_DATA_HK_ANA_P3V3"</t>
  </si>
  <si>
    <t xml:space="preserve">  aeb_hk_adc_rd_data_hk_ana_p5v : t_aeb_hk_adc_rd_data_hk_ana_p5v_wr_reg; -- AEB Housekeeping Area Register "ADC_RD_DATA_HK_ANA_P5V"</t>
  </si>
  <si>
    <t xml:space="preserve">  aeb_hk_adc_rd_data_hk_ccd_p31v : t_aeb_hk_adc_rd_data_hk_ccd_p31v_wr_reg; -- AEB Housekeeping Area Register "ADC_RD_DATA_HK_CCD_P31V"</t>
  </si>
  <si>
    <t xml:space="preserve">  aeb_hk_adc_rd_data_hk_clk_p15v : t_aeb_hk_adc_rd_data_hk_clk_p15v_wr_reg; -- AEB Housekeeping Area Register "ADC_RD_DATA_HK_CLK_P15V"</t>
  </si>
  <si>
    <t xml:space="preserve">  aeb_hk_adc_rd_data_hk_dig_p3v3 : t_aeb_hk_adc_rd_data_hk_dig_p3v3_wr_reg; -- AEB Housekeeping Area Register "ADC_RD_DATA_HK_DIG_P3V3"</t>
  </si>
  <si>
    <t xml:space="preserve">  aeb_hk_adc_rd_data_hk_vode : t_aeb_hk_adc_rd_data_hk_vode_wr_reg; -- AEB Housekeeping Area Register "ADC_RD_DATA_HK_VODE"</t>
  </si>
  <si>
    <t xml:space="preserve">  aeb_hk_adc_rd_data_hk_vodf : t_aeb_hk_adc_rd_data_hk_vodf_wr_reg; -- AEB Housekeeping Area Register "ADC_RD_DATA_HK_VODF"</t>
  </si>
  <si>
    <t xml:space="preserve">  aeb_hk_adc_rd_data_hk_vog : t_aeb_hk_adc_rd_data_hk_vog_wr_reg; -- AEB Housekeeping Area Register "ADC_RD_DATA_HK_VOG"</t>
  </si>
  <si>
    <t xml:space="preserve">  aeb_hk_adc_rd_data_hk_vrd : t_aeb_hk_adc_rd_data_hk_vrd_wr_reg; -- AEB Housekeeping Area Register "ADC_RD_DATA_HK_VRD"</t>
  </si>
  <si>
    <t xml:space="preserve">  aeb_hk_adc_rd_data_s_ref : t_aeb_hk_adc_rd_data_s_ref_wr_reg; -- AEB Housekeeping Area Register "ADC_RD_DATA_S_REF"</t>
  </si>
  <si>
    <t xml:space="preserve">  aeb_hk_adc_rd_data_t_bias_p : t_aeb_hk_adc_rd_data_t_bias_p_wr_reg; -- AEB Housekeeping Area Register "ADC_RD_DATA_T_BIAS_P"</t>
  </si>
  <si>
    <t xml:space="preserve">  aeb_hk_adc_rd_data_t_ccd : t_aeb_hk_adc_rd_data_t_ccd_wr_reg; -- AEB Housekeeping Area Register "ADC_RD_DATA_T_CCD"</t>
  </si>
  <si>
    <t xml:space="preserve">  aeb_hk_adc_rd_data_t_hk_p : t_aeb_hk_adc_rd_data_t_hk_p_wr_reg; -- AEB Housekeeping Area Register "ADC_RD_DATA_T_HK_P"</t>
  </si>
  <si>
    <t xml:space="preserve">  aeb_hk_adc_rd_data_t_ref1k_mea : t_aeb_hk_adc_rd_data_t_ref1k_mea_wr_reg; -- AEB Housekeeping Area Register "ADC_RD_DATA_T_REF1K_MEA"</t>
  </si>
  <si>
    <t xml:space="preserve">  aeb_hk_adc_rd_data_t_ref649r_mea : t_aeb_hk_adc_rd_data_t_ref649r_mea_wr_reg; -- AEB Housekeeping Area Register "ADC_RD_DATA_T_REF649R_MEA"</t>
  </si>
  <si>
    <t xml:space="preserve">  aeb_hk_adc_rd_data_t_tou_1_p : t_aeb_hk_adc_rd_data_t_tou_1_p_wr_reg; -- AEB Housekeeping Area Register "ADC_RD_DATA_T_TOU_1_P"</t>
  </si>
  <si>
    <t xml:space="preserve">  aeb_hk_adc_rd_data_t_tou_2_p : t_aeb_hk_adc_rd_data_t_tou_2_p_wr_reg; -- AEB Housekeeping Area Register "ADC_RD_DATA_T_TOU_2_P"</t>
  </si>
  <si>
    <t xml:space="preserve">  aeb_hk_adc_rd_data_t_vasp_l : t_aeb_hk_adc_rd_data_t_vasp_l_wr_reg; -- AEB Housekeeping Area Register "ADC_RD_DATA_T_VASP_L"</t>
  </si>
  <si>
    <t xml:space="preserve">  aeb_hk_adc_rd_data_t_vasp_r : t_aeb_hk_adc_rd_data_t_vasp_r_wr_reg; -- AEB Housekeeping Area Register "ADC_RD_DATA_T_VASP_R"</t>
  </si>
  <si>
    <t xml:space="preserve">  aeb_hk_aeb_status : t_aeb_hk_aeb_status_wr_reg; -- AEB Housekeeping Area Register "AEB_STATUS"</t>
  </si>
  <si>
    <t xml:space="preserve">  aeb_hk_revision_id_1 : t_aeb_hk_revision_id_1_wr_reg; -- AEB Housekeeping Area Register "REVISION_ID_1"</t>
  </si>
  <si>
    <t xml:space="preserve">  aeb_hk_revision_id_2 : t_aeb_hk_revision_id_2_wr_reg; -- AEB Housekeeping Area Register "REVISION_ID_2"</t>
  </si>
  <si>
    <t xml:space="preserve">  aeb_hk_timestamp_1 : t_aeb_hk_timestamp_1_wr_reg; -- AEB Housekeeping Area Register "TIMESTAMP_1"</t>
  </si>
  <si>
    <t xml:space="preserve">  aeb_hk_timestamp_2 : t_aeb_hk_timestamp_2_wr_reg; -- AEB Housekeeping Area Register "TIMESTAMP_2"</t>
  </si>
  <si>
    <t xml:space="preserve">  aeb_hk_vasp_rd_config : t_aeb_hk_vasp_rd_config_wr_reg; -- AEB Housekeeping Area Register "VASP_RD_CONFIG"</t>
  </si>
  <si>
    <t xml:space="preserve">  when (16#000#) =&gt;</t>
  </si>
  <si>
    <t xml:space="preserve">  when (16#001#) =&gt;</t>
  </si>
  <si>
    <t xml:space="preserve">      -- AEB Critical Configuration Area Register "AEB_CONTROL" : "NEW_STATE" Field</t>
  </si>
  <si>
    <t xml:space="preserve">  when (16#002#) =&gt;</t>
  </si>
  <si>
    <t xml:space="preserve">      -- AEB Critical Configuration Area Register "AEB_CONTROL" : "SET_STATE" Field</t>
  </si>
  <si>
    <t xml:space="preserve">      avalon_mm_rmap_o.readdata(0) &lt;= rmap_registers_wr_i.aeb_crit_cfg_aeb_control.set_state;</t>
  </si>
  <si>
    <t xml:space="preserve">  when (16#003#) =&gt;</t>
  </si>
  <si>
    <t xml:space="preserve">      -- AEB Critical Configuration Area Register "AEB_CONTROL" : "AEB_RESET" Field</t>
  </si>
  <si>
    <t xml:space="preserve">      avalon_mm_rmap_o.readdata(0) &lt;= rmap_registers_wr_i.aeb_crit_cfg_aeb_control.aeb_reset;</t>
  </si>
  <si>
    <t xml:space="preserve">  when (16#004#) =&gt;</t>
  </si>
  <si>
    <t xml:space="preserve">  when (16#005#) =&gt;</t>
  </si>
  <si>
    <t xml:space="preserve">  when (16#006#) =&gt;</t>
  </si>
  <si>
    <t xml:space="preserve">  when (16#007#) =&gt;</t>
  </si>
  <si>
    <t xml:space="preserve">  when (16#008#) =&gt;</t>
  </si>
  <si>
    <t xml:space="preserve">  when (16#009#) =&gt;</t>
  </si>
  <si>
    <t xml:space="preserve">  when (16#00A#) =&gt;</t>
  </si>
  <si>
    <t xml:space="preserve">  when (16#00B#) =&gt;</t>
  </si>
  <si>
    <t xml:space="preserve">  when (16#00C#) =&gt;</t>
  </si>
  <si>
    <t xml:space="preserve">  when (16#00D#) =&gt;</t>
  </si>
  <si>
    <t xml:space="preserve">  when (16#00E#) =&gt;</t>
  </si>
  <si>
    <t xml:space="preserve">  when (16#00F#) =&gt;</t>
  </si>
  <si>
    <t xml:space="preserve">  when (16#010#) =&gt;</t>
  </si>
  <si>
    <t xml:space="preserve">  when (16#011#) =&gt;</t>
  </si>
  <si>
    <t xml:space="preserve">      -- AEB Critical Configuration Area Register "AEB_CONFIG_KEY" : "KEY" Field</t>
  </si>
  <si>
    <t xml:space="preserve">      avalon_mm_rmap_o.readdata(7 downto 0) &lt;= rmap_registers_wr_i.aeb_crit_cfg_aeb_config_key.key(7 downto 0);</t>
  </si>
  <si>
    <t xml:space="preserve">      avalon_mm_rmap_o.readdata(15 downto 8) &lt;= rmap_registers_wr_i.aeb_crit_cfg_aeb_config_key.key(15 downto 8);</t>
  </si>
  <si>
    <t xml:space="preserve">      avalon_mm_rmap_o.readdata(23 downto 16) &lt;= rmap_registers_wr_i.aeb_crit_cfg_aeb_config_key.key(23 downto 16);</t>
  </si>
  <si>
    <t xml:space="preserve">      avalon_mm_rmap_o.readdata(31 downto 24) &lt;= rmap_registers_wr_i.aeb_crit_cfg_aeb_config_key.key(31 downto 24);</t>
  </si>
  <si>
    <t xml:space="preserve">  when (16#012#) =&gt;</t>
  </si>
  <si>
    <t xml:space="preserve">  when (16#013#) =&gt;</t>
  </si>
  <si>
    <t xml:space="preserve">  when (16#014#) =&gt;</t>
  </si>
  <si>
    <t xml:space="preserve">  when (16#015#) =&gt;</t>
  </si>
  <si>
    <t xml:space="preserve">  when (16#016#) =&gt;</t>
  </si>
  <si>
    <t xml:space="preserve">  when (16#017#) =&gt;</t>
  </si>
  <si>
    <t xml:space="preserve">  when (16#018#) =&gt;</t>
  </si>
  <si>
    <t xml:space="preserve">  when (16#019#) =&gt;</t>
  </si>
  <si>
    <t xml:space="preserve">  when (16#01A#) =&gt;</t>
  </si>
  <si>
    <t xml:space="preserve">  when (16#01B#) =&gt;</t>
  </si>
  <si>
    <t xml:space="preserve">  when (16#01C#) =&gt;</t>
  </si>
  <si>
    <t xml:space="preserve">  when (16#01D#) =&gt;</t>
  </si>
  <si>
    <t xml:space="preserve">  when (16#01E#) =&gt;</t>
  </si>
  <si>
    <t xml:space="preserve">  when (16#01F#) =&gt;</t>
  </si>
  <si>
    <t xml:space="preserve">  when (16#020#) =&gt;</t>
  </si>
  <si>
    <t xml:space="preserve">  when (16#021#) =&gt;</t>
  </si>
  <si>
    <t xml:space="preserve">  when (16#022#) =&gt;</t>
  </si>
  <si>
    <t xml:space="preserve">  when (16#023#) =&gt;</t>
  </si>
  <si>
    <t xml:space="preserve">  when (16#024#) =&gt;</t>
  </si>
  <si>
    <t xml:space="preserve">  when (16#025#) =&gt;</t>
  </si>
  <si>
    <t xml:space="preserve">  when (16#026#) =&gt;</t>
  </si>
  <si>
    <t xml:space="preserve">  when (16#027#) =&gt;</t>
  </si>
  <si>
    <t xml:space="preserve">  when (16#028#) =&gt;</t>
  </si>
  <si>
    <t xml:space="preserve">  when (16#029#) =&gt;</t>
  </si>
  <si>
    <t xml:space="preserve">      -- AEB Critical Configuration Area Register "AEB_CONFIG_PATTERN" : "PATTERN_CCDID" Field</t>
  </si>
  <si>
    <t xml:space="preserve">      -- AEB Critical Configuration Area Register "AEB_CONFIG_PATTERN" : "PATTERN_COLS" Field</t>
  </si>
  <si>
    <t xml:space="preserve">      avalon_mm_rmap_o.readdata(23 downto 16) &lt;= rmap_registers_wr_i.aeb_crit_cfg_aeb_config_pattern.pattern_cols(7 downto 0);</t>
  </si>
  <si>
    <t xml:space="preserve">      avalon_mm_rmap_o.readdata(29 downto 24) &lt;= rmap_registers_wr_i.aeb_crit_cfg_aeb_config_pattern.pattern_cols(13 downto 8);</t>
  </si>
  <si>
    <t xml:space="preserve">  when (16#02A#) =&gt;</t>
  </si>
  <si>
    <t xml:space="preserve">      -- AEB Critical Configuration Area Register "AEB_CONFIG_PATTERN" : "RESERVED" Field</t>
  </si>
  <si>
    <t xml:space="preserve">      avalon_mm_rmap_o.readdata(1 downto 0) &lt;= rmap_registers_wr_i.aeb_crit_cfg_aeb_config_pattern.reserved;</t>
  </si>
  <si>
    <t xml:space="preserve">      -- AEB Critical Configuration Area Register "AEB_CONFIG_PATTERN" : "PATTERN_ROWS" Field</t>
  </si>
  <si>
    <t xml:space="preserve">      avalon_mm_rmap_o.readdata(23 downto 16) &lt;= rmap_registers_wr_i.aeb_crit_cfg_aeb_config_pattern.pattern_rows(7 downto 0);</t>
  </si>
  <si>
    <t xml:space="preserve">      avalon_mm_rmap_o.readdata(29 downto 24) &lt;= rmap_registers_wr_i.aeb_crit_cfg_aeb_config_pattern.pattern_rows(13 downto 8);</t>
  </si>
  <si>
    <t xml:space="preserve">  when (16#02B#) =&gt;</t>
  </si>
  <si>
    <t xml:space="preserve">  when (16#02C#) =&gt;</t>
  </si>
  <si>
    <t xml:space="preserve">  when (16#02D#) =&gt;</t>
  </si>
  <si>
    <t xml:space="preserve">  when (16#02E#) =&gt;</t>
  </si>
  <si>
    <t xml:space="preserve">  when (16#02F#) =&gt;</t>
  </si>
  <si>
    <t xml:space="preserve">  when (16#030#) =&gt;</t>
  </si>
  <si>
    <t xml:space="preserve">  when (16#031#) =&gt;</t>
  </si>
  <si>
    <t xml:space="preserve">  when (16#032#) =&gt;</t>
  </si>
  <si>
    <t xml:space="preserve">  when (16#033#) =&gt;</t>
  </si>
  <si>
    <t xml:space="preserve">  when (16#034#) =&gt;</t>
  </si>
  <si>
    <t xml:space="preserve">  when (16#035#) =&gt;</t>
  </si>
  <si>
    <t xml:space="preserve">      -- AEB Critical Configuration Area Register "RESERVED_20" : "RESERVED" Field</t>
  </si>
  <si>
    <t xml:space="preserve">      avalon_mm_rmap_o.readdata(7 downto 0) &lt;= rmap_registers_wr_i.aeb_crit_cfg_reserved_20.reserved(7 downto 0);</t>
  </si>
  <si>
    <t xml:space="preserve">      avalon_mm_rmap_o.readdata(15 downto 8) &lt;= rmap_registers_wr_i.aeb_crit_cfg_reserved_20.reserved(15 downto 8);</t>
  </si>
  <si>
    <t xml:space="preserve">      avalon_mm_rmap_o.readdata(23 downto 16) &lt;= rmap_registers_wr_i.aeb_crit_cfg_reserved_20.reserved(23 downto 16);</t>
  </si>
  <si>
    <t xml:space="preserve">      avalon_mm_rmap_o.readdata(31 downto 24) &lt;= rmap_registers_wr_i.aeb_crit_cfg_reserved_20.reserved(31 downto 24);</t>
  </si>
  <si>
    <t xml:space="preserve">  when (16#036#) =&gt;</t>
  </si>
  <si>
    <t xml:space="preserve">      -- AEB Critical Configuration Area Register "PWR_CONFIG1" : "TIME_VCCD_ON" Field</t>
  </si>
  <si>
    <t xml:space="preserve">      avalon_mm_rmap_o.readdata(7 downto 0) &lt;= rmap_registers_wr_i.aeb_crit_cfg_pwr_config1.time_vccd_on;</t>
  </si>
  <si>
    <t xml:space="preserve">      -- AEB Critical Configuration Area Register "PWR_CONFIG1" : "TIME_VCLK_ON" Field</t>
  </si>
  <si>
    <t xml:space="preserve">      avalon_mm_rmap_o.readdata(15 downto 8) &lt;= rmap_registers_wr_i.aeb_crit_cfg_pwr_config1.time_vclk_on;</t>
  </si>
  <si>
    <t xml:space="preserve">      -- AEB Critical Configuration Area Register "PWR_CONFIG1" : "TIME_VAN1_ON" Field</t>
  </si>
  <si>
    <t xml:space="preserve">      avalon_mm_rmap_o.readdata(23 downto 16) &lt;= rmap_registers_wr_i.aeb_crit_cfg_pwr_config1.time_van1_on;</t>
  </si>
  <si>
    <t xml:space="preserve">      -- AEB Critical Configuration Area Register "PWR_CONFIG1" : "TIME_VAN2_ON" Field</t>
  </si>
  <si>
    <t xml:space="preserve">      avalon_mm_rmap_o.readdata(31 downto 24) &lt;= rmap_registers_wr_i.aeb_crit_cfg_pwr_config1.time_van2_on;</t>
  </si>
  <si>
    <t xml:space="preserve">  when (16#037#) =&gt;</t>
  </si>
  <si>
    <t xml:space="preserve">      -- AEB Critical Configuration Area Register "PWR_CONFIG2" : "TIME_VAN3_ON" Field</t>
  </si>
  <si>
    <t xml:space="preserve">      avalon_mm_rmap_o.readdata(7 downto 0) &lt;= rmap_registers_wr_i.aeb_crit_cfg_pwr_config2.time_van3_on;</t>
  </si>
  <si>
    <t xml:space="preserve">      -- AEB Critical Configuration Area Register "PWR_CONFIG2" : "TIME_VCCD_OFF" Field</t>
  </si>
  <si>
    <t xml:space="preserve">      avalon_mm_rmap_o.readdata(15 downto 8) &lt;= rmap_registers_wr_i.aeb_crit_cfg_pwr_config2.time_vccd_off;</t>
  </si>
  <si>
    <t xml:space="preserve">      -- AEB Critical Configuration Area Register "PWR_CONFIG2" : "TIME_VCLK_OFF" Field</t>
  </si>
  <si>
    <t xml:space="preserve">      avalon_mm_rmap_o.readdata(23 downto 16) &lt;= rmap_registers_wr_i.aeb_crit_cfg_pwr_config2.time_vclk_off;</t>
  </si>
  <si>
    <t xml:space="preserve">      -- AEB Critical Configuration Area Register "PWR_CONFIG2" : "TIME_VAN1_OFF" Field</t>
  </si>
  <si>
    <t xml:space="preserve">      avalon_mm_rmap_o.readdata(31 downto 24) &lt;= rmap_registers_wr_i.aeb_crit_cfg_pwr_config2.time_van1_off;</t>
  </si>
  <si>
    <t xml:space="preserve">  when (16#038#) =&gt;</t>
  </si>
  <si>
    <t xml:space="preserve">      -- AEB Critical Configuration Area Register "PWR_CONFIG3" : "TIME_VAN2_OFF" Field</t>
  </si>
  <si>
    <t xml:space="preserve">      avalon_mm_rmap_o.readdata(7 downto 0) &lt;= rmap_registers_wr_i.aeb_crit_cfg_pwr_config3.time_van2_off;</t>
  </si>
  <si>
    <t xml:space="preserve">      -- AEB Critical Configuration Area Register "PWR_CONFIG3" : "TIME_VAN3_OFF" Field</t>
  </si>
  <si>
    <t xml:space="preserve">      avalon_mm_rmap_o.readdata(15 downto 8) &lt;= rmap_registers_wr_i.aeb_crit_cfg_pwr_config3.time_van3_off;</t>
  </si>
  <si>
    <t xml:space="preserve">  when (16#039#) =&gt;</t>
  </si>
  <si>
    <t xml:space="preserve">  when (16#03A#) =&gt;</t>
  </si>
  <si>
    <t xml:space="preserve">  when (16#03B#) =&gt;</t>
  </si>
  <si>
    <t xml:space="preserve">  when (16#03C#) =&gt;</t>
  </si>
  <si>
    <t xml:space="preserve">  when (16#03D#) =&gt;</t>
  </si>
  <si>
    <t xml:space="preserve">  when (16#03E#) =&gt;</t>
  </si>
  <si>
    <t xml:space="preserve">  when (16#03F#) =&gt;</t>
  </si>
  <si>
    <t xml:space="preserve">  when (16#040#) =&gt;</t>
  </si>
  <si>
    <t xml:space="preserve">  when (16#041#) =&gt;</t>
  </si>
  <si>
    <t xml:space="preserve">  when (16#042#) =&gt;</t>
  </si>
  <si>
    <t xml:space="preserve">  when (16#043#) =&gt;</t>
  </si>
  <si>
    <t xml:space="preserve">  when (16#044#) =&gt;</t>
  </si>
  <si>
    <t xml:space="preserve">  when (16#045#) =&gt;</t>
  </si>
  <si>
    <t xml:space="preserve">  when (16#046#) =&gt;</t>
  </si>
  <si>
    <t xml:space="preserve">  when (16#047#) =&gt;</t>
  </si>
  <si>
    <t xml:space="preserve">  when (16#048#) =&gt;</t>
  </si>
  <si>
    <t xml:space="preserve">  when (16#049#) =&gt;</t>
  </si>
  <si>
    <t xml:space="preserve">  when (16#04A#) =&gt;</t>
  </si>
  <si>
    <t xml:space="preserve">  when (16#04B#) =&gt;</t>
  </si>
  <si>
    <t xml:space="preserve">  when (16#04C#) =&gt;</t>
  </si>
  <si>
    <t xml:space="preserve">  when (16#04D#) =&gt;</t>
  </si>
  <si>
    <t xml:space="preserve">  when (16#04E#) =&gt;</t>
  </si>
  <si>
    <t xml:space="preserve">  when (16#04F#) =&gt;</t>
  </si>
  <si>
    <t xml:space="preserve">  when (16#050#) =&gt;</t>
  </si>
  <si>
    <t xml:space="preserve">  when (16#051#) =&gt;</t>
  </si>
  <si>
    <t xml:space="preserve">  when (16#052#) =&gt;</t>
  </si>
  <si>
    <t xml:space="preserve">  when (16#053#) =&gt;</t>
  </si>
  <si>
    <t xml:space="preserve">  when (16#054#) =&gt;</t>
  </si>
  <si>
    <t xml:space="preserve">  when (16#055#) =&gt;</t>
  </si>
  <si>
    <t xml:space="preserve">  when (16#056#) =&gt;</t>
  </si>
  <si>
    <t xml:space="preserve">  when (16#057#) =&gt;</t>
  </si>
  <si>
    <t xml:space="preserve">      -- AEB General Configuration Area Register "RESERVED_118" : "RESERVED" Field</t>
  </si>
  <si>
    <t xml:space="preserve">      avalon_mm_rmap_o.readdata(7 downto 0) &lt;= rmap_registers_wr_i.aeb_gen_cfg_reserved_118.reserved(7 downto 0);</t>
  </si>
  <si>
    <t xml:space="preserve">      avalon_mm_rmap_o.readdata(15 downto 8) &lt;= rmap_registers_wr_i.aeb_gen_cfg_reserved_118.reserved(15 downto 8);</t>
  </si>
  <si>
    <t xml:space="preserve">      avalon_mm_rmap_o.readdata(23 downto 16) &lt;= rmap_registers_wr_i.aeb_gen_cfg_reserved_118.reserved(23 downto 16);</t>
  </si>
  <si>
    <t xml:space="preserve">      avalon_mm_rmap_o.readdata(31 downto 24) &lt;= rmap_registers_wr_i.aeb_gen_cfg_reserved_118.reserved(31 downto 24);</t>
  </si>
  <si>
    <t xml:space="preserve">      -- AEB General Configuration Area Register "RESERVED_11C" : "RESERVED" Field</t>
  </si>
  <si>
    <t xml:space="preserve">      avalon_mm_rmap_o.readdata(7 downto 0) &lt;= rmap_registers_wr_i.aeb_gen_cfg_reserved_11c.reserved(7 downto 0);</t>
  </si>
  <si>
    <t xml:space="preserve">      avalon_mm_rmap_o.readdata(15 downto 8) &lt;= rmap_registers_wr_i.aeb_gen_cfg_reserved_11c.reserved(15 downto 8);</t>
  </si>
  <si>
    <t xml:space="preserve">      avalon_mm_rmap_o.readdata(23 downto 16) &lt;= rmap_registers_wr_i.aeb_gen_cfg_reserved_11c.reserved(23 downto 16);</t>
  </si>
  <si>
    <t xml:space="preserve">      avalon_mm_rmap_o.readdata(31 downto 24) &lt;= rmap_registers_wr_i.aeb_gen_cfg_reserved_11c.reserved(31 downto 24);</t>
  </si>
  <si>
    <t xml:space="preserve">      -- AEB General Configuration Area Register "SEQ_CONFIG_7" : "RESERVED" Field</t>
  </si>
  <si>
    <t xml:space="preserve">      avalon_mm_rmap_o.readdata(7 downto 0) &lt;= rmap_registers_wr_i.aeb_gen_cfg_seq_config_7.reserved(7 downto 0);</t>
  </si>
  <si>
    <t xml:space="preserve">      avalon_mm_rmap_o.readdata(15 downto 8) &lt;= rmap_registers_wr_i.aeb_gen_cfg_seq_config_7.reserved(15 downto 8);</t>
  </si>
  <si>
    <t xml:space="preserve">      avalon_mm_rmap_o.readdata(23 downto 16) &lt;= rmap_registers_wr_i.aeb_gen_cfg_seq_config_7.reserved(23 downto 16);</t>
  </si>
  <si>
    <t xml:space="preserve">      avalon_mm_rmap_o.readdata(31 downto 24) &lt;= rmap_registers_wr_i.aeb_gen_cfg_seq_config_7.reserved(31 downto 24);</t>
  </si>
  <si>
    <t xml:space="preserve">      -- AEB General Configuration Area Register "SEQ_CONFIG_8" : "RESERVED" Field</t>
  </si>
  <si>
    <t xml:space="preserve">      avalon_mm_rmap_o.readdata(7 downto 0) &lt;= rmap_registers_wr_i.aeb_gen_cfg_seq_config_8.reserved(7 downto 0);</t>
  </si>
  <si>
    <t xml:space="preserve">      avalon_mm_rmap_o.readdata(15 downto 8) &lt;= rmap_registers_wr_i.aeb_gen_cfg_seq_config_8.reserved(15 downto 8);</t>
  </si>
  <si>
    <t xml:space="preserve">      avalon_mm_rmap_o.readdata(23 downto 16) &lt;= rmap_registers_wr_i.aeb_gen_cfg_seq_config_8.reserved(23 downto 16);</t>
  </si>
  <si>
    <t xml:space="preserve">      avalon_mm_rmap_o.readdata(31 downto 24) &lt;= rmap_registers_wr_i.aeb_gen_cfg_seq_config_8.reserved(31 downto 24);</t>
  </si>
  <si>
    <t xml:space="preserve">      -- AEB General Configuration Area Register "SEQ_CONFIG_9" : "RESERVED_0" Field</t>
  </si>
  <si>
    <t xml:space="preserve">      avalon_mm_rmap_o.readdata(1 downto 0) &lt;= rmap_registers_wr_i.aeb_gen_cfg_seq_config_9.reserved_0;</t>
  </si>
  <si>
    <t xml:space="preserve">      -- AEB General Configuration Area Register "SEQ_CONFIG_9" : "FT_LOOP_CNT" Field</t>
  </si>
  <si>
    <t xml:space="preserve">      avalon_mm_rmap_o.readdata(23 downto 16) &lt;= rmap_registers_wr_i.aeb_gen_cfg_seq_config_9.ft_loop_cnt(7 downto 0);</t>
  </si>
  <si>
    <t xml:space="preserve">      avalon_mm_rmap_o.readdata(29 downto 24) &lt;= rmap_registers_wr_i.aeb_gen_cfg_seq_config_9.ft_loop_cnt(13 downto 8);</t>
  </si>
  <si>
    <t xml:space="preserve">      -- AEB General Configuration Area Register "SEQ_CONFIG_9" : "LT0_ENABLED" Field</t>
  </si>
  <si>
    <t xml:space="preserve">      avalon_mm_rmap_o.readdata(0) &lt;= rmap_registers_wr_i.aeb_gen_cfg_seq_config_9.lt0_enabled;</t>
  </si>
  <si>
    <t xml:space="preserve">      -- AEB General Configuration Area Register "SEQ_CONFIG_9" : "RESERVED_1" Field</t>
  </si>
  <si>
    <t xml:space="preserve">      avalon_mm_rmap_o.readdata(0) &lt;= rmap_registers_wr_i.aeb_gen_cfg_seq_config_9.reserved_1;</t>
  </si>
  <si>
    <t xml:space="preserve">      -- AEB General Configuration Area Register "SEQ_CONFIG_9" : "LT0_LOOP_CNT" Field</t>
  </si>
  <si>
    <t xml:space="preserve">      avalon_mm_rmap_o.readdata(7 downto 0) &lt;= rmap_registers_wr_i.aeb_gen_cfg_seq_config_9.lt0_loop_cnt(7 downto 0);</t>
  </si>
  <si>
    <t xml:space="preserve">      avalon_mm_rmap_o.readdata(13 downto 8) &lt;= rmap_registers_wr_i.aeb_gen_cfg_seq_config_9.lt0_loop_cnt(13 downto 8);</t>
  </si>
  <si>
    <t xml:space="preserve">      -- AEB General Configuration Area Register "SEQ_CONFIG_10" : "LT1_ENABLED" Field</t>
  </si>
  <si>
    <t xml:space="preserve">      avalon_mm_rmap_o.readdata(0) &lt;= rmap_registers_wr_i.aeb_gen_cfg_seq_config_10.lt1_enabled;</t>
  </si>
  <si>
    <t xml:space="preserve">      -- AEB General Configuration Area Register "SEQ_CONFIG_10" : "RESERVED_0" Field</t>
  </si>
  <si>
    <t xml:space="preserve">      avalon_mm_rmap_o.readdata(0) &lt;= rmap_registers_wr_i.aeb_gen_cfg_seq_config_10.reserved_0;</t>
  </si>
  <si>
    <t xml:space="preserve">      -- AEB General Configuration Area Register "SEQ_CONFIG_10" : "LT1_LOOP_CNT" Field</t>
  </si>
  <si>
    <t xml:space="preserve">      avalon_mm_rmap_o.readdata(7 downto 0) &lt;= rmap_registers_wr_i.aeb_gen_cfg_seq_config_10.lt1_loop_cnt(7 downto 0);</t>
  </si>
  <si>
    <t xml:space="preserve">      avalon_mm_rmap_o.readdata(13 downto 8) &lt;= rmap_registers_wr_i.aeb_gen_cfg_seq_config_10.lt1_loop_cnt(13 downto 8);</t>
  </si>
  <si>
    <t xml:space="preserve">      -- AEB General Configuration Area Register "SEQ_CONFIG_10" : "LT2_ENABLED" Field</t>
  </si>
  <si>
    <t xml:space="preserve">      avalon_mm_rmap_o.readdata(0) &lt;= rmap_registers_wr_i.aeb_gen_cfg_seq_config_10.lt2_enabled;</t>
  </si>
  <si>
    <t xml:space="preserve">      -- AEB General Configuration Area Register "SEQ_CONFIG_10" : "RESERVED_1" Field</t>
  </si>
  <si>
    <t xml:space="preserve">      avalon_mm_rmap_o.readdata(0) &lt;= rmap_registers_wr_i.aeb_gen_cfg_seq_config_10.reserved_1;</t>
  </si>
  <si>
    <t xml:space="preserve">      -- AEB General Configuration Area Register "SEQ_CONFIG_10" : "LT2_LOOP_CNT" Field</t>
  </si>
  <si>
    <t xml:space="preserve">      avalon_mm_rmap_o.readdata(7 downto 0) &lt;= rmap_registers_wr_i.aeb_gen_cfg_seq_config_10.lt2_loop_cnt(7 downto 0);</t>
  </si>
  <si>
    <t xml:space="preserve">      avalon_mm_rmap_o.readdata(13 downto 8) &lt;= rmap_registers_wr_i.aeb_gen_cfg_seq_config_10.lt2_loop_cnt(13 downto 8);</t>
  </si>
  <si>
    <t xml:space="preserve">      -- AEB General Configuration Area Register "SEQ_CONFIG_11" : "LT3_ENABLED" Field</t>
  </si>
  <si>
    <t xml:space="preserve">      avalon_mm_rmap_o.readdata(0) &lt;= rmap_registers_wr_i.aeb_gen_cfg_seq_config_11.lt3_enabled;</t>
  </si>
  <si>
    <t xml:space="preserve">      -- AEB General Configuration Area Register "SEQ_CONFIG_11" : "RESERVED" Field</t>
  </si>
  <si>
    <t xml:space="preserve">      avalon_mm_rmap_o.readdata(0) &lt;= rmap_registers_wr_i.aeb_gen_cfg_seq_config_11.reserved;</t>
  </si>
  <si>
    <t xml:space="preserve">      -- AEB General Configuration Area Register "SEQ_CONFIG_11" : "LT3_LOOP_CNT" Field</t>
  </si>
  <si>
    <t xml:space="preserve">      avalon_mm_rmap_o.readdata(7 downto 0) &lt;= rmap_registers_wr_i.aeb_gen_cfg_seq_config_11.lt3_loop_cnt(7 downto 0);</t>
  </si>
  <si>
    <t xml:space="preserve">      avalon_mm_rmap_o.readdata(13 downto 8) &lt;= rmap_registers_wr_i.aeb_gen_cfg_seq_config_11.lt3_loop_cnt(13 downto 8);</t>
  </si>
  <si>
    <t xml:space="preserve">      -- AEB General Configuration Area Register "SEQ_CONFIG_11" : "PIX_LOOP_CNT_WORD_1" Field</t>
  </si>
  <si>
    <t xml:space="preserve">      avalon_mm_rmap_o.readdata(23 downto 16) &lt;= rmap_registers_wr_i.aeb_gen_cfg_seq_config_11.pix_loop_cnt_word_1(7 downto 0);</t>
  </si>
  <si>
    <t xml:space="preserve">      avalon_mm_rmap_o.readdata(31 downto 24) &lt;= rmap_registers_wr_i.aeb_gen_cfg_seq_config_11.pix_loop_cnt_word_1(15 downto 8);</t>
  </si>
  <si>
    <t xml:space="preserve">      -- AEB General Configuration Area Register "SEQ_CONFIG_12" : "PIX_LOOP_CNT_WORD_0" Field</t>
  </si>
  <si>
    <t xml:space="preserve">      avalon_mm_rmap_o.readdata(7 downto 0) &lt;= rmap_registers_wr_i.aeb_gen_cfg_seq_config_12.pix_loop_cnt_word_0(7 downto 0);</t>
  </si>
  <si>
    <t xml:space="preserve">      avalon_mm_rmap_o.readdata(15 downto 8) &lt;= rmap_registers_wr_i.aeb_gen_cfg_seq_config_12.pix_loop_cnt_word_0(15 downto 8);</t>
  </si>
  <si>
    <t xml:space="preserve">      -- AEB General Configuration Area Register "SEQ_CONFIG_12" : "PC_ENABLED" Field</t>
  </si>
  <si>
    <t xml:space="preserve">      avalon_mm_rmap_o.readdata(0) &lt;= rmap_registers_wr_i.aeb_gen_cfg_seq_config_12.pc_enabled;</t>
  </si>
  <si>
    <t xml:space="preserve">      -- AEB General Configuration Area Register "SEQ_CONFIG_12" : "RESERVED" Field</t>
  </si>
  <si>
    <t xml:space="preserve">      avalon_mm_rmap_o.readdata(0) &lt;= rmap_registers_wr_i.aeb_gen_cfg_seq_config_12.reserved;</t>
  </si>
  <si>
    <t xml:space="preserve">      -- AEB General Configuration Area Register "SEQ_CONFIG_12" : "PC_LOOP_CNT" Field</t>
  </si>
  <si>
    <t xml:space="preserve">      avalon_mm_rmap_o.readdata(7 downto 0) &lt;= rmap_registers_wr_i.aeb_gen_cfg_seq_config_12.pc_loop_cnt(7 downto 0);</t>
  </si>
  <si>
    <t xml:space="preserve">      avalon_mm_rmap_o.readdata(13 downto 8) &lt;= rmap_registers_wr_i.aeb_gen_cfg_seq_config_12.pc_loop_cnt(13 downto 8);</t>
  </si>
  <si>
    <t xml:space="preserve">      -- AEB General Configuration Area Register "SEQ_CONFIG_13" : "RESERVED_0" Field</t>
  </si>
  <si>
    <t xml:space="preserve">      -- AEB General Configuration Area Register "SEQ_CONFIG_13" : "INT1_LOOP_CNT" Field</t>
  </si>
  <si>
    <t xml:space="preserve">      -- AEB General Configuration Area Register "SEQ_CONFIG_13" : "RESERVED_1" Field</t>
  </si>
  <si>
    <t xml:space="preserve">      -- AEB General Configuration Area Register "SEQ_CONFIG_13" : "INT2_LOOP_CNT" Field</t>
  </si>
  <si>
    <t xml:space="preserve">      -- AEB General Configuration Area Register "RESERVED_FE8" : "RESERVED" Field</t>
  </si>
  <si>
    <t xml:space="preserve">      avalon_mm_rmap_o.readdata(7 downto 0) &lt;= rmap_registers_wr_i.aeb_gen_cfg_reserved_fe8.reserved(7 downto 0);</t>
  </si>
  <si>
    <t xml:space="preserve">      avalon_mm_rmap_o.readdata(15 downto 8) &lt;= rmap_registers_wr_i.aeb_gen_cfg_reserved_fe8.reserved(15 downto 8);</t>
  </si>
  <si>
    <t xml:space="preserve">      avalon_mm_rmap_o.readdata(23 downto 16) &lt;= rmap_registers_wr_i.aeb_gen_cfg_reserved_fe8.reserved(23 downto 16);</t>
  </si>
  <si>
    <t xml:space="preserve">      avalon_mm_rmap_o.readdata(31 downto 24) &lt;= rmap_registers_wr_i.aeb_gen_cfg_reserved_fe8.reserved(31 downto 24);</t>
  </si>
  <si>
    <t xml:space="preserve">  when (16#4B5#) =&gt;</t>
  </si>
  <si>
    <t xml:space="preserve">      -- AEB General Configuration Area Register "RESERVED_FEC" : "RESERVED" Field</t>
  </si>
  <si>
    <t xml:space="preserve">      avalon_mm_rmap_o.readdata(7 downto 0) &lt;= rmap_registers_wr_i.aeb_gen_cfg_reserved_fec.reserved(7 downto 0);</t>
  </si>
  <si>
    <t xml:space="preserve">      avalon_mm_rmap_o.readdata(15 downto 8) &lt;= rmap_registers_wr_i.aeb_gen_cfg_reserved_fec.reserved(15 downto 8);</t>
  </si>
  <si>
    <t xml:space="preserve">      avalon_mm_rmap_o.readdata(23 downto 16) &lt;= rmap_registers_wr_i.aeb_gen_cfg_reserved_fec.reserved(23 downto 16);</t>
  </si>
  <si>
    <t xml:space="preserve">      avalon_mm_rmap_o.readdata(31 downto 24) &lt;= rmap_registers_wr_i.aeb_gen_cfg_reserved_fec.reserved(31 downto 24);</t>
  </si>
  <si>
    <t xml:space="preserve">  when (16#4B6#) =&gt;</t>
  </si>
  <si>
    <t xml:space="preserve">      -- AEB General Configuration Area Register "RESERVED_FF0" : "RESERVED" Field</t>
  </si>
  <si>
    <t xml:space="preserve">      avalon_mm_rmap_o.readdata(7 downto 0) &lt;= rmap_registers_wr_i.aeb_gen_cfg_reserved_ff0.reserved(7 downto 0);</t>
  </si>
  <si>
    <t xml:space="preserve">      avalon_mm_rmap_o.readdata(15 downto 8) &lt;= rmap_registers_wr_i.aeb_gen_cfg_reserved_ff0.reserved(15 downto 8);</t>
  </si>
  <si>
    <t xml:space="preserve">      avalon_mm_rmap_o.readdata(23 downto 16) &lt;= rmap_registers_wr_i.aeb_gen_cfg_reserved_ff0.reserved(23 downto 16);</t>
  </si>
  <si>
    <t xml:space="preserve">      avalon_mm_rmap_o.readdata(31 downto 24) &lt;= rmap_registers_wr_i.aeb_gen_cfg_reserved_ff0.reserved(31 downto 24);</t>
  </si>
  <si>
    <t xml:space="preserve">  when (16#4B7#) =&gt;</t>
  </si>
  <si>
    <t xml:space="preserve">      -- AEB General Configuration Area Register "RESERVED_FF4" : "RESERVED" Field</t>
  </si>
  <si>
    <t xml:space="preserve">      avalon_mm_rmap_o.readdata(7 downto 0) &lt;= rmap_registers_wr_i.aeb_gen_cfg_reserved_ff4.reserved(7 downto 0);</t>
  </si>
  <si>
    <t xml:space="preserve">      avalon_mm_rmap_o.readdata(15 downto 8) &lt;= rmap_registers_wr_i.aeb_gen_cfg_reserved_ff4.reserved(15 downto 8);</t>
  </si>
  <si>
    <t xml:space="preserve">      avalon_mm_rmap_o.readdata(23 downto 16) &lt;= rmap_registers_wr_i.aeb_gen_cfg_reserved_ff4.reserved(23 downto 16);</t>
  </si>
  <si>
    <t xml:space="preserve">      avalon_mm_rmap_o.readdata(31 downto 24) &lt;= rmap_registers_wr_i.aeb_gen_cfg_reserved_ff4.reserved(31 downto 24);</t>
  </si>
  <si>
    <t xml:space="preserve">  when (16#4B8#) =&gt;</t>
  </si>
  <si>
    <t xml:space="preserve">      -- AEB General Configuration Area Register "RESERVED_FF8" : "RESERVED" Field</t>
  </si>
  <si>
    <t xml:space="preserve">      avalon_mm_rmap_o.readdata(7 downto 0) &lt;= rmap_registers_wr_i.aeb_gen_cfg_reserved_ff8.reserved(7 downto 0);</t>
  </si>
  <si>
    <t xml:space="preserve">      avalon_mm_rmap_o.readdata(15 downto 8) &lt;= rmap_registers_wr_i.aeb_gen_cfg_reserved_ff8.reserved(15 downto 8);</t>
  </si>
  <si>
    <t xml:space="preserve">      avalon_mm_rmap_o.readdata(23 downto 16) &lt;= rmap_registers_wr_i.aeb_gen_cfg_reserved_ff8.reserved(23 downto 16);</t>
  </si>
  <si>
    <t xml:space="preserve">      avalon_mm_rmap_o.readdata(31 downto 24) &lt;= rmap_registers_wr_i.aeb_gen_cfg_reserved_ff8.reserved(31 downto 24);</t>
  </si>
  <si>
    <t xml:space="preserve">  when (16#4B9#) =&gt;</t>
  </si>
  <si>
    <t xml:space="preserve">      -- AEB General Configuration Area Register "RESERVED_FFC" : "RESERVED" Field</t>
  </si>
  <si>
    <t xml:space="preserve">      avalon_mm_rmap_o.readdata(7 downto 0) &lt;= rmap_registers_wr_i.aeb_gen_cfg_reserved_ffc.reserved(7 downto 0);</t>
  </si>
  <si>
    <t xml:space="preserve">      avalon_mm_rmap_o.readdata(15 downto 8) &lt;= rmap_registers_wr_i.aeb_gen_cfg_reserved_ffc.reserved(15 downto 8);</t>
  </si>
  <si>
    <t xml:space="preserve">      avalon_mm_rmap_o.readdata(23 downto 16) &lt;= rmap_registers_wr_i.aeb_gen_cfg_reserved_ffc.reserved(23 downto 16);</t>
  </si>
  <si>
    <t xml:space="preserve">      avalon_mm_rmap_o.readdata(31 downto 24) &lt;= rmap_registers_wr_i.aeb_gen_cfg_reserved_ffc.reserved(31 downto 24);</t>
  </si>
  <si>
    <t xml:space="preserve">  when (16#4BA#) =&gt;</t>
  </si>
  <si>
    <t xml:space="preserve">      -- AEB Housekeeping Area Register "AEB_STATUS" : "AEB_STATUS" Field</t>
  </si>
  <si>
    <t xml:space="preserve">      avalon_mm_rmap_o.readdata(3 downto 0) &lt;= rmap_registers_wr_i.aeb_hk_aeb_status.aeb_status;</t>
  </si>
  <si>
    <t xml:space="preserve">  when (16#4BB#) =&gt;</t>
  </si>
  <si>
    <t xml:space="preserve">      -- AEB Housekeeping Area Register "AEB_STATUS" : "VASP2_CFG_RUN" Field</t>
  </si>
  <si>
    <t xml:space="preserve">      avalon_mm_rmap_o.readdata(0) &lt;= rmap_registers_wr_i.aeb_hk_aeb_status.vasp2_cfg_run;</t>
  </si>
  <si>
    <t xml:space="preserve">  when (16#4BC#) =&gt;</t>
  </si>
  <si>
    <t xml:space="preserve">      -- AEB Housekeeping Area Register "AEB_STATUS" : "VASP1_CFG_RUN" Field</t>
  </si>
  <si>
    <t xml:space="preserve">      avalon_mm_rmap_o.readdata(0) &lt;= rmap_registers_wr_i.aeb_hk_aeb_status.vasp1_cfg_run;</t>
  </si>
  <si>
    <t xml:space="preserve">  when (16#4BD#) =&gt;</t>
  </si>
  <si>
    <t xml:space="preserve">      -- AEB Housekeeping Area Register "AEB_STATUS" : "DAC_CFG_WR_RUN" Field</t>
  </si>
  <si>
    <t xml:space="preserve">      avalon_mm_rmap_o.readdata(0) &lt;= rmap_registers_wr_i.aeb_hk_aeb_status.dac_cfg_wr_run;</t>
  </si>
  <si>
    <t xml:space="preserve">  when (16#4BE#) =&gt;</t>
  </si>
  <si>
    <t xml:space="preserve">      -- AEB Housekeeping Area Register "AEB_STATUS" : "ADC_CFG_RD_RUN" Field</t>
  </si>
  <si>
    <t xml:space="preserve">      avalon_mm_rmap_o.readdata(0) &lt;= rmap_registers_wr_i.aeb_hk_aeb_status.adc_cfg_rd_run;</t>
  </si>
  <si>
    <t xml:space="preserve">  when (16#4BF#) =&gt;</t>
  </si>
  <si>
    <t xml:space="preserve">      -- AEB Housekeeping Area Register "AEB_STATUS" : "ADC_CFG_WR_RUN" Field</t>
  </si>
  <si>
    <t xml:space="preserve">      avalon_mm_rmap_o.readdata(0) &lt;= rmap_registers_wr_i.aeb_hk_aeb_status.adc_cfg_wr_run;</t>
  </si>
  <si>
    <t xml:space="preserve">  when (16#4C0#) =&gt;</t>
  </si>
  <si>
    <t xml:space="preserve">      -- AEB Housekeeping Area Register "AEB_STATUS" : "ADC_DAT_RD_RUN" Field</t>
  </si>
  <si>
    <t xml:space="preserve">      avalon_mm_rmap_o.readdata(0) &lt;= rmap_registers_wr_i.aeb_hk_aeb_status.adc_dat_rd_run;</t>
  </si>
  <si>
    <t xml:space="preserve">  when (16#4C1#) =&gt;</t>
  </si>
  <si>
    <t xml:space="preserve">      -- AEB Housekeeping Area Register "AEB_STATUS" : "ADC_ERROR" Field</t>
  </si>
  <si>
    <t xml:space="preserve">      avalon_mm_rmap_o.readdata(0) &lt;= rmap_registers_wr_i.aeb_hk_aeb_status.adc_error;</t>
  </si>
  <si>
    <t xml:space="preserve">  when (16#4C2#) =&gt;</t>
  </si>
  <si>
    <t xml:space="preserve">      -- AEB Housekeeping Area Register "AEB_STATUS" : "ADC2_LU" Field</t>
  </si>
  <si>
    <t xml:space="preserve">      avalon_mm_rmap_o.readdata(0) &lt;= rmap_registers_wr_i.aeb_hk_aeb_status.adc2_lu;</t>
  </si>
  <si>
    <t xml:space="preserve">  when (16#4C3#) =&gt;</t>
  </si>
  <si>
    <t xml:space="preserve">      -- AEB Housekeeping Area Register "AEB_STATUS" : "ADC1_LU" Field</t>
  </si>
  <si>
    <t xml:space="preserve">      avalon_mm_rmap_o.readdata(0) &lt;= rmap_registers_wr_i.aeb_hk_aeb_status.adc1_lu;</t>
  </si>
  <si>
    <t xml:space="preserve">  when (16#4C4#) =&gt;</t>
  </si>
  <si>
    <t xml:space="preserve">      -- AEB Housekeeping Area Register "AEB_STATUS" : "ADC_DAT_RD" Field</t>
  </si>
  <si>
    <t xml:space="preserve">      avalon_mm_rmap_o.readdata(0) &lt;= rmap_registers_wr_i.aeb_hk_aeb_status.adc_dat_rd;</t>
  </si>
  <si>
    <t xml:space="preserve">  when (16#4C5#) =&gt;</t>
  </si>
  <si>
    <t xml:space="preserve">      -- AEB Housekeeping Area Register "AEB_STATUS" : "ADC_CFG_RD" Field</t>
  </si>
  <si>
    <t xml:space="preserve">      avalon_mm_rmap_o.readdata(0) &lt;= rmap_registers_wr_i.aeb_hk_aeb_status.adc_cfg_rd;</t>
  </si>
  <si>
    <t xml:space="preserve">  when (16#4C6#) =&gt;</t>
  </si>
  <si>
    <t xml:space="preserve">      -- AEB Housekeeping Area Register "AEB_STATUS" : "ADC_CFG_WR" Field</t>
  </si>
  <si>
    <t xml:space="preserve">      avalon_mm_rmap_o.readdata(0) &lt;= rmap_registers_wr_i.aeb_hk_aeb_status.adc_cfg_wr;</t>
  </si>
  <si>
    <t xml:space="preserve">  when (16#4C7#) =&gt;</t>
  </si>
  <si>
    <t xml:space="preserve">      -- AEB Housekeeping Area Register "AEB_STATUS" : "ADC2_BUSY" Field</t>
  </si>
  <si>
    <t xml:space="preserve">      avalon_mm_rmap_o.readdata(0) &lt;= rmap_registers_wr_i.aeb_hk_aeb_status.adc2_busy;</t>
  </si>
  <si>
    <t xml:space="preserve">  when (16#4C8#) =&gt;</t>
  </si>
  <si>
    <t xml:space="preserve">      -- AEB Housekeeping Area Register "AEB_STATUS" : "ADC1_BUSY" Field</t>
  </si>
  <si>
    <t xml:space="preserve">      avalon_mm_rmap_o.readdata(0) &lt;= rmap_registers_wr_i.aeb_hk_aeb_status.adc1_busy;</t>
  </si>
  <si>
    <t xml:space="preserve">  when (16#4C9#) =&gt;</t>
  </si>
  <si>
    <t xml:space="preserve">      -- AEB Housekeeping Area Register "TIMESTAMP_1" : "TIMESTAMP_DWORD_1" Field</t>
  </si>
  <si>
    <t xml:space="preserve">      avalon_mm_rmap_o.readdata(7 downto 0) &lt;= rmap_registers_wr_i.aeb_hk_timestamp_1.timestamp_dword_1(7 downto 0);</t>
  </si>
  <si>
    <t xml:space="preserve">      avalon_mm_rmap_o.readdata(15 downto 8) &lt;= rmap_registers_wr_i.aeb_hk_timestamp_1.timestamp_dword_1(15 downto 8);</t>
  </si>
  <si>
    <t xml:space="preserve">      avalon_mm_rmap_o.readdata(23 downto 16) &lt;= rmap_registers_wr_i.aeb_hk_timestamp_1.timestamp_dword_1(23 downto 16);</t>
  </si>
  <si>
    <t xml:space="preserve">      avalon_mm_rmap_o.readdata(31 downto 24) &lt;= rmap_registers_wr_i.aeb_hk_timestamp_1.timestamp_dword_1(31 downto 24);</t>
  </si>
  <si>
    <t xml:space="preserve">  when (16#4CA#) =&gt;</t>
  </si>
  <si>
    <t xml:space="preserve">      -- AEB Housekeeping Area Register "TIMESTAMP_2" : "TIMESTAMP_DWORD_0" Field</t>
  </si>
  <si>
    <t xml:space="preserve">      avalon_mm_rmap_o.readdata(7 downto 0) &lt;= rmap_registers_wr_i.aeb_hk_timestamp_2.timestamp_dword_0(7 downto 0);</t>
  </si>
  <si>
    <t xml:space="preserve">      avalon_mm_rmap_o.readdata(15 downto 8) &lt;= rmap_registers_wr_i.aeb_hk_timestamp_2.timestamp_dword_0(15 downto 8);</t>
  </si>
  <si>
    <t xml:space="preserve">      avalon_mm_rmap_o.readdata(23 downto 16) &lt;= rmap_registers_wr_i.aeb_hk_timestamp_2.timestamp_dword_0(23 downto 16);</t>
  </si>
  <si>
    <t xml:space="preserve">      avalon_mm_rmap_o.readdata(31 downto 24) &lt;= rmap_registers_wr_i.aeb_hk_timestamp_2.timestamp_dword_0(31 downto 24);</t>
  </si>
  <si>
    <t xml:space="preserve">  when (16#4CB#) =&gt;</t>
  </si>
  <si>
    <t xml:space="preserve">      -- AEB Housekeeping Area Register "ADC_RD_DATA_T_VASP_L" : "NEW" Field</t>
  </si>
  <si>
    <t xml:space="preserve">  when (16#4CC#) =&gt;</t>
  </si>
  <si>
    <t xml:space="preserve">      -- AEB Housekeeping Area Register "ADC_RD_DATA_T_VASP_L" : "OVF" Field</t>
  </si>
  <si>
    <t xml:space="preserve">      avalon_mm_rmap_o.readdata(0) &lt;= rmap_registers_wr_i.aeb_hk_adc_rd_data_t_vasp_l.ovf;</t>
  </si>
  <si>
    <t xml:space="preserve">  when (16#4CD#) =&gt;</t>
  </si>
  <si>
    <t xml:space="preserve">      -- AEB Housekeeping Area Register "ADC_RD_DATA_T_VASP_L" : "SUPPLY" Field</t>
  </si>
  <si>
    <t xml:space="preserve">      avalon_mm_rmap_o.readdata(0) &lt;= rmap_registers_wr_i.aeb_hk_adc_rd_data_t_vasp_l.supply;</t>
  </si>
  <si>
    <t xml:space="preserve">  when (16#4CE#) =&gt;</t>
  </si>
  <si>
    <t xml:space="preserve">      -- AEB Housekeeping Area Register "ADC_RD_DATA_T_VASP_L" : "CHID" Field</t>
  </si>
  <si>
    <t xml:space="preserve">      avalon_mm_rmap_o.readdata(4 downto 0) &lt;= rmap_registers_wr_i.aeb_hk_adc_rd_data_t_vasp_l.chid;</t>
  </si>
  <si>
    <t xml:space="preserve">  when (16#4CF#) =&gt;</t>
  </si>
  <si>
    <t xml:space="preserve">      -- AEB Housekeeping Area Register "ADC_RD_DATA_T_VASP_L" : "ADC_CHX_DATA_T_VASP_L" Field</t>
  </si>
  <si>
    <t xml:space="preserve">      avalon_mm_rmap_o.readdata(7 downto 0) &lt;= rmap_registers_wr_i.aeb_hk_adc_rd_data_t_vasp_l.adc_chx_data_t_vasp_l(7 downto 0);</t>
  </si>
  <si>
    <t xml:space="preserve">      avalon_mm_rmap_o.readdata(15 downto 8) &lt;= rmap_registers_wr_i.aeb_hk_adc_rd_data_t_vasp_l.adc_chx_data_t_vasp_l(15 downto 8);</t>
  </si>
  <si>
    <t xml:space="preserve">      avalon_mm_rmap_o.readdata(23 downto 16) &lt;= rmap_registers_wr_i.aeb_hk_adc_rd_data_t_vasp_l.adc_chx_data_t_vasp_l(23 downto 16);</t>
  </si>
  <si>
    <t xml:space="preserve">  when (16#4D0#) =&gt;</t>
  </si>
  <si>
    <t xml:space="preserve">      -- AEB Housekeeping Area Register "ADC_RD_DATA_T_VASP_R" : "NEW" Field</t>
  </si>
  <si>
    <t xml:space="preserve">  when (16#4D1#) =&gt;</t>
  </si>
  <si>
    <t xml:space="preserve">      -- AEB Housekeeping Area Register "ADC_RD_DATA_T_VASP_R" : "OVF" Field</t>
  </si>
  <si>
    <t xml:space="preserve">      avalon_mm_rmap_o.readdata(0) &lt;= rmap_registers_wr_i.aeb_hk_adc_rd_data_t_vasp_r.ovf;</t>
  </si>
  <si>
    <t xml:space="preserve">  when (16#4D2#) =&gt;</t>
  </si>
  <si>
    <t xml:space="preserve">      -- AEB Housekeeping Area Register "ADC_RD_DATA_T_VASP_R" : "SUPPLY" Field</t>
  </si>
  <si>
    <t xml:space="preserve">      avalon_mm_rmap_o.readdata(0) &lt;= rmap_registers_wr_i.aeb_hk_adc_rd_data_t_vasp_r.supply;</t>
  </si>
  <si>
    <t xml:space="preserve">  when (16#4D3#) =&gt;</t>
  </si>
  <si>
    <t xml:space="preserve">      -- AEB Housekeeping Area Register "ADC_RD_DATA_T_VASP_R" : "CHID" Field</t>
  </si>
  <si>
    <t xml:space="preserve">      avalon_mm_rmap_o.readdata(4 downto 0) &lt;= rmap_registers_wr_i.aeb_hk_adc_rd_data_t_vasp_r.chid;</t>
  </si>
  <si>
    <t xml:space="preserve">  when (16#4D4#) =&gt;</t>
  </si>
  <si>
    <t xml:space="preserve">      -- AEB Housekeeping Area Register "ADC_RD_DATA_T_VASP_R" : "ADC_CHX_DATA_T_VASP_R" Field</t>
  </si>
  <si>
    <t xml:space="preserve">      avalon_mm_rmap_o.readdata(7 downto 0) &lt;= rmap_registers_wr_i.aeb_hk_adc_rd_data_t_vasp_r.adc_chx_data_t_vasp_r(7 downto 0);</t>
  </si>
  <si>
    <t xml:space="preserve">      avalon_mm_rmap_o.readdata(15 downto 8) &lt;= rmap_registers_wr_i.aeb_hk_adc_rd_data_t_vasp_r.adc_chx_data_t_vasp_r(15 downto 8);</t>
  </si>
  <si>
    <t xml:space="preserve">      avalon_mm_rmap_o.readdata(23 downto 16) &lt;= rmap_registers_wr_i.aeb_hk_adc_rd_data_t_vasp_r.adc_chx_data_t_vasp_r(23 downto 16);</t>
  </si>
  <si>
    <t xml:space="preserve">  when (16#4D5#) =&gt;</t>
  </si>
  <si>
    <t xml:space="preserve">      -- AEB Housekeeping Area Register "ADC_RD_DATA_T_BIAS_P" : "NEW" Field</t>
  </si>
  <si>
    <t xml:space="preserve">  when (16#4D6#) =&gt;</t>
  </si>
  <si>
    <t xml:space="preserve">      -- AEB Housekeeping Area Register "ADC_RD_DATA_T_BIAS_P" : "OVF" Field</t>
  </si>
  <si>
    <t xml:space="preserve">      avalon_mm_rmap_o.readdata(0) &lt;= rmap_registers_wr_i.aeb_hk_adc_rd_data_t_bias_p.ovf;</t>
  </si>
  <si>
    <t xml:space="preserve">  when (16#4D7#) =&gt;</t>
  </si>
  <si>
    <t xml:space="preserve">      -- AEB Housekeeping Area Register "ADC_RD_DATA_T_BIAS_P" : "SUPPLY" Field</t>
  </si>
  <si>
    <t xml:space="preserve">      avalon_mm_rmap_o.readdata(0) &lt;= rmap_registers_wr_i.aeb_hk_adc_rd_data_t_bias_p.supply;</t>
  </si>
  <si>
    <t xml:space="preserve">  when (16#4D8#) =&gt;</t>
  </si>
  <si>
    <t xml:space="preserve">      -- AEB Housekeeping Area Register "ADC_RD_DATA_T_BIAS_P" : "CHID" Field</t>
  </si>
  <si>
    <t xml:space="preserve">      avalon_mm_rmap_o.readdata(4 downto 0) &lt;= rmap_registers_wr_i.aeb_hk_adc_rd_data_t_bias_p.chid;</t>
  </si>
  <si>
    <t xml:space="preserve">  when (16#4D9#) =&gt;</t>
  </si>
  <si>
    <t xml:space="preserve">      -- AEB Housekeeping Area Register "ADC_RD_DATA_T_BIAS_P" : "ADC_CHX_DATA_T_BIAS_P" Field</t>
  </si>
  <si>
    <t xml:space="preserve">      avalon_mm_rmap_o.readdata(7 downto 0) &lt;= rmap_registers_wr_i.aeb_hk_adc_rd_data_t_bias_p.adc_chx_data_t_bias_p(7 downto 0);</t>
  </si>
  <si>
    <t xml:space="preserve">      avalon_mm_rmap_o.readdata(15 downto 8) &lt;= rmap_registers_wr_i.aeb_hk_adc_rd_data_t_bias_p.adc_chx_data_t_bias_p(15 downto 8);</t>
  </si>
  <si>
    <t xml:space="preserve">      avalon_mm_rmap_o.readdata(23 downto 16) &lt;= rmap_registers_wr_i.aeb_hk_adc_rd_data_t_bias_p.adc_chx_data_t_bias_p(23 downto 16);</t>
  </si>
  <si>
    <t xml:space="preserve">  when (16#4DA#) =&gt;</t>
  </si>
  <si>
    <t xml:space="preserve">      -- AEB Housekeeping Area Register "ADC_RD_DATA_T_HK_P" : "NEW" Field</t>
  </si>
  <si>
    <t xml:space="preserve">  when (16#4DB#) =&gt;</t>
  </si>
  <si>
    <t xml:space="preserve">      -- AEB Housekeeping Area Register "ADC_RD_DATA_T_HK_P" : "OVF" Field</t>
  </si>
  <si>
    <t xml:space="preserve">      avalon_mm_rmap_o.readdata(0) &lt;= rmap_registers_wr_i.aeb_hk_adc_rd_data_t_hk_p.ovf;</t>
  </si>
  <si>
    <t xml:space="preserve">  when (16#4DC#) =&gt;</t>
  </si>
  <si>
    <t xml:space="preserve">      -- AEB Housekeeping Area Register "ADC_RD_DATA_T_HK_P" : "SUPPLY" Field</t>
  </si>
  <si>
    <t xml:space="preserve">      avalon_mm_rmap_o.readdata(0) &lt;= rmap_registers_wr_i.aeb_hk_adc_rd_data_t_hk_p.supply;</t>
  </si>
  <si>
    <t xml:space="preserve">  when (16#4DD#) =&gt;</t>
  </si>
  <si>
    <t xml:space="preserve">      -- AEB Housekeeping Area Register "ADC_RD_DATA_T_HK_P" : "CHID" Field</t>
  </si>
  <si>
    <t xml:space="preserve">      avalon_mm_rmap_o.readdata(4 downto 0) &lt;= rmap_registers_wr_i.aeb_hk_adc_rd_data_t_hk_p.chid;</t>
  </si>
  <si>
    <t xml:space="preserve">  when (16#4DE#) =&gt;</t>
  </si>
  <si>
    <t xml:space="preserve">      -- AEB Housekeeping Area Register "ADC_RD_DATA_T_HK_P" : "ADC_CHX_DATA_T_HK_P" Field</t>
  </si>
  <si>
    <t xml:space="preserve">      avalon_mm_rmap_o.readdata(7 downto 0) &lt;= rmap_registers_wr_i.aeb_hk_adc_rd_data_t_hk_p.adc_chx_data_t_hk_p(7 downto 0);</t>
  </si>
  <si>
    <t xml:space="preserve">      avalon_mm_rmap_o.readdata(15 downto 8) &lt;= rmap_registers_wr_i.aeb_hk_adc_rd_data_t_hk_p.adc_chx_data_t_hk_p(15 downto 8);</t>
  </si>
  <si>
    <t xml:space="preserve">      avalon_mm_rmap_o.readdata(23 downto 16) &lt;= rmap_registers_wr_i.aeb_hk_adc_rd_data_t_hk_p.adc_chx_data_t_hk_p(23 downto 16);</t>
  </si>
  <si>
    <t xml:space="preserve">  when (16#4DF#) =&gt;</t>
  </si>
  <si>
    <t xml:space="preserve">      -- AEB Housekeeping Area Register "ADC_RD_DATA_T_TOU_1_P" : "NEW" Field</t>
  </si>
  <si>
    <t xml:space="preserve">  when (16#4E0#) =&gt;</t>
  </si>
  <si>
    <t xml:space="preserve">      -- AEB Housekeeping Area Register "ADC_RD_DATA_T_TOU_1_P" : "OVF" Field</t>
  </si>
  <si>
    <t xml:space="preserve">      avalon_mm_rmap_o.readdata(0) &lt;= rmap_registers_wr_i.aeb_hk_adc_rd_data_t_tou_1_p.ovf;</t>
  </si>
  <si>
    <t xml:space="preserve">  when (16#4E1#) =&gt;</t>
  </si>
  <si>
    <t xml:space="preserve">      -- AEB Housekeeping Area Register "ADC_RD_DATA_T_TOU_1_P" : "SUPPLY" Field</t>
  </si>
  <si>
    <t xml:space="preserve">      avalon_mm_rmap_o.readdata(0) &lt;= rmap_registers_wr_i.aeb_hk_adc_rd_data_t_tou_1_p.supply;</t>
  </si>
  <si>
    <t xml:space="preserve">  when (16#4E2#) =&gt;</t>
  </si>
  <si>
    <t xml:space="preserve">      -- AEB Housekeeping Area Register "ADC_RD_DATA_T_TOU_1_P" : "CHID" Field</t>
  </si>
  <si>
    <t xml:space="preserve">      avalon_mm_rmap_o.readdata(4 downto 0) &lt;= rmap_registers_wr_i.aeb_hk_adc_rd_data_t_tou_1_p.chid;</t>
  </si>
  <si>
    <t xml:space="preserve">  when (16#4E3#) =&gt;</t>
  </si>
  <si>
    <t xml:space="preserve">      -- AEB Housekeeping Area Register "ADC_RD_DATA_T_TOU_1_P" : "ADC_CHX_DATA_T_TOU_1_P" Field</t>
  </si>
  <si>
    <t xml:space="preserve">      avalon_mm_rmap_o.readdata(7 downto 0) &lt;= rmap_registers_wr_i.aeb_hk_adc_rd_data_t_tou_1_p.adc_chx_data_t_tou_1_p(7 downto 0);</t>
  </si>
  <si>
    <t xml:space="preserve">      avalon_mm_rmap_o.readdata(15 downto 8) &lt;= rmap_registers_wr_i.aeb_hk_adc_rd_data_t_tou_1_p.adc_chx_data_t_tou_1_p(15 downto 8);</t>
  </si>
  <si>
    <t xml:space="preserve">      avalon_mm_rmap_o.readdata(23 downto 16) &lt;= rmap_registers_wr_i.aeb_hk_adc_rd_data_t_tou_1_p.adc_chx_data_t_tou_1_p(23 downto 16);</t>
  </si>
  <si>
    <t xml:space="preserve">  when (16#4E4#) =&gt;</t>
  </si>
  <si>
    <t xml:space="preserve">      -- AEB Housekeeping Area Register "ADC_RD_DATA_T_TOU_2_P" : "NEW" Field</t>
  </si>
  <si>
    <t xml:space="preserve">  when (16#4E5#) =&gt;</t>
  </si>
  <si>
    <t xml:space="preserve">      -- AEB Housekeeping Area Register "ADC_RD_DATA_T_TOU_2_P" : "OVF" Field</t>
  </si>
  <si>
    <t xml:space="preserve">      avalon_mm_rmap_o.readdata(0) &lt;= rmap_registers_wr_i.aeb_hk_adc_rd_data_t_tou_2_p.ovf;</t>
  </si>
  <si>
    <t xml:space="preserve">  when (16#4E6#) =&gt;</t>
  </si>
  <si>
    <t xml:space="preserve">      -- AEB Housekeeping Area Register "ADC_RD_DATA_T_TOU_2_P" : "SUPPLY" Field</t>
  </si>
  <si>
    <t xml:space="preserve">      avalon_mm_rmap_o.readdata(0) &lt;= rmap_registers_wr_i.aeb_hk_adc_rd_data_t_tou_2_p.supply;</t>
  </si>
  <si>
    <t xml:space="preserve">  when (16#4E7#) =&gt;</t>
  </si>
  <si>
    <t xml:space="preserve">      -- AEB Housekeeping Area Register "ADC_RD_DATA_T_TOU_2_P" : "CHID" Field</t>
  </si>
  <si>
    <t xml:space="preserve">      avalon_mm_rmap_o.readdata(4 downto 0) &lt;= rmap_registers_wr_i.aeb_hk_adc_rd_data_t_tou_2_p.chid;</t>
  </si>
  <si>
    <t xml:space="preserve">  when (16#4E8#) =&gt;</t>
  </si>
  <si>
    <t xml:space="preserve">      -- AEB Housekeeping Area Register "ADC_RD_DATA_T_TOU_2_P" : "ADC_CHX_DATA_T_TOU_2_P" Field</t>
  </si>
  <si>
    <t xml:space="preserve">      avalon_mm_rmap_o.readdata(7 downto 0) &lt;= rmap_registers_wr_i.aeb_hk_adc_rd_data_t_tou_2_p.adc_chx_data_t_tou_2_p(7 downto 0);</t>
  </si>
  <si>
    <t xml:space="preserve">      avalon_mm_rmap_o.readdata(15 downto 8) &lt;= rmap_registers_wr_i.aeb_hk_adc_rd_data_t_tou_2_p.adc_chx_data_t_tou_2_p(15 downto 8);</t>
  </si>
  <si>
    <t xml:space="preserve">      avalon_mm_rmap_o.readdata(23 downto 16) &lt;= rmap_registers_wr_i.aeb_hk_adc_rd_data_t_tou_2_p.adc_chx_data_t_tou_2_p(23 downto 16);</t>
  </si>
  <si>
    <t xml:space="preserve">  when (16#4E9#) =&gt;</t>
  </si>
  <si>
    <t xml:space="preserve">      -- AEB Housekeeping Area Register "ADC_RD_DATA_HK_VODE" : "NEW" Field</t>
  </si>
  <si>
    <t xml:space="preserve">  when (16#4EA#) =&gt;</t>
  </si>
  <si>
    <t xml:space="preserve">      -- AEB Housekeeping Area Register "ADC_RD_DATA_HK_VODE" : "OVF" Field</t>
  </si>
  <si>
    <t xml:space="preserve">      avalon_mm_rmap_o.readdata(0) &lt;= rmap_registers_wr_i.aeb_hk_adc_rd_data_hk_vode.ovf;</t>
  </si>
  <si>
    <t xml:space="preserve">  when (16#4EB#) =&gt;</t>
  </si>
  <si>
    <t xml:space="preserve">      -- AEB Housekeeping Area Register "ADC_RD_DATA_HK_VODE" : "SUPPLY" Field</t>
  </si>
  <si>
    <t xml:space="preserve">      avalon_mm_rmap_o.readdata(0) &lt;= rmap_registers_wr_i.aeb_hk_adc_rd_data_hk_vode.supply;</t>
  </si>
  <si>
    <t xml:space="preserve">  when (16#4EC#) =&gt;</t>
  </si>
  <si>
    <t xml:space="preserve">      -- AEB Housekeeping Area Register "ADC_RD_DATA_HK_VODE" : "CHID" Field</t>
  </si>
  <si>
    <t xml:space="preserve">      avalon_mm_rmap_o.readdata(4 downto 0) &lt;= rmap_registers_wr_i.aeb_hk_adc_rd_data_hk_vode.chid;</t>
  </si>
  <si>
    <t xml:space="preserve">  when (16#4ED#) =&gt;</t>
  </si>
  <si>
    <t xml:space="preserve">      -- AEB Housekeeping Area Register "ADC_RD_DATA_HK_VODE" : "ADC_CHX_DATA_HK_VODE" Field</t>
  </si>
  <si>
    <t xml:space="preserve">      avalon_mm_rmap_o.readdata(7 downto 0) &lt;= rmap_registers_wr_i.aeb_hk_adc_rd_data_hk_vode.adc_chx_data_hk_vode(7 downto 0);</t>
  </si>
  <si>
    <t xml:space="preserve">      avalon_mm_rmap_o.readdata(15 downto 8) &lt;= rmap_registers_wr_i.aeb_hk_adc_rd_data_hk_vode.adc_chx_data_hk_vode(15 downto 8);</t>
  </si>
  <si>
    <t xml:space="preserve">      avalon_mm_rmap_o.readdata(23 downto 16) &lt;= rmap_registers_wr_i.aeb_hk_adc_rd_data_hk_vode.adc_chx_data_hk_vode(23 downto 16);</t>
  </si>
  <si>
    <t xml:space="preserve">  when (16#4EE#) =&gt;</t>
  </si>
  <si>
    <t xml:space="preserve">      -- AEB Housekeeping Area Register "ADC_RD_DATA_HK_VODF" : "NEW" Field</t>
  </si>
  <si>
    <t xml:space="preserve">  when (16#4EF#) =&gt;</t>
  </si>
  <si>
    <t xml:space="preserve">      -- AEB Housekeeping Area Register "ADC_RD_DATA_HK_VODF" : "OVF" Field</t>
  </si>
  <si>
    <t xml:space="preserve">      avalon_mm_rmap_o.readdata(0) &lt;= rmap_registers_wr_i.aeb_hk_adc_rd_data_hk_vodf.ovf;</t>
  </si>
  <si>
    <t xml:space="preserve">  when (16#4F0#) =&gt;</t>
  </si>
  <si>
    <t xml:space="preserve">      -- AEB Housekeeping Area Register "ADC_RD_DATA_HK_VODF" : "SUPPLY" Field</t>
  </si>
  <si>
    <t xml:space="preserve">      avalon_mm_rmap_o.readdata(0) &lt;= rmap_registers_wr_i.aeb_hk_adc_rd_data_hk_vodf.supply;</t>
  </si>
  <si>
    <t xml:space="preserve">  when (16#4F1#) =&gt;</t>
  </si>
  <si>
    <t xml:space="preserve">      -- AEB Housekeeping Area Register "ADC_RD_DATA_HK_VODF" : "CHID" Field</t>
  </si>
  <si>
    <t xml:space="preserve">      avalon_mm_rmap_o.readdata(4 downto 0) &lt;= rmap_registers_wr_i.aeb_hk_adc_rd_data_hk_vodf.chid;</t>
  </si>
  <si>
    <t xml:space="preserve">  when (16#4F2#) =&gt;</t>
  </si>
  <si>
    <t xml:space="preserve">      -- AEB Housekeeping Area Register "ADC_RD_DATA_HK_VODF" : "ADC_CHX_DATA_HK_VODF" Field</t>
  </si>
  <si>
    <t xml:space="preserve">      avalon_mm_rmap_o.readdata(7 downto 0) &lt;= rmap_registers_wr_i.aeb_hk_adc_rd_data_hk_vodf.adc_chx_data_hk_vodf(7 downto 0);</t>
  </si>
  <si>
    <t xml:space="preserve">      avalon_mm_rmap_o.readdata(15 downto 8) &lt;= rmap_registers_wr_i.aeb_hk_adc_rd_data_hk_vodf.adc_chx_data_hk_vodf(15 downto 8);</t>
  </si>
  <si>
    <t xml:space="preserve">      avalon_mm_rmap_o.readdata(23 downto 16) &lt;= rmap_registers_wr_i.aeb_hk_adc_rd_data_hk_vodf.adc_chx_data_hk_vodf(23 downto 16);</t>
  </si>
  <si>
    <t xml:space="preserve">  when (16#4F3#) =&gt;</t>
  </si>
  <si>
    <t xml:space="preserve">      -- AEB Housekeeping Area Register "ADC_RD_DATA_HK_VRD" : "NEW" Field</t>
  </si>
  <si>
    <t xml:space="preserve">  when (16#4F4#) =&gt;</t>
  </si>
  <si>
    <t xml:space="preserve">      -- AEB Housekeeping Area Register "ADC_RD_DATA_HK_VRD" : "OVF" Field</t>
  </si>
  <si>
    <t xml:space="preserve">      avalon_mm_rmap_o.readdata(0) &lt;= rmap_registers_wr_i.aeb_hk_adc_rd_data_hk_vrd.ovf;</t>
  </si>
  <si>
    <t xml:space="preserve">  when (16#4F5#) =&gt;</t>
  </si>
  <si>
    <t xml:space="preserve">      -- AEB Housekeeping Area Register "ADC_RD_DATA_HK_VRD" : "SUPPLY" Field</t>
  </si>
  <si>
    <t xml:space="preserve">      avalon_mm_rmap_o.readdata(0) &lt;= rmap_registers_wr_i.aeb_hk_adc_rd_data_hk_vrd.supply;</t>
  </si>
  <si>
    <t xml:space="preserve">  when (16#4F6#) =&gt;</t>
  </si>
  <si>
    <t xml:space="preserve">      -- AEB Housekeeping Area Register "ADC_RD_DATA_HK_VRD" : "CHID" Field</t>
  </si>
  <si>
    <t xml:space="preserve">      avalon_mm_rmap_o.readdata(4 downto 0) &lt;= rmap_registers_wr_i.aeb_hk_adc_rd_data_hk_vrd.chid;</t>
  </si>
  <si>
    <t xml:space="preserve">  when (16#4F7#) =&gt;</t>
  </si>
  <si>
    <t xml:space="preserve">      -- AEB Housekeeping Area Register "ADC_RD_DATA_HK_VRD" : "ADC_CHX_DATA_HK_VRD" Field</t>
  </si>
  <si>
    <t xml:space="preserve">      avalon_mm_rmap_o.readdata(7 downto 0) &lt;= rmap_registers_wr_i.aeb_hk_adc_rd_data_hk_vrd.adc_chx_data_hk_vrd(7 downto 0);</t>
  </si>
  <si>
    <t xml:space="preserve">      avalon_mm_rmap_o.readdata(15 downto 8) &lt;= rmap_registers_wr_i.aeb_hk_adc_rd_data_hk_vrd.adc_chx_data_hk_vrd(15 downto 8);</t>
  </si>
  <si>
    <t xml:space="preserve">      avalon_mm_rmap_o.readdata(23 downto 16) &lt;= rmap_registers_wr_i.aeb_hk_adc_rd_data_hk_vrd.adc_chx_data_hk_vrd(23 downto 16);</t>
  </si>
  <si>
    <t xml:space="preserve">  when (16#4F8#) =&gt;</t>
  </si>
  <si>
    <t xml:space="preserve">      -- AEB Housekeeping Area Register "ADC_RD_DATA_HK_VOG" : "NEW" Field</t>
  </si>
  <si>
    <t xml:space="preserve">  when (16#4F9#) =&gt;</t>
  </si>
  <si>
    <t xml:space="preserve">      -- AEB Housekeeping Area Register "ADC_RD_DATA_HK_VOG" : "OVF" Field</t>
  </si>
  <si>
    <t xml:space="preserve">      avalon_mm_rmap_o.readdata(0) &lt;= rmap_registers_wr_i.aeb_hk_adc_rd_data_hk_vog.ovf;</t>
  </si>
  <si>
    <t xml:space="preserve">  when (16#4FA#) =&gt;</t>
  </si>
  <si>
    <t xml:space="preserve">      -- AEB Housekeeping Area Register "ADC_RD_DATA_HK_VOG" : "SUPPLY" Field</t>
  </si>
  <si>
    <t xml:space="preserve">      avalon_mm_rmap_o.readdata(0) &lt;= rmap_registers_wr_i.aeb_hk_adc_rd_data_hk_vog.supply;</t>
  </si>
  <si>
    <t xml:space="preserve">  when (16#4FB#) =&gt;</t>
  </si>
  <si>
    <t xml:space="preserve">      -- AEB Housekeeping Area Register "ADC_RD_DATA_HK_VOG" : "CHID" Field</t>
  </si>
  <si>
    <t xml:space="preserve">      avalon_mm_rmap_o.readdata(4 downto 0) &lt;= rmap_registers_wr_i.aeb_hk_adc_rd_data_hk_vog.chid;</t>
  </si>
  <si>
    <t xml:space="preserve">  when (16#4FC#) =&gt;</t>
  </si>
  <si>
    <t xml:space="preserve">      -- AEB Housekeeping Area Register "ADC_RD_DATA_HK_VOG" : "ADC_CHX_DATA_HK_VOG" Field</t>
  </si>
  <si>
    <t xml:space="preserve">      avalon_mm_rmap_o.readdata(7 downto 0) &lt;= rmap_registers_wr_i.aeb_hk_adc_rd_data_hk_vog.adc_chx_data_hk_vog(7 downto 0);</t>
  </si>
  <si>
    <t xml:space="preserve">      avalon_mm_rmap_o.readdata(15 downto 8) &lt;= rmap_registers_wr_i.aeb_hk_adc_rd_data_hk_vog.adc_chx_data_hk_vog(15 downto 8);</t>
  </si>
  <si>
    <t xml:space="preserve">      avalon_mm_rmap_o.readdata(23 downto 16) &lt;= rmap_registers_wr_i.aeb_hk_adc_rd_data_hk_vog.adc_chx_data_hk_vog(23 downto 16);</t>
  </si>
  <si>
    <t xml:space="preserve">  when (16#4FD#) =&gt;</t>
  </si>
  <si>
    <t xml:space="preserve">      -- AEB Housekeeping Area Register "ADC_RD_DATA_T_CCD" : "NEW" Field</t>
  </si>
  <si>
    <t xml:space="preserve">  when (16#4FE#) =&gt;</t>
  </si>
  <si>
    <t xml:space="preserve">      -- AEB Housekeeping Area Register "ADC_RD_DATA_T_CCD" : "OVF" Field</t>
  </si>
  <si>
    <t xml:space="preserve">      avalon_mm_rmap_o.readdata(0) &lt;= rmap_registers_wr_i.aeb_hk_adc_rd_data_t_ccd.ovf;</t>
  </si>
  <si>
    <t xml:space="preserve">  when (16#4FF#) =&gt;</t>
  </si>
  <si>
    <t xml:space="preserve">      -- AEB Housekeeping Area Register "ADC_RD_DATA_T_CCD" : "SUPPLY" Field</t>
  </si>
  <si>
    <t xml:space="preserve">      avalon_mm_rmap_o.readdata(0) &lt;= rmap_registers_wr_i.aeb_hk_adc_rd_data_t_ccd.supply;</t>
  </si>
  <si>
    <t xml:space="preserve">  when (16#500#) =&gt;</t>
  </si>
  <si>
    <t xml:space="preserve">      -- AEB Housekeeping Area Register "ADC_RD_DATA_T_CCD" : "CHID" Field</t>
  </si>
  <si>
    <t xml:space="preserve">      avalon_mm_rmap_o.readdata(4 downto 0) &lt;= rmap_registers_wr_i.aeb_hk_adc_rd_data_t_ccd.chid;</t>
  </si>
  <si>
    <t xml:space="preserve">  when (16#501#) =&gt;</t>
  </si>
  <si>
    <t xml:space="preserve">      -- AEB Housekeeping Area Register "ADC_RD_DATA_T_CCD" : "ADC_CHX_DATA_T_CCD" Field</t>
  </si>
  <si>
    <t xml:space="preserve">      avalon_mm_rmap_o.readdata(7 downto 0) &lt;= rmap_registers_wr_i.aeb_hk_adc_rd_data_t_ccd.adc_chx_data_t_ccd(7 downto 0);</t>
  </si>
  <si>
    <t xml:space="preserve">      avalon_mm_rmap_o.readdata(15 downto 8) &lt;= rmap_registers_wr_i.aeb_hk_adc_rd_data_t_ccd.adc_chx_data_t_ccd(15 downto 8);</t>
  </si>
  <si>
    <t xml:space="preserve">      avalon_mm_rmap_o.readdata(23 downto 16) &lt;= rmap_registers_wr_i.aeb_hk_adc_rd_data_t_ccd.adc_chx_data_t_ccd(23 downto 16);</t>
  </si>
  <si>
    <t xml:space="preserve">  when (16#502#) =&gt;</t>
  </si>
  <si>
    <t xml:space="preserve">      -- AEB Housekeeping Area Register "ADC_RD_DATA_T_REF1K_MEA" : "NEW" Field</t>
  </si>
  <si>
    <t xml:space="preserve">  when (16#503#) =&gt;</t>
  </si>
  <si>
    <t xml:space="preserve">      -- AEB Housekeeping Area Register "ADC_RD_DATA_T_REF1K_MEA" : "OVF" Field</t>
  </si>
  <si>
    <t xml:space="preserve">      avalon_mm_rmap_o.readdata(0) &lt;= rmap_registers_wr_i.aeb_hk_adc_rd_data_t_ref1k_mea.ovf;</t>
  </si>
  <si>
    <t xml:space="preserve">  when (16#504#) =&gt;</t>
  </si>
  <si>
    <t xml:space="preserve">      -- AEB Housekeeping Area Register "ADC_RD_DATA_T_REF1K_MEA" : "SUPPLY" Field</t>
  </si>
  <si>
    <t xml:space="preserve">      avalon_mm_rmap_o.readdata(0) &lt;= rmap_registers_wr_i.aeb_hk_adc_rd_data_t_ref1k_mea.supply;</t>
  </si>
  <si>
    <t xml:space="preserve">  when (16#505#) =&gt;</t>
  </si>
  <si>
    <t xml:space="preserve">      -- AEB Housekeeping Area Register "ADC_RD_DATA_T_REF1K_MEA" : "CHID" Field</t>
  </si>
  <si>
    <t xml:space="preserve">      avalon_mm_rmap_o.readdata(4 downto 0) &lt;= rmap_registers_wr_i.aeb_hk_adc_rd_data_t_ref1k_mea.chid;</t>
  </si>
  <si>
    <t xml:space="preserve">  when (16#506#) =&gt;</t>
  </si>
  <si>
    <t xml:space="preserve">      -- AEB Housekeeping Area Register "ADC_RD_DATA_T_REF1K_MEA" : "ADC_CHX_DATA_T_REF1K_MEA" Field</t>
  </si>
  <si>
    <t xml:space="preserve">      avalon_mm_rmap_o.readdata(7 downto 0) &lt;= rmap_registers_wr_i.aeb_hk_adc_rd_data_t_ref1k_mea.adc_chx_data_t_ref1k_mea(7 downto 0);</t>
  </si>
  <si>
    <t xml:space="preserve">      avalon_mm_rmap_o.readdata(15 downto 8) &lt;= rmap_registers_wr_i.aeb_hk_adc_rd_data_t_ref1k_mea.adc_chx_data_t_ref1k_mea(15 downto 8);</t>
  </si>
  <si>
    <t xml:space="preserve">      avalon_mm_rmap_o.readdata(23 downto 16) &lt;= rmap_registers_wr_i.aeb_hk_adc_rd_data_t_ref1k_mea.adc_chx_data_t_ref1k_mea(23 downto 16);</t>
  </si>
  <si>
    <t xml:space="preserve">  when (16#507#) =&gt;</t>
  </si>
  <si>
    <t xml:space="preserve">      -- AEB Housekeeping Area Register "ADC_RD_DATA_T_REF649R_MEA" : "NEW" Field</t>
  </si>
  <si>
    <t xml:space="preserve">  when (16#508#) =&gt;</t>
  </si>
  <si>
    <t xml:space="preserve">      -- AEB Housekeeping Area Register "ADC_RD_DATA_T_REF649R_MEA" : "OVF" Field</t>
  </si>
  <si>
    <t xml:space="preserve">      avalon_mm_rmap_o.readdata(0) &lt;= rmap_registers_wr_i.aeb_hk_adc_rd_data_t_ref649r_mea.ovf;</t>
  </si>
  <si>
    <t xml:space="preserve">  when (16#509#) =&gt;</t>
  </si>
  <si>
    <t xml:space="preserve">      -- AEB Housekeeping Area Register "ADC_RD_DATA_T_REF649R_MEA" : "SUPPLY" Field</t>
  </si>
  <si>
    <t xml:space="preserve">      avalon_mm_rmap_o.readdata(0) &lt;= rmap_registers_wr_i.aeb_hk_adc_rd_data_t_ref649r_mea.supply;</t>
  </si>
  <si>
    <t xml:space="preserve">  when (16#50A#) =&gt;</t>
  </si>
  <si>
    <t xml:space="preserve">      -- AEB Housekeeping Area Register "ADC_RD_DATA_T_REF649R_MEA" : "CHID" Field</t>
  </si>
  <si>
    <t xml:space="preserve">      avalon_mm_rmap_o.readdata(4 downto 0) &lt;= rmap_registers_wr_i.aeb_hk_adc_rd_data_t_ref649r_mea.chid;</t>
  </si>
  <si>
    <t xml:space="preserve">  when (16#50B#) =&gt;</t>
  </si>
  <si>
    <t xml:space="preserve">      -- AEB Housekeeping Area Register "ADC_RD_DATA_T_REF649R_MEA" : "ADC_CHX_DATA_T_REF649R_MEA" Field</t>
  </si>
  <si>
    <t xml:space="preserve">      avalon_mm_rmap_o.readdata(7 downto 0) &lt;= rmap_registers_wr_i.aeb_hk_adc_rd_data_t_ref649r_mea.adc_chx_data_t_ref649r_mea(7 downto 0);</t>
  </si>
  <si>
    <t xml:space="preserve">      avalon_mm_rmap_o.readdata(15 downto 8) &lt;= rmap_registers_wr_i.aeb_hk_adc_rd_data_t_ref649r_mea.adc_chx_data_t_ref649r_mea(15 downto 8);</t>
  </si>
  <si>
    <t xml:space="preserve">      avalon_mm_rmap_o.readdata(23 downto 16) &lt;= rmap_registers_wr_i.aeb_hk_adc_rd_data_t_ref649r_mea.adc_chx_data_t_ref649r_mea(23 downto 16);</t>
  </si>
  <si>
    <t xml:space="preserve">  when (16#50C#) =&gt;</t>
  </si>
  <si>
    <t xml:space="preserve">      -- AEB Housekeeping Area Register "ADC_RD_DATA_HK_ANA_N5V" : "NEW" Field</t>
  </si>
  <si>
    <t xml:space="preserve">  when (16#50D#) =&gt;</t>
  </si>
  <si>
    <t xml:space="preserve">      -- AEB Housekeeping Area Register "ADC_RD_DATA_HK_ANA_N5V" : "OVF" Field</t>
  </si>
  <si>
    <t xml:space="preserve">      avalon_mm_rmap_o.readdata(0) &lt;= rmap_registers_wr_i.aeb_hk_adc_rd_data_hk_ana_n5v.ovf;</t>
  </si>
  <si>
    <t xml:space="preserve">  when (16#50E#) =&gt;</t>
  </si>
  <si>
    <t xml:space="preserve">      -- AEB Housekeeping Area Register "ADC_RD_DATA_HK_ANA_N5V" : "SUPPLY" Field</t>
  </si>
  <si>
    <t xml:space="preserve">      avalon_mm_rmap_o.readdata(0) &lt;= rmap_registers_wr_i.aeb_hk_adc_rd_data_hk_ana_n5v.supply;</t>
  </si>
  <si>
    <t xml:space="preserve">  when (16#50F#) =&gt;</t>
  </si>
  <si>
    <t xml:space="preserve">      -- AEB Housekeeping Area Register "ADC_RD_DATA_HK_ANA_N5V" : "CHID" Field</t>
  </si>
  <si>
    <t xml:space="preserve">      avalon_mm_rmap_o.readdata(4 downto 0) &lt;= rmap_registers_wr_i.aeb_hk_adc_rd_data_hk_ana_n5v.chid;</t>
  </si>
  <si>
    <t xml:space="preserve">  when (16#510#) =&gt;</t>
  </si>
  <si>
    <t xml:space="preserve">      -- AEB Housekeeping Area Register "ADC_RD_DATA_HK_ANA_N5V" : "ADC_CHX_DATA_HK_ANA_N5V" Field</t>
  </si>
  <si>
    <t xml:space="preserve">      avalon_mm_rmap_o.readdata(7 downto 0) &lt;= rmap_registers_wr_i.aeb_hk_adc_rd_data_hk_ana_n5v.adc_chx_data_hk_ana_n5v(7 downto 0);</t>
  </si>
  <si>
    <t xml:space="preserve">      avalon_mm_rmap_o.readdata(15 downto 8) &lt;= rmap_registers_wr_i.aeb_hk_adc_rd_data_hk_ana_n5v.adc_chx_data_hk_ana_n5v(15 downto 8);</t>
  </si>
  <si>
    <t xml:space="preserve">      avalon_mm_rmap_o.readdata(23 downto 16) &lt;= rmap_registers_wr_i.aeb_hk_adc_rd_data_hk_ana_n5v.adc_chx_data_hk_ana_n5v(23 downto 16);</t>
  </si>
  <si>
    <t xml:space="preserve">  when (16#511#) =&gt;</t>
  </si>
  <si>
    <t xml:space="preserve">      -- AEB Housekeeping Area Register "ADC_RD_DATA_S_REF" : "NEW" Field</t>
  </si>
  <si>
    <t xml:space="preserve">  when (16#512#) =&gt;</t>
  </si>
  <si>
    <t xml:space="preserve">      -- AEB Housekeeping Area Register "ADC_RD_DATA_S_REF" : "OVF" Field</t>
  </si>
  <si>
    <t xml:space="preserve">      avalon_mm_rmap_o.readdata(0) &lt;= rmap_registers_wr_i.aeb_hk_adc_rd_data_s_ref.ovf;</t>
  </si>
  <si>
    <t xml:space="preserve">  when (16#513#) =&gt;</t>
  </si>
  <si>
    <t xml:space="preserve">      -- AEB Housekeeping Area Register "ADC_RD_DATA_S_REF" : "SUPPLY" Field</t>
  </si>
  <si>
    <t xml:space="preserve">      avalon_mm_rmap_o.readdata(0) &lt;= rmap_registers_wr_i.aeb_hk_adc_rd_data_s_ref.supply;</t>
  </si>
  <si>
    <t xml:space="preserve">  when (16#514#) =&gt;</t>
  </si>
  <si>
    <t xml:space="preserve">      -- AEB Housekeeping Area Register "ADC_RD_DATA_S_REF" : "CHID" Field</t>
  </si>
  <si>
    <t xml:space="preserve">      avalon_mm_rmap_o.readdata(4 downto 0) &lt;= rmap_registers_wr_i.aeb_hk_adc_rd_data_s_ref.chid;</t>
  </si>
  <si>
    <t xml:space="preserve">  when (16#515#) =&gt;</t>
  </si>
  <si>
    <t xml:space="preserve">      -- AEB Housekeeping Area Register "ADC_RD_DATA_S_REF" : "ADC_CHX_DATA_S_REF" Field</t>
  </si>
  <si>
    <t xml:space="preserve">      avalon_mm_rmap_o.readdata(7 downto 0) &lt;= rmap_registers_wr_i.aeb_hk_adc_rd_data_s_ref.adc_chx_data_s_ref(7 downto 0);</t>
  </si>
  <si>
    <t xml:space="preserve">      avalon_mm_rmap_o.readdata(15 downto 8) &lt;= rmap_registers_wr_i.aeb_hk_adc_rd_data_s_ref.adc_chx_data_s_ref(15 downto 8);</t>
  </si>
  <si>
    <t xml:space="preserve">      avalon_mm_rmap_o.readdata(23 downto 16) &lt;= rmap_registers_wr_i.aeb_hk_adc_rd_data_s_ref.adc_chx_data_s_ref(23 downto 16);</t>
  </si>
  <si>
    <t xml:space="preserve">  when (16#516#) =&gt;</t>
  </si>
  <si>
    <t xml:space="preserve">      -- AEB Housekeeping Area Register "ADC_RD_DATA_HK_CCD_P31V" : "NEW" Field</t>
  </si>
  <si>
    <t xml:space="preserve">  when (16#517#) =&gt;</t>
  </si>
  <si>
    <t xml:space="preserve">      -- AEB Housekeeping Area Register "ADC_RD_DATA_HK_CCD_P31V" : "OVF" Field</t>
  </si>
  <si>
    <t xml:space="preserve">      avalon_mm_rmap_o.readdata(0) &lt;= rmap_registers_wr_i.aeb_hk_adc_rd_data_hk_ccd_p31v.ovf;</t>
  </si>
  <si>
    <t xml:space="preserve">  when (16#518#) =&gt;</t>
  </si>
  <si>
    <t xml:space="preserve">      -- AEB Housekeeping Area Register "ADC_RD_DATA_HK_CCD_P31V" : "SUPPLY" Field</t>
  </si>
  <si>
    <t xml:space="preserve">      avalon_mm_rmap_o.readdata(0) &lt;= rmap_registers_wr_i.aeb_hk_adc_rd_data_hk_ccd_p31v.supply;</t>
  </si>
  <si>
    <t xml:space="preserve">  when (16#519#) =&gt;</t>
  </si>
  <si>
    <t xml:space="preserve">      -- AEB Housekeeping Area Register "ADC_RD_DATA_HK_CCD_P31V" : "CHID" Field</t>
  </si>
  <si>
    <t xml:space="preserve">      avalon_mm_rmap_o.readdata(4 downto 0) &lt;= rmap_registers_wr_i.aeb_hk_adc_rd_data_hk_ccd_p31v.chid;</t>
  </si>
  <si>
    <t xml:space="preserve">  when (16#51A#) =&gt;</t>
  </si>
  <si>
    <t xml:space="preserve">      -- AEB Housekeeping Area Register "ADC_RD_DATA_HK_CCD_P31V" : "ADC_CHX_DATA_HK_CCD_P31V" Field</t>
  </si>
  <si>
    <t xml:space="preserve">      avalon_mm_rmap_o.readdata(7 downto 0) &lt;= rmap_registers_wr_i.aeb_hk_adc_rd_data_hk_ccd_p31v.adc_chx_data_hk_ccd_p31v(7 downto 0);</t>
  </si>
  <si>
    <t xml:space="preserve">      avalon_mm_rmap_o.readdata(15 downto 8) &lt;= rmap_registers_wr_i.aeb_hk_adc_rd_data_hk_ccd_p31v.adc_chx_data_hk_ccd_p31v(15 downto 8);</t>
  </si>
  <si>
    <t xml:space="preserve">      avalon_mm_rmap_o.readdata(23 downto 16) &lt;= rmap_registers_wr_i.aeb_hk_adc_rd_data_hk_ccd_p31v.adc_chx_data_hk_ccd_p31v(23 downto 16);</t>
  </si>
  <si>
    <t xml:space="preserve">  when (16#51B#) =&gt;</t>
  </si>
  <si>
    <t xml:space="preserve">      -- AEB Housekeeping Area Register "ADC_RD_DATA_HK_CLK_P15V" : "NEW" Field</t>
  </si>
  <si>
    <t xml:space="preserve">  when (16#51C#) =&gt;</t>
  </si>
  <si>
    <t xml:space="preserve">      -- AEB Housekeeping Area Register "ADC_RD_DATA_HK_CLK_P15V" : "OVF" Field</t>
  </si>
  <si>
    <t xml:space="preserve">      avalon_mm_rmap_o.readdata(0) &lt;= rmap_registers_wr_i.aeb_hk_adc_rd_data_hk_clk_p15v.ovf;</t>
  </si>
  <si>
    <t xml:space="preserve">  when (16#51D#) =&gt;</t>
  </si>
  <si>
    <t xml:space="preserve">      -- AEB Housekeeping Area Register "ADC_RD_DATA_HK_CLK_P15V" : "SUPPLY" Field</t>
  </si>
  <si>
    <t xml:space="preserve">      avalon_mm_rmap_o.readdata(0) &lt;= rmap_registers_wr_i.aeb_hk_adc_rd_data_hk_clk_p15v.supply;</t>
  </si>
  <si>
    <t xml:space="preserve">  when (16#51E#) =&gt;</t>
  </si>
  <si>
    <t xml:space="preserve">      -- AEB Housekeeping Area Register "ADC_RD_DATA_HK_CLK_P15V" : "CHID" Field</t>
  </si>
  <si>
    <t xml:space="preserve">      avalon_mm_rmap_o.readdata(4 downto 0) &lt;= rmap_registers_wr_i.aeb_hk_adc_rd_data_hk_clk_p15v.chid;</t>
  </si>
  <si>
    <t xml:space="preserve">  when (16#51F#) =&gt;</t>
  </si>
  <si>
    <t xml:space="preserve">      -- AEB Housekeeping Area Register "ADC_RD_DATA_HK_CLK_P15V" : "ADC_CHX_DATA_HK_CLK_P15V" Field</t>
  </si>
  <si>
    <t xml:space="preserve">      avalon_mm_rmap_o.readdata(7 downto 0) &lt;= rmap_registers_wr_i.aeb_hk_adc_rd_data_hk_clk_p15v.adc_chx_data_hk_clk_p15v(7 downto 0);</t>
  </si>
  <si>
    <t xml:space="preserve">      avalon_mm_rmap_o.readdata(15 downto 8) &lt;= rmap_registers_wr_i.aeb_hk_adc_rd_data_hk_clk_p15v.adc_chx_data_hk_clk_p15v(15 downto 8);</t>
  </si>
  <si>
    <t xml:space="preserve">      avalon_mm_rmap_o.readdata(23 downto 16) &lt;= rmap_registers_wr_i.aeb_hk_adc_rd_data_hk_clk_p15v.adc_chx_data_hk_clk_p15v(23 downto 16);</t>
  </si>
  <si>
    <t xml:space="preserve">  when (16#520#) =&gt;</t>
  </si>
  <si>
    <t xml:space="preserve">      -- AEB Housekeeping Area Register "ADC_RD_DATA_HK_ANA_P5V" : "NEW" Field</t>
  </si>
  <si>
    <t xml:space="preserve">  when (16#521#) =&gt;</t>
  </si>
  <si>
    <t xml:space="preserve">      -- AEB Housekeeping Area Register "ADC_RD_DATA_HK_ANA_P5V" : "OVF" Field</t>
  </si>
  <si>
    <t xml:space="preserve">      avalon_mm_rmap_o.readdata(0) &lt;= rmap_registers_wr_i.aeb_hk_adc_rd_data_hk_ana_p5v.ovf;</t>
  </si>
  <si>
    <t xml:space="preserve">  when (16#522#) =&gt;</t>
  </si>
  <si>
    <t xml:space="preserve">      -- AEB Housekeeping Area Register "ADC_RD_DATA_HK_ANA_P5V" : "SUPPLY" Field</t>
  </si>
  <si>
    <t xml:space="preserve">      avalon_mm_rmap_o.readdata(0) &lt;= rmap_registers_wr_i.aeb_hk_adc_rd_data_hk_ana_p5v.supply;</t>
  </si>
  <si>
    <t xml:space="preserve">  when (16#523#) =&gt;</t>
  </si>
  <si>
    <t xml:space="preserve">      -- AEB Housekeeping Area Register "ADC_RD_DATA_HK_ANA_P5V" : "CHID" Field</t>
  </si>
  <si>
    <t xml:space="preserve">      avalon_mm_rmap_o.readdata(4 downto 0) &lt;= rmap_registers_wr_i.aeb_hk_adc_rd_data_hk_ana_p5v.chid;</t>
  </si>
  <si>
    <t xml:space="preserve">  when (16#524#) =&gt;</t>
  </si>
  <si>
    <t xml:space="preserve">      -- AEB Housekeeping Area Register "ADC_RD_DATA_HK_ANA_P5V" : "ADC_CHX_DATA_HK_ANA_P5V" Field</t>
  </si>
  <si>
    <t xml:space="preserve">      avalon_mm_rmap_o.readdata(7 downto 0) &lt;= rmap_registers_wr_i.aeb_hk_adc_rd_data_hk_ana_p5v.adc_chx_data_hk_ana_p5v(7 downto 0);</t>
  </si>
  <si>
    <t xml:space="preserve">      avalon_mm_rmap_o.readdata(15 downto 8) &lt;= rmap_registers_wr_i.aeb_hk_adc_rd_data_hk_ana_p5v.adc_chx_data_hk_ana_p5v(15 downto 8);</t>
  </si>
  <si>
    <t xml:space="preserve">      avalon_mm_rmap_o.readdata(23 downto 16) &lt;= rmap_registers_wr_i.aeb_hk_adc_rd_data_hk_ana_p5v.adc_chx_data_hk_ana_p5v(23 downto 16);</t>
  </si>
  <si>
    <t xml:space="preserve">  when (16#525#) =&gt;</t>
  </si>
  <si>
    <t xml:space="preserve">      -- AEB Housekeeping Area Register "ADC_RD_DATA_HK_ANA_P3V3" : "NEW" Field</t>
  </si>
  <si>
    <t xml:space="preserve">  when (16#526#) =&gt;</t>
  </si>
  <si>
    <t xml:space="preserve">      -- AEB Housekeeping Area Register "ADC_RD_DATA_HK_ANA_P3V3" : "OVF" Field</t>
  </si>
  <si>
    <t xml:space="preserve">      avalon_mm_rmap_o.readdata(0) &lt;= rmap_registers_wr_i.aeb_hk_adc_rd_data_hk_ana_p3v3.ovf;</t>
  </si>
  <si>
    <t xml:space="preserve">  when (16#527#) =&gt;</t>
  </si>
  <si>
    <t xml:space="preserve">      -- AEB Housekeeping Area Register "ADC_RD_DATA_HK_ANA_P3V3" : "SUPPLY" Field</t>
  </si>
  <si>
    <t xml:space="preserve">      avalon_mm_rmap_o.readdata(0) &lt;= rmap_registers_wr_i.aeb_hk_adc_rd_data_hk_ana_p3v3.supply;</t>
  </si>
  <si>
    <t xml:space="preserve">  when (16#528#) =&gt;</t>
  </si>
  <si>
    <t xml:space="preserve">      -- AEB Housekeeping Area Register "ADC_RD_DATA_HK_ANA_P3V3" : "CHID" Field</t>
  </si>
  <si>
    <t xml:space="preserve">      avalon_mm_rmap_o.readdata(4 downto 0) &lt;= rmap_registers_wr_i.aeb_hk_adc_rd_data_hk_ana_p3v3.chid;</t>
  </si>
  <si>
    <t xml:space="preserve">  when (16#529#) =&gt;</t>
  </si>
  <si>
    <t xml:space="preserve">      -- AEB Housekeeping Area Register "ADC_RD_DATA_HK_ANA_P3V3" : "ADC_CHX_DATA_HK_ANA_P3V3" Field</t>
  </si>
  <si>
    <t xml:space="preserve">      avalon_mm_rmap_o.readdata(7 downto 0) &lt;= rmap_registers_wr_i.aeb_hk_adc_rd_data_hk_ana_p3v3.adc_chx_data_hk_ana_p3v3(7 downto 0);</t>
  </si>
  <si>
    <t xml:space="preserve">      avalon_mm_rmap_o.readdata(15 downto 8) &lt;= rmap_registers_wr_i.aeb_hk_adc_rd_data_hk_ana_p3v3.adc_chx_data_hk_ana_p3v3(15 downto 8);</t>
  </si>
  <si>
    <t xml:space="preserve">      avalon_mm_rmap_o.readdata(23 downto 16) &lt;= rmap_registers_wr_i.aeb_hk_adc_rd_data_hk_ana_p3v3.adc_chx_data_hk_ana_p3v3(23 downto 16);</t>
  </si>
  <si>
    <t xml:space="preserve">  when (16#52A#) =&gt;</t>
  </si>
  <si>
    <t xml:space="preserve">      -- AEB Housekeeping Area Register "ADC_RD_DATA_HK_DIG_P3V3" : "NEW" Field</t>
  </si>
  <si>
    <t xml:space="preserve">  when (16#52B#) =&gt;</t>
  </si>
  <si>
    <t xml:space="preserve">      -- AEB Housekeeping Area Register "ADC_RD_DATA_HK_DIG_P3V3" : "OVF" Field</t>
  </si>
  <si>
    <t xml:space="preserve">      avalon_mm_rmap_o.readdata(0) &lt;= rmap_registers_wr_i.aeb_hk_adc_rd_data_hk_dig_p3v3.ovf;</t>
  </si>
  <si>
    <t xml:space="preserve">  when (16#52C#) =&gt;</t>
  </si>
  <si>
    <t xml:space="preserve">      -- AEB Housekeeping Area Register "ADC_RD_DATA_HK_DIG_P3V3" : "SUPPLY" Field</t>
  </si>
  <si>
    <t xml:space="preserve">      avalon_mm_rmap_o.readdata(0) &lt;= rmap_registers_wr_i.aeb_hk_adc_rd_data_hk_dig_p3v3.supply;</t>
  </si>
  <si>
    <t xml:space="preserve">  when (16#52D#) =&gt;</t>
  </si>
  <si>
    <t xml:space="preserve">      -- AEB Housekeeping Area Register "ADC_RD_DATA_HK_DIG_P3V3" : "CHID" Field</t>
  </si>
  <si>
    <t xml:space="preserve">      avalon_mm_rmap_o.readdata(4 downto 0) &lt;= rmap_registers_wr_i.aeb_hk_adc_rd_data_hk_dig_p3v3.chid;</t>
  </si>
  <si>
    <t xml:space="preserve">  when (16#52E#) =&gt;</t>
  </si>
  <si>
    <t xml:space="preserve">      -- AEB Housekeeping Area Register "ADC_RD_DATA_HK_DIG_P3V3" : "ADC_CHX_DATA_HK_DIG_P3V3" Field</t>
  </si>
  <si>
    <t xml:space="preserve">      avalon_mm_rmap_o.readdata(7 downto 0) &lt;= rmap_registers_wr_i.aeb_hk_adc_rd_data_hk_dig_p3v3.adc_chx_data_hk_dig_p3v3(7 downto 0);</t>
  </si>
  <si>
    <t xml:space="preserve">      avalon_mm_rmap_o.readdata(15 downto 8) &lt;= rmap_registers_wr_i.aeb_hk_adc_rd_data_hk_dig_p3v3.adc_chx_data_hk_dig_p3v3(15 downto 8);</t>
  </si>
  <si>
    <t xml:space="preserve">      avalon_mm_rmap_o.readdata(23 downto 16) &lt;= rmap_registers_wr_i.aeb_hk_adc_rd_data_hk_dig_p3v3.adc_chx_data_hk_dig_p3v3(23 downto 16);</t>
  </si>
  <si>
    <t xml:space="preserve">  when (16#52F#) =&gt;</t>
  </si>
  <si>
    <t xml:space="preserve">      -- AEB Housekeeping Area Register "ADC_RD_DATA_ADC_REF_BUF_2" : "NEW" Field</t>
  </si>
  <si>
    <t xml:space="preserve">  when (16#530#) =&gt;</t>
  </si>
  <si>
    <t xml:space="preserve">      -- AEB Housekeeping Area Register "ADC_RD_DATA_ADC_REF_BUF_2" : "OVF" Field</t>
  </si>
  <si>
    <t xml:space="preserve">      avalon_mm_rmap_o.readdata(0) &lt;= rmap_registers_wr_i.aeb_hk_adc_rd_data_adc_ref_buf_2.ovf;</t>
  </si>
  <si>
    <t xml:space="preserve">  when (16#531#) =&gt;</t>
  </si>
  <si>
    <t xml:space="preserve">      -- AEB Housekeeping Area Register "ADC_RD_DATA_ADC_REF_BUF_2" : "SUPPLY" Field</t>
  </si>
  <si>
    <t xml:space="preserve">      avalon_mm_rmap_o.readdata(0) &lt;= rmap_registers_wr_i.aeb_hk_adc_rd_data_adc_ref_buf_2.supply;</t>
  </si>
  <si>
    <t xml:space="preserve">  when (16#532#) =&gt;</t>
  </si>
  <si>
    <t xml:space="preserve">      -- AEB Housekeeping Area Register "ADC_RD_DATA_ADC_REF_BUF_2" : "CHID" Field</t>
  </si>
  <si>
    <t xml:space="preserve">      avalon_mm_rmap_o.readdata(4 downto 0) &lt;= rmap_registers_wr_i.aeb_hk_adc_rd_data_adc_ref_buf_2.chid;</t>
  </si>
  <si>
    <t xml:space="preserve">      -- AEB Housekeeping Area Register "ADC_RD_DATA_ADC_REF_BUF_2" : "ADC_CHX_DATA_ADC_REF_BUF_2" Field</t>
  </si>
  <si>
    <t xml:space="preserve">      avalon_mm_rmap_o.readdata(11 downto 8) &lt;= rmap_registers_wr_i.aeb_hk_adc_rd_data_adc_ref_buf_2.adc_chx_data_adc_ref_buf_2;</t>
  </si>
  <si>
    <t xml:space="preserve">  when (16#533#) =&gt;</t>
  </si>
  <si>
    <t xml:space="preserve">      -- AEB Housekeeping Area Register "ADC1_RD_CONFIG_1" : "SPIRST" Field</t>
  </si>
  <si>
    <t xml:space="preserve">      avalon_mm_rmap_o.readdata(0) &lt;= rmap_registers_wr_i.aeb_hk_adc1_rd_config_1.spirst;</t>
  </si>
  <si>
    <t xml:space="preserve">  when (16#534#) =&gt;</t>
  </si>
  <si>
    <t xml:space="preserve">      -- AEB Housekeeping Area Register "ADC1_RD_CONFIG_1" : "MUXMOD" Field</t>
  </si>
  <si>
    <t xml:space="preserve">      avalon_mm_rmap_o.readdata(0) &lt;= rmap_registers_wr_i.aeb_hk_adc1_rd_config_1.muxmod;</t>
  </si>
  <si>
    <t xml:space="preserve">  when (16#535#) =&gt;</t>
  </si>
  <si>
    <t xml:space="preserve">      -- AEB Housekeeping Area Register "ADC1_RD_CONFIG_1" : "BYPAS" Field</t>
  </si>
  <si>
    <t xml:space="preserve">      avalon_mm_rmap_o.readdata(0) &lt;= rmap_registers_wr_i.aeb_hk_adc1_rd_config_1.bypas;</t>
  </si>
  <si>
    <t xml:space="preserve">  when (16#536#) =&gt;</t>
  </si>
  <si>
    <t xml:space="preserve">      -- AEB Housekeeping Area Register "ADC1_RD_CONFIG_1" : "CLKENB" Field</t>
  </si>
  <si>
    <t xml:space="preserve">      avalon_mm_rmap_o.readdata(0) &lt;= rmap_registers_wr_i.aeb_hk_adc1_rd_config_1.clkenb;</t>
  </si>
  <si>
    <t xml:space="preserve">  when (16#537#) =&gt;</t>
  </si>
  <si>
    <t xml:space="preserve">      -- AEB Housekeeping Area Register "ADC1_RD_CONFIG_1" : "CHOP" Field</t>
  </si>
  <si>
    <t xml:space="preserve">      avalon_mm_rmap_o.readdata(0) &lt;= rmap_registers_wr_i.aeb_hk_adc1_rd_config_1.chop;</t>
  </si>
  <si>
    <t xml:space="preserve">  when (16#538#) =&gt;</t>
  </si>
  <si>
    <t xml:space="preserve">      -- AEB Housekeeping Area Register "ADC1_RD_CONFIG_1" : "STAT" Field</t>
  </si>
  <si>
    <t xml:space="preserve">      avalon_mm_rmap_o.readdata(0) &lt;= rmap_registers_wr_i.aeb_hk_adc1_rd_config_1.stat;</t>
  </si>
  <si>
    <t xml:space="preserve">  when (16#539#) =&gt;</t>
  </si>
  <si>
    <t xml:space="preserve">      -- AEB Housekeeping Area Register "ADC1_RD_CONFIG_1" : "IDLMOD" Field</t>
  </si>
  <si>
    <t xml:space="preserve">      avalon_mm_rmap_o.readdata(0) &lt;= rmap_registers_wr_i.aeb_hk_adc1_rd_config_1.idlmod;</t>
  </si>
  <si>
    <t xml:space="preserve">  when (16#53A#) =&gt;</t>
  </si>
  <si>
    <t xml:space="preserve">      -- AEB Housekeeping Area Register "ADC1_RD_CONFIG_1" : "DLY2" Field</t>
  </si>
  <si>
    <t xml:space="preserve">      avalon_mm_rmap_o.readdata(0) &lt;= rmap_registers_wr_i.aeb_hk_adc1_rd_config_1.dly2;</t>
  </si>
  <si>
    <t xml:space="preserve">  when (16#53B#) =&gt;</t>
  </si>
  <si>
    <t xml:space="preserve">      -- AEB Housekeeping Area Register "ADC1_RD_CONFIG_1" : "DLY1" Field</t>
  </si>
  <si>
    <t xml:space="preserve">      avalon_mm_rmap_o.readdata(0) &lt;= rmap_registers_wr_i.aeb_hk_adc1_rd_config_1.dly1;</t>
  </si>
  <si>
    <t xml:space="preserve">  when (16#53C#) =&gt;</t>
  </si>
  <si>
    <t xml:space="preserve">      -- AEB Housekeeping Area Register "ADC1_RD_CONFIG_1" : "DLY0" Field</t>
  </si>
  <si>
    <t xml:space="preserve">      avalon_mm_rmap_o.readdata(0) &lt;= rmap_registers_wr_i.aeb_hk_adc1_rd_config_1.dly0;</t>
  </si>
  <si>
    <t xml:space="preserve">  when (16#53D#) =&gt;</t>
  </si>
  <si>
    <t xml:space="preserve">      -- AEB Housekeeping Area Register "ADC1_RD_CONFIG_1" : "SBCS1" Field</t>
  </si>
  <si>
    <t xml:space="preserve">      avalon_mm_rmap_o.readdata(0) &lt;= rmap_registers_wr_i.aeb_hk_adc1_rd_config_1.sbcs1;</t>
  </si>
  <si>
    <t xml:space="preserve">  when (16#53E#) =&gt;</t>
  </si>
  <si>
    <t xml:space="preserve">      -- AEB Housekeeping Area Register "ADC1_RD_CONFIG_1" : "SBCS0" Field</t>
  </si>
  <si>
    <t xml:space="preserve">      avalon_mm_rmap_o.readdata(0) &lt;= rmap_registers_wr_i.aeb_hk_adc1_rd_config_1.sbcs0;</t>
  </si>
  <si>
    <t xml:space="preserve">  when (16#53F#) =&gt;</t>
  </si>
  <si>
    <t xml:space="preserve">      -- AEB Housekeeping Area Register "ADC1_RD_CONFIG_1" : "DRATE1" Field</t>
  </si>
  <si>
    <t xml:space="preserve">      avalon_mm_rmap_o.readdata(0) &lt;= rmap_registers_wr_i.aeb_hk_adc1_rd_config_1.drate1;</t>
  </si>
  <si>
    <t xml:space="preserve">  when (16#540#) =&gt;</t>
  </si>
  <si>
    <t xml:space="preserve">      -- AEB Housekeeping Area Register "ADC1_RD_CONFIG_1" : "DRATE0" Field</t>
  </si>
  <si>
    <t xml:space="preserve">      avalon_mm_rmap_o.readdata(0) &lt;= rmap_registers_wr_i.aeb_hk_adc1_rd_config_1.drate0;</t>
  </si>
  <si>
    <t xml:space="preserve">  when (16#541#) =&gt;</t>
  </si>
  <si>
    <t xml:space="preserve">      -- AEB Housekeeping Area Register "ADC1_RD_CONFIG_1" : "AINP3" Field</t>
  </si>
  <si>
    <t xml:space="preserve">      avalon_mm_rmap_o.readdata(0) &lt;= rmap_registers_wr_i.aeb_hk_adc1_rd_config_1.ainp3;</t>
  </si>
  <si>
    <t xml:space="preserve">  when (16#542#) =&gt;</t>
  </si>
  <si>
    <t xml:space="preserve">      -- AEB Housekeeping Area Register "ADC1_RD_CONFIG_1" : "AINP2" Field</t>
  </si>
  <si>
    <t xml:space="preserve">      avalon_mm_rmap_o.readdata(0) &lt;= rmap_registers_wr_i.aeb_hk_adc1_rd_config_1.ainp2;</t>
  </si>
  <si>
    <t xml:space="preserve">  when (16#543#) =&gt;</t>
  </si>
  <si>
    <t xml:space="preserve">      -- AEB Housekeeping Area Register "ADC1_RD_CONFIG_1" : "AINP1" Field</t>
  </si>
  <si>
    <t xml:space="preserve">      avalon_mm_rmap_o.readdata(0) &lt;= rmap_registers_wr_i.aeb_hk_adc1_rd_config_1.ainp1;</t>
  </si>
  <si>
    <t xml:space="preserve">  when (16#544#) =&gt;</t>
  </si>
  <si>
    <t xml:space="preserve">      -- AEB Housekeeping Area Register "ADC1_RD_CONFIG_1" : "AINP0" Field</t>
  </si>
  <si>
    <t xml:space="preserve">      avalon_mm_rmap_o.readdata(0) &lt;= rmap_registers_wr_i.aeb_hk_adc1_rd_config_1.ainp0;</t>
  </si>
  <si>
    <t xml:space="preserve">  when (16#545#) =&gt;</t>
  </si>
  <si>
    <t xml:space="preserve">      -- AEB Housekeeping Area Register "ADC1_RD_CONFIG_1" : "AINN3" Field</t>
  </si>
  <si>
    <t xml:space="preserve">      avalon_mm_rmap_o.readdata(0) &lt;= rmap_registers_wr_i.aeb_hk_adc1_rd_config_1.ainn3;</t>
  </si>
  <si>
    <t xml:space="preserve">  when (16#546#) =&gt;</t>
  </si>
  <si>
    <t xml:space="preserve">      -- AEB Housekeeping Area Register "ADC1_RD_CONFIG_1" : "AINN2" Field</t>
  </si>
  <si>
    <t xml:space="preserve">      avalon_mm_rmap_o.readdata(0) &lt;= rmap_registers_wr_i.aeb_hk_adc1_rd_config_1.ainn2;</t>
  </si>
  <si>
    <t xml:space="preserve">  when (16#547#) =&gt;</t>
  </si>
  <si>
    <t xml:space="preserve">      -- AEB Housekeeping Area Register "ADC1_RD_CONFIG_1" : "AINN1" Field</t>
  </si>
  <si>
    <t xml:space="preserve">      avalon_mm_rmap_o.readdata(0) &lt;= rmap_registers_wr_i.aeb_hk_adc1_rd_config_1.ainn1;</t>
  </si>
  <si>
    <t xml:space="preserve">  when (16#548#) =&gt;</t>
  </si>
  <si>
    <t xml:space="preserve">      -- AEB Housekeeping Area Register "ADC1_RD_CONFIG_1" : "AINN0" Field</t>
  </si>
  <si>
    <t xml:space="preserve">      avalon_mm_rmap_o.readdata(0) &lt;= rmap_registers_wr_i.aeb_hk_adc1_rd_config_1.ainn0;</t>
  </si>
  <si>
    <t xml:space="preserve">  when (16#549#) =&gt;</t>
  </si>
  <si>
    <t xml:space="preserve">      -- AEB Housekeeping Area Register "ADC1_RD_CONFIG_1" : "DIFF7" Field</t>
  </si>
  <si>
    <t xml:space="preserve">      avalon_mm_rmap_o.readdata(0) &lt;= rmap_registers_wr_i.aeb_hk_adc1_rd_config_1.diff7;</t>
  </si>
  <si>
    <t xml:space="preserve">  when (16#54A#) =&gt;</t>
  </si>
  <si>
    <t xml:space="preserve">      -- AEB Housekeeping Area Register "ADC1_RD_CONFIG_1" : "DIFF6" Field</t>
  </si>
  <si>
    <t xml:space="preserve">      avalon_mm_rmap_o.readdata(0) &lt;= rmap_registers_wr_i.aeb_hk_adc1_rd_config_1.diff6;</t>
  </si>
  <si>
    <t xml:space="preserve">  when (16#54B#) =&gt;</t>
  </si>
  <si>
    <t xml:space="preserve">      -- AEB Housekeeping Area Register "ADC1_RD_CONFIG_1" : "DIFF5" Field</t>
  </si>
  <si>
    <t xml:space="preserve">      avalon_mm_rmap_o.readdata(0) &lt;= rmap_registers_wr_i.aeb_hk_adc1_rd_config_1.diff5;</t>
  </si>
  <si>
    <t xml:space="preserve">  when (16#54C#) =&gt;</t>
  </si>
  <si>
    <t xml:space="preserve">      -- AEB Housekeeping Area Register "ADC1_RD_CONFIG_1" : "DIFF4" Field</t>
  </si>
  <si>
    <t xml:space="preserve">      avalon_mm_rmap_o.readdata(0) &lt;= rmap_registers_wr_i.aeb_hk_adc1_rd_config_1.diff4;</t>
  </si>
  <si>
    <t xml:space="preserve">  when (16#54D#) =&gt;</t>
  </si>
  <si>
    <t xml:space="preserve">      -- AEB Housekeeping Area Register "ADC1_RD_CONFIG_1" : "DIFF3" Field</t>
  </si>
  <si>
    <t xml:space="preserve">      avalon_mm_rmap_o.readdata(0) &lt;= rmap_registers_wr_i.aeb_hk_adc1_rd_config_1.diff3;</t>
  </si>
  <si>
    <t xml:space="preserve">  when (16#54E#) =&gt;</t>
  </si>
  <si>
    <t xml:space="preserve">      -- AEB Housekeeping Area Register "ADC1_RD_CONFIG_1" : "DIFF2" Field</t>
  </si>
  <si>
    <t xml:space="preserve">      avalon_mm_rmap_o.readdata(0) &lt;= rmap_registers_wr_i.aeb_hk_adc1_rd_config_1.diff2;</t>
  </si>
  <si>
    <t xml:space="preserve">  when (16#54F#) =&gt;</t>
  </si>
  <si>
    <t xml:space="preserve">      -- AEB Housekeeping Area Register "ADC1_RD_CONFIG_1" : "DIFF1" Field</t>
  </si>
  <si>
    <t xml:space="preserve">      avalon_mm_rmap_o.readdata(0) &lt;= rmap_registers_wr_i.aeb_hk_adc1_rd_config_1.diff1;</t>
  </si>
  <si>
    <t xml:space="preserve">  when (16#550#) =&gt;</t>
  </si>
  <si>
    <t xml:space="preserve">      -- AEB Housekeeping Area Register "ADC1_RD_CONFIG_1" : "DIFF0" Field</t>
  </si>
  <si>
    <t xml:space="preserve">      avalon_mm_rmap_o.readdata(0) &lt;= rmap_registers_wr_i.aeb_hk_adc1_rd_config_1.diff0;</t>
  </si>
  <si>
    <t xml:space="preserve">  when (16#551#) =&gt;</t>
  </si>
  <si>
    <t xml:space="preserve">      -- AEB Housekeeping Area Register "ADC1_RD_CONFIG_2" : "AIN7" Field</t>
  </si>
  <si>
    <t xml:space="preserve">      avalon_mm_rmap_o.readdata(0) &lt;= rmap_registers_wr_i.aeb_hk_adc1_rd_config_2.ain7;</t>
  </si>
  <si>
    <t xml:space="preserve">  when (16#552#) =&gt;</t>
  </si>
  <si>
    <t xml:space="preserve">      -- AEB Housekeeping Area Register "ADC1_RD_CONFIG_2" : "AIN6" Field</t>
  </si>
  <si>
    <t xml:space="preserve">      avalon_mm_rmap_o.readdata(0) &lt;= rmap_registers_wr_i.aeb_hk_adc1_rd_config_2.ain6;</t>
  </si>
  <si>
    <t xml:space="preserve">  when (16#553#) =&gt;</t>
  </si>
  <si>
    <t xml:space="preserve">      -- AEB Housekeeping Area Register "ADC1_RD_CONFIG_2" : "AIN5" Field</t>
  </si>
  <si>
    <t xml:space="preserve">      avalon_mm_rmap_o.readdata(0) &lt;= rmap_registers_wr_i.aeb_hk_adc1_rd_config_2.ain5;</t>
  </si>
  <si>
    <t xml:space="preserve">  when (16#554#) =&gt;</t>
  </si>
  <si>
    <t xml:space="preserve">      -- AEB Housekeeping Area Register "ADC1_RD_CONFIG_2" : "AIN4" Field</t>
  </si>
  <si>
    <t xml:space="preserve">      avalon_mm_rmap_o.readdata(0) &lt;= rmap_registers_wr_i.aeb_hk_adc1_rd_config_2.ain4;</t>
  </si>
  <si>
    <t xml:space="preserve">  when (16#555#) =&gt;</t>
  </si>
  <si>
    <t xml:space="preserve">      -- AEB Housekeeping Area Register "ADC1_RD_CONFIG_2" : "AIN3" Field</t>
  </si>
  <si>
    <t xml:space="preserve">      avalon_mm_rmap_o.readdata(0) &lt;= rmap_registers_wr_i.aeb_hk_adc1_rd_config_2.ain3;</t>
  </si>
  <si>
    <t xml:space="preserve">  when (16#556#) =&gt;</t>
  </si>
  <si>
    <t xml:space="preserve">      -- AEB Housekeeping Area Register "ADC1_RD_CONFIG_2" : "AIN2" Field</t>
  </si>
  <si>
    <t xml:space="preserve">      avalon_mm_rmap_o.readdata(0) &lt;= rmap_registers_wr_i.aeb_hk_adc1_rd_config_2.ain2;</t>
  </si>
  <si>
    <t xml:space="preserve">  when (16#557#) =&gt;</t>
  </si>
  <si>
    <t xml:space="preserve">      -- AEB Housekeeping Area Register "ADC1_RD_CONFIG_2" : "AIN1" Field</t>
  </si>
  <si>
    <t xml:space="preserve">      avalon_mm_rmap_o.readdata(0) &lt;= rmap_registers_wr_i.aeb_hk_adc1_rd_config_2.ain1;</t>
  </si>
  <si>
    <t xml:space="preserve">  when (16#558#) =&gt;</t>
  </si>
  <si>
    <t xml:space="preserve">      -- AEB Housekeeping Area Register "ADC1_RD_CONFIG_2" : "AIN0" Field</t>
  </si>
  <si>
    <t xml:space="preserve">      avalon_mm_rmap_o.readdata(0) &lt;= rmap_registers_wr_i.aeb_hk_adc1_rd_config_2.ain0;</t>
  </si>
  <si>
    <t xml:space="preserve">  when (16#559#) =&gt;</t>
  </si>
  <si>
    <t xml:space="preserve">      -- AEB Housekeeping Area Register "ADC1_RD_CONFIG_2" : "AIN15" Field</t>
  </si>
  <si>
    <t xml:space="preserve">      avalon_mm_rmap_o.readdata(0) &lt;= rmap_registers_wr_i.aeb_hk_adc1_rd_config_2.ain15;</t>
  </si>
  <si>
    <t xml:space="preserve">  when (16#55A#) =&gt;</t>
  </si>
  <si>
    <t xml:space="preserve">      -- AEB Housekeeping Area Register "ADC1_RD_CONFIG_2" : "AIN14" Field</t>
  </si>
  <si>
    <t xml:space="preserve">      avalon_mm_rmap_o.readdata(0) &lt;= rmap_registers_wr_i.aeb_hk_adc1_rd_config_2.ain14;</t>
  </si>
  <si>
    <t xml:space="preserve">  when (16#55B#) =&gt;</t>
  </si>
  <si>
    <t xml:space="preserve">      -- AEB Housekeeping Area Register "ADC1_RD_CONFIG_2" : "AIN13" Field</t>
  </si>
  <si>
    <t xml:space="preserve">      avalon_mm_rmap_o.readdata(0) &lt;= rmap_registers_wr_i.aeb_hk_adc1_rd_config_2.ain13;</t>
  </si>
  <si>
    <t xml:space="preserve">  when (16#55C#) =&gt;</t>
  </si>
  <si>
    <t xml:space="preserve">      -- AEB Housekeeping Area Register "ADC1_RD_CONFIG_2" : "AIN12" Field</t>
  </si>
  <si>
    <t xml:space="preserve">      avalon_mm_rmap_o.readdata(0) &lt;= rmap_registers_wr_i.aeb_hk_adc1_rd_config_2.ain12;</t>
  </si>
  <si>
    <t xml:space="preserve">  when (16#55D#) =&gt;</t>
  </si>
  <si>
    <t xml:space="preserve">      -- AEB Housekeeping Area Register "ADC1_RD_CONFIG_2" : "AIN11" Field</t>
  </si>
  <si>
    <t xml:space="preserve">      avalon_mm_rmap_o.readdata(0) &lt;= rmap_registers_wr_i.aeb_hk_adc1_rd_config_2.ain11;</t>
  </si>
  <si>
    <t xml:space="preserve">  when (16#55E#) =&gt;</t>
  </si>
  <si>
    <t xml:space="preserve">      -- AEB Housekeeping Area Register "ADC1_RD_CONFIG_2" : "AIN10" Field</t>
  </si>
  <si>
    <t xml:space="preserve">      avalon_mm_rmap_o.readdata(0) &lt;= rmap_registers_wr_i.aeb_hk_adc1_rd_config_2.ain10;</t>
  </si>
  <si>
    <t xml:space="preserve">  when (16#55F#) =&gt;</t>
  </si>
  <si>
    <t xml:space="preserve">      -- AEB Housekeeping Area Register "ADC1_RD_CONFIG_2" : "AIN9" Field</t>
  </si>
  <si>
    <t xml:space="preserve">      avalon_mm_rmap_o.readdata(0) &lt;= rmap_registers_wr_i.aeb_hk_adc1_rd_config_2.ain9;</t>
  </si>
  <si>
    <t xml:space="preserve">  when (16#560#) =&gt;</t>
  </si>
  <si>
    <t xml:space="preserve">      -- AEB Housekeeping Area Register "ADC1_RD_CONFIG_2" : "AIN8" Field</t>
  </si>
  <si>
    <t xml:space="preserve">      avalon_mm_rmap_o.readdata(0) &lt;= rmap_registers_wr_i.aeb_hk_adc1_rd_config_2.ain8;</t>
  </si>
  <si>
    <t xml:space="preserve">  when (16#561#) =&gt;</t>
  </si>
  <si>
    <t xml:space="preserve">      -- AEB Housekeeping Area Register "ADC1_RD_CONFIG_2" : "REF" Field</t>
  </si>
  <si>
    <t xml:space="preserve">      avalon_mm_rmap_o.readdata(0) &lt;= rmap_registers_wr_i.aeb_hk_adc1_rd_config_2.ref;</t>
  </si>
  <si>
    <t xml:space="preserve">  when (16#562#) =&gt;</t>
  </si>
  <si>
    <t xml:space="preserve">      -- AEB Housekeeping Area Register "ADC1_RD_CONFIG_2" : "GAIN" Field</t>
  </si>
  <si>
    <t xml:space="preserve">      avalon_mm_rmap_o.readdata(0) &lt;= rmap_registers_wr_i.aeb_hk_adc1_rd_config_2.gain;</t>
  </si>
  <si>
    <t xml:space="preserve">  when (16#563#) =&gt;</t>
  </si>
  <si>
    <t xml:space="preserve">      -- AEB Housekeeping Area Register "ADC1_RD_CONFIG_2" : "TEMP" Field</t>
  </si>
  <si>
    <t xml:space="preserve">      avalon_mm_rmap_o.readdata(0) &lt;= rmap_registers_wr_i.aeb_hk_adc1_rd_config_2.temp;</t>
  </si>
  <si>
    <t xml:space="preserve">  when (16#564#) =&gt;</t>
  </si>
  <si>
    <t xml:space="preserve">      -- AEB Housekeeping Area Register "ADC1_RD_CONFIG_2" : "VCC" Field</t>
  </si>
  <si>
    <t xml:space="preserve">      avalon_mm_rmap_o.readdata(0) &lt;= rmap_registers_wr_i.aeb_hk_adc1_rd_config_2.vcc;</t>
  </si>
  <si>
    <t xml:space="preserve">  when (16#565#) =&gt;</t>
  </si>
  <si>
    <t xml:space="preserve">      -- AEB Housekeeping Area Register "ADC1_RD_CONFIG_2" : "OFFSET" Field</t>
  </si>
  <si>
    <t xml:space="preserve">      avalon_mm_rmap_o.readdata(0) &lt;= rmap_registers_wr_i.aeb_hk_adc1_rd_config_2.offset;</t>
  </si>
  <si>
    <t xml:space="preserve">  when (16#566#) =&gt;</t>
  </si>
  <si>
    <t xml:space="preserve">      -- AEB Housekeeping Area Register "ADC1_RD_CONFIG_2" : "CIO7" Field</t>
  </si>
  <si>
    <t xml:space="preserve">      avalon_mm_rmap_o.readdata(0) &lt;= rmap_registers_wr_i.aeb_hk_adc1_rd_config_2.cio7;</t>
  </si>
  <si>
    <t xml:space="preserve">  when (16#567#) =&gt;</t>
  </si>
  <si>
    <t xml:space="preserve">      -- AEB Housekeeping Area Register "ADC1_RD_CONFIG_2" : "CIO6" Field</t>
  </si>
  <si>
    <t xml:space="preserve">      avalon_mm_rmap_o.readdata(0) &lt;= rmap_registers_wr_i.aeb_hk_adc1_rd_config_2.cio6;</t>
  </si>
  <si>
    <t xml:space="preserve">  when (16#568#) =&gt;</t>
  </si>
  <si>
    <t xml:space="preserve">      -- AEB Housekeeping Area Register "ADC1_RD_CONFIG_2" : "CIO5" Field</t>
  </si>
  <si>
    <t xml:space="preserve">      avalon_mm_rmap_o.readdata(0) &lt;= rmap_registers_wr_i.aeb_hk_adc1_rd_config_2.cio5;</t>
  </si>
  <si>
    <t xml:space="preserve">  when (16#569#) =&gt;</t>
  </si>
  <si>
    <t xml:space="preserve">      -- AEB Housekeeping Area Register "ADC1_RD_CONFIG_2" : "CIO4" Field</t>
  </si>
  <si>
    <t xml:space="preserve">      avalon_mm_rmap_o.readdata(0) &lt;= rmap_registers_wr_i.aeb_hk_adc1_rd_config_2.cio4;</t>
  </si>
  <si>
    <t xml:space="preserve">  when (16#56A#) =&gt;</t>
  </si>
  <si>
    <t xml:space="preserve">      -- AEB Housekeeping Area Register "ADC1_RD_CONFIG_2" : "CIO3" Field</t>
  </si>
  <si>
    <t xml:space="preserve">      avalon_mm_rmap_o.readdata(0) &lt;= rmap_registers_wr_i.aeb_hk_adc1_rd_config_2.cio3;</t>
  </si>
  <si>
    <t xml:space="preserve">  when (16#56B#) =&gt;</t>
  </si>
  <si>
    <t xml:space="preserve">      -- AEB Housekeeping Area Register "ADC1_RD_CONFIG_2" : "CIO2" Field</t>
  </si>
  <si>
    <t xml:space="preserve">      avalon_mm_rmap_o.readdata(0) &lt;= rmap_registers_wr_i.aeb_hk_adc1_rd_config_2.cio2;</t>
  </si>
  <si>
    <t xml:space="preserve">  when (16#56C#) =&gt;</t>
  </si>
  <si>
    <t xml:space="preserve">      -- AEB Housekeeping Area Register "ADC1_RD_CONFIG_2" : "CIO1" Field</t>
  </si>
  <si>
    <t xml:space="preserve">      avalon_mm_rmap_o.readdata(0) &lt;= rmap_registers_wr_i.aeb_hk_adc1_rd_config_2.cio1;</t>
  </si>
  <si>
    <t xml:space="preserve">  when (16#56D#) =&gt;</t>
  </si>
  <si>
    <t xml:space="preserve">      -- AEB Housekeeping Area Register "ADC1_RD_CONFIG_2" : "CIO0" Field</t>
  </si>
  <si>
    <t xml:space="preserve">      avalon_mm_rmap_o.readdata(0) &lt;= rmap_registers_wr_i.aeb_hk_adc1_rd_config_2.cio0;</t>
  </si>
  <si>
    <t xml:space="preserve">  when (16#56E#) =&gt;</t>
  </si>
  <si>
    <t xml:space="preserve">      -- AEB Housekeeping Area Register "ADC1_RD_CONFIG_3" : "DIO7" Field</t>
  </si>
  <si>
    <t xml:space="preserve">      avalon_mm_rmap_o.readdata(0) &lt;= rmap_registers_wr_i.aeb_hk_adc1_rd_config_3.dio7;</t>
  </si>
  <si>
    <t xml:space="preserve">  when (16#56F#) =&gt;</t>
  </si>
  <si>
    <t xml:space="preserve">      -- AEB Housekeeping Area Register "ADC1_RD_CONFIG_3" : "DIO6" Field</t>
  </si>
  <si>
    <t xml:space="preserve">      avalon_mm_rmap_o.readdata(0) &lt;= rmap_registers_wr_i.aeb_hk_adc1_rd_config_3.dio6;</t>
  </si>
  <si>
    <t xml:space="preserve">  when (16#570#) =&gt;</t>
  </si>
  <si>
    <t xml:space="preserve">      -- AEB Housekeeping Area Register "ADC1_RD_CONFIG_3" : "DIO5" Field</t>
  </si>
  <si>
    <t xml:space="preserve">      avalon_mm_rmap_o.readdata(0) &lt;= rmap_registers_wr_i.aeb_hk_adc1_rd_config_3.dio5;</t>
  </si>
  <si>
    <t xml:space="preserve">  when (16#571#) =&gt;</t>
  </si>
  <si>
    <t xml:space="preserve">      -- AEB Housekeeping Area Register "ADC1_RD_CONFIG_3" : "DIO4" Field</t>
  </si>
  <si>
    <t xml:space="preserve">      avalon_mm_rmap_o.readdata(0) &lt;= rmap_registers_wr_i.aeb_hk_adc1_rd_config_3.dio4;</t>
  </si>
  <si>
    <t xml:space="preserve">  when (16#572#) =&gt;</t>
  </si>
  <si>
    <t xml:space="preserve">      -- AEB Housekeeping Area Register "ADC1_RD_CONFIG_3" : "DIO3" Field</t>
  </si>
  <si>
    <t xml:space="preserve">      avalon_mm_rmap_o.readdata(0) &lt;= rmap_registers_wr_i.aeb_hk_adc1_rd_config_3.dio3;</t>
  </si>
  <si>
    <t xml:space="preserve">  when (16#573#) =&gt;</t>
  </si>
  <si>
    <t xml:space="preserve">      -- AEB Housekeeping Area Register "ADC1_RD_CONFIG_3" : "DIO2" Field</t>
  </si>
  <si>
    <t xml:space="preserve">      avalon_mm_rmap_o.readdata(0) &lt;= rmap_registers_wr_i.aeb_hk_adc1_rd_config_3.dio2;</t>
  </si>
  <si>
    <t xml:space="preserve">  when (16#574#) =&gt;</t>
  </si>
  <si>
    <t xml:space="preserve">      -- AEB Housekeeping Area Register "ADC1_RD_CONFIG_3" : "DIO1" Field</t>
  </si>
  <si>
    <t xml:space="preserve">      avalon_mm_rmap_o.readdata(0) &lt;= rmap_registers_wr_i.aeb_hk_adc1_rd_config_3.dio1;</t>
  </si>
  <si>
    <t xml:space="preserve">  when (16#575#) =&gt;</t>
  </si>
  <si>
    <t xml:space="preserve">      -- AEB Housekeeping Area Register "ADC1_RD_CONFIG_3" : "DIO0" Field</t>
  </si>
  <si>
    <t xml:space="preserve">      avalon_mm_rmap_o.readdata(0) &lt;= rmap_registers_wr_i.aeb_hk_adc1_rd_config_3.dio0;</t>
  </si>
  <si>
    <t xml:space="preserve">  when (16#576#) =&gt;</t>
  </si>
  <si>
    <t xml:space="preserve">      -- AEB Housekeeping Area Register "ADC2_RD_CONFIG_1" : "SPIRST" Field</t>
  </si>
  <si>
    <t xml:space="preserve">      avalon_mm_rmap_o.readdata(0) &lt;= rmap_registers_wr_i.aeb_hk_adc2_rd_config_1.spirst;</t>
  </si>
  <si>
    <t xml:space="preserve">  when (16#577#) =&gt;</t>
  </si>
  <si>
    <t xml:space="preserve">      -- AEB Housekeeping Area Register "ADC2_RD_CONFIG_1" : "MUXMOD" Field</t>
  </si>
  <si>
    <t xml:space="preserve">      avalon_mm_rmap_o.readdata(0) &lt;= rmap_registers_wr_i.aeb_hk_adc2_rd_config_1.muxmod;</t>
  </si>
  <si>
    <t xml:space="preserve">  when (16#578#) =&gt;</t>
  </si>
  <si>
    <t xml:space="preserve">      -- AEB Housekeeping Area Register "ADC2_RD_CONFIG_1" : "BYPAS" Field</t>
  </si>
  <si>
    <t xml:space="preserve">      avalon_mm_rmap_o.readdata(0) &lt;= rmap_registers_wr_i.aeb_hk_adc2_rd_config_1.bypas;</t>
  </si>
  <si>
    <t xml:space="preserve">  when (16#579#) =&gt;</t>
  </si>
  <si>
    <t xml:space="preserve">      -- AEB Housekeeping Area Register "ADC2_RD_CONFIG_1" : "CLKENB" Field</t>
  </si>
  <si>
    <t xml:space="preserve">      avalon_mm_rmap_o.readdata(0) &lt;= rmap_registers_wr_i.aeb_hk_adc2_rd_config_1.clkenb;</t>
  </si>
  <si>
    <t xml:space="preserve">  when (16#57A#) =&gt;</t>
  </si>
  <si>
    <t xml:space="preserve">      -- AEB Housekeeping Area Register "ADC2_RD_CONFIG_1" : "CHOP" Field</t>
  </si>
  <si>
    <t xml:space="preserve">      avalon_mm_rmap_o.readdata(0) &lt;= rmap_registers_wr_i.aeb_hk_adc2_rd_config_1.chop;</t>
  </si>
  <si>
    <t xml:space="preserve">  when (16#57B#) =&gt;</t>
  </si>
  <si>
    <t xml:space="preserve">      -- AEB Housekeeping Area Register "ADC2_RD_CONFIG_1" : "STAT" Field</t>
  </si>
  <si>
    <t xml:space="preserve">      avalon_mm_rmap_o.readdata(0) &lt;= rmap_registers_wr_i.aeb_hk_adc2_rd_config_1.stat;</t>
  </si>
  <si>
    <t xml:space="preserve">  when (16#57C#) =&gt;</t>
  </si>
  <si>
    <t xml:space="preserve">      -- AEB Housekeeping Area Register "ADC2_RD_CONFIG_1" : "IDLMOD" Field</t>
  </si>
  <si>
    <t xml:space="preserve">      avalon_mm_rmap_o.readdata(0) &lt;= rmap_registers_wr_i.aeb_hk_adc2_rd_config_1.idlmod;</t>
  </si>
  <si>
    <t xml:space="preserve">  when (16#57D#) =&gt;</t>
  </si>
  <si>
    <t xml:space="preserve">      -- AEB Housekeeping Area Register "ADC2_RD_CONFIG_1" : "DLY2" Field</t>
  </si>
  <si>
    <t xml:space="preserve">      avalon_mm_rmap_o.readdata(0) &lt;= rmap_registers_wr_i.aeb_hk_adc2_rd_config_1.dly2;</t>
  </si>
  <si>
    <t xml:space="preserve">  when (16#57E#) =&gt;</t>
  </si>
  <si>
    <t xml:space="preserve">      -- AEB Housekeeping Area Register "ADC2_RD_CONFIG_1" : "DLY1" Field</t>
  </si>
  <si>
    <t xml:space="preserve">      avalon_mm_rmap_o.readdata(0) &lt;= rmap_registers_wr_i.aeb_hk_adc2_rd_config_1.dly1;</t>
  </si>
  <si>
    <t xml:space="preserve">  when (16#57F#) =&gt;</t>
  </si>
  <si>
    <t xml:space="preserve">      -- AEB Housekeeping Area Register "ADC2_RD_CONFIG_1" : "DLY0" Field</t>
  </si>
  <si>
    <t xml:space="preserve">      avalon_mm_rmap_o.readdata(0) &lt;= rmap_registers_wr_i.aeb_hk_adc2_rd_config_1.dly0;</t>
  </si>
  <si>
    <t xml:space="preserve">  when (16#580#) =&gt;</t>
  </si>
  <si>
    <t xml:space="preserve">      -- AEB Housekeeping Area Register "ADC2_RD_CONFIG_1" : "SBCS1" Field</t>
  </si>
  <si>
    <t xml:space="preserve">      avalon_mm_rmap_o.readdata(0) &lt;= rmap_registers_wr_i.aeb_hk_adc2_rd_config_1.sbcs1;</t>
  </si>
  <si>
    <t xml:space="preserve">  when (16#581#) =&gt;</t>
  </si>
  <si>
    <t xml:space="preserve">      -- AEB Housekeeping Area Register "ADC2_RD_CONFIG_1" : "SBCS0" Field</t>
  </si>
  <si>
    <t xml:space="preserve">      avalon_mm_rmap_o.readdata(0) &lt;= rmap_registers_wr_i.aeb_hk_adc2_rd_config_1.sbcs0;</t>
  </si>
  <si>
    <t xml:space="preserve">  when (16#582#) =&gt;</t>
  </si>
  <si>
    <t xml:space="preserve">      -- AEB Housekeeping Area Register "ADC2_RD_CONFIG_1" : "DRATE1" Field</t>
  </si>
  <si>
    <t xml:space="preserve">      avalon_mm_rmap_o.readdata(0) &lt;= rmap_registers_wr_i.aeb_hk_adc2_rd_config_1.drate1;</t>
  </si>
  <si>
    <t xml:space="preserve">  when (16#583#) =&gt;</t>
  </si>
  <si>
    <t xml:space="preserve">      -- AEB Housekeeping Area Register "ADC2_RD_CONFIG_1" : "DRATE0" Field</t>
  </si>
  <si>
    <t xml:space="preserve">      avalon_mm_rmap_o.readdata(0) &lt;= rmap_registers_wr_i.aeb_hk_adc2_rd_config_1.drate0;</t>
  </si>
  <si>
    <t xml:space="preserve">  when (16#584#) =&gt;</t>
  </si>
  <si>
    <t xml:space="preserve">      -- AEB Housekeeping Area Register "ADC2_RD_CONFIG_1" : "AINP3" Field</t>
  </si>
  <si>
    <t xml:space="preserve">      avalon_mm_rmap_o.readdata(0) &lt;= rmap_registers_wr_i.aeb_hk_adc2_rd_config_1.ainp3;</t>
  </si>
  <si>
    <t xml:space="preserve">  when (16#585#) =&gt;</t>
  </si>
  <si>
    <t xml:space="preserve">      -- AEB Housekeeping Area Register "ADC2_RD_CONFIG_1" : "AINP2" Field</t>
  </si>
  <si>
    <t xml:space="preserve">      avalon_mm_rmap_o.readdata(0) &lt;= rmap_registers_wr_i.aeb_hk_adc2_rd_config_1.ainp2;</t>
  </si>
  <si>
    <t xml:space="preserve">  when (16#586#) =&gt;</t>
  </si>
  <si>
    <t xml:space="preserve">      -- AEB Housekeeping Area Register "ADC2_RD_CONFIG_1" : "AINP1" Field</t>
  </si>
  <si>
    <t xml:space="preserve">      avalon_mm_rmap_o.readdata(0) &lt;= rmap_registers_wr_i.aeb_hk_adc2_rd_config_1.ainp1;</t>
  </si>
  <si>
    <t xml:space="preserve">  when (16#587#) =&gt;</t>
  </si>
  <si>
    <t xml:space="preserve">      -- AEB Housekeeping Area Register "ADC2_RD_CONFIG_1" : "AINP0" Field</t>
  </si>
  <si>
    <t xml:space="preserve">      avalon_mm_rmap_o.readdata(0) &lt;= rmap_registers_wr_i.aeb_hk_adc2_rd_config_1.ainp0;</t>
  </si>
  <si>
    <t xml:space="preserve">  when (16#588#) =&gt;</t>
  </si>
  <si>
    <t xml:space="preserve">      -- AEB Housekeeping Area Register "ADC2_RD_CONFIG_1" : "AINN3" Field</t>
  </si>
  <si>
    <t xml:space="preserve">      avalon_mm_rmap_o.readdata(0) &lt;= rmap_registers_wr_i.aeb_hk_adc2_rd_config_1.ainn3;</t>
  </si>
  <si>
    <t xml:space="preserve">  when (16#589#) =&gt;</t>
  </si>
  <si>
    <t xml:space="preserve">      -- AEB Housekeeping Area Register "ADC2_RD_CONFIG_1" : "AINN2" Field</t>
  </si>
  <si>
    <t xml:space="preserve">      avalon_mm_rmap_o.readdata(0) &lt;= rmap_registers_wr_i.aeb_hk_adc2_rd_config_1.ainn2;</t>
  </si>
  <si>
    <t xml:space="preserve">  when (16#58A#) =&gt;</t>
  </si>
  <si>
    <t xml:space="preserve">      -- AEB Housekeeping Area Register "ADC2_RD_CONFIG_1" : "AINN1" Field</t>
  </si>
  <si>
    <t xml:space="preserve">      avalon_mm_rmap_o.readdata(0) &lt;= rmap_registers_wr_i.aeb_hk_adc2_rd_config_1.ainn1;</t>
  </si>
  <si>
    <t xml:space="preserve">  when (16#58B#) =&gt;</t>
  </si>
  <si>
    <t xml:space="preserve">      -- AEB Housekeeping Area Register "ADC2_RD_CONFIG_1" : "AINN0" Field</t>
  </si>
  <si>
    <t xml:space="preserve">      avalon_mm_rmap_o.readdata(0) &lt;= rmap_registers_wr_i.aeb_hk_adc2_rd_config_1.ainn0;</t>
  </si>
  <si>
    <t xml:space="preserve">  when (16#58C#) =&gt;</t>
  </si>
  <si>
    <t xml:space="preserve">      -- AEB Housekeeping Area Register "ADC2_RD_CONFIG_1" : "DIFF7" Field</t>
  </si>
  <si>
    <t xml:space="preserve">      avalon_mm_rmap_o.readdata(0) &lt;= rmap_registers_wr_i.aeb_hk_adc2_rd_config_1.diff7;</t>
  </si>
  <si>
    <t xml:space="preserve">  when (16#58D#) =&gt;</t>
  </si>
  <si>
    <t xml:space="preserve">      -- AEB Housekeeping Area Register "ADC2_RD_CONFIG_1" : "DIFF6" Field</t>
  </si>
  <si>
    <t xml:space="preserve">      avalon_mm_rmap_o.readdata(0) &lt;= rmap_registers_wr_i.aeb_hk_adc2_rd_config_1.diff6;</t>
  </si>
  <si>
    <t xml:space="preserve">  when (16#58E#) =&gt;</t>
  </si>
  <si>
    <t xml:space="preserve">      -- AEB Housekeeping Area Register "ADC2_RD_CONFIG_1" : "DIFF5" Field</t>
  </si>
  <si>
    <t xml:space="preserve">      avalon_mm_rmap_o.readdata(0) &lt;= rmap_registers_wr_i.aeb_hk_adc2_rd_config_1.diff5;</t>
  </si>
  <si>
    <t xml:space="preserve">  when (16#58F#) =&gt;</t>
  </si>
  <si>
    <t xml:space="preserve">      -- AEB Housekeeping Area Register "ADC2_RD_CONFIG_1" : "DIFF4" Field</t>
  </si>
  <si>
    <t xml:space="preserve">      avalon_mm_rmap_o.readdata(0) &lt;= rmap_registers_wr_i.aeb_hk_adc2_rd_config_1.diff4;</t>
  </si>
  <si>
    <t xml:space="preserve">  when (16#590#) =&gt;</t>
  </si>
  <si>
    <t xml:space="preserve">      -- AEB Housekeeping Area Register "ADC2_RD_CONFIG_1" : "DIFF3" Field</t>
  </si>
  <si>
    <t xml:space="preserve">      avalon_mm_rmap_o.readdata(0) &lt;= rmap_registers_wr_i.aeb_hk_adc2_rd_config_1.diff3;</t>
  </si>
  <si>
    <t xml:space="preserve">  when (16#591#) =&gt;</t>
  </si>
  <si>
    <t xml:space="preserve">      -- AEB Housekeeping Area Register "ADC2_RD_CONFIG_1" : "DIFF2" Field</t>
  </si>
  <si>
    <t xml:space="preserve">      avalon_mm_rmap_o.readdata(0) &lt;= rmap_registers_wr_i.aeb_hk_adc2_rd_config_1.diff2;</t>
  </si>
  <si>
    <t xml:space="preserve">  when (16#592#) =&gt;</t>
  </si>
  <si>
    <t xml:space="preserve">      -- AEB Housekeeping Area Register "ADC2_RD_CONFIG_1" : "DIFF1" Field</t>
  </si>
  <si>
    <t xml:space="preserve">      avalon_mm_rmap_o.readdata(0) &lt;= rmap_registers_wr_i.aeb_hk_adc2_rd_config_1.diff1;</t>
  </si>
  <si>
    <t xml:space="preserve">  when (16#593#) =&gt;</t>
  </si>
  <si>
    <t xml:space="preserve">      -- AEB Housekeeping Area Register "ADC2_RD_CONFIG_1" : "DIFF0" Field</t>
  </si>
  <si>
    <t xml:space="preserve">      avalon_mm_rmap_o.readdata(0) &lt;= rmap_registers_wr_i.aeb_hk_adc2_rd_config_1.diff0;</t>
  </si>
  <si>
    <t xml:space="preserve">  when (16#594#) =&gt;</t>
  </si>
  <si>
    <t xml:space="preserve">      -- AEB Housekeeping Area Register "ADC2_RD_CONFIG_2" : "AIN7" Field</t>
  </si>
  <si>
    <t xml:space="preserve">      avalon_mm_rmap_o.readdata(0) &lt;= rmap_registers_wr_i.aeb_hk_adc2_rd_config_2.ain7;</t>
  </si>
  <si>
    <t xml:space="preserve">  when (16#595#) =&gt;</t>
  </si>
  <si>
    <t xml:space="preserve">      -- AEB Housekeeping Area Register "ADC2_RD_CONFIG_2" : "AIN6" Field</t>
  </si>
  <si>
    <t xml:space="preserve">      avalon_mm_rmap_o.readdata(0) &lt;= rmap_registers_wr_i.aeb_hk_adc2_rd_config_2.ain6;</t>
  </si>
  <si>
    <t xml:space="preserve">  when (16#596#) =&gt;</t>
  </si>
  <si>
    <t xml:space="preserve">      -- AEB Housekeeping Area Register "ADC2_RD_CONFIG_2" : "AIN5" Field</t>
  </si>
  <si>
    <t xml:space="preserve">      avalon_mm_rmap_o.readdata(0) &lt;= rmap_registers_wr_i.aeb_hk_adc2_rd_config_2.ain5;</t>
  </si>
  <si>
    <t xml:space="preserve">  when (16#597#) =&gt;</t>
  </si>
  <si>
    <t xml:space="preserve">      -- AEB Housekeeping Area Register "ADC2_RD_CONFIG_2" : "AIN4" Field</t>
  </si>
  <si>
    <t xml:space="preserve">      avalon_mm_rmap_o.readdata(0) &lt;= rmap_registers_wr_i.aeb_hk_adc2_rd_config_2.ain4;</t>
  </si>
  <si>
    <t xml:space="preserve">  when (16#598#) =&gt;</t>
  </si>
  <si>
    <t xml:space="preserve">      -- AEB Housekeeping Area Register "ADC2_RD_CONFIG_2" : "AIN3" Field</t>
  </si>
  <si>
    <t xml:space="preserve">      avalon_mm_rmap_o.readdata(0) &lt;= rmap_registers_wr_i.aeb_hk_adc2_rd_config_2.ain3;</t>
  </si>
  <si>
    <t xml:space="preserve">  when (16#599#) =&gt;</t>
  </si>
  <si>
    <t xml:space="preserve">      -- AEB Housekeeping Area Register "ADC2_RD_CONFIG_2" : "AIN2" Field</t>
  </si>
  <si>
    <t xml:space="preserve">      avalon_mm_rmap_o.readdata(0) &lt;= rmap_registers_wr_i.aeb_hk_adc2_rd_config_2.ain2;</t>
  </si>
  <si>
    <t xml:space="preserve">  when (16#59A#) =&gt;</t>
  </si>
  <si>
    <t xml:space="preserve">      -- AEB Housekeeping Area Register "ADC2_RD_CONFIG_2" : "AIN1" Field</t>
  </si>
  <si>
    <t xml:space="preserve">      avalon_mm_rmap_o.readdata(0) &lt;= rmap_registers_wr_i.aeb_hk_adc2_rd_config_2.ain1;</t>
  </si>
  <si>
    <t xml:space="preserve">  when (16#59B#) =&gt;</t>
  </si>
  <si>
    <t xml:space="preserve">      -- AEB Housekeeping Area Register "ADC2_RD_CONFIG_2" : "AIN0" Field</t>
  </si>
  <si>
    <t xml:space="preserve">      avalon_mm_rmap_o.readdata(0) &lt;= rmap_registers_wr_i.aeb_hk_adc2_rd_config_2.ain0;</t>
  </si>
  <si>
    <t xml:space="preserve">  when (16#59C#) =&gt;</t>
  </si>
  <si>
    <t xml:space="preserve">      -- AEB Housekeeping Area Register "ADC2_RD_CONFIG_2" : "AIN15" Field</t>
  </si>
  <si>
    <t xml:space="preserve">      avalon_mm_rmap_o.readdata(0) &lt;= rmap_registers_wr_i.aeb_hk_adc2_rd_config_2.ain15;</t>
  </si>
  <si>
    <t xml:space="preserve">  when (16#59D#) =&gt;</t>
  </si>
  <si>
    <t xml:space="preserve">      -- AEB Housekeeping Area Register "ADC2_RD_CONFIG_2" : "AIN14" Field</t>
  </si>
  <si>
    <t xml:space="preserve">      avalon_mm_rmap_o.readdata(0) &lt;= rmap_registers_wr_i.aeb_hk_adc2_rd_config_2.ain14;</t>
  </si>
  <si>
    <t xml:space="preserve">  when (16#59E#) =&gt;</t>
  </si>
  <si>
    <t xml:space="preserve">      -- AEB Housekeeping Area Register "ADC2_RD_CONFIG_2" : "AIN13" Field</t>
  </si>
  <si>
    <t xml:space="preserve">      avalon_mm_rmap_o.readdata(0) &lt;= rmap_registers_wr_i.aeb_hk_adc2_rd_config_2.ain13;</t>
  </si>
  <si>
    <t xml:space="preserve">  when (16#59F#) =&gt;</t>
  </si>
  <si>
    <t xml:space="preserve">      -- AEB Housekeeping Area Register "ADC2_RD_CONFIG_2" : "AIN12" Field</t>
  </si>
  <si>
    <t xml:space="preserve">      avalon_mm_rmap_o.readdata(0) &lt;= rmap_registers_wr_i.aeb_hk_adc2_rd_config_2.ain12;</t>
  </si>
  <si>
    <t xml:space="preserve">  when (16#5A0#) =&gt;</t>
  </si>
  <si>
    <t xml:space="preserve">      -- AEB Housekeeping Area Register "ADC2_RD_CONFIG_2" : "AIN11" Field</t>
  </si>
  <si>
    <t xml:space="preserve">      avalon_mm_rmap_o.readdata(0) &lt;= rmap_registers_wr_i.aeb_hk_adc2_rd_config_2.ain11;</t>
  </si>
  <si>
    <t xml:space="preserve">  when (16#5A1#) =&gt;</t>
  </si>
  <si>
    <t xml:space="preserve">      -- AEB Housekeeping Area Register "ADC2_RD_CONFIG_2" : "AIN10" Field</t>
  </si>
  <si>
    <t xml:space="preserve">      avalon_mm_rmap_o.readdata(0) &lt;= rmap_registers_wr_i.aeb_hk_adc2_rd_config_2.ain10;</t>
  </si>
  <si>
    <t xml:space="preserve">  when (16#5A2#) =&gt;</t>
  </si>
  <si>
    <t xml:space="preserve">      -- AEB Housekeeping Area Register "ADC2_RD_CONFIG_2" : "AIN9" Field</t>
  </si>
  <si>
    <t xml:space="preserve">      avalon_mm_rmap_o.readdata(0) &lt;= rmap_registers_wr_i.aeb_hk_adc2_rd_config_2.ain9;</t>
  </si>
  <si>
    <t xml:space="preserve">  when (16#5A3#) =&gt;</t>
  </si>
  <si>
    <t xml:space="preserve">      -- AEB Housekeeping Area Register "ADC2_RD_CONFIG_2" : "AIN8" Field</t>
  </si>
  <si>
    <t xml:space="preserve">      avalon_mm_rmap_o.readdata(0) &lt;= rmap_registers_wr_i.aeb_hk_adc2_rd_config_2.ain8;</t>
  </si>
  <si>
    <t xml:space="preserve">  when (16#5A4#) =&gt;</t>
  </si>
  <si>
    <t xml:space="preserve">      -- AEB Housekeeping Area Register "ADC2_RD_CONFIG_2" : "REF" Field</t>
  </si>
  <si>
    <t xml:space="preserve">      avalon_mm_rmap_o.readdata(0) &lt;= rmap_registers_wr_i.aeb_hk_adc2_rd_config_2.ref;</t>
  </si>
  <si>
    <t xml:space="preserve">  when (16#5A5#) =&gt;</t>
  </si>
  <si>
    <t xml:space="preserve">      -- AEB Housekeeping Area Register "ADC2_RD_CONFIG_2" : "GAIN" Field</t>
  </si>
  <si>
    <t xml:space="preserve">      avalon_mm_rmap_o.readdata(0) &lt;= rmap_registers_wr_i.aeb_hk_adc2_rd_config_2.gain;</t>
  </si>
  <si>
    <t xml:space="preserve">  when (16#5A6#) =&gt;</t>
  </si>
  <si>
    <t xml:space="preserve">      -- AEB Housekeeping Area Register "ADC2_RD_CONFIG_2" : "TEMP" Field</t>
  </si>
  <si>
    <t xml:space="preserve">      avalon_mm_rmap_o.readdata(0) &lt;= rmap_registers_wr_i.aeb_hk_adc2_rd_config_2.temp;</t>
  </si>
  <si>
    <t xml:space="preserve">  when (16#5A7#) =&gt;</t>
  </si>
  <si>
    <t xml:space="preserve">      -- AEB Housekeeping Area Register "ADC2_RD_CONFIG_2" : "VCC" Field</t>
  </si>
  <si>
    <t xml:space="preserve">      avalon_mm_rmap_o.readdata(0) &lt;= rmap_registers_wr_i.aeb_hk_adc2_rd_config_2.vcc;</t>
  </si>
  <si>
    <t xml:space="preserve">  when (16#5A8#) =&gt;</t>
  </si>
  <si>
    <t xml:space="preserve">      -- AEB Housekeeping Area Register "ADC2_RD_CONFIG_2" : "OFFSET" Field</t>
  </si>
  <si>
    <t xml:space="preserve">      avalon_mm_rmap_o.readdata(0) &lt;= rmap_registers_wr_i.aeb_hk_adc2_rd_config_2.offset;</t>
  </si>
  <si>
    <t xml:space="preserve">  when (16#5A9#) =&gt;</t>
  </si>
  <si>
    <t xml:space="preserve">      -- AEB Housekeeping Area Register "ADC2_RD_CONFIG_2" : "CIO7" Field</t>
  </si>
  <si>
    <t xml:space="preserve">      avalon_mm_rmap_o.readdata(0) &lt;= rmap_registers_wr_i.aeb_hk_adc2_rd_config_2.cio7;</t>
  </si>
  <si>
    <t xml:space="preserve">  when (16#5AA#) =&gt;</t>
  </si>
  <si>
    <t xml:space="preserve">      -- AEB Housekeeping Area Register "ADC2_RD_CONFIG_2" : "CIO6" Field</t>
  </si>
  <si>
    <t xml:space="preserve">      avalon_mm_rmap_o.readdata(0) &lt;= rmap_registers_wr_i.aeb_hk_adc2_rd_config_2.cio6;</t>
  </si>
  <si>
    <t xml:space="preserve">  when (16#5AB#) =&gt;</t>
  </si>
  <si>
    <t xml:space="preserve">      -- AEB Housekeeping Area Register "ADC2_RD_CONFIG_2" : "CIO5" Field</t>
  </si>
  <si>
    <t xml:space="preserve">      avalon_mm_rmap_o.readdata(0) &lt;= rmap_registers_wr_i.aeb_hk_adc2_rd_config_2.cio5;</t>
  </si>
  <si>
    <t xml:space="preserve">  when (16#5AC#) =&gt;</t>
  </si>
  <si>
    <t xml:space="preserve">      -- AEB Housekeeping Area Register "ADC2_RD_CONFIG_2" : "CIO4" Field</t>
  </si>
  <si>
    <t xml:space="preserve">      avalon_mm_rmap_o.readdata(0) &lt;= rmap_registers_wr_i.aeb_hk_adc2_rd_config_2.cio4;</t>
  </si>
  <si>
    <t xml:space="preserve">  when (16#5AD#) =&gt;</t>
  </si>
  <si>
    <t xml:space="preserve">      -- AEB Housekeeping Area Register "ADC2_RD_CONFIG_2" : "CIO3" Field</t>
  </si>
  <si>
    <t xml:space="preserve">      avalon_mm_rmap_o.readdata(0) &lt;= rmap_registers_wr_i.aeb_hk_adc2_rd_config_2.cio3;</t>
  </si>
  <si>
    <t xml:space="preserve">  when (16#5AE#) =&gt;</t>
  </si>
  <si>
    <t xml:space="preserve">      -- AEB Housekeeping Area Register "ADC2_RD_CONFIG_2" : "CIO2" Field</t>
  </si>
  <si>
    <t xml:space="preserve">      avalon_mm_rmap_o.readdata(0) &lt;= rmap_registers_wr_i.aeb_hk_adc2_rd_config_2.cio2;</t>
  </si>
  <si>
    <t xml:space="preserve">  when (16#5AF#) =&gt;</t>
  </si>
  <si>
    <t xml:space="preserve">      -- AEB Housekeeping Area Register "ADC2_RD_CONFIG_2" : "CIO1" Field</t>
  </si>
  <si>
    <t xml:space="preserve">      avalon_mm_rmap_o.readdata(0) &lt;= rmap_registers_wr_i.aeb_hk_adc2_rd_config_2.cio1;</t>
  </si>
  <si>
    <t xml:space="preserve">  when (16#5B0#) =&gt;</t>
  </si>
  <si>
    <t xml:space="preserve">      -- AEB Housekeeping Area Register "ADC2_RD_CONFIG_2" : "CIO0" Field</t>
  </si>
  <si>
    <t xml:space="preserve">      avalon_mm_rmap_o.readdata(0) &lt;= rmap_registers_wr_i.aeb_hk_adc2_rd_config_2.cio0;</t>
  </si>
  <si>
    <t xml:space="preserve">  when (16#5B1#) =&gt;</t>
  </si>
  <si>
    <t xml:space="preserve">      -- AEB Housekeeping Area Register "ADC2_RD_CONFIG_3" : "DIO7" Field</t>
  </si>
  <si>
    <t xml:space="preserve">      avalon_mm_rmap_o.readdata(0) &lt;= rmap_registers_wr_i.aeb_hk_adc2_rd_config_3.dio7;</t>
  </si>
  <si>
    <t xml:space="preserve">  when (16#5B2#) =&gt;</t>
  </si>
  <si>
    <t xml:space="preserve">      -- AEB Housekeeping Area Register "ADC2_RD_CONFIG_3" : "DIO6" Field</t>
  </si>
  <si>
    <t xml:space="preserve">      avalon_mm_rmap_o.readdata(0) &lt;= rmap_registers_wr_i.aeb_hk_adc2_rd_config_3.dio6;</t>
  </si>
  <si>
    <t xml:space="preserve">  when (16#5B3#) =&gt;</t>
  </si>
  <si>
    <t xml:space="preserve">      -- AEB Housekeeping Area Register "ADC2_RD_CONFIG_3" : "DIO5" Field</t>
  </si>
  <si>
    <t xml:space="preserve">      avalon_mm_rmap_o.readdata(0) &lt;= rmap_registers_wr_i.aeb_hk_adc2_rd_config_3.dio5;</t>
  </si>
  <si>
    <t xml:space="preserve">  when (16#5B4#) =&gt;</t>
  </si>
  <si>
    <t xml:space="preserve">      -- AEB Housekeeping Area Register "ADC2_RD_CONFIG_3" : "DIO4" Field</t>
  </si>
  <si>
    <t xml:space="preserve">      avalon_mm_rmap_o.readdata(0) &lt;= rmap_registers_wr_i.aeb_hk_adc2_rd_config_3.dio4;</t>
  </si>
  <si>
    <t xml:space="preserve">  when (16#5B5#) =&gt;</t>
  </si>
  <si>
    <t xml:space="preserve">      -- AEB Housekeeping Area Register "ADC2_RD_CONFIG_3" : "DIO3" Field</t>
  </si>
  <si>
    <t xml:space="preserve">      avalon_mm_rmap_o.readdata(0) &lt;= rmap_registers_wr_i.aeb_hk_adc2_rd_config_3.dio3;</t>
  </si>
  <si>
    <t xml:space="preserve">  when (16#5B6#) =&gt;</t>
  </si>
  <si>
    <t xml:space="preserve">      -- AEB Housekeeping Area Register "ADC2_RD_CONFIG_3" : "DIO2" Field</t>
  </si>
  <si>
    <t xml:space="preserve">      avalon_mm_rmap_o.readdata(0) &lt;= rmap_registers_wr_i.aeb_hk_adc2_rd_config_3.dio2;</t>
  </si>
  <si>
    <t xml:space="preserve">  when (16#5B7#) =&gt;</t>
  </si>
  <si>
    <t xml:space="preserve">      -- AEB Housekeeping Area Register "ADC2_RD_CONFIG_3" : "DIO1" Field</t>
  </si>
  <si>
    <t xml:space="preserve">      avalon_mm_rmap_o.readdata(0) &lt;= rmap_registers_wr_i.aeb_hk_adc2_rd_config_3.dio1;</t>
  </si>
  <si>
    <t xml:space="preserve">  when (16#5B8#) =&gt;</t>
  </si>
  <si>
    <t xml:space="preserve">      -- AEB Housekeeping Area Register "ADC2_RD_CONFIG_3" : "DIO0" Field</t>
  </si>
  <si>
    <t xml:space="preserve">      avalon_mm_rmap_o.readdata(0) &lt;= rmap_registers_wr_i.aeb_hk_adc2_rd_config_3.dio0;</t>
  </si>
  <si>
    <t xml:space="preserve">  when (16#5B9#) =&gt;</t>
  </si>
  <si>
    <t xml:space="preserve">      -- AEB Housekeeping Area Register "VASP_RD_CONFIG" : "VASP1_READ_DATA" Field</t>
  </si>
  <si>
    <t xml:space="preserve">      avalon_mm_rmap_o.readdata(7 downto 0) &lt;= rmap_registers_wr_i.aeb_hk_vasp_rd_config.vasp1_read_data;</t>
  </si>
  <si>
    <t xml:space="preserve">      -- AEB Housekeeping Area Register "VASP_RD_CONFIG" : "VASP2_READ_DATA" Field</t>
  </si>
  <si>
    <t xml:space="preserve">      avalon_mm_rmap_o.readdata(15 downto 8) &lt;= rmap_registers_wr_i.aeb_hk_vasp_rd_config.vasp2_read_data;</t>
  </si>
  <si>
    <t xml:space="preserve">      -- AEB Housekeeping Area Register "REVISION_ID_1" : "FPGA_VERSION" Field</t>
  </si>
  <si>
    <t xml:space="preserve">      avalon_mm_rmap_o.readdata(23 downto 16) &lt;= rmap_registers_wr_i.aeb_hk_revision_id_1.fpga_version(7 downto 0);</t>
  </si>
  <si>
    <t xml:space="preserve">      avalon_mm_rmap_o.readdata(31 downto 24) &lt;= rmap_registers_wr_i.aeb_hk_revision_id_1.fpga_version(15 downto 8);</t>
  </si>
  <si>
    <t xml:space="preserve">  when (16#5BA#) =&gt;</t>
  </si>
  <si>
    <t xml:space="preserve">      -- AEB Housekeeping Area Register "REVISION_ID_1" : "FPGA_DATE" Field</t>
  </si>
  <si>
    <t xml:space="preserve">      avalon_mm_rmap_o.readdata(7 downto 0) &lt;= rmap_registers_wr_i.aeb_hk_revision_id_1.fpga_date(7 downto 0);</t>
  </si>
  <si>
    <t xml:space="preserve">      avalon_mm_rmap_o.readdata(15 downto 8) &lt;= rmap_registers_wr_i.aeb_hk_revision_id_1.fpga_date(15 downto 8);</t>
  </si>
  <si>
    <t xml:space="preserve">      -- AEB Housekeeping Area Register "REVISION_ID_2" : "FPGA_TIME_H" Field</t>
  </si>
  <si>
    <t xml:space="preserve">      avalon_mm_rmap_o.readdata(23 downto 16) &lt;= rmap_registers_wr_i.aeb_hk_revision_id_2.fpga_time_h(7 downto 0);</t>
  </si>
  <si>
    <t xml:space="preserve">      avalon_mm_rmap_o.readdata(31 downto 24) &lt;= rmap_registers_wr_i.aeb_hk_revision_id_2.fpga_time_h(15 downto 8);</t>
  </si>
  <si>
    <t xml:space="preserve">  when (16#5BB#) =&gt;</t>
  </si>
  <si>
    <t xml:space="preserve">      -- AEB Housekeeping Area Register "REVISION_ID_2" : "FPGA_TIME_M" Field</t>
  </si>
  <si>
    <t xml:space="preserve">      avalon_mm_rmap_o.readdata(7 downto 0) &lt;= rmap_registers_wr_i.aeb_hk_revision_id_2.fpga_time_m;</t>
  </si>
  <si>
    <t xml:space="preserve">      -- AEB Housekeeping Area Register "REVISION_ID_2" : "FPGA_SVN" Field</t>
  </si>
  <si>
    <t xml:space="preserve">      avalon_mm_rmap_o.readdata(23 downto 16) &lt;= rmap_registers_wr_i.aeb_hk_revision_id_2.fpga_svn(7 downto 0);</t>
  </si>
  <si>
    <t xml:space="preserve">      avalon_mm_rmap_o.readdata(31 downto 24) &lt;= rmap_registers_wr_i.aeb_hk_revision_id_2.fpga_svn(15 downto 8);</t>
  </si>
  <si>
    <t xml:space="preserve">      rmap_registers_wr_o.aeb_crit_cfg_aeb_control.set_state &lt;= avalon_mm_rmap_i.writedata(0);</t>
  </si>
  <si>
    <t xml:space="preserve">      rmap_registers_wr_o.aeb_crit_cfg_aeb_control.aeb_reset &lt;= avalon_mm_rmap_i.writedata(0);</t>
  </si>
  <si>
    <t xml:space="preserve">      rmap_registers_wr_o.aeb_crit_cfg_aeb_config_key.key(7 downto 0) &lt;= avalon_mm_rmap_i.writedata(7 downto 0);</t>
  </si>
  <si>
    <t xml:space="preserve">      rmap_registers_wr_o.aeb_crit_cfg_aeb_config_key.key(15 downto 8) &lt;= avalon_mm_rmap_i.writedata(15 downto 8);</t>
  </si>
  <si>
    <t xml:space="preserve">      rmap_registers_wr_o.aeb_crit_cfg_aeb_config_key.key(23 downto 16) &lt;= avalon_mm_rmap_i.writedata(23 downto 16);</t>
  </si>
  <si>
    <t xml:space="preserve">      rmap_registers_wr_o.aeb_crit_cfg_aeb_config_key.key(31 downto 24) &lt;= avalon_mm_rmap_i.writedata(31 downto 24);</t>
  </si>
  <si>
    <t xml:space="preserve">      rmap_registers_wr_o.aeb_crit_cfg_aeb_config_pattern.pattern_cols(7 downto 0) &lt;= avalon_mm_rmap_i.writedata(23 downto 16);</t>
  </si>
  <si>
    <t xml:space="preserve">      rmap_registers_wr_o.aeb_crit_cfg_aeb_config_pattern.pattern_cols(13 downto 8) &lt;= avalon_mm_rmap_i.writedata(29 downto 24);</t>
  </si>
  <si>
    <t xml:space="preserve">      rmap_registers_wr_o.aeb_crit_cfg_aeb_config_pattern.reserved &lt;= avalon_mm_rmap_i.writedata(1 downto 0);</t>
  </si>
  <si>
    <t xml:space="preserve">      rmap_registers_wr_o.aeb_crit_cfg_aeb_config_pattern.pattern_rows(7 downto 0) &lt;= avalon_mm_rmap_i.writedata(23 downto 16);</t>
  </si>
  <si>
    <t xml:space="preserve">      rmap_registers_wr_o.aeb_crit_cfg_aeb_config_pattern.pattern_rows(13 downto 8) &lt;= avalon_mm_rmap_i.writedata(29 downto 24);</t>
  </si>
  <si>
    <t xml:space="preserve">      rmap_registers_wr_o.aeb_crit_cfg_reserved_20.reserved(7 downto 0) &lt;= avalon_mm_rmap_i.writedata(7 downto 0);</t>
  </si>
  <si>
    <t xml:space="preserve">      rmap_registers_wr_o.aeb_crit_cfg_reserved_20.reserved(15 downto 8) &lt;= avalon_mm_rmap_i.writedata(15 downto 8);</t>
  </si>
  <si>
    <t xml:space="preserve">      rmap_registers_wr_o.aeb_crit_cfg_reserved_20.reserved(23 downto 16) &lt;= avalon_mm_rmap_i.writedata(23 downto 16);</t>
  </si>
  <si>
    <t xml:space="preserve">      rmap_registers_wr_o.aeb_crit_cfg_reserved_20.reserved(31 downto 24) &lt;= avalon_mm_rmap_i.writedata(31 downto 24);</t>
  </si>
  <si>
    <t xml:space="preserve">      rmap_registers_wr_o.aeb_crit_cfg_pwr_config1.time_vccd_on &lt;= avalon_mm_rmap_i.writedata(7 downto 0);</t>
  </si>
  <si>
    <t xml:space="preserve">      rmap_registers_wr_o.aeb_crit_cfg_pwr_config1.time_vclk_on &lt;= avalon_mm_rmap_i.writedata(15 downto 8);</t>
  </si>
  <si>
    <t xml:space="preserve">      rmap_registers_wr_o.aeb_crit_cfg_pwr_config1.time_van1_on &lt;= avalon_mm_rmap_i.writedata(23 downto 16);</t>
  </si>
  <si>
    <t xml:space="preserve">      rmap_registers_wr_o.aeb_crit_cfg_pwr_config1.time_van2_on &lt;= avalon_mm_rmap_i.writedata(31 downto 24);</t>
  </si>
  <si>
    <t xml:space="preserve">      rmap_registers_wr_o.aeb_crit_cfg_pwr_config2.time_van3_on &lt;= avalon_mm_rmap_i.writedata(7 downto 0);</t>
  </si>
  <si>
    <t xml:space="preserve">      rmap_registers_wr_o.aeb_crit_cfg_pwr_config2.time_vccd_off &lt;= avalon_mm_rmap_i.writedata(15 downto 8);</t>
  </si>
  <si>
    <t xml:space="preserve">      rmap_registers_wr_o.aeb_crit_cfg_pwr_config2.time_vclk_off &lt;= avalon_mm_rmap_i.writedata(23 downto 16);</t>
  </si>
  <si>
    <t xml:space="preserve">      rmap_registers_wr_o.aeb_crit_cfg_pwr_config2.time_van1_off &lt;= avalon_mm_rmap_i.writedata(31 downto 24);</t>
  </si>
  <si>
    <t xml:space="preserve">      rmap_registers_wr_o.aeb_crit_cfg_pwr_config3.time_van2_off &lt;= avalon_mm_rmap_i.writedata(7 downto 0);</t>
  </si>
  <si>
    <t xml:space="preserve">      rmap_registers_wr_o.aeb_crit_cfg_pwr_config3.time_van3_off &lt;= avalon_mm_rmap_i.writedata(15 downto 8);</t>
  </si>
  <si>
    <t xml:space="preserve">      rmap_registers_wr_o.aeb_gen_cfg_reserved_118.reserved(7 downto 0) &lt;= avalon_mm_rmap_i.writedata(7 downto 0);</t>
  </si>
  <si>
    <t xml:space="preserve">      rmap_registers_wr_o.aeb_gen_cfg_reserved_118.reserved(15 downto 8) &lt;= avalon_mm_rmap_i.writedata(15 downto 8);</t>
  </si>
  <si>
    <t xml:space="preserve">      rmap_registers_wr_o.aeb_gen_cfg_reserved_118.reserved(23 downto 16) &lt;= avalon_mm_rmap_i.writedata(23 downto 16);</t>
  </si>
  <si>
    <t xml:space="preserve">      rmap_registers_wr_o.aeb_gen_cfg_reserved_118.reserved(31 downto 24) &lt;= avalon_mm_rmap_i.writedata(31 downto 24);</t>
  </si>
  <si>
    <t xml:space="preserve">      rmap_registers_wr_o.aeb_gen_cfg_reserved_11c.reserved(7 downto 0) &lt;= avalon_mm_rmap_i.writedata(7 downto 0);</t>
  </si>
  <si>
    <t xml:space="preserve">      rmap_registers_wr_o.aeb_gen_cfg_reserved_11c.reserved(15 downto 8) &lt;= avalon_mm_rmap_i.writedata(15 downto 8);</t>
  </si>
  <si>
    <t xml:space="preserve">      rmap_registers_wr_o.aeb_gen_cfg_reserved_11c.reserved(23 downto 16) &lt;= avalon_mm_rmap_i.writedata(23 downto 16);</t>
  </si>
  <si>
    <t xml:space="preserve">      rmap_registers_wr_o.aeb_gen_cfg_reserved_11c.reserved(31 downto 24) &lt;= avalon_mm_rmap_i.writedata(31 downto 24);</t>
  </si>
  <si>
    <t xml:space="preserve">      rmap_registers_wr_o.aeb_gen_cfg_seq_config_7.reserved(7 downto 0) &lt;= avalon_mm_rmap_i.writedata(7 downto 0);</t>
  </si>
  <si>
    <t xml:space="preserve">      rmap_registers_wr_o.aeb_gen_cfg_seq_config_7.reserved(15 downto 8) &lt;= avalon_mm_rmap_i.writedata(15 downto 8);</t>
  </si>
  <si>
    <t xml:space="preserve">      rmap_registers_wr_o.aeb_gen_cfg_seq_config_7.reserved(23 downto 16) &lt;= avalon_mm_rmap_i.writedata(23 downto 16);</t>
  </si>
  <si>
    <t xml:space="preserve">      rmap_registers_wr_o.aeb_gen_cfg_seq_config_7.reserved(31 downto 24) &lt;= avalon_mm_rmap_i.writedata(31 downto 24);</t>
  </si>
  <si>
    <t xml:space="preserve">      rmap_registers_wr_o.aeb_gen_cfg_seq_config_8.reserved(7 downto 0) &lt;= avalon_mm_rmap_i.writedata(7 downto 0);</t>
  </si>
  <si>
    <t xml:space="preserve">      rmap_registers_wr_o.aeb_gen_cfg_seq_config_8.reserved(15 downto 8) &lt;= avalon_mm_rmap_i.writedata(15 downto 8);</t>
  </si>
  <si>
    <t xml:space="preserve">      rmap_registers_wr_o.aeb_gen_cfg_seq_config_8.reserved(23 downto 16) &lt;= avalon_mm_rmap_i.writedata(23 downto 16);</t>
  </si>
  <si>
    <t xml:space="preserve">      rmap_registers_wr_o.aeb_gen_cfg_seq_config_8.reserved(31 downto 24) &lt;= avalon_mm_rmap_i.writedata(31 downto 24);</t>
  </si>
  <si>
    <t xml:space="preserve">      rmap_registers_wr_o.aeb_gen_cfg_seq_config_9.reserved_0 &lt;= avalon_mm_rmap_i.writedata(1 downto 0);</t>
  </si>
  <si>
    <t xml:space="preserve">      rmap_registers_wr_o.aeb_gen_cfg_seq_config_9.ft_loop_cnt(7 downto 0) &lt;= avalon_mm_rmap_i.writedata(23 downto 16);</t>
  </si>
  <si>
    <t xml:space="preserve">      rmap_registers_wr_o.aeb_gen_cfg_seq_config_9.ft_loop_cnt(13 downto 8) &lt;= avalon_mm_rmap_i.writedata(29 downto 24);</t>
  </si>
  <si>
    <t xml:space="preserve">      rmap_registers_wr_o.aeb_gen_cfg_seq_config_9.lt0_enabled &lt;= avalon_mm_rmap_i.writedata(0);</t>
  </si>
  <si>
    <t xml:space="preserve">      rmap_registers_wr_o.aeb_gen_cfg_seq_config_9.reserved_1 &lt;= avalon_mm_rmap_i.writedata(0);</t>
  </si>
  <si>
    <t xml:space="preserve">      rmap_registers_wr_o.aeb_gen_cfg_seq_config_9.lt0_loop_cnt(7 downto 0) &lt;= avalon_mm_rmap_i.writedata(7 downto 0);</t>
  </si>
  <si>
    <t xml:space="preserve">      rmap_registers_wr_o.aeb_gen_cfg_seq_config_9.lt0_loop_cnt(13 downto 8) &lt;= avalon_mm_rmap_i.writedata(13 downto 8);</t>
  </si>
  <si>
    <t xml:space="preserve">      rmap_registers_wr_o.aeb_gen_cfg_seq_config_10.lt1_enabled &lt;= avalon_mm_rmap_i.writedata(0);</t>
  </si>
  <si>
    <t xml:space="preserve">      rmap_registers_wr_o.aeb_gen_cfg_seq_config_10.reserved_0 &lt;= avalon_mm_rmap_i.writedata(0);</t>
  </si>
  <si>
    <t xml:space="preserve">      rmap_registers_wr_o.aeb_gen_cfg_seq_config_10.lt1_loop_cnt(7 downto 0) &lt;= avalon_mm_rmap_i.writedata(7 downto 0);</t>
  </si>
  <si>
    <t xml:space="preserve">      rmap_registers_wr_o.aeb_gen_cfg_seq_config_10.lt1_loop_cnt(13 downto 8) &lt;= avalon_mm_rmap_i.writedata(13 downto 8);</t>
  </si>
  <si>
    <t xml:space="preserve">      rmap_registers_wr_o.aeb_gen_cfg_seq_config_10.lt2_enabled &lt;= avalon_mm_rmap_i.writedata(0);</t>
  </si>
  <si>
    <t xml:space="preserve">      rmap_registers_wr_o.aeb_gen_cfg_seq_config_10.reserved_1 &lt;= avalon_mm_rmap_i.writedata(0);</t>
  </si>
  <si>
    <t xml:space="preserve">      rmap_registers_wr_o.aeb_gen_cfg_seq_config_10.lt2_loop_cnt(7 downto 0) &lt;= avalon_mm_rmap_i.writedata(7 downto 0);</t>
  </si>
  <si>
    <t xml:space="preserve">      rmap_registers_wr_o.aeb_gen_cfg_seq_config_10.lt2_loop_cnt(13 downto 8) &lt;= avalon_mm_rmap_i.writedata(13 downto 8);</t>
  </si>
  <si>
    <t xml:space="preserve">      rmap_registers_wr_o.aeb_gen_cfg_seq_config_11.lt3_enabled &lt;= avalon_mm_rmap_i.writedata(0);</t>
  </si>
  <si>
    <t xml:space="preserve">      rmap_registers_wr_o.aeb_gen_cfg_seq_config_11.reserved &lt;= avalon_mm_rmap_i.writedata(0);</t>
  </si>
  <si>
    <t xml:space="preserve">      rmap_registers_wr_o.aeb_gen_cfg_seq_config_11.lt3_loop_cnt(7 downto 0) &lt;= avalon_mm_rmap_i.writedata(7 downto 0);</t>
  </si>
  <si>
    <t xml:space="preserve">      rmap_registers_wr_o.aeb_gen_cfg_seq_config_11.lt3_loop_cnt(13 downto 8) &lt;= avalon_mm_rmap_i.writedata(13 downto 8);</t>
  </si>
  <si>
    <t xml:space="preserve">      rmap_registers_wr_o.aeb_gen_cfg_seq_config_11.pix_loop_cnt_word_1(7 downto 0) &lt;= avalon_mm_rmap_i.writedata(23 downto 16);</t>
  </si>
  <si>
    <t xml:space="preserve">      rmap_registers_wr_o.aeb_gen_cfg_seq_config_11.pix_loop_cnt_word_1(15 downto 8) &lt;= avalon_mm_rmap_i.writedata(31 downto 24);</t>
  </si>
  <si>
    <t xml:space="preserve">      rmap_registers_wr_o.aeb_gen_cfg_seq_config_12.pix_loop_cnt_word_0(7 downto 0) &lt;= avalon_mm_rmap_i.writedata(7 downto 0);</t>
  </si>
  <si>
    <t xml:space="preserve">      rmap_registers_wr_o.aeb_gen_cfg_seq_config_12.pix_loop_cnt_word_0(15 downto 8) &lt;= avalon_mm_rmap_i.writedata(15 downto 8);</t>
  </si>
  <si>
    <t xml:space="preserve">      rmap_registers_wr_o.aeb_gen_cfg_seq_config_12.pc_enabled &lt;= avalon_mm_rmap_i.writedata(0);</t>
  </si>
  <si>
    <t xml:space="preserve">      rmap_registers_wr_o.aeb_gen_cfg_seq_config_12.reserved &lt;= avalon_mm_rmap_i.writedata(0);</t>
  </si>
  <si>
    <t xml:space="preserve">      rmap_registers_wr_o.aeb_gen_cfg_seq_config_12.pc_loop_cnt(7 downto 0) &lt;= avalon_mm_rmap_i.writedata(7 downto 0);</t>
  </si>
  <si>
    <t xml:space="preserve">      rmap_registers_wr_o.aeb_gen_cfg_seq_config_12.pc_loop_cnt(13 downto 8) &lt;= avalon_mm_rmap_i.writedata(13 downto 8);</t>
  </si>
  <si>
    <t xml:space="preserve">      rmap_registers_wr_o.aeb_gen_cfg_reserved_fe8.reserved(7 downto 0) &lt;= avalon_mm_rmap_i.writedata(7 downto 0);</t>
  </si>
  <si>
    <t xml:space="preserve">      rmap_registers_wr_o.aeb_gen_cfg_reserved_fe8.reserved(15 downto 8) &lt;= avalon_mm_rmap_i.writedata(15 downto 8);</t>
  </si>
  <si>
    <t xml:space="preserve">      rmap_registers_wr_o.aeb_gen_cfg_reserved_fe8.reserved(23 downto 16) &lt;= avalon_mm_rmap_i.writedata(23 downto 16);</t>
  </si>
  <si>
    <t xml:space="preserve">      rmap_registers_wr_o.aeb_gen_cfg_reserved_fe8.reserved(31 downto 24) &lt;= avalon_mm_rmap_i.writedata(31 downto 24);</t>
  </si>
  <si>
    <t xml:space="preserve">      rmap_registers_wr_o.aeb_gen_cfg_reserved_fec.reserved(7 downto 0) &lt;= avalon_mm_rmap_i.writedata(7 downto 0);</t>
  </si>
  <si>
    <t xml:space="preserve">      rmap_registers_wr_o.aeb_gen_cfg_reserved_fec.reserved(15 downto 8) &lt;= avalon_mm_rmap_i.writedata(15 downto 8);</t>
  </si>
  <si>
    <t xml:space="preserve">      rmap_registers_wr_o.aeb_gen_cfg_reserved_fec.reserved(23 downto 16) &lt;= avalon_mm_rmap_i.writedata(23 downto 16);</t>
  </si>
  <si>
    <t xml:space="preserve">      rmap_registers_wr_o.aeb_gen_cfg_reserved_fec.reserved(31 downto 24) &lt;= avalon_mm_rmap_i.writedata(31 downto 24);</t>
  </si>
  <si>
    <t xml:space="preserve">      rmap_registers_wr_o.aeb_gen_cfg_reserved_ff0.reserved(7 downto 0) &lt;= avalon_mm_rmap_i.writedata(7 downto 0);</t>
  </si>
  <si>
    <t xml:space="preserve">      rmap_registers_wr_o.aeb_gen_cfg_reserved_ff0.reserved(15 downto 8) &lt;= avalon_mm_rmap_i.writedata(15 downto 8);</t>
  </si>
  <si>
    <t xml:space="preserve">      rmap_registers_wr_o.aeb_gen_cfg_reserved_ff0.reserved(23 downto 16) &lt;= avalon_mm_rmap_i.writedata(23 downto 16);</t>
  </si>
  <si>
    <t xml:space="preserve">      rmap_registers_wr_o.aeb_gen_cfg_reserved_ff0.reserved(31 downto 24) &lt;= avalon_mm_rmap_i.writedata(31 downto 24);</t>
  </si>
  <si>
    <t xml:space="preserve">      rmap_registers_wr_o.aeb_gen_cfg_reserved_ff4.reserved(7 downto 0) &lt;= avalon_mm_rmap_i.writedata(7 downto 0);</t>
  </si>
  <si>
    <t xml:space="preserve">      rmap_registers_wr_o.aeb_gen_cfg_reserved_ff4.reserved(15 downto 8) &lt;= avalon_mm_rmap_i.writedata(15 downto 8);</t>
  </si>
  <si>
    <t xml:space="preserve">      rmap_registers_wr_o.aeb_gen_cfg_reserved_ff4.reserved(23 downto 16) &lt;= avalon_mm_rmap_i.writedata(23 downto 16);</t>
  </si>
  <si>
    <t xml:space="preserve">      rmap_registers_wr_o.aeb_gen_cfg_reserved_ff4.reserved(31 downto 24) &lt;= avalon_mm_rmap_i.writedata(31 downto 24);</t>
  </si>
  <si>
    <t xml:space="preserve">      rmap_registers_wr_o.aeb_gen_cfg_reserved_ff8.reserved(7 downto 0) &lt;= avalon_mm_rmap_i.writedata(7 downto 0);</t>
  </si>
  <si>
    <t xml:space="preserve">      rmap_registers_wr_o.aeb_gen_cfg_reserved_ff8.reserved(15 downto 8) &lt;= avalon_mm_rmap_i.writedata(15 downto 8);</t>
  </si>
  <si>
    <t xml:space="preserve">      rmap_registers_wr_o.aeb_gen_cfg_reserved_ff8.reserved(23 downto 16) &lt;= avalon_mm_rmap_i.writedata(23 downto 16);</t>
  </si>
  <si>
    <t xml:space="preserve">      rmap_registers_wr_o.aeb_gen_cfg_reserved_ff8.reserved(31 downto 24) &lt;= avalon_mm_rmap_i.writedata(31 downto 24);</t>
  </si>
  <si>
    <t xml:space="preserve">      rmap_registers_wr_o.aeb_gen_cfg_reserved_ffc.reserved(7 downto 0) &lt;= avalon_mm_rmap_i.writedata(7 downto 0);</t>
  </si>
  <si>
    <t xml:space="preserve">      rmap_registers_wr_o.aeb_gen_cfg_reserved_ffc.reserved(15 downto 8) &lt;= avalon_mm_rmap_i.writedata(15 downto 8);</t>
  </si>
  <si>
    <t xml:space="preserve">      rmap_registers_wr_o.aeb_gen_cfg_reserved_ffc.reserved(23 downto 16) &lt;= avalon_mm_rmap_i.writedata(23 downto 16);</t>
  </si>
  <si>
    <t xml:space="preserve">      rmap_registers_wr_o.aeb_gen_cfg_reserved_ffc.reserved(31 downto 24) &lt;= avalon_mm_rmap_i.writedata(31 downto 24);</t>
  </si>
  <si>
    <t xml:space="preserve">      rmap_registers_wr_o.aeb_hk_aeb_status.aeb_status &lt;= avalon_mm_rmap_i.writedata(3 downto 0);</t>
  </si>
  <si>
    <t xml:space="preserve">      rmap_registers_wr_o.aeb_hk_aeb_status.vasp2_cfg_run &lt;= avalon_mm_rmap_i.writedata(0);</t>
  </si>
  <si>
    <t xml:space="preserve">      rmap_registers_wr_o.aeb_hk_aeb_status.vasp1_cfg_run &lt;= avalon_mm_rmap_i.writedata(0);</t>
  </si>
  <si>
    <t xml:space="preserve">      rmap_registers_wr_o.aeb_hk_aeb_status.dac_cfg_wr_run &lt;= avalon_mm_rmap_i.writedata(0);</t>
  </si>
  <si>
    <t xml:space="preserve">      rmap_registers_wr_o.aeb_hk_aeb_status.adc_cfg_rd_run &lt;= avalon_mm_rmap_i.writedata(0);</t>
  </si>
  <si>
    <t xml:space="preserve">      rmap_registers_wr_o.aeb_hk_aeb_status.adc_cfg_wr_run &lt;= avalon_mm_rmap_i.writedata(0);</t>
  </si>
  <si>
    <t xml:space="preserve">      rmap_registers_wr_o.aeb_hk_aeb_status.adc_dat_rd_run &lt;= avalon_mm_rmap_i.writedata(0);</t>
  </si>
  <si>
    <t xml:space="preserve">      rmap_registers_wr_o.aeb_hk_aeb_status.adc_error &lt;= avalon_mm_rmap_i.writedata(0);</t>
  </si>
  <si>
    <t xml:space="preserve">      rmap_registers_wr_o.aeb_hk_aeb_status.adc2_lu &lt;= avalon_mm_rmap_i.writedata(0);</t>
  </si>
  <si>
    <t xml:space="preserve">      rmap_registers_wr_o.aeb_hk_aeb_status.adc1_lu &lt;= avalon_mm_rmap_i.writedata(0);</t>
  </si>
  <si>
    <t xml:space="preserve">      rmap_registers_wr_o.aeb_hk_aeb_status.adc_dat_rd &lt;= avalon_mm_rmap_i.writedata(0);</t>
  </si>
  <si>
    <t xml:space="preserve">      rmap_registers_wr_o.aeb_hk_aeb_status.adc_cfg_rd &lt;= avalon_mm_rmap_i.writedata(0);</t>
  </si>
  <si>
    <t xml:space="preserve">      rmap_registers_wr_o.aeb_hk_aeb_status.adc_cfg_wr &lt;= avalon_mm_rmap_i.writedata(0);</t>
  </si>
  <si>
    <t xml:space="preserve">      rmap_registers_wr_o.aeb_hk_aeb_status.adc2_busy &lt;= avalon_mm_rmap_i.writedata(0);</t>
  </si>
  <si>
    <t xml:space="preserve">      rmap_registers_wr_o.aeb_hk_aeb_status.adc1_busy &lt;= avalon_mm_rmap_i.writedata(0);</t>
  </si>
  <si>
    <t xml:space="preserve">      rmap_registers_wr_o.aeb_hk_timestamp_1.timestamp_dword_1(7 downto 0) &lt;= avalon_mm_rmap_i.writedata(7 downto 0);</t>
  </si>
  <si>
    <t xml:space="preserve">      rmap_registers_wr_o.aeb_hk_timestamp_1.timestamp_dword_1(15 downto 8) &lt;= avalon_mm_rmap_i.writedata(15 downto 8);</t>
  </si>
  <si>
    <t xml:space="preserve">      rmap_registers_wr_o.aeb_hk_timestamp_1.timestamp_dword_1(23 downto 16) &lt;= avalon_mm_rmap_i.writedata(23 downto 16);</t>
  </si>
  <si>
    <t xml:space="preserve">      rmap_registers_wr_o.aeb_hk_timestamp_1.timestamp_dword_1(31 downto 24) &lt;= avalon_mm_rmap_i.writedata(31 downto 24);</t>
  </si>
  <si>
    <t xml:space="preserve">      rmap_registers_wr_o.aeb_hk_timestamp_2.timestamp_dword_0(7 downto 0) &lt;= avalon_mm_rmap_i.writedata(7 downto 0);</t>
  </si>
  <si>
    <t xml:space="preserve">      rmap_registers_wr_o.aeb_hk_timestamp_2.timestamp_dword_0(15 downto 8) &lt;= avalon_mm_rmap_i.writedata(15 downto 8);</t>
  </si>
  <si>
    <t xml:space="preserve">      rmap_registers_wr_o.aeb_hk_timestamp_2.timestamp_dword_0(23 downto 16) &lt;= avalon_mm_rmap_i.writedata(23 downto 16);</t>
  </si>
  <si>
    <t xml:space="preserve">      rmap_registers_wr_o.aeb_hk_timestamp_2.timestamp_dword_0(31 downto 24) &lt;= avalon_mm_rmap_i.writedata(31 downto 24);</t>
  </si>
  <si>
    <t xml:space="preserve">      rmap_registers_wr_o.aeb_hk_adc_rd_data_t_vasp_l.ovf &lt;= avalon_mm_rmap_i.writedata(0);</t>
  </si>
  <si>
    <t xml:space="preserve">      rmap_registers_wr_o.aeb_hk_adc_rd_data_t_vasp_l.supply &lt;= avalon_mm_rmap_i.writedata(0);</t>
  </si>
  <si>
    <t xml:space="preserve">      rmap_registers_wr_o.aeb_hk_adc_rd_data_t_vasp_l.chid &lt;= avalon_mm_rmap_i.writedata(4 downto 0);</t>
  </si>
  <si>
    <t xml:space="preserve">      rmap_registers_wr_o.aeb_hk_adc_rd_data_t_vasp_l.adc_chx_data_t_vasp_l(7 downto 0) &lt;= avalon_mm_rmap_i.writedata(7 downto 0);</t>
  </si>
  <si>
    <t xml:space="preserve">      rmap_registers_wr_o.aeb_hk_adc_rd_data_t_vasp_l.adc_chx_data_t_vasp_l(15 downto 8) &lt;= avalon_mm_rmap_i.writedata(15 downto 8);</t>
  </si>
  <si>
    <t xml:space="preserve">      rmap_registers_wr_o.aeb_hk_adc_rd_data_t_vasp_l.adc_chx_data_t_vasp_l(23 downto 16) &lt;= avalon_mm_rmap_i.writedata(23 downto 16);</t>
  </si>
  <si>
    <t xml:space="preserve">      rmap_registers_wr_o.aeb_hk_adc_rd_data_t_vasp_r.ovf &lt;= avalon_mm_rmap_i.writedata(0);</t>
  </si>
  <si>
    <t xml:space="preserve">      rmap_registers_wr_o.aeb_hk_adc_rd_data_t_vasp_r.supply &lt;= avalon_mm_rmap_i.writedata(0);</t>
  </si>
  <si>
    <t xml:space="preserve">      rmap_registers_wr_o.aeb_hk_adc_rd_data_t_vasp_r.chid &lt;= avalon_mm_rmap_i.writedata(4 downto 0);</t>
  </si>
  <si>
    <t xml:space="preserve">      rmap_registers_wr_o.aeb_hk_adc_rd_data_t_vasp_r.adc_chx_data_t_vasp_r(7 downto 0) &lt;= avalon_mm_rmap_i.writedata(7 downto 0);</t>
  </si>
  <si>
    <t xml:space="preserve">      rmap_registers_wr_o.aeb_hk_adc_rd_data_t_vasp_r.adc_chx_data_t_vasp_r(15 downto 8) &lt;= avalon_mm_rmap_i.writedata(15 downto 8);</t>
  </si>
  <si>
    <t xml:space="preserve">      rmap_registers_wr_o.aeb_hk_adc_rd_data_t_vasp_r.adc_chx_data_t_vasp_r(23 downto 16) &lt;= avalon_mm_rmap_i.writedata(23 downto 16);</t>
  </si>
  <si>
    <t xml:space="preserve">      rmap_registers_wr_o.aeb_hk_adc_rd_data_t_bias_p.ovf &lt;= avalon_mm_rmap_i.writedata(0);</t>
  </si>
  <si>
    <t xml:space="preserve">      rmap_registers_wr_o.aeb_hk_adc_rd_data_t_bias_p.supply &lt;= avalon_mm_rmap_i.writedata(0);</t>
  </si>
  <si>
    <t xml:space="preserve">      rmap_registers_wr_o.aeb_hk_adc_rd_data_t_bias_p.chid &lt;= avalon_mm_rmap_i.writedata(4 downto 0);</t>
  </si>
  <si>
    <t xml:space="preserve">      rmap_registers_wr_o.aeb_hk_adc_rd_data_t_bias_p.adc_chx_data_t_bias_p(7 downto 0) &lt;= avalon_mm_rmap_i.writedata(7 downto 0);</t>
  </si>
  <si>
    <t xml:space="preserve">      rmap_registers_wr_o.aeb_hk_adc_rd_data_t_bias_p.adc_chx_data_t_bias_p(15 downto 8) &lt;= avalon_mm_rmap_i.writedata(15 downto 8);</t>
  </si>
  <si>
    <t xml:space="preserve">      rmap_registers_wr_o.aeb_hk_adc_rd_data_t_bias_p.adc_chx_data_t_bias_p(23 downto 16) &lt;= avalon_mm_rmap_i.writedata(23 downto 16);</t>
  </si>
  <si>
    <t xml:space="preserve">      rmap_registers_wr_o.aeb_hk_adc_rd_data_t_hk_p.ovf &lt;= avalon_mm_rmap_i.writedata(0);</t>
  </si>
  <si>
    <t xml:space="preserve">      rmap_registers_wr_o.aeb_hk_adc_rd_data_t_hk_p.supply &lt;= avalon_mm_rmap_i.writedata(0);</t>
  </si>
  <si>
    <t xml:space="preserve">      rmap_registers_wr_o.aeb_hk_adc_rd_data_t_hk_p.chid &lt;= avalon_mm_rmap_i.writedata(4 downto 0);</t>
  </si>
  <si>
    <t xml:space="preserve">      rmap_registers_wr_o.aeb_hk_adc_rd_data_t_hk_p.adc_chx_data_t_hk_p(7 downto 0) &lt;= avalon_mm_rmap_i.writedata(7 downto 0);</t>
  </si>
  <si>
    <t xml:space="preserve">      rmap_registers_wr_o.aeb_hk_adc_rd_data_t_hk_p.adc_chx_data_t_hk_p(15 downto 8) &lt;= avalon_mm_rmap_i.writedata(15 downto 8);</t>
  </si>
  <si>
    <t xml:space="preserve">      rmap_registers_wr_o.aeb_hk_adc_rd_data_t_hk_p.adc_chx_data_t_hk_p(23 downto 16) &lt;= avalon_mm_rmap_i.writedata(23 downto 16);</t>
  </si>
  <si>
    <t xml:space="preserve">      rmap_registers_wr_o.aeb_hk_adc_rd_data_t_tou_1_p.ovf &lt;= avalon_mm_rmap_i.writedata(0);</t>
  </si>
  <si>
    <t xml:space="preserve">      rmap_registers_wr_o.aeb_hk_adc_rd_data_t_tou_1_p.supply &lt;= avalon_mm_rmap_i.writedata(0);</t>
  </si>
  <si>
    <t xml:space="preserve">      rmap_registers_wr_o.aeb_hk_adc_rd_data_t_tou_1_p.chid &lt;= avalon_mm_rmap_i.writedata(4 downto 0);</t>
  </si>
  <si>
    <t xml:space="preserve">      rmap_registers_wr_o.aeb_hk_adc_rd_data_t_tou_1_p.adc_chx_data_t_tou_1_p(7 downto 0) &lt;= avalon_mm_rmap_i.writedata(7 downto 0);</t>
  </si>
  <si>
    <t xml:space="preserve">      rmap_registers_wr_o.aeb_hk_adc_rd_data_t_tou_1_p.adc_chx_data_t_tou_1_p(15 downto 8) &lt;= avalon_mm_rmap_i.writedata(15 downto 8);</t>
  </si>
  <si>
    <t xml:space="preserve">      rmap_registers_wr_o.aeb_hk_adc_rd_data_t_tou_1_p.adc_chx_data_t_tou_1_p(23 downto 16) &lt;= avalon_mm_rmap_i.writedata(23 downto 16);</t>
  </si>
  <si>
    <t xml:space="preserve">      rmap_registers_wr_o.aeb_hk_adc_rd_data_t_tou_2_p.ovf &lt;= avalon_mm_rmap_i.writedata(0);</t>
  </si>
  <si>
    <t xml:space="preserve">      rmap_registers_wr_o.aeb_hk_adc_rd_data_t_tou_2_p.supply &lt;= avalon_mm_rmap_i.writedata(0);</t>
  </si>
  <si>
    <t xml:space="preserve">      rmap_registers_wr_o.aeb_hk_adc_rd_data_t_tou_2_p.chid &lt;= avalon_mm_rmap_i.writedata(4 downto 0);</t>
  </si>
  <si>
    <t xml:space="preserve">      rmap_registers_wr_o.aeb_hk_adc_rd_data_t_tou_2_p.adc_chx_data_t_tou_2_p(7 downto 0) &lt;= avalon_mm_rmap_i.writedata(7 downto 0);</t>
  </si>
  <si>
    <t xml:space="preserve">      rmap_registers_wr_o.aeb_hk_adc_rd_data_t_tou_2_p.adc_chx_data_t_tou_2_p(15 downto 8) &lt;= avalon_mm_rmap_i.writedata(15 downto 8);</t>
  </si>
  <si>
    <t xml:space="preserve">      rmap_registers_wr_o.aeb_hk_adc_rd_data_t_tou_2_p.adc_chx_data_t_tou_2_p(23 downto 16) &lt;= avalon_mm_rmap_i.writedata(23 downto 16);</t>
  </si>
  <si>
    <t xml:space="preserve">      rmap_registers_wr_o.aeb_hk_adc_rd_data_hk_vode.ovf &lt;= avalon_mm_rmap_i.writedata(0);</t>
  </si>
  <si>
    <t xml:space="preserve">      rmap_registers_wr_o.aeb_hk_adc_rd_data_hk_vode.supply &lt;= avalon_mm_rmap_i.writedata(0);</t>
  </si>
  <si>
    <t xml:space="preserve">      rmap_registers_wr_o.aeb_hk_adc_rd_data_hk_vode.chid &lt;= avalon_mm_rmap_i.writedata(4 downto 0);</t>
  </si>
  <si>
    <t xml:space="preserve">      rmap_registers_wr_o.aeb_hk_adc_rd_data_hk_vode.adc_chx_data_hk_vode(7 downto 0) &lt;= avalon_mm_rmap_i.writedata(7 downto 0);</t>
  </si>
  <si>
    <t xml:space="preserve">      rmap_registers_wr_o.aeb_hk_adc_rd_data_hk_vode.adc_chx_data_hk_vode(15 downto 8) &lt;= avalon_mm_rmap_i.writedata(15 downto 8);</t>
  </si>
  <si>
    <t xml:space="preserve">      rmap_registers_wr_o.aeb_hk_adc_rd_data_hk_vode.adc_chx_data_hk_vode(23 downto 16) &lt;= avalon_mm_rmap_i.writedata(23 downto 16);</t>
  </si>
  <si>
    <t xml:space="preserve">      rmap_registers_wr_o.aeb_hk_adc_rd_data_hk_vodf.ovf &lt;= avalon_mm_rmap_i.writedata(0);</t>
  </si>
  <si>
    <t xml:space="preserve">      rmap_registers_wr_o.aeb_hk_adc_rd_data_hk_vodf.supply &lt;= avalon_mm_rmap_i.writedata(0);</t>
  </si>
  <si>
    <t xml:space="preserve">      rmap_registers_wr_o.aeb_hk_adc_rd_data_hk_vodf.chid &lt;= avalon_mm_rmap_i.writedata(4 downto 0);</t>
  </si>
  <si>
    <t xml:space="preserve">      rmap_registers_wr_o.aeb_hk_adc_rd_data_hk_vodf.adc_chx_data_hk_vodf(7 downto 0) &lt;= avalon_mm_rmap_i.writedata(7 downto 0);</t>
  </si>
  <si>
    <t xml:space="preserve">      rmap_registers_wr_o.aeb_hk_adc_rd_data_hk_vodf.adc_chx_data_hk_vodf(15 downto 8) &lt;= avalon_mm_rmap_i.writedata(15 downto 8);</t>
  </si>
  <si>
    <t xml:space="preserve">      rmap_registers_wr_o.aeb_hk_adc_rd_data_hk_vodf.adc_chx_data_hk_vodf(23 downto 16) &lt;= avalon_mm_rmap_i.writedata(23 downto 16);</t>
  </si>
  <si>
    <t xml:space="preserve">      rmap_registers_wr_o.aeb_hk_adc_rd_data_hk_vrd.ovf &lt;= avalon_mm_rmap_i.writedata(0);</t>
  </si>
  <si>
    <t xml:space="preserve">      rmap_registers_wr_o.aeb_hk_adc_rd_data_hk_vrd.supply &lt;= avalon_mm_rmap_i.writedata(0);</t>
  </si>
  <si>
    <t xml:space="preserve">      rmap_registers_wr_o.aeb_hk_adc_rd_data_hk_vrd.chid &lt;= avalon_mm_rmap_i.writedata(4 downto 0);</t>
  </si>
  <si>
    <t xml:space="preserve">      rmap_registers_wr_o.aeb_hk_adc_rd_data_hk_vrd.adc_chx_data_hk_vrd(7 downto 0) &lt;= avalon_mm_rmap_i.writedata(7 downto 0);</t>
  </si>
  <si>
    <t xml:space="preserve">      rmap_registers_wr_o.aeb_hk_adc_rd_data_hk_vrd.adc_chx_data_hk_vrd(15 downto 8) &lt;= avalon_mm_rmap_i.writedata(15 downto 8);</t>
  </si>
  <si>
    <t xml:space="preserve">      rmap_registers_wr_o.aeb_hk_adc_rd_data_hk_vrd.adc_chx_data_hk_vrd(23 downto 16) &lt;= avalon_mm_rmap_i.writedata(23 downto 16);</t>
  </si>
  <si>
    <t xml:space="preserve">      rmap_registers_wr_o.aeb_hk_adc_rd_data_hk_vog.ovf &lt;= avalon_mm_rmap_i.writedata(0);</t>
  </si>
  <si>
    <t xml:space="preserve">      rmap_registers_wr_o.aeb_hk_adc_rd_data_hk_vog.supply &lt;= avalon_mm_rmap_i.writedata(0);</t>
  </si>
  <si>
    <t xml:space="preserve">      rmap_registers_wr_o.aeb_hk_adc_rd_data_hk_vog.chid &lt;= avalon_mm_rmap_i.writedata(4 downto 0);</t>
  </si>
  <si>
    <t xml:space="preserve">      rmap_registers_wr_o.aeb_hk_adc_rd_data_hk_vog.adc_chx_data_hk_vog(7 downto 0) &lt;= avalon_mm_rmap_i.writedata(7 downto 0);</t>
  </si>
  <si>
    <t xml:space="preserve">      rmap_registers_wr_o.aeb_hk_adc_rd_data_hk_vog.adc_chx_data_hk_vog(15 downto 8) &lt;= avalon_mm_rmap_i.writedata(15 downto 8);</t>
  </si>
  <si>
    <t xml:space="preserve">      rmap_registers_wr_o.aeb_hk_adc_rd_data_hk_vog.adc_chx_data_hk_vog(23 downto 16) &lt;= avalon_mm_rmap_i.writedata(23 downto 16);</t>
  </si>
  <si>
    <t xml:space="preserve">      rmap_registers_wr_o.aeb_hk_adc_rd_data_t_ccd.ovf &lt;= avalon_mm_rmap_i.writedata(0);</t>
  </si>
  <si>
    <t xml:space="preserve">      rmap_registers_wr_o.aeb_hk_adc_rd_data_t_ccd.supply &lt;= avalon_mm_rmap_i.writedata(0);</t>
  </si>
  <si>
    <t xml:space="preserve">      rmap_registers_wr_o.aeb_hk_adc_rd_data_t_ccd.chid &lt;= avalon_mm_rmap_i.writedata(4 downto 0);</t>
  </si>
  <si>
    <t xml:space="preserve">      rmap_registers_wr_o.aeb_hk_adc_rd_data_t_ccd.adc_chx_data_t_ccd(7 downto 0) &lt;= avalon_mm_rmap_i.writedata(7 downto 0);</t>
  </si>
  <si>
    <t xml:space="preserve">      rmap_registers_wr_o.aeb_hk_adc_rd_data_t_ccd.adc_chx_data_t_ccd(15 downto 8) &lt;= avalon_mm_rmap_i.writedata(15 downto 8);</t>
  </si>
  <si>
    <t xml:space="preserve">      rmap_registers_wr_o.aeb_hk_adc_rd_data_t_ccd.adc_chx_data_t_ccd(23 downto 16) &lt;= avalon_mm_rmap_i.writedata(23 downto 16);</t>
  </si>
  <si>
    <t xml:space="preserve">      rmap_registers_wr_o.aeb_hk_adc_rd_data_t_ref1k_mea.ovf &lt;= avalon_mm_rmap_i.writedata(0);</t>
  </si>
  <si>
    <t xml:space="preserve">      rmap_registers_wr_o.aeb_hk_adc_rd_data_t_ref1k_mea.supply &lt;= avalon_mm_rmap_i.writedata(0);</t>
  </si>
  <si>
    <t xml:space="preserve">      rmap_registers_wr_o.aeb_hk_adc_rd_data_t_ref1k_mea.chid &lt;= avalon_mm_rmap_i.writedata(4 downto 0);</t>
  </si>
  <si>
    <t xml:space="preserve">      rmap_registers_wr_o.aeb_hk_adc_rd_data_t_ref1k_mea.adc_chx_data_t_ref1k_mea(7 downto 0) &lt;= avalon_mm_rmap_i.writedata(7 downto 0);</t>
  </si>
  <si>
    <t xml:space="preserve">      rmap_registers_wr_o.aeb_hk_adc_rd_data_t_ref1k_mea.adc_chx_data_t_ref1k_mea(15 downto 8) &lt;= avalon_mm_rmap_i.writedata(15 downto 8);</t>
  </si>
  <si>
    <t xml:space="preserve">      rmap_registers_wr_o.aeb_hk_adc_rd_data_t_ref1k_mea.adc_chx_data_t_ref1k_mea(23 downto 16) &lt;= avalon_mm_rmap_i.writedata(23 downto 16);</t>
  </si>
  <si>
    <t xml:space="preserve">      rmap_registers_wr_o.aeb_hk_adc_rd_data_t_ref649r_mea.ovf &lt;= avalon_mm_rmap_i.writedata(0);</t>
  </si>
  <si>
    <t xml:space="preserve">      rmap_registers_wr_o.aeb_hk_adc_rd_data_t_ref649r_mea.supply &lt;= avalon_mm_rmap_i.writedata(0);</t>
  </si>
  <si>
    <t xml:space="preserve">      rmap_registers_wr_o.aeb_hk_adc_rd_data_t_ref649r_mea.chid &lt;= avalon_mm_rmap_i.writedata(4 downto 0);</t>
  </si>
  <si>
    <t xml:space="preserve">      rmap_registers_wr_o.aeb_hk_adc_rd_data_t_ref649r_mea.adc_chx_data_t_ref649r_mea(7 downto 0) &lt;= avalon_mm_rmap_i.writedata(7 downto 0);</t>
  </si>
  <si>
    <t xml:space="preserve">      rmap_registers_wr_o.aeb_hk_adc_rd_data_t_ref649r_mea.adc_chx_data_t_ref649r_mea(15 downto 8) &lt;= avalon_mm_rmap_i.writedata(15 downto 8);</t>
  </si>
  <si>
    <t xml:space="preserve">      rmap_registers_wr_o.aeb_hk_adc_rd_data_t_ref649r_mea.adc_chx_data_t_ref649r_mea(23 downto 16) &lt;= avalon_mm_rmap_i.writedata(23 downto 16);</t>
  </si>
  <si>
    <t xml:space="preserve">      rmap_registers_wr_o.aeb_hk_adc_rd_data_hk_ana_n5v.ovf &lt;= avalon_mm_rmap_i.writedata(0);</t>
  </si>
  <si>
    <t xml:space="preserve">      rmap_registers_wr_o.aeb_hk_adc_rd_data_hk_ana_n5v.supply &lt;= avalon_mm_rmap_i.writedata(0);</t>
  </si>
  <si>
    <t xml:space="preserve">      rmap_registers_wr_o.aeb_hk_adc_rd_data_hk_ana_n5v.chid &lt;= avalon_mm_rmap_i.writedata(4 downto 0);</t>
  </si>
  <si>
    <t xml:space="preserve">      rmap_registers_wr_o.aeb_hk_adc_rd_data_hk_ana_n5v.adc_chx_data_hk_ana_n5v(7 downto 0) &lt;= avalon_mm_rmap_i.writedata(7 downto 0);</t>
  </si>
  <si>
    <t xml:space="preserve">      rmap_registers_wr_o.aeb_hk_adc_rd_data_hk_ana_n5v.adc_chx_data_hk_ana_n5v(15 downto 8) &lt;= avalon_mm_rmap_i.writedata(15 downto 8);</t>
  </si>
  <si>
    <t xml:space="preserve">      rmap_registers_wr_o.aeb_hk_adc_rd_data_hk_ana_n5v.adc_chx_data_hk_ana_n5v(23 downto 16) &lt;= avalon_mm_rmap_i.writedata(23 downto 16);</t>
  </si>
  <si>
    <t xml:space="preserve">      rmap_registers_wr_o.aeb_hk_adc_rd_data_s_ref.ovf &lt;= avalon_mm_rmap_i.writedata(0);</t>
  </si>
  <si>
    <t xml:space="preserve">      rmap_registers_wr_o.aeb_hk_adc_rd_data_s_ref.supply &lt;= avalon_mm_rmap_i.writedata(0);</t>
  </si>
  <si>
    <t xml:space="preserve">      rmap_registers_wr_o.aeb_hk_adc_rd_data_s_ref.chid &lt;= avalon_mm_rmap_i.writedata(4 downto 0);</t>
  </si>
  <si>
    <t xml:space="preserve">      rmap_registers_wr_o.aeb_hk_adc_rd_data_s_ref.adc_chx_data_s_ref(7 downto 0) &lt;= avalon_mm_rmap_i.writedata(7 downto 0);</t>
  </si>
  <si>
    <t xml:space="preserve">      rmap_registers_wr_o.aeb_hk_adc_rd_data_s_ref.adc_chx_data_s_ref(15 downto 8) &lt;= avalon_mm_rmap_i.writedata(15 downto 8);</t>
  </si>
  <si>
    <t xml:space="preserve">      rmap_registers_wr_o.aeb_hk_adc_rd_data_s_ref.adc_chx_data_s_ref(23 downto 16) &lt;= avalon_mm_rmap_i.writedata(23 downto 16);</t>
  </si>
  <si>
    <t xml:space="preserve">      rmap_registers_wr_o.aeb_hk_adc_rd_data_hk_ccd_p31v.ovf &lt;= avalon_mm_rmap_i.writedata(0);</t>
  </si>
  <si>
    <t xml:space="preserve">      rmap_registers_wr_o.aeb_hk_adc_rd_data_hk_ccd_p31v.supply &lt;= avalon_mm_rmap_i.writedata(0);</t>
  </si>
  <si>
    <t xml:space="preserve">      rmap_registers_wr_o.aeb_hk_adc_rd_data_hk_ccd_p31v.chid &lt;= avalon_mm_rmap_i.writedata(4 downto 0);</t>
  </si>
  <si>
    <t xml:space="preserve">      rmap_registers_wr_o.aeb_hk_adc_rd_data_hk_ccd_p31v.adc_chx_data_hk_ccd_p31v(7 downto 0) &lt;= avalon_mm_rmap_i.writedata(7 downto 0);</t>
  </si>
  <si>
    <t xml:space="preserve">      rmap_registers_wr_o.aeb_hk_adc_rd_data_hk_ccd_p31v.adc_chx_data_hk_ccd_p31v(15 downto 8) &lt;= avalon_mm_rmap_i.writedata(15 downto 8);</t>
  </si>
  <si>
    <t xml:space="preserve">      rmap_registers_wr_o.aeb_hk_adc_rd_data_hk_ccd_p31v.adc_chx_data_hk_ccd_p31v(23 downto 16) &lt;= avalon_mm_rmap_i.writedata(23 downto 16);</t>
  </si>
  <si>
    <t xml:space="preserve">      rmap_registers_wr_o.aeb_hk_adc_rd_data_hk_clk_p15v.ovf &lt;= avalon_mm_rmap_i.writedata(0);</t>
  </si>
  <si>
    <t xml:space="preserve">      rmap_registers_wr_o.aeb_hk_adc_rd_data_hk_clk_p15v.supply &lt;= avalon_mm_rmap_i.writedata(0);</t>
  </si>
  <si>
    <t xml:space="preserve">      rmap_registers_wr_o.aeb_hk_adc_rd_data_hk_clk_p15v.chid &lt;= avalon_mm_rmap_i.writedata(4 downto 0);</t>
  </si>
  <si>
    <t xml:space="preserve">      rmap_registers_wr_o.aeb_hk_adc_rd_data_hk_clk_p15v.adc_chx_data_hk_clk_p15v(7 downto 0) &lt;= avalon_mm_rmap_i.writedata(7 downto 0);</t>
  </si>
  <si>
    <t xml:space="preserve">      rmap_registers_wr_o.aeb_hk_adc_rd_data_hk_clk_p15v.adc_chx_data_hk_clk_p15v(15 downto 8) &lt;= avalon_mm_rmap_i.writedata(15 downto 8);</t>
  </si>
  <si>
    <t xml:space="preserve">      rmap_registers_wr_o.aeb_hk_adc_rd_data_hk_clk_p15v.adc_chx_data_hk_clk_p15v(23 downto 16) &lt;= avalon_mm_rmap_i.writedata(23 downto 16);</t>
  </si>
  <si>
    <t xml:space="preserve">      rmap_registers_wr_o.aeb_hk_adc_rd_data_hk_ana_p5v.ovf &lt;= avalon_mm_rmap_i.writedata(0);</t>
  </si>
  <si>
    <t xml:space="preserve">      rmap_registers_wr_o.aeb_hk_adc_rd_data_hk_ana_p5v.supply &lt;= avalon_mm_rmap_i.writedata(0);</t>
  </si>
  <si>
    <t xml:space="preserve">      rmap_registers_wr_o.aeb_hk_adc_rd_data_hk_ana_p5v.chid &lt;= avalon_mm_rmap_i.writedata(4 downto 0);</t>
  </si>
  <si>
    <t xml:space="preserve">      rmap_registers_wr_o.aeb_hk_adc_rd_data_hk_ana_p5v.adc_chx_data_hk_ana_p5v(7 downto 0) &lt;= avalon_mm_rmap_i.writedata(7 downto 0);</t>
  </si>
  <si>
    <t xml:space="preserve">      rmap_registers_wr_o.aeb_hk_adc_rd_data_hk_ana_p5v.adc_chx_data_hk_ana_p5v(15 downto 8) &lt;= avalon_mm_rmap_i.writedata(15 downto 8);</t>
  </si>
  <si>
    <t xml:space="preserve">      rmap_registers_wr_o.aeb_hk_adc_rd_data_hk_ana_p5v.adc_chx_data_hk_ana_p5v(23 downto 16) &lt;= avalon_mm_rmap_i.writedata(23 downto 16);</t>
  </si>
  <si>
    <t xml:space="preserve">      rmap_registers_wr_o.aeb_hk_adc_rd_data_hk_ana_p3v3.ovf &lt;= avalon_mm_rmap_i.writedata(0);</t>
  </si>
  <si>
    <t xml:space="preserve">      rmap_registers_wr_o.aeb_hk_adc_rd_data_hk_ana_p3v3.supply &lt;= avalon_mm_rmap_i.writedata(0);</t>
  </si>
  <si>
    <t xml:space="preserve">      rmap_registers_wr_o.aeb_hk_adc_rd_data_hk_ana_p3v3.chid &lt;= avalon_mm_rmap_i.writedata(4 downto 0);</t>
  </si>
  <si>
    <t xml:space="preserve">      rmap_registers_wr_o.aeb_hk_adc_rd_data_hk_ana_p3v3.adc_chx_data_hk_ana_p3v3(7 downto 0) &lt;= avalon_mm_rmap_i.writedata(7 downto 0);</t>
  </si>
  <si>
    <t xml:space="preserve">      rmap_registers_wr_o.aeb_hk_adc_rd_data_hk_ana_p3v3.adc_chx_data_hk_ana_p3v3(15 downto 8) &lt;= avalon_mm_rmap_i.writedata(15 downto 8);</t>
  </si>
  <si>
    <t xml:space="preserve">      rmap_registers_wr_o.aeb_hk_adc_rd_data_hk_ana_p3v3.adc_chx_data_hk_ana_p3v3(23 downto 16) &lt;= avalon_mm_rmap_i.writedata(23 downto 16);</t>
  </si>
  <si>
    <t xml:space="preserve">      rmap_registers_wr_o.aeb_hk_adc_rd_data_hk_dig_p3v3.ovf &lt;= avalon_mm_rmap_i.writedata(0);</t>
  </si>
  <si>
    <t xml:space="preserve">      rmap_registers_wr_o.aeb_hk_adc_rd_data_hk_dig_p3v3.supply &lt;= avalon_mm_rmap_i.writedata(0);</t>
  </si>
  <si>
    <t xml:space="preserve">      rmap_registers_wr_o.aeb_hk_adc_rd_data_hk_dig_p3v3.chid &lt;= avalon_mm_rmap_i.writedata(4 downto 0);</t>
  </si>
  <si>
    <t xml:space="preserve">      rmap_registers_wr_o.aeb_hk_adc_rd_data_hk_dig_p3v3.adc_chx_data_hk_dig_p3v3(7 downto 0) &lt;= avalon_mm_rmap_i.writedata(7 downto 0);</t>
  </si>
  <si>
    <t xml:space="preserve">      rmap_registers_wr_o.aeb_hk_adc_rd_data_hk_dig_p3v3.adc_chx_data_hk_dig_p3v3(15 downto 8) &lt;= avalon_mm_rmap_i.writedata(15 downto 8);</t>
  </si>
  <si>
    <t xml:space="preserve">      rmap_registers_wr_o.aeb_hk_adc_rd_data_hk_dig_p3v3.adc_chx_data_hk_dig_p3v3(23 downto 16) &lt;= avalon_mm_rmap_i.writedata(23 downto 16);</t>
  </si>
  <si>
    <t xml:space="preserve">      rmap_registers_wr_o.aeb_hk_adc_rd_data_adc_ref_buf_2.ovf &lt;= avalon_mm_rmap_i.writedata(0);</t>
  </si>
  <si>
    <t xml:space="preserve">      rmap_registers_wr_o.aeb_hk_adc_rd_data_adc_ref_buf_2.supply &lt;= avalon_mm_rmap_i.writedata(0);</t>
  </si>
  <si>
    <t xml:space="preserve">      rmap_registers_wr_o.aeb_hk_adc_rd_data_adc_ref_buf_2.chid &lt;= avalon_mm_rmap_i.writedata(4 downto 0);</t>
  </si>
  <si>
    <t xml:space="preserve">      rmap_registers_wr_o.aeb_hk_adc_rd_data_adc_ref_buf_2.adc_chx_data_adc_ref_buf_2 &lt;= avalon_mm_rmap_i.writedata(11 downto 8);</t>
  </si>
  <si>
    <t xml:space="preserve">      rmap_registers_wr_o.aeb_hk_adc1_rd_config_1.spirst &lt;= avalon_mm_rmap_i.writedata(0);</t>
  </si>
  <si>
    <t xml:space="preserve">      rmap_registers_wr_o.aeb_hk_adc1_rd_config_1.muxmod &lt;= avalon_mm_rmap_i.writedata(0);</t>
  </si>
  <si>
    <t xml:space="preserve">      rmap_registers_wr_o.aeb_hk_adc1_rd_config_1.bypas &lt;= avalon_mm_rmap_i.writedata(0);</t>
  </si>
  <si>
    <t xml:space="preserve">      rmap_registers_wr_o.aeb_hk_adc1_rd_config_1.clkenb &lt;= avalon_mm_rmap_i.writedata(0);</t>
  </si>
  <si>
    <t xml:space="preserve">      rmap_registers_wr_o.aeb_hk_adc1_rd_config_1.chop &lt;= avalon_mm_rmap_i.writedata(0);</t>
  </si>
  <si>
    <t xml:space="preserve">      rmap_registers_wr_o.aeb_hk_adc1_rd_config_1.stat &lt;= avalon_mm_rmap_i.writedata(0);</t>
  </si>
  <si>
    <t xml:space="preserve">      rmap_registers_wr_o.aeb_hk_adc1_rd_config_1.idlmod &lt;= avalon_mm_rmap_i.writedata(0);</t>
  </si>
  <si>
    <t xml:space="preserve">      rmap_registers_wr_o.aeb_hk_adc1_rd_config_1.dly2 &lt;= avalon_mm_rmap_i.writedata(0);</t>
  </si>
  <si>
    <t xml:space="preserve">      rmap_registers_wr_o.aeb_hk_adc1_rd_config_1.dly1 &lt;= avalon_mm_rmap_i.writedata(0);</t>
  </si>
  <si>
    <t xml:space="preserve">      rmap_registers_wr_o.aeb_hk_adc1_rd_config_1.dly0 &lt;= avalon_mm_rmap_i.writedata(0);</t>
  </si>
  <si>
    <t xml:space="preserve">      rmap_registers_wr_o.aeb_hk_adc1_rd_config_1.sbcs1 &lt;= avalon_mm_rmap_i.writedata(0);</t>
  </si>
  <si>
    <t xml:space="preserve">      rmap_registers_wr_o.aeb_hk_adc1_rd_config_1.sbcs0 &lt;= avalon_mm_rmap_i.writedata(0);</t>
  </si>
  <si>
    <t xml:space="preserve">      rmap_registers_wr_o.aeb_hk_adc1_rd_config_1.drate1 &lt;= avalon_mm_rmap_i.writedata(0);</t>
  </si>
  <si>
    <t xml:space="preserve">      rmap_registers_wr_o.aeb_hk_adc1_rd_config_1.drate0 &lt;= avalon_mm_rmap_i.writedata(0);</t>
  </si>
  <si>
    <t xml:space="preserve">      rmap_registers_wr_o.aeb_hk_adc1_rd_config_1.ainp3 &lt;= avalon_mm_rmap_i.writedata(0);</t>
  </si>
  <si>
    <t xml:space="preserve">      rmap_registers_wr_o.aeb_hk_adc1_rd_config_1.ainp2 &lt;= avalon_mm_rmap_i.writedata(0);</t>
  </si>
  <si>
    <t xml:space="preserve">      rmap_registers_wr_o.aeb_hk_adc1_rd_config_1.ainp1 &lt;= avalon_mm_rmap_i.writedata(0);</t>
  </si>
  <si>
    <t xml:space="preserve">      rmap_registers_wr_o.aeb_hk_adc1_rd_config_1.ainp0 &lt;= avalon_mm_rmap_i.writedata(0);</t>
  </si>
  <si>
    <t xml:space="preserve">      rmap_registers_wr_o.aeb_hk_adc1_rd_config_1.ainn3 &lt;= avalon_mm_rmap_i.writedata(0);</t>
  </si>
  <si>
    <t xml:space="preserve">      rmap_registers_wr_o.aeb_hk_adc1_rd_config_1.ainn2 &lt;= avalon_mm_rmap_i.writedata(0);</t>
  </si>
  <si>
    <t xml:space="preserve">      rmap_registers_wr_o.aeb_hk_adc1_rd_config_1.ainn1 &lt;= avalon_mm_rmap_i.writedata(0);</t>
  </si>
  <si>
    <t xml:space="preserve">      rmap_registers_wr_o.aeb_hk_adc1_rd_config_1.ainn0 &lt;= avalon_mm_rmap_i.writedata(0);</t>
  </si>
  <si>
    <t xml:space="preserve">      rmap_registers_wr_o.aeb_hk_adc1_rd_config_1.diff7 &lt;= avalon_mm_rmap_i.writedata(0);</t>
  </si>
  <si>
    <t xml:space="preserve">      rmap_registers_wr_o.aeb_hk_adc1_rd_config_1.diff6 &lt;= avalon_mm_rmap_i.writedata(0);</t>
  </si>
  <si>
    <t xml:space="preserve">      rmap_registers_wr_o.aeb_hk_adc1_rd_config_1.diff5 &lt;= avalon_mm_rmap_i.writedata(0);</t>
  </si>
  <si>
    <t xml:space="preserve">      rmap_registers_wr_o.aeb_hk_adc1_rd_config_1.diff4 &lt;= avalon_mm_rmap_i.writedata(0);</t>
  </si>
  <si>
    <t xml:space="preserve">      rmap_registers_wr_o.aeb_hk_adc1_rd_config_1.diff3 &lt;= avalon_mm_rmap_i.writedata(0);</t>
  </si>
  <si>
    <t xml:space="preserve">      rmap_registers_wr_o.aeb_hk_adc1_rd_config_1.diff2 &lt;= avalon_mm_rmap_i.writedata(0);</t>
  </si>
  <si>
    <t xml:space="preserve">      rmap_registers_wr_o.aeb_hk_adc1_rd_config_1.diff1 &lt;= avalon_mm_rmap_i.writedata(0);</t>
  </si>
  <si>
    <t xml:space="preserve">      rmap_registers_wr_o.aeb_hk_adc1_rd_config_1.diff0 &lt;= avalon_mm_rmap_i.writedata(0);</t>
  </si>
  <si>
    <t xml:space="preserve">      rmap_registers_wr_o.aeb_hk_adc1_rd_config_2.ain7 &lt;= avalon_mm_rmap_i.writedata(0);</t>
  </si>
  <si>
    <t xml:space="preserve">      rmap_registers_wr_o.aeb_hk_adc1_rd_config_2.ain6 &lt;= avalon_mm_rmap_i.writedata(0);</t>
  </si>
  <si>
    <t xml:space="preserve">      rmap_registers_wr_o.aeb_hk_adc1_rd_config_2.ain5 &lt;= avalon_mm_rmap_i.writedata(0);</t>
  </si>
  <si>
    <t xml:space="preserve">      rmap_registers_wr_o.aeb_hk_adc1_rd_config_2.ain4 &lt;= avalon_mm_rmap_i.writedata(0);</t>
  </si>
  <si>
    <t xml:space="preserve">      rmap_registers_wr_o.aeb_hk_adc1_rd_config_2.ain3 &lt;= avalon_mm_rmap_i.writedata(0);</t>
  </si>
  <si>
    <t xml:space="preserve">      rmap_registers_wr_o.aeb_hk_adc1_rd_config_2.ain2 &lt;= avalon_mm_rmap_i.writedata(0);</t>
  </si>
  <si>
    <t xml:space="preserve">      rmap_registers_wr_o.aeb_hk_adc1_rd_config_2.ain1 &lt;= avalon_mm_rmap_i.writedata(0);</t>
  </si>
  <si>
    <t xml:space="preserve">      rmap_registers_wr_o.aeb_hk_adc1_rd_config_2.ain0 &lt;= avalon_mm_rmap_i.writedata(0);</t>
  </si>
  <si>
    <t xml:space="preserve">      rmap_registers_wr_o.aeb_hk_adc1_rd_config_2.ain15 &lt;= avalon_mm_rmap_i.writedata(0);</t>
  </si>
  <si>
    <t xml:space="preserve">      rmap_registers_wr_o.aeb_hk_adc1_rd_config_2.ain14 &lt;= avalon_mm_rmap_i.writedata(0);</t>
  </si>
  <si>
    <t xml:space="preserve">      rmap_registers_wr_o.aeb_hk_adc1_rd_config_2.ain13 &lt;= avalon_mm_rmap_i.writedata(0);</t>
  </si>
  <si>
    <t xml:space="preserve">      rmap_registers_wr_o.aeb_hk_adc1_rd_config_2.ain12 &lt;= avalon_mm_rmap_i.writedata(0);</t>
  </si>
  <si>
    <t xml:space="preserve">      rmap_registers_wr_o.aeb_hk_adc1_rd_config_2.ain11 &lt;= avalon_mm_rmap_i.writedata(0);</t>
  </si>
  <si>
    <t xml:space="preserve">      rmap_registers_wr_o.aeb_hk_adc1_rd_config_2.ain10 &lt;= avalon_mm_rmap_i.writedata(0);</t>
  </si>
  <si>
    <t xml:space="preserve">      rmap_registers_wr_o.aeb_hk_adc1_rd_config_2.ain9 &lt;= avalon_mm_rmap_i.writedata(0);</t>
  </si>
  <si>
    <t xml:space="preserve">      rmap_registers_wr_o.aeb_hk_adc1_rd_config_2.ain8 &lt;= avalon_mm_rmap_i.writedata(0);</t>
  </si>
  <si>
    <t xml:space="preserve">      rmap_registers_wr_o.aeb_hk_adc1_rd_config_2.ref &lt;= avalon_mm_rmap_i.writedata(0);</t>
  </si>
  <si>
    <t xml:space="preserve">      rmap_registers_wr_o.aeb_hk_adc1_rd_config_2.gain &lt;= avalon_mm_rmap_i.writedata(0);</t>
  </si>
  <si>
    <t xml:space="preserve">      rmap_registers_wr_o.aeb_hk_adc1_rd_config_2.temp &lt;= avalon_mm_rmap_i.writedata(0);</t>
  </si>
  <si>
    <t xml:space="preserve">      rmap_registers_wr_o.aeb_hk_adc1_rd_config_2.vcc &lt;= avalon_mm_rmap_i.writedata(0);</t>
  </si>
  <si>
    <t xml:space="preserve">      rmap_registers_wr_o.aeb_hk_adc1_rd_config_2.offset &lt;= avalon_mm_rmap_i.writedata(0);</t>
  </si>
  <si>
    <t xml:space="preserve">      rmap_registers_wr_o.aeb_hk_adc1_rd_config_2.cio7 &lt;= avalon_mm_rmap_i.writedata(0);</t>
  </si>
  <si>
    <t xml:space="preserve">      rmap_registers_wr_o.aeb_hk_adc1_rd_config_2.cio6 &lt;= avalon_mm_rmap_i.writedata(0);</t>
  </si>
  <si>
    <t xml:space="preserve">      rmap_registers_wr_o.aeb_hk_adc1_rd_config_2.cio5 &lt;= avalon_mm_rmap_i.writedata(0);</t>
  </si>
  <si>
    <t xml:space="preserve">      rmap_registers_wr_o.aeb_hk_adc1_rd_config_2.cio4 &lt;= avalon_mm_rmap_i.writedata(0);</t>
  </si>
  <si>
    <t xml:space="preserve">      rmap_registers_wr_o.aeb_hk_adc1_rd_config_2.cio3 &lt;= avalon_mm_rmap_i.writedata(0);</t>
  </si>
  <si>
    <t xml:space="preserve">      rmap_registers_wr_o.aeb_hk_adc1_rd_config_2.cio2 &lt;= avalon_mm_rmap_i.writedata(0);</t>
  </si>
  <si>
    <t xml:space="preserve">      rmap_registers_wr_o.aeb_hk_adc1_rd_config_2.cio1 &lt;= avalon_mm_rmap_i.writedata(0);</t>
  </si>
  <si>
    <t xml:space="preserve">      rmap_registers_wr_o.aeb_hk_adc1_rd_config_2.cio0 &lt;= avalon_mm_rmap_i.writedata(0);</t>
  </si>
  <si>
    <t xml:space="preserve">      rmap_registers_wr_o.aeb_hk_adc1_rd_config_3.dio7 &lt;= avalon_mm_rmap_i.writedata(0);</t>
  </si>
  <si>
    <t xml:space="preserve">      rmap_registers_wr_o.aeb_hk_adc1_rd_config_3.dio6 &lt;= avalon_mm_rmap_i.writedata(0);</t>
  </si>
  <si>
    <t xml:space="preserve">      rmap_registers_wr_o.aeb_hk_adc1_rd_config_3.dio5 &lt;= avalon_mm_rmap_i.writedata(0);</t>
  </si>
  <si>
    <t xml:space="preserve">      rmap_registers_wr_o.aeb_hk_adc1_rd_config_3.dio4 &lt;= avalon_mm_rmap_i.writedata(0);</t>
  </si>
  <si>
    <t xml:space="preserve">      rmap_registers_wr_o.aeb_hk_adc1_rd_config_3.dio3 &lt;= avalon_mm_rmap_i.writedata(0);</t>
  </si>
  <si>
    <t xml:space="preserve">      rmap_registers_wr_o.aeb_hk_adc1_rd_config_3.dio2 &lt;= avalon_mm_rmap_i.writedata(0);</t>
  </si>
  <si>
    <t xml:space="preserve">      rmap_registers_wr_o.aeb_hk_adc1_rd_config_3.dio1 &lt;= avalon_mm_rmap_i.writedata(0);</t>
  </si>
  <si>
    <t xml:space="preserve">      rmap_registers_wr_o.aeb_hk_adc1_rd_config_3.dio0 &lt;= avalon_mm_rmap_i.writedata(0);</t>
  </si>
  <si>
    <t xml:space="preserve">      rmap_registers_wr_o.aeb_hk_adc2_rd_config_1.spirst &lt;= avalon_mm_rmap_i.writedata(0);</t>
  </si>
  <si>
    <t xml:space="preserve">      rmap_registers_wr_o.aeb_hk_adc2_rd_config_1.muxmod &lt;= avalon_mm_rmap_i.writedata(0);</t>
  </si>
  <si>
    <t xml:space="preserve">      rmap_registers_wr_o.aeb_hk_adc2_rd_config_1.bypas &lt;= avalon_mm_rmap_i.writedata(0);</t>
  </si>
  <si>
    <t xml:space="preserve">      rmap_registers_wr_o.aeb_hk_adc2_rd_config_1.clkenb &lt;= avalon_mm_rmap_i.writedata(0);</t>
  </si>
  <si>
    <t xml:space="preserve">      rmap_registers_wr_o.aeb_hk_adc2_rd_config_1.chop &lt;= avalon_mm_rmap_i.writedata(0);</t>
  </si>
  <si>
    <t xml:space="preserve">      rmap_registers_wr_o.aeb_hk_adc2_rd_config_1.stat &lt;= avalon_mm_rmap_i.writedata(0);</t>
  </si>
  <si>
    <t xml:space="preserve">      rmap_registers_wr_o.aeb_hk_adc2_rd_config_1.idlmod &lt;= avalon_mm_rmap_i.writedata(0);</t>
  </si>
  <si>
    <t xml:space="preserve">      rmap_registers_wr_o.aeb_hk_adc2_rd_config_1.dly2 &lt;= avalon_mm_rmap_i.writedata(0);</t>
  </si>
  <si>
    <t xml:space="preserve">      rmap_registers_wr_o.aeb_hk_adc2_rd_config_1.dly1 &lt;= avalon_mm_rmap_i.writedata(0);</t>
  </si>
  <si>
    <t xml:space="preserve">      rmap_registers_wr_o.aeb_hk_adc2_rd_config_1.dly0 &lt;= avalon_mm_rmap_i.writedata(0);</t>
  </si>
  <si>
    <t xml:space="preserve">      rmap_registers_wr_o.aeb_hk_adc2_rd_config_1.sbcs1 &lt;= avalon_mm_rmap_i.writedata(0);</t>
  </si>
  <si>
    <t xml:space="preserve">      rmap_registers_wr_o.aeb_hk_adc2_rd_config_1.sbcs0 &lt;= avalon_mm_rmap_i.writedata(0);</t>
  </si>
  <si>
    <t xml:space="preserve">      rmap_registers_wr_o.aeb_hk_adc2_rd_config_1.drate1 &lt;= avalon_mm_rmap_i.writedata(0);</t>
  </si>
  <si>
    <t xml:space="preserve">      rmap_registers_wr_o.aeb_hk_adc2_rd_config_1.drate0 &lt;= avalon_mm_rmap_i.writedata(0);</t>
  </si>
  <si>
    <t xml:space="preserve">      rmap_registers_wr_o.aeb_hk_adc2_rd_config_1.ainp3 &lt;= avalon_mm_rmap_i.writedata(0);</t>
  </si>
  <si>
    <t xml:space="preserve">      rmap_registers_wr_o.aeb_hk_adc2_rd_config_1.ainp2 &lt;= avalon_mm_rmap_i.writedata(0);</t>
  </si>
  <si>
    <t xml:space="preserve">      rmap_registers_wr_o.aeb_hk_adc2_rd_config_1.ainp1 &lt;= avalon_mm_rmap_i.writedata(0);</t>
  </si>
  <si>
    <t xml:space="preserve">      rmap_registers_wr_o.aeb_hk_adc2_rd_config_1.ainp0 &lt;= avalon_mm_rmap_i.writedata(0);</t>
  </si>
  <si>
    <t xml:space="preserve">      rmap_registers_wr_o.aeb_hk_adc2_rd_config_1.ainn3 &lt;= avalon_mm_rmap_i.writedata(0);</t>
  </si>
  <si>
    <t xml:space="preserve">      rmap_registers_wr_o.aeb_hk_adc2_rd_config_1.ainn2 &lt;= avalon_mm_rmap_i.writedata(0);</t>
  </si>
  <si>
    <t xml:space="preserve">      rmap_registers_wr_o.aeb_hk_adc2_rd_config_1.ainn1 &lt;= avalon_mm_rmap_i.writedata(0);</t>
  </si>
  <si>
    <t xml:space="preserve">      rmap_registers_wr_o.aeb_hk_adc2_rd_config_1.ainn0 &lt;= avalon_mm_rmap_i.writedata(0);</t>
  </si>
  <si>
    <t xml:space="preserve">      rmap_registers_wr_o.aeb_hk_adc2_rd_config_1.diff7 &lt;= avalon_mm_rmap_i.writedata(0);</t>
  </si>
  <si>
    <t xml:space="preserve">      rmap_registers_wr_o.aeb_hk_adc2_rd_config_1.diff6 &lt;= avalon_mm_rmap_i.writedata(0);</t>
  </si>
  <si>
    <t xml:space="preserve">      rmap_registers_wr_o.aeb_hk_adc2_rd_config_1.diff5 &lt;= avalon_mm_rmap_i.writedata(0);</t>
  </si>
  <si>
    <t xml:space="preserve">      rmap_registers_wr_o.aeb_hk_adc2_rd_config_1.diff4 &lt;= avalon_mm_rmap_i.writedata(0);</t>
  </si>
  <si>
    <t xml:space="preserve">      rmap_registers_wr_o.aeb_hk_adc2_rd_config_1.diff3 &lt;= avalon_mm_rmap_i.writedata(0);</t>
  </si>
  <si>
    <t xml:space="preserve">      rmap_registers_wr_o.aeb_hk_adc2_rd_config_1.diff2 &lt;= avalon_mm_rmap_i.writedata(0);</t>
  </si>
  <si>
    <t xml:space="preserve">      rmap_registers_wr_o.aeb_hk_adc2_rd_config_1.diff1 &lt;= avalon_mm_rmap_i.writedata(0);</t>
  </si>
  <si>
    <t xml:space="preserve">      rmap_registers_wr_o.aeb_hk_adc2_rd_config_1.diff0 &lt;= avalon_mm_rmap_i.writedata(0);</t>
  </si>
  <si>
    <t xml:space="preserve">      rmap_registers_wr_o.aeb_hk_adc2_rd_config_2.ain7 &lt;= avalon_mm_rmap_i.writedata(0);</t>
  </si>
  <si>
    <t xml:space="preserve">      rmap_registers_wr_o.aeb_hk_adc2_rd_config_2.ain6 &lt;= avalon_mm_rmap_i.writedata(0);</t>
  </si>
  <si>
    <t xml:space="preserve">      rmap_registers_wr_o.aeb_hk_adc2_rd_config_2.ain5 &lt;= avalon_mm_rmap_i.writedata(0);</t>
  </si>
  <si>
    <t xml:space="preserve">      rmap_registers_wr_o.aeb_hk_adc2_rd_config_2.ain4 &lt;= avalon_mm_rmap_i.writedata(0);</t>
  </si>
  <si>
    <t xml:space="preserve">      rmap_registers_wr_o.aeb_hk_adc2_rd_config_2.ain3 &lt;= avalon_mm_rmap_i.writedata(0);</t>
  </si>
  <si>
    <t xml:space="preserve">      rmap_registers_wr_o.aeb_hk_adc2_rd_config_2.ain2 &lt;= avalon_mm_rmap_i.writedata(0);</t>
  </si>
  <si>
    <t xml:space="preserve">      rmap_registers_wr_o.aeb_hk_adc2_rd_config_2.ain1 &lt;= avalon_mm_rmap_i.writedata(0);</t>
  </si>
  <si>
    <t xml:space="preserve">      rmap_registers_wr_o.aeb_hk_adc2_rd_config_2.ain0 &lt;= avalon_mm_rmap_i.writedata(0);</t>
  </si>
  <si>
    <t xml:space="preserve">      rmap_registers_wr_o.aeb_hk_adc2_rd_config_2.ain15 &lt;= avalon_mm_rmap_i.writedata(0);</t>
  </si>
  <si>
    <t xml:space="preserve">      rmap_registers_wr_o.aeb_hk_adc2_rd_config_2.ain14 &lt;= avalon_mm_rmap_i.writedata(0);</t>
  </si>
  <si>
    <t xml:space="preserve">      rmap_registers_wr_o.aeb_hk_adc2_rd_config_2.ain13 &lt;= avalon_mm_rmap_i.writedata(0);</t>
  </si>
  <si>
    <t xml:space="preserve">      rmap_registers_wr_o.aeb_hk_adc2_rd_config_2.ain12 &lt;= avalon_mm_rmap_i.writedata(0);</t>
  </si>
  <si>
    <t xml:space="preserve">      rmap_registers_wr_o.aeb_hk_adc2_rd_config_2.ain11 &lt;= avalon_mm_rmap_i.writedata(0);</t>
  </si>
  <si>
    <t xml:space="preserve">      rmap_registers_wr_o.aeb_hk_adc2_rd_config_2.ain10 &lt;= avalon_mm_rmap_i.writedata(0);</t>
  </si>
  <si>
    <t xml:space="preserve">      rmap_registers_wr_o.aeb_hk_adc2_rd_config_2.ain9 &lt;= avalon_mm_rmap_i.writedata(0);</t>
  </si>
  <si>
    <t xml:space="preserve">      rmap_registers_wr_o.aeb_hk_adc2_rd_config_2.ain8 &lt;= avalon_mm_rmap_i.writedata(0);</t>
  </si>
  <si>
    <t xml:space="preserve">      rmap_registers_wr_o.aeb_hk_adc2_rd_config_2.ref &lt;= avalon_mm_rmap_i.writedata(0);</t>
  </si>
  <si>
    <t xml:space="preserve">      rmap_registers_wr_o.aeb_hk_adc2_rd_config_2.gain &lt;= avalon_mm_rmap_i.writedata(0);</t>
  </si>
  <si>
    <t xml:space="preserve">      rmap_registers_wr_o.aeb_hk_adc2_rd_config_2.temp &lt;= avalon_mm_rmap_i.writedata(0);</t>
  </si>
  <si>
    <t xml:space="preserve">      rmap_registers_wr_o.aeb_hk_adc2_rd_config_2.vcc &lt;= avalon_mm_rmap_i.writedata(0);</t>
  </si>
  <si>
    <t xml:space="preserve">      rmap_registers_wr_o.aeb_hk_adc2_rd_config_2.offset &lt;= avalon_mm_rmap_i.writedata(0);</t>
  </si>
  <si>
    <t xml:space="preserve">      rmap_registers_wr_o.aeb_hk_adc2_rd_config_2.cio7 &lt;= avalon_mm_rmap_i.writedata(0);</t>
  </si>
  <si>
    <t xml:space="preserve">      rmap_registers_wr_o.aeb_hk_adc2_rd_config_2.cio6 &lt;= avalon_mm_rmap_i.writedata(0);</t>
  </si>
  <si>
    <t xml:space="preserve">      rmap_registers_wr_o.aeb_hk_adc2_rd_config_2.cio5 &lt;= avalon_mm_rmap_i.writedata(0);</t>
  </si>
  <si>
    <t xml:space="preserve">      rmap_registers_wr_o.aeb_hk_adc2_rd_config_2.cio4 &lt;= avalon_mm_rmap_i.writedata(0);</t>
  </si>
  <si>
    <t xml:space="preserve">      rmap_registers_wr_o.aeb_hk_adc2_rd_config_2.cio3 &lt;= avalon_mm_rmap_i.writedata(0);</t>
  </si>
  <si>
    <t xml:space="preserve">      rmap_registers_wr_o.aeb_hk_adc2_rd_config_2.cio2 &lt;= avalon_mm_rmap_i.writedata(0);</t>
  </si>
  <si>
    <t xml:space="preserve">      rmap_registers_wr_o.aeb_hk_adc2_rd_config_2.cio1 &lt;= avalon_mm_rmap_i.writedata(0);</t>
  </si>
  <si>
    <t xml:space="preserve">      rmap_registers_wr_o.aeb_hk_adc2_rd_config_2.cio0 &lt;= avalon_mm_rmap_i.writedata(0);</t>
  </si>
  <si>
    <t xml:space="preserve">      rmap_registers_wr_o.aeb_hk_adc2_rd_config_3.dio7 &lt;= avalon_mm_rmap_i.writedata(0);</t>
  </si>
  <si>
    <t xml:space="preserve">      rmap_registers_wr_o.aeb_hk_adc2_rd_config_3.dio6 &lt;= avalon_mm_rmap_i.writedata(0);</t>
  </si>
  <si>
    <t xml:space="preserve">      rmap_registers_wr_o.aeb_hk_adc2_rd_config_3.dio5 &lt;= avalon_mm_rmap_i.writedata(0);</t>
  </si>
  <si>
    <t xml:space="preserve">      rmap_registers_wr_o.aeb_hk_adc2_rd_config_3.dio4 &lt;= avalon_mm_rmap_i.writedata(0);</t>
  </si>
  <si>
    <t xml:space="preserve">      rmap_registers_wr_o.aeb_hk_adc2_rd_config_3.dio3 &lt;= avalon_mm_rmap_i.writedata(0);</t>
  </si>
  <si>
    <t xml:space="preserve">      rmap_registers_wr_o.aeb_hk_adc2_rd_config_3.dio2 &lt;= avalon_mm_rmap_i.writedata(0);</t>
  </si>
  <si>
    <t xml:space="preserve">      rmap_registers_wr_o.aeb_hk_adc2_rd_config_3.dio1 &lt;= avalon_mm_rmap_i.writedata(0);</t>
  </si>
  <si>
    <t xml:space="preserve">      rmap_registers_wr_o.aeb_hk_adc2_rd_config_3.dio0 &lt;= avalon_mm_rmap_i.writedata(0);</t>
  </si>
  <si>
    <t xml:space="preserve">      rmap_registers_wr_o.aeb_hk_vasp_rd_config.vasp1_read_data &lt;= avalon_mm_rmap_i.writedata(7 downto 0);</t>
  </si>
  <si>
    <t xml:space="preserve">      rmap_registers_wr_o.aeb_hk_vasp_rd_config.vasp2_read_data &lt;= avalon_mm_rmap_i.writedata(15 downto 8);</t>
  </si>
  <si>
    <t xml:space="preserve">      rmap_registers_wr_o.aeb_hk_revision_id_1.fpga_version(7 downto 0) &lt;= avalon_mm_rmap_i.writedata(23 downto 16);</t>
  </si>
  <si>
    <t xml:space="preserve">      rmap_registers_wr_o.aeb_hk_revision_id_1.fpga_version(15 downto 8) &lt;= avalon_mm_rmap_i.writedata(31 downto 24);</t>
  </si>
  <si>
    <t xml:space="preserve">      rmap_registers_wr_o.aeb_hk_revision_id_1.fpga_date(7 downto 0) &lt;= avalon_mm_rmap_i.writedata(7 downto 0);</t>
  </si>
  <si>
    <t xml:space="preserve">      rmap_registers_wr_o.aeb_hk_revision_id_1.fpga_date(15 downto 8) &lt;= avalon_mm_rmap_i.writedata(15 downto 8);</t>
  </si>
  <si>
    <t xml:space="preserve">      rmap_registers_wr_o.aeb_hk_revision_id_2.fpga_time_h(7 downto 0) &lt;= avalon_mm_rmap_i.writedata(23 downto 16);</t>
  </si>
  <si>
    <t xml:space="preserve">      rmap_registers_wr_o.aeb_hk_revision_id_2.fpga_time_h(15 downto 8) &lt;= avalon_mm_rmap_i.writedata(31 downto 24);</t>
  </si>
  <si>
    <t xml:space="preserve">      rmap_registers_wr_o.aeb_hk_revision_id_2.fpga_time_m &lt;= avalon_mm_rmap_i.writedata(7 downto 0);</t>
  </si>
  <si>
    <t xml:space="preserve">      rmap_registers_wr_o.aeb_hk_revision_id_2.fpga_svn(7 downto 0) &lt;= avalon_mm_rmap_i.writedata(23 downto 16);</t>
  </si>
  <si>
    <t xml:space="preserve">      rmap_registers_wr_o.aeb_hk_revision_id_2.fpga_svn(15 downto 8) &lt;= avalon_mm_rmap_i.writedata(31 downto 24);</t>
  </si>
  <si>
    <t>-- AEB Critical Configuration Area Register "AEB_CONTROL" : "NEW_STATE" Field</t>
  </si>
  <si>
    <t>rmap_registers_wr_o.aeb_crit_cfg_aeb_control.new_state &lt;= "0000";</t>
  </si>
  <si>
    <t>-- AEB Critical Configuration Area Register "AEB_CONTROL" : "SET_STATE" Field</t>
  </si>
  <si>
    <t>rmap_registers_wr_o.aeb_crit_cfg_aeb_control.set_state &lt;= '0';</t>
  </si>
  <si>
    <t>-- AEB Critical Configuration Area Register "AEB_CONTROL" : "AEB_RESET" Field</t>
  </si>
  <si>
    <t>rmap_registers_wr_o.aeb_crit_cfg_aeb_control.aeb_reset &lt;= '0';</t>
  </si>
  <si>
    <t>-- AEB Critical Configuration Area Register "AEB_CONFIG_KEY" : "KEY" Field</t>
  </si>
  <si>
    <t>rmap_registers_wr_o.aeb_crit_cfg_aeb_config_key.key &lt;= (others =&gt; '0');</t>
  </si>
  <si>
    <t>-- AEB Critical Configuration Area Register "AEB_CONFIG_PATTERN" : "PATTERN_CCDID" Field</t>
  </si>
  <si>
    <t>rmap_registers_wr_o.aeb_crit_cfg_aeb_config_pattern.pattern_ccdid &lt;= "00";</t>
  </si>
  <si>
    <t>-- AEB Critical Configuration Area Register "AEB_CONFIG_PATTERN" : "PATTERN_COLS" Field</t>
  </si>
  <si>
    <t>rmap_registers_wr_o.aeb_crit_cfg_aeb_config_pattern.pattern_cols &lt;= std_logic_vector(to_unsigned(32, 14));</t>
  </si>
  <si>
    <t>-- AEB Critical Configuration Area Register "AEB_CONFIG_PATTERN" : "RESERVED" Field</t>
  </si>
  <si>
    <t>-- AEB Critical Configuration Area Register "AEB_CONFIG_PATTERN" : "PATTERN_ROWS" Field</t>
  </si>
  <si>
    <t>rmap_registers_wr_o.aeb_crit_cfg_aeb_config_pattern.pattern_rows &lt;= std_logic_vector(to_unsigned(32, 14));</t>
  </si>
  <si>
    <t>-- AEB Critical Configuration Area Register "RESERVED_20" : "RESERVED" Field</t>
  </si>
  <si>
    <t>rmap_registers_wr_o.aeb_crit_cfg_reserved_20.reserved &lt;= (others =&gt; '0');</t>
  </si>
  <si>
    <t>-- AEB Critical Configuration Area Register "PWR_CONFIG1" : "TIME_VCCD_ON" Field</t>
  </si>
  <si>
    <t>rmap_registers_wr_o.aeb_crit_cfg_pwr_config1.time_vccd_on &lt;= x"00";</t>
  </si>
  <si>
    <t>-- AEB Critical Configuration Area Register "PWR_CONFIG1" : "TIME_VCLK_ON" Field</t>
  </si>
  <si>
    <t>rmap_registers_wr_o.aeb_crit_cfg_pwr_config1.time_vclk_on &lt;= x"63";</t>
  </si>
  <si>
    <t>-- AEB Critical Configuration Area Register "PWR_CONFIG1" : "TIME_VAN1_ON" Field</t>
  </si>
  <si>
    <t>rmap_registers_wr_o.aeb_crit_cfg_pwr_config1.time_van1_on &lt;= x"C8";</t>
  </si>
  <si>
    <t>-- AEB Critical Configuration Area Register "PWR_CONFIG1" : "TIME_VAN2_ON" Field</t>
  </si>
  <si>
    <t>rmap_registers_wr_o.aeb_crit_cfg_pwr_config1.time_van2_on &lt;= x"C8";</t>
  </si>
  <si>
    <t>-- AEB Critical Configuration Area Register "PWR_CONFIG2" : "TIME_VAN3_ON" Field</t>
  </si>
  <si>
    <t>rmap_registers_wr_o.aeb_crit_cfg_pwr_config2.time_van3_on &lt;= x"C8";</t>
  </si>
  <si>
    <t>-- AEB Critical Configuration Area Register "PWR_CONFIG2" : "TIME_VCCD_OFF" Field</t>
  </si>
  <si>
    <t>rmap_registers_wr_o.aeb_crit_cfg_pwr_config2.time_vccd_off &lt;= x"C8";</t>
  </si>
  <si>
    <t>-- AEB Critical Configuration Area Register "PWR_CONFIG2" : "TIME_VCLK_OFF" Field</t>
  </si>
  <si>
    <t>rmap_registers_wr_o.aeb_crit_cfg_pwr_config2.time_vclk_off &lt;= x"63";</t>
  </si>
  <si>
    <t>-- AEB Critical Configuration Area Register "PWR_CONFIG2" : "TIME_VAN1_OFF" Field</t>
  </si>
  <si>
    <t>rmap_registers_wr_o.aeb_crit_cfg_pwr_config2.time_van1_off &lt;= x"00";</t>
  </si>
  <si>
    <t>-- AEB Critical Configuration Area Register "PWR_CONFIG3" : "TIME_VAN2_OFF" Field</t>
  </si>
  <si>
    <t>rmap_registers_wr_o.aeb_crit_cfg_pwr_config3.time_van2_off &lt;= x"00";</t>
  </si>
  <si>
    <t>-- AEB Critical Configuration Area Register "PWR_CONFIG3" : "TIME_VAN3_OFF" Field</t>
  </si>
  <si>
    <t>rmap_registers_wr_o.aeb_crit_cfg_pwr_config3.time_van3_off &lt;= x"00";</t>
  </si>
  <si>
    <t>-- AEB General Configuration Area Register "RESERVED_118" : "RESERVED" Field</t>
  </si>
  <si>
    <t>rmap_registers_wr_o.aeb_gen_cfg_reserved_118.reserved &lt;= (others =&gt; '0');</t>
  </si>
  <si>
    <t>-- AEB General Configuration Area Register "RESERVED_11C" : "RESERVED" Field</t>
  </si>
  <si>
    <t>rmap_registers_wr_o.aeb_gen_cfg_reserved_11c.reserved &lt;= (others =&gt; '0');</t>
  </si>
  <si>
    <t>-- AEB General Configuration Area Register "SEQ_CONFIG_7" : "RESERVED" Field</t>
  </si>
  <si>
    <t>rmap_registers_wr_o.aeb_gen_cfg_seq_config_7.reserved &lt;= (others =&gt; '0');</t>
  </si>
  <si>
    <t>-- AEB General Configuration Area Register "SEQ_CONFIG_8" : "RESERVED" Field</t>
  </si>
  <si>
    <t>rmap_registers_wr_o.aeb_gen_cfg_seq_config_8.reserved &lt;= (others =&gt; '0');</t>
  </si>
  <si>
    <t>-- AEB General Configuration Area Register "SEQ_CONFIG_9" : "RESERVED_0" Field</t>
  </si>
  <si>
    <t>rmap_registers_wr_o.aeb_gen_cfg_seq_config_9.reserved_0 &lt;= (others =&gt; '0');</t>
  </si>
  <si>
    <t>-- AEB General Configuration Area Register "SEQ_CONFIG_9" : "FT_LOOP_CNT" Field</t>
  </si>
  <si>
    <t>rmap_registers_wr_o.aeb_gen_cfg_seq_config_9.ft_loop_cnt &lt;= "00100011000101";</t>
  </si>
  <si>
    <t>-- AEB General Configuration Area Register "SEQ_CONFIG_9" : "LT0_ENABLED" Field</t>
  </si>
  <si>
    <t>rmap_registers_wr_o.aeb_gen_cfg_seq_config_9.lt0_enabled &lt;= '0';</t>
  </si>
  <si>
    <t>-- AEB General Configuration Area Register "SEQ_CONFIG_9" : "RESERVED_1" Field</t>
  </si>
  <si>
    <t>rmap_registers_wr_o.aeb_gen_cfg_seq_config_9.reserved_1 &lt;= '0';</t>
  </si>
  <si>
    <t>-- AEB General Configuration Area Register "SEQ_CONFIG_9" : "LT0_LOOP_CNT" Field</t>
  </si>
  <si>
    <t>rmap_registers_wr_o.aeb_gen_cfg_seq_config_9.lt0_loop_cnt &lt;= (others =&gt; '0');</t>
  </si>
  <si>
    <t>-- AEB General Configuration Area Register "SEQ_CONFIG_10" : "LT1_ENABLED" Field</t>
  </si>
  <si>
    <t>rmap_registers_wr_o.aeb_gen_cfg_seq_config_10.lt1_enabled &lt;= '1';</t>
  </si>
  <si>
    <t>-- AEB General Configuration Area Register "SEQ_CONFIG_10" : "RESERVED_0" Field</t>
  </si>
  <si>
    <t>rmap_registers_wr_o.aeb_gen_cfg_seq_config_10.reserved_0 &lt;= '0';</t>
  </si>
  <si>
    <t>-- AEB General Configuration Area Register "SEQ_CONFIG_10" : "LT1_LOOP_CNT" Field</t>
  </si>
  <si>
    <t>rmap_registers_wr_o.aeb_gen_cfg_seq_config_10.lt1_loop_cnt &lt;= "00100011000101";</t>
  </si>
  <si>
    <t>-- AEB General Configuration Area Register "SEQ_CONFIG_10" : "LT2_ENABLED" Field</t>
  </si>
  <si>
    <t>rmap_registers_wr_o.aeb_gen_cfg_seq_config_10.lt2_enabled &lt;= '0';</t>
  </si>
  <si>
    <t>-- AEB General Configuration Area Register "SEQ_CONFIG_10" : "RESERVED_1" Field</t>
  </si>
  <si>
    <t>rmap_registers_wr_o.aeb_gen_cfg_seq_config_10.reserved_1 &lt;= '0';</t>
  </si>
  <si>
    <t>-- AEB General Configuration Area Register "SEQ_CONFIG_10" : "LT2_LOOP_CNT" Field</t>
  </si>
  <si>
    <t>rmap_registers_wr_o.aeb_gen_cfg_seq_config_10.lt2_loop_cnt &lt;= (others =&gt; '0');</t>
  </si>
  <si>
    <t>-- AEB General Configuration Area Register "SEQ_CONFIG_11" : "LT3_ENABLED" Field</t>
  </si>
  <si>
    <t>rmap_registers_wr_o.aeb_gen_cfg_seq_config_11.lt3_enabled &lt;= '0';</t>
  </si>
  <si>
    <t>-- AEB General Configuration Area Register "SEQ_CONFIG_11" : "RESERVED" Field</t>
  </si>
  <si>
    <t>rmap_registers_wr_o.aeb_gen_cfg_seq_config_11.reserved &lt;= '0';</t>
  </si>
  <si>
    <t>-- AEB General Configuration Area Register "SEQ_CONFIG_11" : "LT3_LOOP_CNT" Field</t>
  </si>
  <si>
    <t>rmap_registers_wr_o.aeb_gen_cfg_seq_config_11.lt3_loop_cnt &lt;= "00101000000000";</t>
  </si>
  <si>
    <t>-- AEB General Configuration Area Register "SEQ_CONFIG_11" : "PIX_LOOP_CNT_WORD_1" Field</t>
  </si>
  <si>
    <t>rmap_registers_wr_o.aeb_gen_cfg_seq_config_11.pix_loop_cnt_word_1 &lt;= x"0000";</t>
  </si>
  <si>
    <t>-- AEB General Configuration Area Register "SEQ_CONFIG_12" : "PIX_LOOP_CNT_WORD_0" Field</t>
  </si>
  <si>
    <t>rmap_registers_wr_o.aeb_gen_cfg_seq_config_12.pix_loop_cnt_word_0 &lt;= x"08C5";</t>
  </si>
  <si>
    <t>-- AEB General Configuration Area Register "SEQ_CONFIG_12" : "PC_ENABLED" Field</t>
  </si>
  <si>
    <t>rmap_registers_wr_o.aeb_gen_cfg_seq_config_12.pc_enabled &lt;= '0';</t>
  </si>
  <si>
    <t>-- AEB General Configuration Area Register "SEQ_CONFIG_12" : "RESERVED" Field</t>
  </si>
  <si>
    <t>rmap_registers_wr_o.aeb_gen_cfg_seq_config_12.reserved &lt;= '0';</t>
  </si>
  <si>
    <t>-- AEB General Configuration Area Register "SEQ_CONFIG_12" : "PC_LOOP_CNT" Field</t>
  </si>
  <si>
    <t>rmap_registers_wr_o.aeb_gen_cfg_seq_config_12.pc_loop_cnt &lt;= "01000110001010";</t>
  </si>
  <si>
    <t>-- AEB General Configuration Area Register "SEQ_CONFIG_13" : "RESERVED_0" Field</t>
  </si>
  <si>
    <t>rmap_registers_wr_o.aeb_gen_cfg_seq_config_13.reserved_0 &lt;= (others =&gt; '0');</t>
  </si>
  <si>
    <t>-- AEB General Configuration Area Register "SEQ_CONFIG_13" : "INT1_LOOP_CNT" Field</t>
  </si>
  <si>
    <t>rmap_registers_wr_o.aeb_gen_cfg_seq_config_13.int1_loop_cnt &lt;= (others =&gt; '0');</t>
  </si>
  <si>
    <t>-- AEB General Configuration Area Register "SEQ_CONFIG_13" : "RESERVED_1" Field</t>
  </si>
  <si>
    <t>rmap_registers_wr_o.aeb_gen_cfg_seq_config_13.reserved_1 &lt;= (others =&gt; '0');</t>
  </si>
  <si>
    <t>-- AEB General Configuration Area Register "SEQ_CONFIG_13" : "INT2_LOOP_CNT" Field</t>
  </si>
  <si>
    <t>rmap_registers_wr_o.aeb_gen_cfg_seq_config_13.int2_loop_cnt &lt;= (others =&gt; '0');</t>
  </si>
  <si>
    <t xml:space="preserve"> /* AEB Critical Configuration Area Register "AEB_CONTROL" Struct */</t>
  </si>
  <si>
    <t xml:space="preserve">      avalon_mm_rmap_o.readdata(0) &lt;= rmap_registers_wr_i.aeb_hk_adc_rd_data_t_vasp_l.new_data;</t>
  </si>
  <si>
    <t xml:space="preserve">      avalon_mm_rmap_o.readdata(0) &lt;= rmap_registers_wr_i.aeb_hk_adc_rd_data_t_vasp_r.new_data;</t>
  </si>
  <si>
    <t xml:space="preserve">      avalon_mm_rmap_o.readdata(0) &lt;= rmap_registers_wr_i.aeb_hk_adc_rd_data_t_bias_p.new_data;</t>
  </si>
  <si>
    <t xml:space="preserve">      avalon_mm_rmap_o.readdata(0) &lt;= rmap_registers_wr_i.aeb_hk_adc_rd_data_t_hk_p.new_data;</t>
  </si>
  <si>
    <t xml:space="preserve">      avalon_mm_rmap_o.readdata(0) &lt;= rmap_registers_wr_i.aeb_hk_adc_rd_data_t_tou_1_p.new_data;</t>
  </si>
  <si>
    <t xml:space="preserve">      avalon_mm_rmap_o.readdata(0) &lt;= rmap_registers_wr_i.aeb_hk_adc_rd_data_t_tou_2_p.new_data;</t>
  </si>
  <si>
    <t xml:space="preserve">      avalon_mm_rmap_o.readdata(0) &lt;= rmap_registers_wr_i.aeb_hk_adc_rd_data_hk_vode.new_data;</t>
  </si>
  <si>
    <t xml:space="preserve">      avalon_mm_rmap_o.readdata(0) &lt;= rmap_registers_wr_i.aeb_hk_adc_rd_data_hk_vodf.new_data;</t>
  </si>
  <si>
    <t xml:space="preserve">      avalon_mm_rmap_o.readdata(0) &lt;= rmap_registers_wr_i.aeb_hk_adc_rd_data_hk_vrd.new_data;</t>
  </si>
  <si>
    <t xml:space="preserve">      avalon_mm_rmap_o.readdata(0) &lt;= rmap_registers_wr_i.aeb_hk_adc_rd_data_hk_vog.new_data;</t>
  </si>
  <si>
    <t xml:space="preserve">      avalon_mm_rmap_o.readdata(0) &lt;= rmap_registers_wr_i.aeb_hk_adc_rd_data_t_ccd.new_data;</t>
  </si>
  <si>
    <t xml:space="preserve">      avalon_mm_rmap_o.readdata(0) &lt;= rmap_registers_wr_i.aeb_hk_adc_rd_data_t_ref1k_mea.new_data;</t>
  </si>
  <si>
    <t xml:space="preserve">      avalon_mm_rmap_o.readdata(0) &lt;= rmap_registers_wr_i.aeb_hk_adc_rd_data_t_ref649r_mea.new_data;</t>
  </si>
  <si>
    <t xml:space="preserve">      avalon_mm_rmap_o.readdata(0) &lt;= rmap_registers_wr_i.aeb_hk_adc_rd_data_hk_ana_n5v.new_data;</t>
  </si>
  <si>
    <t xml:space="preserve">      avalon_mm_rmap_o.readdata(0) &lt;= rmap_registers_wr_i.aeb_hk_adc_rd_data_s_ref.new_data;</t>
  </si>
  <si>
    <t xml:space="preserve">      avalon_mm_rmap_o.readdata(0) &lt;= rmap_registers_wr_i.aeb_hk_adc_rd_data_hk_ccd_p31v.new_data;</t>
  </si>
  <si>
    <t xml:space="preserve">      avalon_mm_rmap_o.readdata(0) &lt;= rmap_registers_wr_i.aeb_hk_adc_rd_data_hk_clk_p15v.new_data;</t>
  </si>
  <si>
    <t xml:space="preserve">      avalon_mm_rmap_o.readdata(0) &lt;= rmap_registers_wr_i.aeb_hk_adc_rd_data_hk_ana_p5v.new_data;</t>
  </si>
  <si>
    <t xml:space="preserve">      avalon_mm_rmap_o.readdata(0) &lt;= rmap_registers_wr_i.aeb_hk_adc_rd_data_hk_ana_p3v3.new_data;</t>
  </si>
  <si>
    <t xml:space="preserve">      avalon_mm_rmap_o.readdata(0) &lt;= rmap_registers_wr_i.aeb_hk_adc_rd_data_hk_dig_p3v3.new_data;</t>
  </si>
  <si>
    <t xml:space="preserve">      avalon_mm_rmap_o.readdata(0) &lt;= rmap_registers_wr_i.aeb_hk_adc_rd_data_adc_ref_buf_2.new_data;</t>
  </si>
  <si>
    <t xml:space="preserve">      rmap_registers_wr_o.aeb_hk_adc_rd_data_t_vasp_l.new_data &lt;= avalon_mm_rmap_i.writedata(0);</t>
  </si>
  <si>
    <t xml:space="preserve">      rmap_registers_wr_o.aeb_hk_adc_rd_data_t_vasp_r.new_data &lt;= avalon_mm_rmap_i.writedata(0);</t>
  </si>
  <si>
    <t xml:space="preserve">      rmap_registers_wr_o.aeb_hk_adc_rd_data_t_bias_p.new_data &lt;= avalon_mm_rmap_i.writedata(0);</t>
  </si>
  <si>
    <t xml:space="preserve">      rmap_registers_wr_o.aeb_hk_adc_rd_data_t_hk_p.new_data &lt;= avalon_mm_rmap_i.writedata(0);</t>
  </si>
  <si>
    <t xml:space="preserve">      rmap_registers_wr_o.aeb_hk_adc_rd_data_t_tou_1_p.new_data &lt;= avalon_mm_rmap_i.writedata(0);</t>
  </si>
  <si>
    <t xml:space="preserve">      rmap_registers_wr_o.aeb_hk_adc_rd_data_t_tou_2_p.new_data &lt;= avalon_mm_rmap_i.writedata(0);</t>
  </si>
  <si>
    <t xml:space="preserve">      rmap_registers_wr_o.aeb_hk_adc_rd_data_hk_vode.new_data &lt;= avalon_mm_rmap_i.writedata(0);</t>
  </si>
  <si>
    <t xml:space="preserve">      rmap_registers_wr_o.aeb_hk_adc_rd_data_hk_vodf.new_data &lt;= avalon_mm_rmap_i.writedata(0);</t>
  </si>
  <si>
    <t xml:space="preserve">      rmap_registers_wr_o.aeb_hk_adc_rd_data_hk_vrd.new_data &lt;= avalon_mm_rmap_i.writedata(0);</t>
  </si>
  <si>
    <t xml:space="preserve">      rmap_registers_wr_o.aeb_hk_adc_rd_data_hk_vog.new_data &lt;= avalon_mm_rmap_i.writedata(0);</t>
  </si>
  <si>
    <t xml:space="preserve">      rmap_registers_wr_o.aeb_hk_adc_rd_data_t_ccd.new_data &lt;= avalon_mm_rmap_i.writedata(0);</t>
  </si>
  <si>
    <t xml:space="preserve">      rmap_registers_wr_o.aeb_hk_adc_rd_data_t_ref1k_mea.new_data &lt;= avalon_mm_rmap_i.writedata(0);</t>
  </si>
  <si>
    <t xml:space="preserve">      rmap_registers_wr_o.aeb_hk_adc_rd_data_t_ref649r_mea.new_data &lt;= avalon_mm_rmap_i.writedata(0);</t>
  </si>
  <si>
    <t xml:space="preserve">      rmap_registers_wr_o.aeb_hk_adc_rd_data_hk_ana_n5v.new_data &lt;= avalon_mm_rmap_i.writedata(0);</t>
  </si>
  <si>
    <t xml:space="preserve">      rmap_registers_wr_o.aeb_hk_adc_rd_data_s_ref.new_data &lt;= avalon_mm_rmap_i.writedata(0);</t>
  </si>
  <si>
    <t xml:space="preserve">      rmap_registers_wr_o.aeb_hk_adc_rd_data_hk_ccd_p31v.new_data &lt;= avalon_mm_rmap_i.writedata(0);</t>
  </si>
  <si>
    <t xml:space="preserve">      rmap_registers_wr_o.aeb_hk_adc_rd_data_hk_clk_p15v.new_data &lt;= avalon_mm_rmap_i.writedata(0);</t>
  </si>
  <si>
    <t xml:space="preserve">      rmap_registers_wr_o.aeb_hk_adc_rd_data_hk_ana_p5v.new_data &lt;= avalon_mm_rmap_i.writedata(0);</t>
  </si>
  <si>
    <t xml:space="preserve">      rmap_registers_wr_o.aeb_hk_adc_rd_data_hk_ana_p3v3.new_data &lt;= avalon_mm_rmap_i.writedata(0);</t>
  </si>
  <si>
    <t xml:space="preserve">      rmap_registers_wr_o.aeb_hk_adc_rd_data_hk_dig_p3v3.new_data &lt;= avalon_mm_rmap_i.writedata(0);</t>
  </si>
  <si>
    <t xml:space="preserve">      rmap_registers_wr_o.aeb_hk_adc_rd_data_adc_ref_buf_2.new_data &lt;= avalon_mm_rmap_i.writedata(0);</t>
  </si>
  <si>
    <t>rmap_registers_wr_o.aeb_crit_cfg_aeb_config_pattern.reserved &lt;= (others =&gt; '0');</t>
  </si>
  <si>
    <t>constant c_FARM_AVALON_MM_FFEE_AEB_RMAP_MIN_ADDR : natural range 0 to 511 := 16#000#;</t>
  </si>
  <si>
    <t>bReserved0</t>
  </si>
  <si>
    <t>bSetState</t>
  </si>
  <si>
    <t>bAebReset</t>
  </si>
  <si>
    <t>ucReserved1</t>
  </si>
  <si>
    <t>ucReserved0</t>
  </si>
  <si>
    <t>uliKey</t>
  </si>
  <si>
    <t>bReserved1</t>
  </si>
  <si>
    <t>ucPatternCcdid</t>
  </si>
  <si>
    <t>usiPatternCols</t>
  </si>
  <si>
    <t>ucReserved</t>
  </si>
  <si>
    <t>usiPatternRows</t>
  </si>
  <si>
    <t>uliReserved</t>
  </si>
  <si>
    <t>ucTimeVccdOn</t>
  </si>
  <si>
    <t>ucTimeVclkOn</t>
  </si>
  <si>
    <t>ucTimeVan1On</t>
  </si>
  <si>
    <t>ucTimeVan2On</t>
  </si>
  <si>
    <t>ucTimeVan3On</t>
  </si>
  <si>
    <t>ucTimeVccdOff</t>
  </si>
  <si>
    <t>ucTimeVclkOff</t>
  </si>
  <si>
    <t>ucTimeVan1Off</t>
  </si>
  <si>
    <t>ucTimeVan2Off</t>
  </si>
  <si>
    <t>ucTimeVan3Off</t>
  </si>
  <si>
    <t>bReserved</t>
  </si>
  <si>
    <t>usiFtLoopCnt</t>
  </si>
  <si>
    <t>bLt0Enabled</t>
  </si>
  <si>
    <t>usiLt0LoopCnt</t>
  </si>
  <si>
    <t>bLt1Enabled</t>
  </si>
  <si>
    <t>usiLt1LoopCnt</t>
  </si>
  <si>
    <t>bLt2Enabled</t>
  </si>
  <si>
    <t>usiLt2LoopCnt</t>
  </si>
  <si>
    <t>bLt3Enabled</t>
  </si>
  <si>
    <t>usiLt3LoopCnt</t>
  </si>
  <si>
    <t>usiPixLoopCntWord1</t>
  </si>
  <si>
    <t>usiPixLoopCntWord0</t>
  </si>
  <si>
    <t>bPcEnabled</t>
  </si>
  <si>
    <t>usiPcLoopCnt</t>
  </si>
  <si>
    <t>usiInt1LoopCnt</t>
  </si>
  <si>
    <t>usiInt2LoopCnt</t>
  </si>
  <si>
    <t>ucAebStatus</t>
  </si>
  <si>
    <t>uliTimestampDword1</t>
  </si>
  <si>
    <t>uliTimestampDword0</t>
  </si>
  <si>
    <t>AebControl</t>
  </si>
  <si>
    <t>AebConfig</t>
  </si>
  <si>
    <t>AebConfigKey</t>
  </si>
  <si>
    <t>AebConfigAit</t>
  </si>
  <si>
    <t>AebConfigPattern</t>
  </si>
  <si>
    <t>VaspI2CControl</t>
  </si>
  <si>
    <t>DacConfig1</t>
  </si>
  <si>
    <t>DacConfig2</t>
  </si>
  <si>
    <t>Reserved20</t>
  </si>
  <si>
    <t>PwrConfig1</t>
  </si>
  <si>
    <t>PwrConfig2</t>
  </si>
  <si>
    <t>PwrConfig3</t>
  </si>
  <si>
    <t>Adc1Config1</t>
  </si>
  <si>
    <t>Adc1Config2</t>
  </si>
  <si>
    <t>Adc1Config3</t>
  </si>
  <si>
    <t>Adc2Config1</t>
  </si>
  <si>
    <t>Adc2Config2</t>
  </si>
  <si>
    <t>Adc2Config3</t>
  </si>
  <si>
    <t>Reserved118</t>
  </si>
  <si>
    <t>Reserved11C</t>
  </si>
  <si>
    <t>SeqConfig1</t>
  </si>
  <si>
    <t>SeqConfig2</t>
  </si>
  <si>
    <t>SeqConfig3</t>
  </si>
  <si>
    <t>SeqConfig4</t>
  </si>
  <si>
    <t>SeqConfig5</t>
  </si>
  <si>
    <t>SeqConfig6</t>
  </si>
  <si>
    <t>SeqConfig7</t>
  </si>
  <si>
    <t>SeqConfig8</t>
  </si>
  <si>
    <t>SeqConfig9</t>
  </si>
  <si>
    <t>SeqConfig10</t>
  </si>
  <si>
    <t>SeqConfig11</t>
  </si>
  <si>
    <t>SeqConfig12</t>
  </si>
  <si>
    <t>SeqConfig13</t>
  </si>
  <si>
    <t>SeqConfig14</t>
  </si>
  <si>
    <t>AebStatus</t>
  </si>
  <si>
    <t>Timestamp1</t>
  </si>
  <si>
    <t>Timestamp2</t>
  </si>
  <si>
    <t>AdcRdDataTVaspL</t>
  </si>
  <si>
    <t>AdcRdDataTVaspR</t>
  </si>
  <si>
    <t>AdcRdDataTBiasP</t>
  </si>
  <si>
    <t>AdcRdDataTHkP</t>
  </si>
  <si>
    <t>AdcRdDataTTou1P</t>
  </si>
  <si>
    <t>AdcRdDataTTou2P</t>
  </si>
  <si>
    <t>AdcRdDataHkVode</t>
  </si>
  <si>
    <t>AdcRdDataHkVodf</t>
  </si>
  <si>
    <t>AdcRdDataHkVrd</t>
  </si>
  <si>
    <t>AdcRdDataHkVog</t>
  </si>
  <si>
    <t>AdcRdDataTCcd</t>
  </si>
  <si>
    <t>AdcRdDataTRef1KMea</t>
  </si>
  <si>
    <t>AdcRdDataTRef649RMea</t>
  </si>
  <si>
    <t>AdcRdDataHkAnaN5V</t>
  </si>
  <si>
    <t>AdcRdDataSRef</t>
  </si>
  <si>
    <t>AdcRdDataHkCcdP31V</t>
  </si>
  <si>
    <t>AdcRdDataHkClkP15V</t>
  </si>
  <si>
    <t>AdcRdDataHkAnaP5V</t>
  </si>
  <si>
    <t>AdcRdDataHkAnaP3V3</t>
  </si>
  <si>
    <t>AdcRdDataHkDigP3V3</t>
  </si>
  <si>
    <t>AdcRdDataAdcRefBuf2</t>
  </si>
  <si>
    <t>Adc1RdConfig1</t>
  </si>
  <si>
    <t>Adc1RdConfig2</t>
  </si>
  <si>
    <t>Adc1RdConfig3</t>
  </si>
  <si>
    <t>Adc2RdConfig1</t>
  </si>
  <si>
    <t>Adc2RdConfig2</t>
  </si>
  <si>
    <t>Adc2RdConfig3</t>
  </si>
  <si>
    <t>VaspRdConfig</t>
  </si>
  <si>
    <t>RevisionId1</t>
  </si>
  <si>
    <t>RevisionId2</t>
  </si>
  <si>
    <t>RmapAebAreaCritCfg</t>
  </si>
  <si>
    <t>RmapAebAreaGenCfg</t>
  </si>
  <si>
    <t>RmapAebAreaHk</t>
  </si>
  <si>
    <t>typedef struct AebControl {</t>
  </si>
  <si>
    <t xml:space="preserve">  bool bReserved0; /* "RESERVED_0" Field */</t>
  </si>
  <si>
    <t xml:space="preserve">  bool bSetState; /* "SET_STATE" Field */</t>
  </si>
  <si>
    <t xml:space="preserve">  bool bAebReset; /* "AEB_RESET" Field */</t>
  </si>
  <si>
    <t xml:space="preserve">  alt_u8 ucReserved1; /* "RESERVED_1" Field */</t>
  </si>
  <si>
    <t>} TAebControl;</t>
  </si>
  <si>
    <t xml:space="preserve"> /* AEB Critical Configuration Area Register "AEB_CONFIG" Struct */</t>
  </si>
  <si>
    <t>typedef struct AebConfig {</t>
  </si>
  <si>
    <t xml:space="preserve">  alt_u8 ucReserved0; /* "RESERVED_0" Field */</t>
  </si>
  <si>
    <t>} TAebConfig;</t>
  </si>
  <si>
    <t xml:space="preserve"> /* AEB Critical Configuration Area Register "AEB_CONFIG_KEY" Struct */</t>
  </si>
  <si>
    <t>typedef struct AebConfigKey {</t>
  </si>
  <si>
    <t xml:space="preserve">  alt_u32 uliKey; /* "KEY" Field */</t>
  </si>
  <si>
    <t>} TAebConfigKey;</t>
  </si>
  <si>
    <t xml:space="preserve"> /* AEB Critical Configuration Area Register "AEB_CONFIG_AIT" Struct */</t>
  </si>
  <si>
    <t>typedef struct AebConfigAit {</t>
  </si>
  <si>
    <t xml:space="preserve">  bool bReserved1; /* "RESERVED_1" Field */</t>
  </si>
  <si>
    <t>} TAebConfigAit;</t>
  </si>
  <si>
    <t xml:space="preserve"> /* AEB Critical Configuration Area Register "AEB_CONFIG_PATTERN" Struct */</t>
  </si>
  <si>
    <t>typedef struct AebConfigPattern {</t>
  </si>
  <si>
    <t xml:space="preserve">  alt_u8 ucPatternCcdid; /* "PATTERN_CCDID" Field */</t>
  </si>
  <si>
    <t xml:space="preserve">  alt_u16 usiPatternCols; /* "PATTERN_COLS" Field */</t>
  </si>
  <si>
    <t xml:space="preserve">  alt_u8 ucReserved; /* "RESERVED" Field */</t>
  </si>
  <si>
    <t xml:space="preserve">  alt_u16 usiPatternRows; /* "PATTERN_ROWS" Field */</t>
  </si>
  <si>
    <t>} TAebConfigPattern;</t>
  </si>
  <si>
    <t xml:space="preserve"> /* AEB Critical Configuration Area Register "VASP_I2C_CONTROL" Struct */</t>
  </si>
  <si>
    <t>typedef struct VaspI2CControl {</t>
  </si>
  <si>
    <t>} TVaspI2CControl;</t>
  </si>
  <si>
    <t xml:space="preserve"> /* AEB Critical Configuration Area Register "DAC_CONFIG_1" Struct */</t>
  </si>
  <si>
    <t>typedef struct DacConfig1 {</t>
  </si>
  <si>
    <t>} TDacConfig1;</t>
  </si>
  <si>
    <t xml:space="preserve"> /* AEB Critical Configuration Area Register "DAC_CONFIG_2" Struct */</t>
  </si>
  <si>
    <t>typedef struct DacConfig2 {</t>
  </si>
  <si>
    <t>} TDacConfig2;</t>
  </si>
  <si>
    <t xml:space="preserve"> /* AEB Critical Configuration Area Register "RESERVED_20" Struct */</t>
  </si>
  <si>
    <t>typedef struct Reserved20 {</t>
  </si>
  <si>
    <t xml:space="preserve">  alt_u32 uliReserved; /* "RESERVED" Field */</t>
  </si>
  <si>
    <t>} TReserved20;</t>
  </si>
  <si>
    <t xml:space="preserve"> /* AEB Critical Configuration Area Register "PWR_CONFIG1" Struct */</t>
  </si>
  <si>
    <t>typedef struct PwrConfig1 {</t>
  </si>
  <si>
    <t xml:space="preserve">  alt_u8 ucTimeVccdOn; /* "TIME_VCCD_ON" Field */</t>
  </si>
  <si>
    <t xml:space="preserve">  alt_u8 ucTimeVclkOn; /* "TIME_VCLK_ON" Field */</t>
  </si>
  <si>
    <t xml:space="preserve">  alt_u8 ucTimeVan1On; /* "TIME_VAN1_ON" Field */</t>
  </si>
  <si>
    <t xml:space="preserve">  alt_u8 ucTimeVan2On; /* "TIME_VAN2_ON" Field */</t>
  </si>
  <si>
    <t>} TPwrConfig1;</t>
  </si>
  <si>
    <t xml:space="preserve"> /* AEB Critical Configuration Area Register "PWR_CONFIG2" Struct */</t>
  </si>
  <si>
    <t>typedef struct PwrConfig2 {</t>
  </si>
  <si>
    <t xml:space="preserve">  alt_u8 ucTimeVan3On; /* "TIME_VAN3_ON" Field */</t>
  </si>
  <si>
    <t xml:space="preserve">  alt_u8 ucTimeVccdOff; /* "TIME_VCCD_OFF" Field */</t>
  </si>
  <si>
    <t xml:space="preserve">  alt_u8 ucTimeVclkOff; /* "TIME_VCLK_OFF" Field */</t>
  </si>
  <si>
    <t xml:space="preserve">  alt_u8 ucTimeVan1Off; /* "TIME_VAN1_OFF" Field */</t>
  </si>
  <si>
    <t>} TPwrConfig2;</t>
  </si>
  <si>
    <t xml:space="preserve"> /* AEB Critical Configuration Area Register "PWR_CONFIG3" Struct */</t>
  </si>
  <si>
    <t>typedef struct PwrConfig3 {</t>
  </si>
  <si>
    <t xml:space="preserve">  alt_u8 ucTimeVan2Off; /* "TIME_VAN2_OFF" Field */</t>
  </si>
  <si>
    <t xml:space="preserve">  alt_u8 ucTimeVan3Off; /* "TIME_VAN3_OFF" Field */</t>
  </si>
  <si>
    <t>} TPwrConfig3;</t>
  </si>
  <si>
    <t xml:space="preserve"> /* AEB General Configuration Area Register "ADC1_CONFIG_1" Struct */</t>
  </si>
  <si>
    <t>typedef struct Adc1Config1 {</t>
  </si>
  <si>
    <t>} TAdc1Config1;</t>
  </si>
  <si>
    <t xml:space="preserve"> /* AEB General Configuration Area Register "ADC1_CONFIG_2" Struct */</t>
  </si>
  <si>
    <t>typedef struct Adc1Config2 {</t>
  </si>
  <si>
    <t>} TAdc1Config2;</t>
  </si>
  <si>
    <t xml:space="preserve"> /* AEB General Configuration Area Register "ADC1_CONFIG_3" Struct */</t>
  </si>
  <si>
    <t>typedef struct Adc1Config3 {</t>
  </si>
  <si>
    <t>} TAdc1Config3;</t>
  </si>
  <si>
    <t xml:space="preserve"> /* AEB General Configuration Area Register "ADC2_CONFIG_1" Struct */</t>
  </si>
  <si>
    <t>typedef struct Adc2Config1 {</t>
  </si>
  <si>
    <t>} TAdc2Config1;</t>
  </si>
  <si>
    <t xml:space="preserve"> /* AEB General Configuration Area Register "ADC2_CONFIG_2" Struct */</t>
  </si>
  <si>
    <t>typedef struct Adc2Config2 {</t>
  </si>
  <si>
    <t>} TAdc2Config2;</t>
  </si>
  <si>
    <t xml:space="preserve"> /* AEB General Configuration Area Register "ADC2_CONFIG_3" Struct */</t>
  </si>
  <si>
    <t>typedef struct Adc2Config3 {</t>
  </si>
  <si>
    <t>} TAdc2Config3;</t>
  </si>
  <si>
    <t xml:space="preserve"> /* AEB General Configuration Area Register "RESERVED_118" Struct */</t>
  </si>
  <si>
    <t>typedef struct Reserved118 {</t>
  </si>
  <si>
    <t>} TReserved118;</t>
  </si>
  <si>
    <t xml:space="preserve"> /* AEB General Configuration Area Register "RESERVED_11C" Struct */</t>
  </si>
  <si>
    <t>typedef struct Reserved11C {</t>
  </si>
  <si>
    <t>} TReserved11C;</t>
  </si>
  <si>
    <t xml:space="preserve"> /* AEB General Configuration Area Register "SEQ_CONFIG_1" Struct */</t>
  </si>
  <si>
    <t>typedef struct SeqConfig1 {</t>
  </si>
  <si>
    <t>} TSeqConfig1;</t>
  </si>
  <si>
    <t xml:space="preserve"> /* AEB General Configuration Area Register "SEQ_CONFIG_2" Struct */</t>
  </si>
  <si>
    <t>typedef struct SeqConfig2 {</t>
  </si>
  <si>
    <t>} TSeqConfig2;</t>
  </si>
  <si>
    <t xml:space="preserve"> /* AEB General Configuration Area Register "SEQ_CONFIG_3" Struct */</t>
  </si>
  <si>
    <t>typedef struct SeqConfig3 {</t>
  </si>
  <si>
    <t>} TSeqConfig3;</t>
  </si>
  <si>
    <t xml:space="preserve"> /* AEB General Configuration Area Register "SEQ_CONFIG_4" Struct */</t>
  </si>
  <si>
    <t>typedef struct SeqConfig4 {</t>
  </si>
  <si>
    <t>} TSeqConfig4;</t>
  </si>
  <si>
    <t xml:space="preserve"> /* AEB General Configuration Area Register "SEQ_CONFIG_5" Struct */</t>
  </si>
  <si>
    <t>typedef struct SeqConfig5 {</t>
  </si>
  <si>
    <t xml:space="preserve">  bool bReserved; /* "RESERVED" Field */</t>
  </si>
  <si>
    <t>} TSeqConfig5;</t>
  </si>
  <si>
    <t xml:space="preserve"> /* AEB General Configuration Area Register "SEQ_CONFIG_6" Struct */</t>
  </si>
  <si>
    <t>typedef struct SeqConfig6 {</t>
  </si>
  <si>
    <t>} TSeqConfig6;</t>
  </si>
  <si>
    <t xml:space="preserve"> /* AEB General Configuration Area Register "SEQ_CONFIG_7" Struct */</t>
  </si>
  <si>
    <t>typedef struct SeqConfig7 {</t>
  </si>
  <si>
    <t>} TSeqConfig7;</t>
  </si>
  <si>
    <t xml:space="preserve"> /* AEB General Configuration Area Register "SEQ_CONFIG_8" Struct */</t>
  </si>
  <si>
    <t>typedef struct SeqConfig8 {</t>
  </si>
  <si>
    <t>} TSeqConfig8;</t>
  </si>
  <si>
    <t xml:space="preserve"> /* AEB General Configuration Area Register "SEQ_CONFIG_9" Struct */</t>
  </si>
  <si>
    <t>typedef struct SeqConfig9 {</t>
  </si>
  <si>
    <t xml:space="preserve">  alt_u16 usiFtLoopCnt; /* "FT_LOOP_CNT" Field */</t>
  </si>
  <si>
    <t xml:space="preserve">  bool bLt0Enabled; /* "LT0_ENABLED" Field */</t>
  </si>
  <si>
    <t xml:space="preserve">  alt_u16 usiLt0LoopCnt; /* "LT0_LOOP_CNT" Field */</t>
  </si>
  <si>
    <t>} TSeqConfig9;</t>
  </si>
  <si>
    <t xml:space="preserve"> /* AEB General Configuration Area Register "SEQ_CONFIG_10" Struct */</t>
  </si>
  <si>
    <t>typedef struct SeqConfig10 {</t>
  </si>
  <si>
    <t xml:space="preserve">  bool bLt1Enabled; /* "LT1_ENABLED" Field */</t>
  </si>
  <si>
    <t xml:space="preserve">  alt_u16 usiLt1LoopCnt; /* "LT1_LOOP_CNT" Field */</t>
  </si>
  <si>
    <t xml:space="preserve">  bool bLt2Enabled; /* "LT2_ENABLED" Field */</t>
  </si>
  <si>
    <t xml:space="preserve">  alt_u16 usiLt2LoopCnt; /* "LT2_LOOP_CNT" Field */</t>
  </si>
  <si>
    <t>} TSeqConfig10;</t>
  </si>
  <si>
    <t xml:space="preserve"> /* AEB General Configuration Area Register "SEQ_CONFIG_11" Struct */</t>
  </si>
  <si>
    <t>typedef struct SeqConfig11 {</t>
  </si>
  <si>
    <t xml:space="preserve">  bool bLt3Enabled; /* "LT3_ENABLED" Field */</t>
  </si>
  <si>
    <t xml:space="preserve">  alt_u16 usiLt3LoopCnt; /* "LT3_LOOP_CNT" Field */</t>
  </si>
  <si>
    <t xml:space="preserve">  alt_u16 usiPixLoopCntWord1; /* "PIX_LOOP_CNT_WORD_1" Field */</t>
  </si>
  <si>
    <t>} TSeqConfig11;</t>
  </si>
  <si>
    <t xml:space="preserve"> /* AEB General Configuration Area Register "SEQ_CONFIG_12" Struct */</t>
  </si>
  <si>
    <t>typedef struct SeqConfig12 {</t>
  </si>
  <si>
    <t xml:space="preserve">  alt_u16 usiPixLoopCntWord0; /* "PIX_LOOP_CNT_WORD_0" Field */</t>
  </si>
  <si>
    <t xml:space="preserve">  bool bPcEnabled; /* "PC_ENABLED" Field */</t>
  </si>
  <si>
    <t xml:space="preserve">  alt_u16 usiPcLoopCnt; /* "PC_LOOP_CNT" Field */</t>
  </si>
  <si>
    <t>} TSeqConfig12;</t>
  </si>
  <si>
    <t xml:space="preserve"> /* AEB General Configuration Area Register "SEQ_CONFIG_13" Struct */</t>
  </si>
  <si>
    <t>typedef struct SeqConfig13 {</t>
  </si>
  <si>
    <t xml:space="preserve">  alt_u16 usiInt1LoopCnt; /* "INT1_LOOP_CNT" Field */</t>
  </si>
  <si>
    <t xml:space="preserve">  alt_u16 usiInt2LoopCnt; /* "INT2_LOOP_CNT" Field */</t>
  </si>
  <si>
    <t>} TSeqConfig13;</t>
  </si>
  <si>
    <t xml:space="preserve"> /* AEB General Configuration Area Register "SEQ_CONFIG_14" Struct */</t>
  </si>
  <si>
    <t>typedef struct SeqConfig14 {</t>
  </si>
  <si>
    <t>} TSeqConfig14;</t>
  </si>
  <si>
    <t xml:space="preserve"> /* AEB Housekeeping Area Register "AEB_STATUS" Struct */</t>
  </si>
  <si>
    <t>typedef struct AebStatus {</t>
  </si>
  <si>
    <t xml:space="preserve">  alt_u8 ucAebStatus; /* "AEB_STATUS" Field */</t>
  </si>
  <si>
    <t>} TAebStatus;</t>
  </si>
  <si>
    <t xml:space="preserve"> /* AEB Housekeeping Area Register "TIMESTAMP_1" Struct */</t>
  </si>
  <si>
    <t>typedef struct Timestamp1 {</t>
  </si>
  <si>
    <t xml:space="preserve">  alt_u32 uliTimestampDword1; /* "TIMESTAMP_DWORD_1" Field */</t>
  </si>
  <si>
    <t>} TTimestamp1;</t>
  </si>
  <si>
    <t xml:space="preserve"> /* AEB Housekeeping Area Register "TIMESTAMP_2" Struct */</t>
  </si>
  <si>
    <t>typedef struct Timestamp2 {</t>
  </si>
  <si>
    <t xml:space="preserve">  alt_u32 uliTimestampDword0; /* "TIMESTAMP_DWORD_0" Field */</t>
  </si>
  <si>
    <t>} TTimestamp2;</t>
  </si>
  <si>
    <t xml:space="preserve"> /* AEB Housekeeping Area Register "ADC_RD_DATA_T_VASP_L" Struct */</t>
  </si>
  <si>
    <t>typedef struct AdcRdDataTVaspL {</t>
  </si>
  <si>
    <t>} TAdcRdDataTVaspL;</t>
  </si>
  <si>
    <t xml:space="preserve"> /* AEB Housekeeping Area Register "ADC_RD_DATA_T_VASP_R" Struct */</t>
  </si>
  <si>
    <t>typedef struct AdcRdDataTVaspR {</t>
  </si>
  <si>
    <t>} TAdcRdDataTVaspR;</t>
  </si>
  <si>
    <t xml:space="preserve"> /* AEB Housekeeping Area Register "ADC_RD_DATA_T_BIAS_P" Struct */</t>
  </si>
  <si>
    <t>typedef struct AdcRdDataTBiasP {</t>
  </si>
  <si>
    <t>} TAdcRdDataTBiasP;</t>
  </si>
  <si>
    <t xml:space="preserve"> /* AEB Housekeeping Area Register "ADC_RD_DATA_T_HK_P" Struct */</t>
  </si>
  <si>
    <t>typedef struct AdcRdDataTHkP {</t>
  </si>
  <si>
    <t>} TAdcRdDataTHkP;</t>
  </si>
  <si>
    <t xml:space="preserve"> /* AEB Housekeeping Area Register "ADC_RD_DATA_T_TOU_1_P" Struct */</t>
  </si>
  <si>
    <t>typedef struct AdcRdDataTTou1P {</t>
  </si>
  <si>
    <t>} TAdcRdDataTTou1P;</t>
  </si>
  <si>
    <t xml:space="preserve"> /* AEB Housekeeping Area Register "ADC_RD_DATA_T_TOU_2_P" Struct */</t>
  </si>
  <si>
    <t>typedef struct AdcRdDataTTou2P {</t>
  </si>
  <si>
    <t>} TAdcRdDataTTou2P;</t>
  </si>
  <si>
    <t xml:space="preserve"> /* AEB Housekeeping Area Register "ADC_RD_DATA_HK_VODE" Struct */</t>
  </si>
  <si>
    <t>typedef struct AdcRdDataHkVode {</t>
  </si>
  <si>
    <t>} TAdcRdDataHkVode;</t>
  </si>
  <si>
    <t xml:space="preserve"> /* AEB Housekeeping Area Register "ADC_RD_DATA_HK_VODF" Struct */</t>
  </si>
  <si>
    <t>typedef struct AdcRdDataHkVodf {</t>
  </si>
  <si>
    <t>} TAdcRdDataHkVodf;</t>
  </si>
  <si>
    <t xml:space="preserve"> /* AEB Housekeeping Area Register "ADC_RD_DATA_HK_VRD" Struct */</t>
  </si>
  <si>
    <t>typedef struct AdcRdDataHkVrd {</t>
  </si>
  <si>
    <t>} TAdcRdDataHkVrd;</t>
  </si>
  <si>
    <t xml:space="preserve"> /* AEB Housekeeping Area Register "ADC_RD_DATA_HK_VOG" Struct */</t>
  </si>
  <si>
    <t>typedef struct AdcRdDataHkVog {</t>
  </si>
  <si>
    <t>} TAdcRdDataHkVog;</t>
  </si>
  <si>
    <t xml:space="preserve"> /* AEB Housekeeping Area Register "ADC_RD_DATA_T_CCD" Struct */</t>
  </si>
  <si>
    <t>typedef struct AdcRdDataTCcd {</t>
  </si>
  <si>
    <t>} TAdcRdDataTCcd;</t>
  </si>
  <si>
    <t xml:space="preserve"> /* AEB Housekeeping Area Register "ADC_RD_DATA_T_REF1K_MEA" Struct */</t>
  </si>
  <si>
    <t>typedef struct AdcRdDataTRef1KMea {</t>
  </si>
  <si>
    <t>} TAdcRdDataTRef1KMea;</t>
  </si>
  <si>
    <t xml:space="preserve"> /* AEB Housekeeping Area Register "ADC_RD_DATA_T_REF649R_MEA" Struct */</t>
  </si>
  <si>
    <t>typedef struct AdcRdDataTRef649RMea {</t>
  </si>
  <si>
    <t>} TAdcRdDataTRef649RMea;</t>
  </si>
  <si>
    <t xml:space="preserve"> /* AEB Housekeeping Area Register "ADC_RD_DATA_HK_ANA_N5V" Struct */</t>
  </si>
  <si>
    <t>typedef struct AdcRdDataHkAnaN5V {</t>
  </si>
  <si>
    <t>} TAdcRdDataHkAnaN5V;</t>
  </si>
  <si>
    <t xml:space="preserve"> /* AEB Housekeeping Area Register "ADC_RD_DATA_S_REF" Struct */</t>
  </si>
  <si>
    <t>typedef struct AdcRdDataSRef {</t>
  </si>
  <si>
    <t>} TAdcRdDataSRef;</t>
  </si>
  <si>
    <t xml:space="preserve"> /* AEB Housekeeping Area Register "ADC_RD_DATA_HK_CCD_P31V" Struct */</t>
  </si>
  <si>
    <t>typedef struct AdcRdDataHkCcdP31V {</t>
  </si>
  <si>
    <t>} TAdcRdDataHkCcdP31V;</t>
  </si>
  <si>
    <t xml:space="preserve"> /* AEB Housekeeping Area Register "ADC_RD_DATA_HK_CLK_P15V" Struct */</t>
  </si>
  <si>
    <t>typedef struct AdcRdDataHkClkP15V {</t>
  </si>
  <si>
    <t>} TAdcRdDataHkClkP15V;</t>
  </si>
  <si>
    <t xml:space="preserve"> /* AEB Housekeeping Area Register "ADC_RD_DATA_HK_ANA_P5V" Struct */</t>
  </si>
  <si>
    <t>typedef struct AdcRdDataHkAnaP5V {</t>
  </si>
  <si>
    <t>} TAdcRdDataHkAnaP5V;</t>
  </si>
  <si>
    <t xml:space="preserve"> /* AEB Housekeeping Area Register "ADC_RD_DATA_HK_ANA_P3V3" Struct */</t>
  </si>
  <si>
    <t>typedef struct AdcRdDataHkAnaP3V3 {</t>
  </si>
  <si>
    <t>} TAdcRdDataHkAnaP3V3;</t>
  </si>
  <si>
    <t xml:space="preserve"> /* AEB Housekeeping Area Register "ADC_RD_DATA_HK_DIG_P3V3" Struct */</t>
  </si>
  <si>
    <t>typedef struct AdcRdDataHkDigP3V3 {</t>
  </si>
  <si>
    <t>} TAdcRdDataHkDigP3V3;</t>
  </si>
  <si>
    <t xml:space="preserve"> /* AEB Housekeeping Area Register "ADC_RD_DATA_ADC_REF_BUF_2" Struct */</t>
  </si>
  <si>
    <t>typedef struct AdcRdDataAdcRefBuf2 {</t>
  </si>
  <si>
    <t>} TAdcRdDataAdcRefBuf2;</t>
  </si>
  <si>
    <t xml:space="preserve"> /* AEB Housekeeping Area Register "ADC1_RD_CONFIG_1" Struct */</t>
  </si>
  <si>
    <t>typedef struct Adc1RdConfig1 {</t>
  </si>
  <si>
    <t>} TAdc1RdConfig1;</t>
  </si>
  <si>
    <t xml:space="preserve"> /* AEB Housekeeping Area Register "ADC1_RD_CONFIG_2" Struct */</t>
  </si>
  <si>
    <t>typedef struct Adc1RdConfig2 {</t>
  </si>
  <si>
    <t>} TAdc1RdConfig2;</t>
  </si>
  <si>
    <t xml:space="preserve"> /* AEB Housekeeping Area Register "ADC1_RD_CONFIG_3" Struct */</t>
  </si>
  <si>
    <t>typedef struct Adc1RdConfig3 {</t>
  </si>
  <si>
    <t>} TAdc1RdConfig3;</t>
  </si>
  <si>
    <t xml:space="preserve"> /* AEB Housekeeping Area Register "ADC2_RD_CONFIG_1" Struct */</t>
  </si>
  <si>
    <t>typedef struct Adc2RdConfig1 {</t>
  </si>
  <si>
    <t>} TAdc2RdConfig1;</t>
  </si>
  <si>
    <t xml:space="preserve"> /* AEB Housekeeping Area Register "ADC2_RD_CONFIG_2" Struct */</t>
  </si>
  <si>
    <t>typedef struct Adc2RdConfig2 {</t>
  </si>
  <si>
    <t>} TAdc2RdConfig2;</t>
  </si>
  <si>
    <t xml:space="preserve"> /* AEB Housekeeping Area Register "ADC2_RD_CONFIG_3" Struct */</t>
  </si>
  <si>
    <t>typedef struct Adc2RdConfig3 {</t>
  </si>
  <si>
    <t>} TAdc2RdConfig3;</t>
  </si>
  <si>
    <t xml:space="preserve"> /* AEB Housekeeping Area Register "VASP_RD_CONFIG" Struct */</t>
  </si>
  <si>
    <t>typedef struct VaspRdConfig {</t>
  </si>
  <si>
    <t>} TVaspRdConfig;</t>
  </si>
  <si>
    <t xml:space="preserve"> /* AEB Housekeeping Area Register "REVISION_ID_1" Struct */</t>
  </si>
  <si>
    <t>typedef struct RevisionId1 {</t>
  </si>
  <si>
    <t>} TRevisionId1;</t>
  </si>
  <si>
    <t xml:space="preserve"> /* AEB Housekeeping Area Register "REVISION_ID_2" Struct */</t>
  </si>
  <si>
    <t>typedef struct RevisionId2 {</t>
  </si>
  <si>
    <t>} TRevisionId2;</t>
  </si>
  <si>
    <t>typedef struct RmapAebAreaCritCfg {</t>
  </si>
  <si>
    <t xml:space="preserve">  TAebControl xAebControl;</t>
  </si>
  <si>
    <t xml:space="preserve">  TAebConfig xAebConfig;</t>
  </si>
  <si>
    <t xml:space="preserve">  TAebConfigKey xAebConfigKey;</t>
  </si>
  <si>
    <t xml:space="preserve">  TAebConfigAit xAebConfigAit;</t>
  </si>
  <si>
    <t xml:space="preserve">  TAebConfigPattern xAebConfigPattern;</t>
  </si>
  <si>
    <t xml:space="preserve">  TVaspI2CControl xVaspI2CControl;</t>
  </si>
  <si>
    <t xml:space="preserve">  TDacConfig1 xDacConfig1;</t>
  </si>
  <si>
    <t xml:space="preserve">  TDacConfig2 xDacConfig2;</t>
  </si>
  <si>
    <t xml:space="preserve">  TReserved20 xReserved20;</t>
  </si>
  <si>
    <t xml:space="preserve">  TPwrConfig1 xPwrConfig1;</t>
  </si>
  <si>
    <t xml:space="preserve">  TPwrConfig2 xPwrConfig2;</t>
  </si>
  <si>
    <t xml:space="preserve">  TPwrConfig3 xPwrConfig3;</t>
  </si>
  <si>
    <t>} TRmapAebAreaCritCfg;</t>
  </si>
  <si>
    <t>typedef struct RmapAebAreaGenCfg {</t>
  </si>
  <si>
    <t xml:space="preserve">  TAdc1Config1 xAdc1Config1;</t>
  </si>
  <si>
    <t xml:space="preserve">  TAdc1Config2 xAdc1Config2;</t>
  </si>
  <si>
    <t xml:space="preserve">  TAdc1Config3 xAdc1Config3;</t>
  </si>
  <si>
    <t xml:space="preserve">  TAdc2Config1 xAdc2Config1;</t>
  </si>
  <si>
    <t xml:space="preserve">  TAdc2Config2 xAdc2Config2;</t>
  </si>
  <si>
    <t xml:space="preserve">  TAdc2Config3 xAdc2Config3;</t>
  </si>
  <si>
    <t xml:space="preserve">  TReserved118 xReserved118;</t>
  </si>
  <si>
    <t xml:space="preserve">  TReserved11C xReserved11C;</t>
  </si>
  <si>
    <t xml:space="preserve">  TSeqConfig1 xSeqConfig1;</t>
  </si>
  <si>
    <t xml:space="preserve">  TSeqConfig2 xSeqConfig2;</t>
  </si>
  <si>
    <t xml:space="preserve">  TSeqConfig3 xSeqConfig3;</t>
  </si>
  <si>
    <t xml:space="preserve">  TSeqConfig4 xSeqConfig4;</t>
  </si>
  <si>
    <t xml:space="preserve">  TSeqConfig5 xSeqConfig5;</t>
  </si>
  <si>
    <t xml:space="preserve">  TSeqConfig6 xSeqConfig6;</t>
  </si>
  <si>
    <t xml:space="preserve">  TSeqConfig7 xSeqConfig7;</t>
  </si>
  <si>
    <t xml:space="preserve">  TSeqConfig8 xSeqConfig8;</t>
  </si>
  <si>
    <t xml:space="preserve">  TSeqConfig9 xSeqConfig9;</t>
  </si>
  <si>
    <t xml:space="preserve">  TSeqConfig10 xSeqConfig10;</t>
  </si>
  <si>
    <t xml:space="preserve">  TSeqConfig11 xSeqConfig11;</t>
  </si>
  <si>
    <t xml:space="preserve">  TSeqConfig12 xSeqConfig12;</t>
  </si>
  <si>
    <t xml:space="preserve">  TSeqConfig13 xSeqConfig13;</t>
  </si>
  <si>
    <t xml:space="preserve">  TSeqConfig14 xSeqConfig14;</t>
  </si>
  <si>
    <t>} TRmapAebAreaGenCfg;</t>
  </si>
  <si>
    <t>typedef struct RmapAebAreaHk {</t>
  </si>
  <si>
    <t xml:space="preserve">  TAebStatus xAebStatus;</t>
  </si>
  <si>
    <t xml:space="preserve">  TTimestamp1 xTimestamp1;</t>
  </si>
  <si>
    <t xml:space="preserve">  TTimestamp2 xTimestamp2;</t>
  </si>
  <si>
    <t xml:space="preserve">  TAdcRdDataTVaspL xAdcRdDataTVaspL;</t>
  </si>
  <si>
    <t xml:space="preserve">  TAdcRdDataTVaspR xAdcRdDataTVaspR;</t>
  </si>
  <si>
    <t xml:space="preserve">  TAdcRdDataTBiasP xAdcRdDataTBiasP;</t>
  </si>
  <si>
    <t xml:space="preserve">  TAdcRdDataTHkP xAdcRdDataTHkP;</t>
  </si>
  <si>
    <t xml:space="preserve">  TAdcRdDataTTou1P xAdcRdDataTTou1P;</t>
  </si>
  <si>
    <t xml:space="preserve">  TAdcRdDataTTou2P xAdcRdDataTTou2P;</t>
  </si>
  <si>
    <t xml:space="preserve">  TAdcRdDataHkVode xAdcRdDataHkVode;</t>
  </si>
  <si>
    <t xml:space="preserve">  TAdcRdDataHkVodf xAdcRdDataHkVodf;</t>
  </si>
  <si>
    <t xml:space="preserve">  TAdcRdDataHkVrd xAdcRdDataHkVrd;</t>
  </si>
  <si>
    <t xml:space="preserve">  TAdcRdDataHkVog xAdcRdDataHkVog;</t>
  </si>
  <si>
    <t xml:space="preserve">  TAdcRdDataTCcd xAdcRdDataTCcd;</t>
  </si>
  <si>
    <t xml:space="preserve">  TAdcRdDataTRef1KMea xAdcRdDataTRef1KMea;</t>
  </si>
  <si>
    <t xml:space="preserve">  TAdcRdDataTRef649RMea xAdcRdDataTRef649RMea;</t>
  </si>
  <si>
    <t xml:space="preserve">  TAdcRdDataHkAnaN5V xAdcRdDataHkAnaN5V;</t>
  </si>
  <si>
    <t xml:space="preserve">  TAdcRdDataSRef xAdcRdDataSRef;</t>
  </si>
  <si>
    <t xml:space="preserve">  TAdcRdDataHkCcdP31V xAdcRdDataHkCcdP31V;</t>
  </si>
  <si>
    <t xml:space="preserve">  TAdcRdDataHkClkP15V xAdcRdDataHkClkP15V;</t>
  </si>
  <si>
    <t xml:space="preserve">  TAdcRdDataHkAnaP5V xAdcRdDataHkAnaP5V;</t>
  </si>
  <si>
    <t xml:space="preserve">  TAdcRdDataHkAnaP3V3 xAdcRdDataHkAnaP3V3;</t>
  </si>
  <si>
    <t xml:space="preserve">  TAdcRdDataHkDigP3V3 xAdcRdDataHkDigP3V3;</t>
  </si>
  <si>
    <t xml:space="preserve">  TAdcRdDataAdcRefBuf2 xAdcRdDataAdcRefBuf2;</t>
  </si>
  <si>
    <t xml:space="preserve">  TAdc1RdConfig1 xAdc1RdConfig1;</t>
  </si>
  <si>
    <t xml:space="preserve">  TAdc1RdConfig2 xAdc1RdConfig2;</t>
  </si>
  <si>
    <t xml:space="preserve">  TAdc1RdConfig3 xAdc1RdConfig3;</t>
  </si>
  <si>
    <t xml:space="preserve">  TAdc2RdConfig1 xAdc2RdConfig1;</t>
  </si>
  <si>
    <t xml:space="preserve">  TAdc2RdConfig2 xAdc2RdConfig2;</t>
  </si>
  <si>
    <t xml:space="preserve">  TAdc2RdConfig3 xAdc2RdConfig3;</t>
  </si>
  <si>
    <t xml:space="preserve">  TVaspRdConfig xVaspRdConfig;</t>
  </si>
  <si>
    <t xml:space="preserve">  TRevisionId1 xRevisionId1;</t>
  </si>
  <si>
    <t xml:space="preserve">  TRevisionId2 xRevisionId2;</t>
  </si>
  <si>
    <t>} TRmapAebAreaHk;</t>
  </si>
  <si>
    <t>ucNewState</t>
  </si>
  <si>
    <t xml:space="preserve">      avalon_mm_rmap_o.readdata(11 downto 8) &lt;= rmap_registers_wr_i.aeb_crit_cfg_aeb_control.new_state;</t>
  </si>
  <si>
    <t xml:space="preserve">      rmap_registers_wr_o.aeb_crit_cfg_aeb_control.new_state &lt;= avalon_mm_rmap_i.writedata(11 downto 8);</t>
  </si>
  <si>
    <t xml:space="preserve">  alt_u8 ucNewState; /* "NEW_STATE" Field */</t>
  </si>
  <si>
    <t>R</t>
  </si>
  <si>
    <t>t_rmap_memory_rd_area</t>
  </si>
  <si>
    <t>t_aeb_hk_adc1_rd_config_1_rd_reg</t>
  </si>
  <si>
    <t>t_aeb_hk_adc1_rd_config_2_rd_reg</t>
  </si>
  <si>
    <t>t_aeb_hk_adc1_rd_config_3_rd_reg</t>
  </si>
  <si>
    <t>t_aeb_hk_adc2_rd_config_1_rd_reg</t>
  </si>
  <si>
    <t>t_aeb_hk_adc2_rd_config_2_rd_reg</t>
  </si>
  <si>
    <t>t_aeb_hk_adc2_rd_config_3_rd_reg</t>
  </si>
  <si>
    <t>type t_aeb_hk_adc1_rd_config_1_rd_reg is record</t>
  </si>
  <si>
    <t>end record t_aeb_hk_adc1_rd_config_1_rd_reg;</t>
  </si>
  <si>
    <t>type t_aeb_hk_adc1_rd_config_2_rd_reg is record</t>
  </si>
  <si>
    <t>end record t_aeb_hk_adc1_rd_config_2_rd_reg;</t>
  </si>
  <si>
    <t>type t_aeb_hk_adc1_rd_config_3_rd_reg is record</t>
  </si>
  <si>
    <t>end record t_aeb_hk_adc1_rd_config_3_rd_reg;</t>
  </si>
  <si>
    <t>type t_aeb_hk_adc2_rd_config_1_rd_reg is record</t>
  </si>
  <si>
    <t>end record t_aeb_hk_adc2_rd_config_1_rd_reg;</t>
  </si>
  <si>
    <t>type t_aeb_hk_adc2_rd_config_2_rd_reg is record</t>
  </si>
  <si>
    <t>end record t_aeb_hk_adc2_rd_config_2_rd_reg;</t>
  </si>
  <si>
    <t>type t_aeb_hk_adc2_rd_config_3_rd_reg is record</t>
  </si>
  <si>
    <t>end record t_aeb_hk_adc2_rd_config_3_rd_reg;</t>
  </si>
  <si>
    <t>-- Avalon MM Read-Only Registers</t>
  </si>
  <si>
    <t>type t_rmap_memory_rd_area is record</t>
  </si>
  <si>
    <t xml:space="preserve">  aeb_hk_adc1_rd_config_1 : t_aeb_hk_adc1_rd_config_1_rd_reg; -- AEB Housekeeping Area Register "ADC1_RD_CONFIG_1"</t>
  </si>
  <si>
    <t xml:space="preserve">  aeb_hk_adc1_rd_config_2 : t_aeb_hk_adc1_rd_config_2_rd_reg; -- AEB Housekeeping Area Register "ADC1_RD_CONFIG_2"</t>
  </si>
  <si>
    <t xml:space="preserve">  aeb_hk_adc1_rd_config_3 : t_aeb_hk_adc1_rd_config_3_rd_reg; -- AEB Housekeeping Area Register "ADC1_RD_CONFIG_3"</t>
  </si>
  <si>
    <t xml:space="preserve">  aeb_hk_adc2_rd_config_1 : t_aeb_hk_adc2_rd_config_1_rd_reg; -- AEB Housekeeping Area Register "ADC2_RD_CONFIG_1"</t>
  </si>
  <si>
    <t xml:space="preserve">  aeb_hk_adc2_rd_config_2 : t_aeb_hk_adc2_rd_config_2_rd_reg; -- AEB Housekeeping Area Register "ADC2_RD_CONFIG_2"</t>
  </si>
  <si>
    <t xml:space="preserve">  aeb_hk_adc2_rd_config_3 : t_aeb_hk_adc2_rd_config_3_rd_reg; -- AEB Housekeeping Area Register "ADC2_RD_CONFIG_3"</t>
  </si>
  <si>
    <t>end record t_rmap_memory_rd_area;</t>
  </si>
  <si>
    <t xml:space="preserve">      avalon_mm_rmap_o.readdata(1 downto 0) &lt;= rmap_registers_wr_i.aeb_crit_cfg_aeb_config_pattern.pattern_ccdid;</t>
  </si>
  <si>
    <t xml:space="preserve">      avalon_mm_rmap_o.readdata(1 downto 0) &lt;= rmap_registers_wr_i.aeb_gen_cfg_seq_config_13.reserved_0;</t>
  </si>
  <si>
    <t xml:space="preserve">      avalon_mm_rmap_o.readdata(23 downto 16) &lt;= rmap_registers_wr_i.aeb_gen_cfg_seq_config_13.int1_loop_cnt(7 downto 0);</t>
  </si>
  <si>
    <t xml:space="preserve">      avalon_mm_rmap_o.readdata(29 downto 24) &lt;= rmap_registers_wr_i.aeb_gen_cfg_seq_config_13.int1_loop_cnt(13 downto 8);</t>
  </si>
  <si>
    <t xml:space="preserve">      avalon_mm_rmap_o.readdata(1 downto 0) &lt;= rmap_registers_wr_i.aeb_gen_cfg_seq_config_13.reserved_1;</t>
  </si>
  <si>
    <t xml:space="preserve">      avalon_mm_rmap_o.readdata(23 downto 16) &lt;= rmap_registers_wr_i.aeb_gen_cfg_seq_config_13.int2_loop_cnt(7 downto 0);</t>
  </si>
  <si>
    <t xml:space="preserve">      avalon_mm_rmap_o.readdata(29 downto 24) &lt;= rmap_registers_wr_i.aeb_gen_cfg_seq_config_13.int2_loop_cnt(13 downto 8);</t>
  </si>
  <si>
    <t xml:space="preserve">      rmap_registers_wr_o.aeb_crit_cfg_aeb_config_pattern.pattern_ccdid &lt;= avalon_mm_rmap_i.writedata(1 downto 0);</t>
  </si>
  <si>
    <t xml:space="preserve">      rmap_registers_wr_o.aeb_gen_cfg_seq_config_13.reserved_0 &lt;= avalon_mm_rmap_i.writedata(1 downto 0);</t>
  </si>
  <si>
    <t xml:space="preserve">      rmap_registers_wr_o.aeb_gen_cfg_seq_config_13.int1_loop_cnt(7 downto 0) &lt;= avalon_mm_rmap_i.writedata(23 downto 16);</t>
  </si>
  <si>
    <t xml:space="preserve">      rmap_registers_wr_o.aeb_gen_cfg_seq_config_13.int1_loop_cnt(13 downto 8) &lt;= avalon_mm_rmap_i.writedata(29 downto 24);</t>
  </si>
  <si>
    <t xml:space="preserve">      rmap_registers_wr_o.aeb_gen_cfg_seq_config_13.reserved_1 &lt;= avalon_mm_rmap_i.writedata(1 downto 0);</t>
  </si>
  <si>
    <t xml:space="preserve">      rmap_registers_wr_o.aeb_gen_cfg_seq_config_13.int2_loop_cnt(7 downto 0) &lt;= avalon_mm_rmap_i.writedata(23 downto 16);</t>
  </si>
  <si>
    <t xml:space="preserve">      rmap_registers_wr_o.aeb_gen_cfg_seq_config_13.int2_loop_cnt(13 downto 8) &lt;= avalon_mm_rmap_i.writedata(29 downto 24);</t>
  </si>
  <si>
    <t>RESERVED_1, "ADC_DATA_RD", "ADC_CFG_WR", "ADC_CFG_RD", "DAC_WR", "RESERVED_2" Fields</t>
  </si>
  <si>
    <t>RESERVED_0, "WATCH-DOG_DIS", "INT_SYNC", "RESERVED_1", "VASP_CDS_EN", "VASP2_CAL_EN", "VASP1_CAL_EN", "RESERVED_2" Fields</t>
  </si>
  <si>
    <t>x"00070000"</t>
  </si>
  <si>
    <t>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</si>
  <si>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>VASP_CFG_ADDR, "VASP1_CFG_DATA", "VASP2_CFG_DATA", "RESERVED", "VASP2_SELECT", "VASP1_SELECT", "CALIBRATION_START", "I2C_READ_START", "I2C_WRITE_START" Fields</t>
  </si>
  <si>
    <t>RESERVED_0, "DAC_VOG", "RESERVED_1", "DAC_VRD" Fields</t>
  </si>
  <si>
    <t>x"08000800"</t>
  </si>
  <si>
    <t>RESERVED_0, "DAC_VOD", "RESERVED_1" Fields</t>
  </si>
  <si>
    <t>x"08000000"</t>
  </si>
  <si>
    <t>RESERVED_0, "SPIRST", "MUXMOD", "BYPAS", "CLKENB", "CHOP", "STAT", "RESERVED_1", "IDLMOD", "DLY", "SBCS", "DRATE", "AINP", "AINN", "DIFF" Fields</t>
  </si>
  <si>
    <t>x"5640003F"</t>
  </si>
  <si>
    <t>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</si>
  <si>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x"00F00000"</t>
  </si>
  <si>
    <t>DIO7, "DIO6", "DIO5", "DIO4", "DIO3", "DIO2", "DIO1", "DIO0", "RESERVED" Fields</t>
  </si>
  <si>
    <t>x"5640008F"</t>
  </si>
  <si>
    <t>x"003F0000"</t>
  </si>
  <si>
    <t>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</si>
  <si>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>x"22FFFF1F"</t>
  </si>
  <si>
    <t>ADC_CLK_LOW_POS, "ADC_CLK_HIGH_POS", "CDS_CLK_LOW_POS", "CDS_CLK_HIGH_POS" Fields</t>
  </si>
  <si>
    <t>x"0E1F0011"</t>
  </si>
  <si>
    <t>RPHIR_CLK_LOW_POS, "RPHIR_CLK_HIGH_POS", "RPHI1_CLK_LOW_POS", "RPHI1_CLK_HIGH_POS" Fields</t>
  </si>
  <si>
    <t>RPHI2_CLK_LOW_POS, "RPHI2_CLK_HIGH_POS", "RPHI3_CLK_LOW_POS", "RPHI3_CLK_HIGH_POS" Fields</t>
  </si>
  <si>
    <t>SW_CLK_LOW_POS, "SW_CLK_HIGH_POS", "VASP_OUT_CTRL", "RESERVED", "VASP_OUT_EN_POS" Fields</t>
  </si>
  <si>
    <t>VASP_OUT_CTRL_INV, "RESERVED_0", "VASP_OUT_DIS_POS", "RESERVED_1" Fields</t>
  </si>
  <si>
    <t>RESERVED_0, "SPHI_INV", "RESERVED_1", "RPHI_INV", "RESERVED_2" Fields</t>
  </si>
  <si>
    <t>VASP2_CFG_RUN, "VASP1_CFG_RUN" Fields</t>
  </si>
  <si>
    <t>others_0</t>
  </si>
  <si>
    <t>DAC_CFG_WR_RUN, "ADC_CFG_RD_RUN", "ADC_CFG_WR_RUN", "ADC_DAT_RD_RUN", "ADC_ERROR", "ADC2_LU", "ADC1_LU", "ADC_DAT_RD", "ADC_CFG_RD", "ADC_CFG_WR", "ADC2_BUSY", "ADC1_BUSY" Fields</t>
  </si>
  <si>
    <t>others_1</t>
  </si>
  <si>
    <t>NEW, "OVF", "SUPPLY", "CHID", "ADC_CHX_DATA_T_VASP_L" Fields</t>
  </si>
  <si>
    <t>NEW, "OVF", "SUPPLY", "CHID", "ADC_CHX_DATA_T_VASP_R" Fields</t>
  </si>
  <si>
    <t>NEW, "OVF", "SUPPLY", "CHID", "ADC_CHX_DATA_T_BIAS_P" Fields</t>
  </si>
  <si>
    <t>NEW, "OVF", "SUPPLY", "CHID", "ADC_CHX_DATA_T_HK_P" Fields</t>
  </si>
  <si>
    <t>NEW, "OVF", "SUPPLY", "CHID", "ADC_CHX_DATA_T_TOU_1_P" Fields</t>
  </si>
  <si>
    <t>NEW, "OVF", "SUPPLY", "CHID", "ADC_CHX_DATA_T_TOU_2_P" Fields</t>
  </si>
  <si>
    <t>NEW, "OVF", "SUPPLY", "CHID", "ADC_CHX_DATA_HK_VODE" Fields</t>
  </si>
  <si>
    <t>NEW, "OVF", "SUPPLY", "CHID", "ADC_CHX_DATA_HK_VODF" Fields</t>
  </si>
  <si>
    <t>NEW, "OVF", "SUPPLY", "CHID", "ADC_CHX_DATA_HK_VRD" Fields</t>
  </si>
  <si>
    <t>NEW, "OVF", "SUPPLY", "CHID", "ADC_CHX_DATA_HK_VOG" Fields</t>
  </si>
  <si>
    <t>NEW, "OVF", "SUPPLY", "CHID", "ADC_CHX_DATA_T_CCD" Fields</t>
  </si>
  <si>
    <t>NEW, "OVF", "SUPPLY", "CHID", "ADC_CHX_DATA_T_REF1K_MEA" Fields</t>
  </si>
  <si>
    <t>NEW, "OVF", "SUPPLY", "CHID", "ADC_CHX_DATA_T_REF649R_MEA" Fields</t>
  </si>
  <si>
    <t>NEW, "OVF", "SUPPLY", "CHID", "ADC_CHX_DATA_HK_ANA_N5V" Fields</t>
  </si>
  <si>
    <t>NEW, "OVF", "SUPPLY", "CHID", "ADC_CHX_DATA_S_REF" Fields</t>
  </si>
  <si>
    <t>NEW, "OVF", "SUPPLY", "CHID", "ADC_CHX_DATA_HK_CCD_P31V" Fields</t>
  </si>
  <si>
    <t>NEW, "OVF", "SUPPLY", "CHID", "ADC_CHX_DATA_HK_CLK_P15V" Fields</t>
  </si>
  <si>
    <t>NEW, "OVF", "SUPPLY", "CHID", "ADC_CHX_DATA_HK_ANA_P5V" Fields</t>
  </si>
  <si>
    <t>NEW, "OVF", "SUPPLY", "CHID", "ADC_CHX_DATA_HK_ANA_P3V3" Fields</t>
  </si>
  <si>
    <t>NEW, "OVF", "SUPPLY", "CHID", "ADC_CHX_DATA_HK_DIG_P3V3" Fields</t>
  </si>
  <si>
    <t>NEW, "OVF", "SUPPLY", "CHID", "ADC_CHX_DATA_ADC_REF_BUF_2" Fields</t>
  </si>
  <si>
    <t>SPIRST, "MUXMOD", "BYPAS", "CLKENB", "CHOP", "STAT" Fields</t>
  </si>
  <si>
    <t>IDLMOD, "DLY2", "DLY1", "DLY0", "SBCS1", "SBCS0", "DRATE1", "DRATE0", "AINP3", "AINP2", "AINP1", "AINP0", "AINN3", "AINN2", "AINN1", "AINN0", "DIFF7", "DIFF6", "DIFF5", "DIFF4", "DIFF3", "DIFF2", "DIFF1", "DIFF0" Fields</t>
  </si>
  <si>
    <t>AIN7, "AIN6", "AIN5", "AIN4", "AIN3", "AIN2", "AIN1", "AIN0", "AIN15", "AIN14", "AIN13", "AIN12", "AIN11", "AIN10", "AIN9", "AIN8" Fields</t>
  </si>
  <si>
    <t>REF, "GAIN", "TEMP", "VCC" Fields</t>
  </si>
  <si>
    <t>OFFSET, "CIO7", "CIO6", "CIO5", "CIO4", "CIO3", "CIO2", "CIO1", "CIO0" Fields</t>
  </si>
  <si>
    <t>others_2</t>
  </si>
  <si>
    <t>DIO7, "DIO6", "DIO5", "DIO4", "DIO3", "DIO2", "DIO1", "DIO0" Fields</t>
  </si>
  <si>
    <t>VASP1_READ_DATA, "VASP2_READ_DATA" Fields</t>
  </si>
  <si>
    <t>FPGA_VERSION, "FPGA_DATE" Fields</t>
  </si>
  <si>
    <t>FPGA_TIME_H, "FPGA_TIME_M", "FPGA_SVN" Fields</t>
  </si>
  <si>
    <t>ucOthers</t>
  </si>
  <si>
    <t>ucOthers0</t>
  </si>
  <si>
    <t>ucOthers1</t>
  </si>
  <si>
    <t>usiOthers</t>
  </si>
  <si>
    <t>usiOthers1</t>
  </si>
  <si>
    <t>usiOthers0</t>
  </si>
  <si>
    <t>usiOthers2</t>
  </si>
  <si>
    <t>uliOthers</t>
  </si>
  <si>
    <t>uliOthers1</t>
  </si>
  <si>
    <t>constant c_FARM_AVALON_MM_FFEE_AEB_RMAP_MAX_ADDR : natural range 0 to 511 := 16#057#;</t>
  </si>
  <si>
    <t xml:space="preserve">  others_0 : std_logic_vector(5 downto 0); -- SPIRST, "MUXMOD", "BYPAS", "CLKENB", "CHOP", "STAT" Fields</t>
  </si>
  <si>
    <t xml:space="preserve">  others_1 : std_logic_vector(23 downto 0); -- IDLMOD, "DLY2", "DLY1", "DLY0", "SBCS1", "SBCS0", "DRATE1", "DRATE0", "AINP3", "AINP2", "AINP1", "AINP0", "AINN3", "AINN2", "AINN1", "AINN0", "DIFF7", "DIFF6", "DIFF5", "DIFF4", "DIFF3", "DIFF2", "DIFF1", "DIFF0" Fields</t>
  </si>
  <si>
    <t xml:space="preserve">  others_0 : std_logic_vector(15 downto 0); -- AIN7, "AIN6", "AIN5", "AIN4", "AIN3", "AIN2", "AIN1", "AIN0", "AIN15", "AIN14", "AIN13", "AIN12", "AIN11", "AIN10", "AIN9", "AIN8" Fields</t>
  </si>
  <si>
    <t xml:space="preserve">  others_1 : std_logic_vector(3 downto 0); -- REF, "GAIN", "TEMP", "VCC" Fields</t>
  </si>
  <si>
    <t xml:space="preserve">  others_2 : std_logic_vector(8 downto 0); -- OFFSET, "CIO7", "CIO6", "CIO5", "CIO4", "CIO3", "CIO2", "CIO1", "CIO0" Fields</t>
  </si>
  <si>
    <t xml:space="preserve">  others_0 : std_logic_vector(1 downto 0); -- VASP2_CFG_RUN, "VASP1_CFG_RUN" Fields</t>
  </si>
  <si>
    <t xml:space="preserve">  others_1 : std_logic_vector(11 downto 0); -- DAC_CFG_WR_RUN, "ADC_CFG_RD_RUN", "ADC_CFG_WR_RUN", "ADC_DAT_RD_RUN", "ADC_ERROR", "ADC2_LU", "ADC1_LU", "ADC_DAT_RD", "ADC_CFG_RD", "ADC_CFG_WR", "ADC2_BUSY", "ADC1_BUSY" Fields</t>
  </si>
  <si>
    <t xml:space="preserve">      -- AEB Critical Configuration Area Register "AEB_CONTROL" : "RESERVED" Field</t>
  </si>
  <si>
    <t xml:space="preserve">      avalon_mm_rmap_o.readdata(1 downto 0) &lt;= rmap_registers_wr_i.aeb_crit_cfg_aeb_control.reserved;</t>
  </si>
  <si>
    <t xml:space="preserve">      -- AEB Critical Configuration Area Register "AEB_CONTROL" : RESERVED_1, "ADC_DATA_RD", "ADC_CFG_WR", "ADC_CFG_RD", "DAC_WR", "RESERVED_2" Fields</t>
  </si>
  <si>
    <t xml:space="preserve">      -- AEB Critical Configuration Area Register "AEB_CONFIG" : RESERVED_0, "WATCH-DOG_DIS", "INT_SYNC", "RESERVED_1", "VASP_CDS_EN", "VASP2_CAL_EN", "VASP1_CAL_EN", "RESERVED_2" Fields</t>
  </si>
  <si>
    <t xml:space="preserve">      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</si>
  <si>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 xml:space="preserve">      -- AEB Critical Configuration Area Register "VASP_I2C_CONTROL" : VASP_CFG_ADDR, "VASP1_CFG_DATA", "VASP2_CFG_DATA", "RESERVED", "VASP2_SELECT", "VASP1_SELECT", "CALIBRATION_START", "I2C_READ_START", "I2C_WRITE_START" Fields</t>
  </si>
  <si>
    <t xml:space="preserve">      -- AEB Critical Configuration Area Register "DAC_CONFIG_1" : RESERVED_0, "DAC_VOG", "RESERVED_1", "DAC_VRD" Fields</t>
  </si>
  <si>
    <t xml:space="preserve">      -- AEB Critical Configuration Area Register "DAC_CONFIG_2" : RESERVED_0, "DAC_VOD", "RESERVED_1" Fields</t>
  </si>
  <si>
    <t xml:space="preserve">      -- AEB General Configuration Area Register "ADC1_CONFIG_1" : RESERVED_0, "SPIRST", "MUXMOD", "BYPAS", "CLKENB", "CHOP", "STAT", "RESERVED_1", "IDLMOD", "DLY", "SBCS", "DRATE", "AINP", "AINN", "DIFF" Fields</t>
  </si>
  <si>
    <t xml:space="preserve">      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</si>
  <si>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"ADC1_CONFIG_3" : DIO7, "DIO6", "DIO5", "DIO4", "DIO3", "DIO2", "DIO1", "DIO0", "RESERVED" Fields</t>
  </si>
  <si>
    <t xml:space="preserve">      -- AEB General Configuration Area Register "ADC2_CONFIG_1" : RESERVED_0, "SPIRST", "MUXMOD", "BYPAS", "CLKENB", "CHOP", "STAT", "RESERVED_1", "IDLMOD", "DLY", "SBCS", "DRATE", "AINP", "AINN", "DIFF" Fields</t>
  </si>
  <si>
    <t xml:space="preserve">      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</si>
  <si>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    -- AEB General Configuration Area Register "ADC2_CONFIG_3" : DIO7, "DIO6", "DIO5", "DIO4", "DIO3", "DIO2", "DIO1", "DIO0", "RESERVED" Fields</t>
  </si>
  <si>
    <t xml:space="preserve">      -- AEB General Configuration Area Register "SEQ_CONFIG_1" :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</si>
  <si>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 xml:space="preserve">      -- AEB General Configuration Area Register "SEQ_CONFIG_2" : ADC_CLK_LOW_POS, "ADC_CLK_HIGH_POS", "CDS_CLK_LOW_POS", "CDS_CLK_HIGH_POS" Fields</t>
  </si>
  <si>
    <t xml:space="preserve">      -- AEB General Configuration Area Register "SEQ_CONFIG_3" : RPHIR_CLK_LOW_POS, "RPHIR_CLK_HIGH_POS", "RPHI1_CLK_LOW_POS", "RPHI1_CLK_HIGH_POS" Fields</t>
  </si>
  <si>
    <t xml:space="preserve">      -- AEB General Configuration Area Register "SEQ_CONFIG_4" : RPHI2_CLK_LOW_POS, "RPHI2_CLK_HIGH_POS", "RPHI3_CLK_LOW_POS", "RPHI3_CLK_HIGH_POS" Fields</t>
  </si>
  <si>
    <t xml:space="preserve">      -- AEB General Configuration Area Register "SEQ_CONFIG_5" : SW_CLK_LOW_POS, "SW_CLK_HIGH_POS", "VASP_OUT_CTRL", "RESERVED", "VASP_OUT_EN_POS" Fields</t>
  </si>
  <si>
    <t xml:space="preserve">      -- AEB General Configuration Area Register "SEQ_CONFIG_6" : VASP_OUT_CTRL_INV, "RESERVED_0", "VASP_OUT_DIS_POS", "RESERVED_1" Fields</t>
  </si>
  <si>
    <t xml:space="preserve">      -- AEB General Configuration Area Register "SEQ_CONFIG_14" : RESERVED_0, "SPHI_INV", "RESERVED_1", "RPHI_INV", "RESERVED_2" Fields</t>
  </si>
  <si>
    <t xml:space="preserve">      -- AEB Housekeeping Area Register "AEB_STATUS" : VASP2_CFG_RUN, "VASP1_CFG_RUN" Fields</t>
  </si>
  <si>
    <t xml:space="preserve">      -- AEB Housekeeping Area Register "AEB_STATUS" : DAC_CFG_WR_RUN, "ADC_CFG_RD_RUN", "ADC_CFG_WR_RUN", "ADC_DAT_RD_RUN", "ADC_ERROR", "ADC2_LU", "ADC1_LU", "ADC_DAT_RD", "ADC_CFG_RD", "ADC_CFG_WR", "ADC2_BUSY", "ADC1_BUSY" Fields</t>
  </si>
  <si>
    <t xml:space="preserve">      -- AEB Housekeeping Area Register "ADC_RD_DATA_T_VASP_L" : NEW, "OVF", "SUPPLY", "CHID", "ADC_CHX_DATA_T_VASP_L" Fields</t>
  </si>
  <si>
    <t xml:space="preserve">      -- AEB Housekeeping Area Register "ADC_RD_DATA_T_VASP_R" : NEW, "OVF", "SUPPLY", "CHID", "ADC_CHX_DATA_T_VASP_R" Fields</t>
  </si>
  <si>
    <t xml:space="preserve">      -- AEB Housekeeping Area Register "ADC_RD_DATA_T_BIAS_P" : NEW, "OVF", "SUPPLY", "CHID", "ADC_CHX_DATA_T_BIAS_P" Fields</t>
  </si>
  <si>
    <t xml:space="preserve">      -- AEB Housekeeping Area Register "ADC_RD_DATA_T_HK_P" : NEW, "OVF", "SUPPLY", "CHID", "ADC_CHX_DATA_T_HK_P" Fields</t>
  </si>
  <si>
    <t xml:space="preserve">      -- AEB Housekeeping Area Register "ADC_RD_DATA_T_TOU_1_P" : NEW, "OVF", "SUPPLY", "CHID", "ADC_CHX_DATA_T_TOU_1_P" Fields</t>
  </si>
  <si>
    <t xml:space="preserve">      -- AEB Housekeeping Area Register "ADC_RD_DATA_T_TOU_2_P" : NEW, "OVF", "SUPPLY", "CHID", "ADC_CHX_DATA_T_TOU_2_P" Fields</t>
  </si>
  <si>
    <t xml:space="preserve">      -- AEB Housekeeping Area Register "ADC_RD_DATA_HK_VODE" : NEW, "OVF", "SUPPLY", "CHID", "ADC_CHX_DATA_HK_VODE" Fields</t>
  </si>
  <si>
    <t xml:space="preserve">      -- AEB Housekeeping Area Register "ADC_RD_DATA_HK_VODF" : NEW, "OVF", "SUPPLY", "CHID", "ADC_CHX_DATA_HK_VODF" Fields</t>
  </si>
  <si>
    <t xml:space="preserve">      -- AEB Housekeeping Area Register "ADC_RD_DATA_HK_VRD" : NEW, "OVF", "SUPPLY", "CHID", "ADC_CHX_DATA_HK_VRD" Fields</t>
  </si>
  <si>
    <t xml:space="preserve">      -- AEB Housekeeping Area Register "ADC_RD_DATA_HK_VOG" : NEW, "OVF", "SUPPLY", "CHID", "ADC_CHX_DATA_HK_VOG" Fields</t>
  </si>
  <si>
    <t xml:space="preserve">      -- AEB Housekeeping Area Register "ADC_RD_DATA_T_CCD" : NEW, "OVF", "SUPPLY", "CHID", "ADC_CHX_DATA_T_CCD" Fields</t>
  </si>
  <si>
    <t xml:space="preserve">      -- AEB Housekeeping Area Register "ADC_RD_DATA_T_REF1K_MEA" : NEW, "OVF", "SUPPLY", "CHID", "ADC_CHX_DATA_T_REF1K_MEA" Fields</t>
  </si>
  <si>
    <t xml:space="preserve">      -- AEB Housekeeping Area Register "ADC_RD_DATA_T_REF649R_MEA" : NEW, "OVF", "SUPPLY", "CHID", "ADC_CHX_DATA_T_REF649R_MEA" Fields</t>
  </si>
  <si>
    <t xml:space="preserve">      -- AEB Housekeeping Area Register "ADC_RD_DATA_HK_ANA_N5V" : NEW, "OVF", "SUPPLY", "CHID", "ADC_CHX_DATA_HK_ANA_N5V" Fields</t>
  </si>
  <si>
    <t xml:space="preserve">      -- AEB Housekeeping Area Register "ADC_RD_DATA_S_REF" : NEW, "OVF", "SUPPLY", "CHID", "ADC_CHX_DATA_S_REF" Fields</t>
  </si>
  <si>
    <t xml:space="preserve">      -- AEB Housekeeping Area Register "ADC_RD_DATA_HK_CCD_P31V" : NEW, "OVF", "SUPPLY", "CHID", "ADC_CHX_DATA_HK_CCD_P31V" Fields</t>
  </si>
  <si>
    <t xml:space="preserve">      -- AEB Housekeeping Area Register "ADC_RD_DATA_HK_CLK_P15V" : NEW, "OVF", "SUPPLY", "CHID", "ADC_CHX_DATA_HK_CLK_P15V" Fields</t>
  </si>
  <si>
    <t xml:space="preserve">      -- AEB Housekeeping Area Register "ADC_RD_DATA_HK_ANA_P5V" : NEW, "OVF", "SUPPLY", "CHID", "ADC_CHX_DATA_HK_ANA_P5V" Fields</t>
  </si>
  <si>
    <t xml:space="preserve">      -- AEB Housekeeping Area Register "ADC_RD_DATA_HK_ANA_P3V3" : NEW, "OVF", "SUPPLY", "CHID", "ADC_CHX_DATA_HK_ANA_P3V3" Fields</t>
  </si>
  <si>
    <t xml:space="preserve">      -- AEB Housekeeping Area Register "ADC_RD_DATA_HK_DIG_P3V3" : NEW, "OVF", "SUPPLY", "CHID", "ADC_CHX_DATA_HK_DIG_P3V3" Fields</t>
  </si>
  <si>
    <t xml:space="preserve">      -- AEB Housekeeping Area Register "ADC_RD_DATA_ADC_REF_BUF_2" : NEW, "OVF", "SUPPLY", "CHID", "ADC_CHX_DATA_ADC_REF_BUF_2" Fields</t>
  </si>
  <si>
    <t xml:space="preserve">      -- AEB Housekeeping Area Register "ADC1_RD_CONFIG_1" : SPIRST, "MUXMOD", "BYPAS", "CLKENB", "CHOP", "STAT" Fields</t>
  </si>
  <si>
    <t xml:space="preserve">      avalon_mm_rmap_o.readdata(5 downto 0) &lt;= rmap_registers_rd_i.aeb_hk_adc1_rd_config_1.others_0;</t>
  </si>
  <si>
    <t xml:space="preserve">      -- AEB Housekeeping Area Register "ADC1_RD_CONFIG_1"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</si>
  <si>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avalon_mm_rmap_o.readdata(7 downto 0) &lt;= rmap_registers_rd_i.aeb_hk_adc1_rd_config_1.others_1(7 downto 0);</t>
  </si>
  <si>
    <t xml:space="preserve">      avalon_mm_rmap_o.readdata(15 downto 8) &lt;= rmap_registers_rd_i.aeb_hk_adc1_rd_config_1.others_1(15 downto 8);</t>
  </si>
  <si>
    <t xml:space="preserve">      avalon_mm_rmap_o.readdata(23 downto 16) &lt;= rmap_registers_rd_i.aeb_hk_adc1_rd_config_1.others_1(23 downto 16);</t>
  </si>
  <si>
    <t xml:space="preserve">      -- AEB Housekeeping Area Register "ADC1_RD_CONFIG_2" : AIN7, "AIN6", "AIN5", "AIN4", "AIN3", "AIN2", "AIN1", "AIN0", "AIN15", "AIN14", "AIN13", "AIN12", "AIN11", "AIN10", "AIN9", "AIN8" Fields</t>
  </si>
  <si>
    <t xml:space="preserve">      avalon_mm_rmap_o.readdata(7 downto 0) &lt;= rmap_registers_rd_i.aeb_hk_adc1_rd_config_2.others_0(7 downto 0);</t>
  </si>
  <si>
    <t xml:space="preserve">      avalon_mm_rmap_o.readdata(15 downto 8) &lt;= rmap_registers_rd_i.aeb_hk_adc1_rd_config_2.others_0(15 downto 8);</t>
  </si>
  <si>
    <t xml:space="preserve">      -- AEB Housekeeping Area Register "ADC1_RD_CONFIG_2" : REF, "GAIN", "TEMP", "VCC" Fields</t>
  </si>
  <si>
    <t xml:space="preserve">      avalon_mm_rmap_o.readdata(19 downto 16) &lt;= rmap_registers_rd_i.aeb_hk_adc1_rd_config_2.others_1;</t>
  </si>
  <si>
    <t xml:space="preserve">      -- AEB Housekeeping Area Register "ADC1_RD_CONFIG_2" : OFFSET, "CIO7", "CIO6", "CIO5", "CIO4", "CIO3", "CIO2", "CIO1", "CIO0" Fields</t>
  </si>
  <si>
    <t xml:space="preserve">      avalon_mm_rmap_o.readdata(7 downto 0) &lt;= rmap_registers_rd_i.aeb_hk_adc1_rd_config_2.others_2(7 downto 0);</t>
  </si>
  <si>
    <t xml:space="preserve">      avalon_mm_rmap_o.readdata(8) &lt;= rmap_registers_rd_i.aeb_hk_adc1_rd_config_2.others_2(8);</t>
  </si>
  <si>
    <t xml:space="preserve">      -- AEB Housekeeping Area Register "ADC1_RD_CONFIG_3" : DIO7, "DIO6", "DIO5", "DIO4", "DIO3", "DIO2", "DIO1", "DIO0" Fields</t>
  </si>
  <si>
    <t xml:space="preserve">      -- AEB Housekeeping Area Register "ADC2_RD_CONFIG_1" : SPIRST, "MUXMOD", "BYPAS", "CLKENB", "CHOP", "STAT" Fields</t>
  </si>
  <si>
    <t xml:space="preserve">      avalon_mm_rmap_o.readdata(5 downto 0) &lt;= rmap_registers_rd_i.aeb_hk_adc2_rd_config_1.others_0;</t>
  </si>
  <si>
    <t xml:space="preserve">      -- AEB Housekeeping Area Register "ADC2_RD_CONFIG_1" : IDLMOD, "DLY2", "DLY1", "DLY0", "SBCS1", "SBCS0", "DRATE1", "DRATE0", "AINP3", "AINP2", "AINP1", "AINP0", "AINN3", "AINN2", "AINN1", "AINN0", "DIFF7", "DIFF6", "DIFF5", "DIFF4", "DIFF3", "DIFF2", "DIFF1", "DIFF0" Fields</t>
  </si>
  <si>
    <t xml:space="preserve">      avalon_mm_rmap_o.readdata(7 downto 0) &lt;= rmap_registers_rd_i.aeb_hk_adc2_rd_config_1.others_1(7 downto 0);</t>
  </si>
  <si>
    <t xml:space="preserve">      avalon_mm_rmap_o.readdata(15 downto 8) &lt;= rmap_registers_rd_i.aeb_hk_adc2_rd_config_1.others_1(15 downto 8);</t>
  </si>
  <si>
    <t xml:space="preserve">      avalon_mm_rmap_o.readdata(23 downto 16) &lt;= rmap_registers_rd_i.aeb_hk_adc2_rd_config_1.others_1(23 downto 16);</t>
  </si>
  <si>
    <t xml:space="preserve">      -- AEB Housekeeping Area Register "ADC2_RD_CONFIG_2" : AIN7, "AIN6", "AIN5", "AIN4", "AIN3", "AIN2", "AIN1", "AIN0", "AIN15", "AIN14", "AIN13", "AIN12", "AIN11", "AIN10", "AIN9", "AIN8" Fields</t>
  </si>
  <si>
    <t xml:space="preserve">      avalon_mm_rmap_o.readdata(7 downto 0) &lt;= rmap_registers_rd_i.aeb_hk_adc2_rd_config_2.others_0(7 downto 0);</t>
  </si>
  <si>
    <t xml:space="preserve">      avalon_mm_rmap_o.readdata(15 downto 8) &lt;= rmap_registers_rd_i.aeb_hk_adc2_rd_config_2.others_0(15 downto 8);</t>
  </si>
  <si>
    <t xml:space="preserve">      -- AEB Housekeeping Area Register "ADC2_RD_CONFIG_2" : REF, "GAIN", "TEMP", "VCC" Fields</t>
  </si>
  <si>
    <t xml:space="preserve">      avalon_mm_rmap_o.readdata(19 downto 16) &lt;= rmap_registers_rd_i.aeb_hk_adc2_rd_config_2.others_1;</t>
  </si>
  <si>
    <t xml:space="preserve">      -- AEB Housekeeping Area Register "ADC2_RD_CONFIG_2" : OFFSET, "CIO7", "CIO6", "CIO5", "CIO4", "CIO3", "CIO2", "CIO1", "CIO0" Fields</t>
  </si>
  <si>
    <t xml:space="preserve">      avalon_mm_rmap_o.readdata(7 downto 0) &lt;= rmap_registers_rd_i.aeb_hk_adc2_rd_config_2.others_2(7 downto 0);</t>
  </si>
  <si>
    <t xml:space="preserve">      avalon_mm_rmap_o.readdata(8) &lt;= rmap_registers_rd_i.aeb_hk_adc2_rd_config_2.others_2(8);</t>
  </si>
  <si>
    <t xml:space="preserve">      -- AEB Housekeeping Area Register "ADC2_RD_CONFIG_3" : DIO7, "DIO6", "DIO5", "DIO4", "DIO3", "DIO2", "DIO1", "DIO0" Fields</t>
  </si>
  <si>
    <t xml:space="preserve">      -- AEB Housekeeping Area Register "VASP_RD_CONFIG" : VASP1_READ_DATA, "VASP2_READ_DATA" Fields</t>
  </si>
  <si>
    <t xml:space="preserve">      -- AEB Housekeeping Area Register "REVISION_ID_1" : FPGA_VERSION, "FPGA_DATE" Fields</t>
  </si>
  <si>
    <t xml:space="preserve">      -- AEB Housekeeping Area Register "REVISION_ID_2" : FPGA_TIME_H, "FPGA_TIME_M", "FPGA_SVN" Fields</t>
  </si>
  <si>
    <t xml:space="preserve">      rmap_registers_wr_o.aeb_crit_cfg_aeb_control.reserved &lt;= avalon_mm_rmap_i.writedata(1 downto 0);</t>
  </si>
  <si>
    <t>-- AEB Critical Configuration Area Register "AEB_CONTROL" : "RESERVED" Field</t>
  </si>
  <si>
    <t>rmap_registers_wr_o.aeb_crit_cfg_aeb_control.reserved &lt;= (others =&gt; '0');</t>
  </si>
  <si>
    <t>-- AEB Critical Configuration Area Register "AEB_CONTROL" : RESERVED_1, "ADC_DATA_RD", "ADC_CFG_WR", "ADC_CFG_RD", "DAC_WR", "RESERVED_2" Fields</t>
  </si>
  <si>
    <t>-- AEB Critical Configuration Area Register "AEB_CONFIG" : RESERVED_0, "WATCH-DOG_DIS", "INT_SYNC", "RESERVED_1", "VASP_CDS_EN", "VASP2_CAL_EN", "VASP1_CAL_EN", "RESERVED_2" Fields</t>
  </si>
  <si>
    <t>-- AEB Critical Configuration Area Register "AEB_CONFIG_AIT" :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</si>
  <si>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>-- AEB Critical Configuration Area Register "VASP_I2C_CONTROL" : VASP_CFG_ADDR, "VASP1_CFG_DATA", "VASP2_CFG_DATA", "RESERVED", "VASP2_SELECT", "VASP1_SELECT", "CALIBRATION_START", "I2C_READ_START", "I2C_WRITE_START" Fields</t>
  </si>
  <si>
    <t>-- AEB Critical Configuration Area Register "DAC_CONFIG_1" : RESERVED_0, "DAC_VOG", "RESERVED_1", "DAC_VRD" Fields</t>
  </si>
  <si>
    <t>-- AEB Critical Configuration Area Register "DAC_CONFIG_2" : RESERVED_0, "DAC_VOD", "RESERVED_1" Fields</t>
  </si>
  <si>
    <t>-- AEB General Configuration Area Register "ADC1_CONFIG_1" : RESERVED_0, "SPIRST", "MUXMOD", "BYPAS", "CLKENB", "CHOP", "STAT", "RESERVED_1", "IDLMOD", "DLY", "SBCS", "DRATE", "AINP", "AINN", "DIFF" Fields</t>
  </si>
  <si>
    <t>-- AEB General Configuration Area Register "ADC1_CONFIG_2"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</si>
  <si>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-- AEB General Configuration Area Register "ADC1_CONFIG_3" : DIO7, "DIO6", "DIO5", "DIO4", "DIO3", "DIO2", "DIO1", "DIO0", "RESERVED" Fields</t>
  </si>
  <si>
    <t>-- AEB General Configuration Area Register "ADC2_CONFIG_1" : RESERVED_0, "SPIRST", "MUXMOD", "BYPAS", "CLKENB", "CHOP", "STAT", "RESERVED_1", "IDLMOD", "DLY", "SBCS", "DRATE", "AINP", "AINN", "DIFF" Fields</t>
  </si>
  <si>
    <t>-- AEB General Configuration Area Register "ADC2_CONFIG_2" :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</si>
  <si>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>-- AEB General Configuration Area Register "ADC2_CONFIG_3" : DIO7, "DIO6", "DIO5", "DIO4", "DIO3", "DIO2", "DIO1", "DIO0", "RESERVED" Fields</t>
  </si>
  <si>
    <t>-- AEB General Configuration Area Register "SEQ_CONFIG_1" :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</si>
  <si>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>-- AEB General Configuration Area Register "SEQ_CONFIG_2" : ADC_CLK_LOW_POS, "ADC_CLK_HIGH_POS", "CDS_CLK_LOW_POS", "CDS_CLK_HIGH_POS" Fields</t>
  </si>
  <si>
    <t>-- AEB General Configuration Area Register "SEQ_CONFIG_3" : RPHIR_CLK_LOW_POS, "RPHIR_CLK_HIGH_POS", "RPHI1_CLK_LOW_POS", "RPHI1_CLK_HIGH_POS" Fields</t>
  </si>
  <si>
    <t>-- AEB General Configuration Area Register "SEQ_CONFIG_4" : RPHI2_CLK_LOW_POS, "RPHI2_CLK_HIGH_POS", "RPHI3_CLK_LOW_POS", "RPHI3_CLK_HIGH_POS" Fields</t>
  </si>
  <si>
    <t>-- AEB General Configuration Area Register "SEQ_CONFIG_5" : SW_CLK_LOW_POS, "SW_CLK_HIGH_POS", "VASP_OUT_CTRL", "RESERVED", "VASP_OUT_EN_POS" Fields</t>
  </si>
  <si>
    <t>-- AEB General Configuration Area Register "SEQ_CONFIG_6" : VASP_OUT_CTRL_INV, "RESERVED_0", "VASP_OUT_DIS_POS", "RESERVED_1" Fields</t>
  </si>
  <si>
    <t>-- AEB General Configuration Area Register "SEQ_CONFIG_14" : RESERVED_0, "SPHI_INV", "RESERVED_1", "RPHI_INV", "RESERVED_2" Fields</t>
  </si>
  <si>
    <t xml:space="preserve">  alt_u8 ucReserved0; /* "RESERVED" Field */</t>
  </si>
  <si>
    <t xml:space="preserve">  alt_u32 uliOthers; /* RESERVED_1, "ADC_DATA_RD", "ADC_CFG_WR", "ADC_CFG_RD", "DAC_WR", "RESERVED_2" Fields */</t>
  </si>
  <si>
    <t xml:space="preserve">  alt_u32 uliOthers; /* RESERVED_0, "WATCH-DOG_DIS", "INT_SYNC", "RESERVED_1", "VASP_CDS_EN", "VASP2_CAL_EN", "VASP1_CAL_EN", "RESERVED_2" Fields */</t>
  </si>
  <si>
    <t xml:space="preserve">  alt_u32 uliOthers; /*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 */</t>
  </si>
  <si>
    <t xml:space="preserve">  alt_u32 uliOthers; /* VASP_CFG_ADDR, "VASP1_CFG_DATA", "VASP2_CFG_DATA", "RESERVED", "VASP2_SELECT", "VASP1_SELECT", "CALIBRATION_START", "I2C_READ_START", "I2C_WRITE_START" Fields */</t>
  </si>
  <si>
    <t xml:space="preserve">  alt_u32 uliOthers; /* RESERVED_0, "DAC_VOG", "RESERVED_1", "DAC_VRD" Fields */</t>
  </si>
  <si>
    <t xml:space="preserve">  alt_u32 uliOthers; /* RESERVED_0, "DAC_VOD", "RESERVED_1" Fields */</t>
  </si>
  <si>
    <t xml:space="preserve">  alt_u32 uliOthers; /* RESERVED_0, "SPIRST", "MUXMOD", "BYPAS", "CLKENB", "CHOP", "STAT", "RESERVED_1", "IDLMOD", "DLY", "SBCS", "DRATE", "AINP", "AINN", "DIFF" Fields */</t>
  </si>
  <si>
    <t xml:space="preserve">  alt_u32 uliOthers; /* AIN7, "AIN6", "AIN5", "AIN4", "AIN3", "AIN2", "AIN1", "AIN0", "AIN15", "AIN14", "AIN13", "AIN12", "AIN11", "AIN10", "AIN9", "AIN8", "RESERVED_0", "REF", "GAIN", "TEMP", "VCC", "RESERVED_1", "OFFSET", "CIO7", "CIO6", "CIO5", "CIO4", "CIO3", "CIO2", "CIO1", "CIO0" Fields */</t>
  </si>
  <si>
    <t xml:space="preserve">  alt_u32 uliOthers; /* DIO7, "DIO6", "DIO5", "DIO4", "DIO3", "DIO2", "DIO1", "DIO0", "RESERVED" Fields */</t>
  </si>
  <si>
    <t xml:space="preserve">  alt_u32 uliOthers; /*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 */</t>
  </si>
  <si>
    <t xml:space="preserve">  alt_u32 uliOthers; /* ADC_CLK_LOW_POS, "ADC_CLK_HIGH_POS", "CDS_CLK_LOW_POS", "CDS_CLK_HIGH_POS" Fields */</t>
  </si>
  <si>
    <t xml:space="preserve">  alt_u32 uliOthers; /* RPHIR_CLK_LOW_POS, "RPHIR_CLK_HIGH_POS", "RPHI1_CLK_LOW_POS", "RPHI1_CLK_HIGH_POS" Fields */</t>
  </si>
  <si>
    <t xml:space="preserve">  alt_u32 uliOthers; /* RPHI2_CLK_LOW_POS, "RPHI2_CLK_HIGH_POS", "RPHI3_CLK_LOW_POS", "RPHI3_CLK_HIGH_POS" Fields */</t>
  </si>
  <si>
    <t xml:space="preserve">  alt_u32 uliOthers; /* SW_CLK_LOW_POS, "SW_CLK_HIGH_POS", "VASP_OUT_CTRL", "RESERVED", "VASP_OUT_EN_POS" Fields */</t>
  </si>
  <si>
    <t xml:space="preserve">  alt_u32 uliOthers; /* VASP_OUT_CTRL_INV, "RESERVED_0", "VASP_OUT_DIS_POS", "RESERVED_1" Fields */</t>
  </si>
  <si>
    <t xml:space="preserve">  alt_u32 uliOthers; /* RESERVED_0, "SPHI_INV", "RESERVED_1", "RPHI_INV", "RESERVED_2" Fields */</t>
  </si>
  <si>
    <t xml:space="preserve">  alt_u8 ucOthers0; /* VASP2_CFG_RUN, "VASP1_CFG_RUN" Fields */</t>
  </si>
  <si>
    <t xml:space="preserve">  alt_u16 usiOthers1; /* DAC_CFG_WR_RUN, "ADC_CFG_RD_RUN", "ADC_CFG_WR_RUN", "ADC_DAT_RD_RUN", "ADC_ERROR", "ADC2_LU", "ADC1_LU", "ADC_DAT_RD", "ADC_CFG_RD", "ADC_CFG_WR", "ADC2_BUSY", "ADC1_BUSY" Fields */</t>
  </si>
  <si>
    <t xml:space="preserve">  alt_u32 uliOthers; /* NEW, "OVF", "SUPPLY", "CHID", "ADC_CHX_DATA_T_VASP_L" Fields */</t>
  </si>
  <si>
    <t xml:space="preserve">  alt_u32 uliOthers; /* NEW, "OVF", "SUPPLY", "CHID", "ADC_CHX_DATA_T_VASP_R" Fields */</t>
  </si>
  <si>
    <t xml:space="preserve">  alt_u32 uliOthers; /* NEW, "OVF", "SUPPLY", "CHID", "ADC_CHX_DATA_T_BIAS_P" Fields */</t>
  </si>
  <si>
    <t xml:space="preserve">  alt_u32 uliOthers; /* NEW, "OVF", "SUPPLY", "CHID", "ADC_CHX_DATA_T_HK_P" Fields */</t>
  </si>
  <si>
    <t xml:space="preserve">  alt_u32 uliOthers; /* NEW, "OVF", "SUPPLY", "CHID", "ADC_CHX_DATA_T_TOU_1_P" Fields */</t>
  </si>
  <si>
    <t xml:space="preserve">  alt_u32 uliOthers; /* NEW, "OVF", "SUPPLY", "CHID", "ADC_CHX_DATA_T_TOU_2_P" Fields */</t>
  </si>
  <si>
    <t xml:space="preserve">  alt_u32 uliOthers; /* NEW, "OVF", "SUPPLY", "CHID", "ADC_CHX_DATA_HK_VODE" Fields */</t>
  </si>
  <si>
    <t xml:space="preserve">  alt_u32 uliOthers; /* NEW, "OVF", "SUPPLY", "CHID", "ADC_CHX_DATA_HK_VODF" Fields */</t>
  </si>
  <si>
    <t xml:space="preserve">  alt_u32 uliOthers; /* NEW, "OVF", "SUPPLY", "CHID", "ADC_CHX_DATA_HK_VRD" Fields */</t>
  </si>
  <si>
    <t xml:space="preserve">  alt_u32 uliOthers; /* NEW, "OVF", "SUPPLY", "CHID", "ADC_CHX_DATA_HK_VOG" Fields */</t>
  </si>
  <si>
    <t xml:space="preserve">  alt_u32 uliOthers; /* NEW, "OVF", "SUPPLY", "CHID", "ADC_CHX_DATA_T_CCD" Fields */</t>
  </si>
  <si>
    <t xml:space="preserve">  alt_u32 uliOthers; /* NEW, "OVF", "SUPPLY", "CHID", "ADC_CHX_DATA_T_REF1K_MEA" Fields */</t>
  </si>
  <si>
    <t xml:space="preserve">  alt_u32 uliOthers; /* NEW, "OVF", "SUPPLY", "CHID", "ADC_CHX_DATA_T_REF649R_MEA" Fields */</t>
  </si>
  <si>
    <t xml:space="preserve">  alt_u32 uliOthers; /* NEW, "OVF", "SUPPLY", "CHID", "ADC_CHX_DATA_HK_ANA_N5V" Fields */</t>
  </si>
  <si>
    <t xml:space="preserve">  alt_u32 uliOthers; /* NEW, "OVF", "SUPPLY", "CHID", "ADC_CHX_DATA_S_REF" Fields */</t>
  </si>
  <si>
    <t xml:space="preserve">  alt_u32 uliOthers; /* NEW, "OVF", "SUPPLY", "CHID", "ADC_CHX_DATA_HK_CCD_P31V" Fields */</t>
  </si>
  <si>
    <t xml:space="preserve">  alt_u32 uliOthers; /* NEW, "OVF", "SUPPLY", "CHID", "ADC_CHX_DATA_HK_CLK_P15V" Fields */</t>
  </si>
  <si>
    <t xml:space="preserve">  alt_u32 uliOthers; /* NEW, "OVF", "SUPPLY", "CHID", "ADC_CHX_DATA_HK_ANA_P5V" Fields */</t>
  </si>
  <si>
    <t xml:space="preserve">  alt_u32 uliOthers; /* NEW, "OVF", "SUPPLY", "CHID", "ADC_CHX_DATA_HK_ANA_P3V3" Fields */</t>
  </si>
  <si>
    <t xml:space="preserve">  alt_u32 uliOthers; /* NEW, "OVF", "SUPPLY", "CHID", "ADC_CHX_DATA_HK_DIG_P3V3" Fields */</t>
  </si>
  <si>
    <t xml:space="preserve">  alt_u32 uliOthers; /* NEW, "OVF", "SUPPLY", "CHID", "ADC_CHX_DATA_ADC_REF_BUF_2" Fields */</t>
  </si>
  <si>
    <t xml:space="preserve">  alt_u8 ucOthers0; /* SPIRST, "MUXMOD", "BYPAS", "CLKENB", "CHOP", "STAT" Fields */</t>
  </si>
  <si>
    <t xml:space="preserve">  alt_u32 uliOthers1; /* IDLMOD, "DLY2", "DLY1", "DLY0", "SBCS1", "SBCS0", "DRATE1", "DRATE0", "AINP3", "AINP2", "AINP1", "AINP0", "AINN3", "AINN2", "AINN1", "AINN0", "DIFF7", "DIFF6", "DIFF5", "DIFF4", "DIFF3", "DIFF2", "DIFF1", "DIFF0" Fields */</t>
  </si>
  <si>
    <t xml:space="preserve">  alt_u16 usiOthers0; /* AIN7, "AIN6", "AIN5", "AIN4", "AIN3", "AIN2", "AIN1", "AIN0", "AIN15", "AIN14", "AIN13", "AIN12", "AIN11", "AIN10", "AIN9", "AIN8" Fields */</t>
  </si>
  <si>
    <t xml:space="preserve">  alt_u8 ucOthers1; /* REF, "GAIN", "TEMP", "VCC" Fields */</t>
  </si>
  <si>
    <t xml:space="preserve">  alt_u16 usiOthers2; /* OFFSET, "CIO7", "CIO6", "CIO5", "CIO4", "CIO3", "CIO2", "CIO1", "CIO0" Fields */</t>
  </si>
  <si>
    <t xml:space="preserve">  alt_u8 ucOthers; /* DIO7, "DIO6", "DIO5", "DIO4", "DIO3", "DIO2", "DIO1", "DIO0" Fields */</t>
  </si>
  <si>
    <t xml:space="preserve">  alt_u16 usiOthers; /* VASP1_READ_DATA, "VASP2_READ_DATA" Fields */</t>
  </si>
  <si>
    <t xml:space="preserve">  alt_u32 uliOthers; /* FPGA_VERSION, "FPGA_DATE" Fields */</t>
  </si>
  <si>
    <t xml:space="preserve">  alt_u32 uliOthers; /* FPGA_TIME_H, "FPGA_TIME_M", "FPGA_SVN" Fields */</t>
  </si>
  <si>
    <t xml:space="preserve">  others_0 : std_logic_vector(7 downto 0); -- DIO7, "DIO6", "DIO5", "DIO4", "DIO3", "DIO2", "DIO1", "DIO0" Fields</t>
  </si>
  <si>
    <t xml:space="preserve">  others_0 : std_logic_vector(31 downto 0); -- OVERRIDE_SW, "RESERVED_0", "SW_VAN3", "SW_VAN2", "SW_VAN1", "SW_VCLK", "SW_VCCD", "OVERRIDE_VASP", "RESERVED_1", "VASP2_PIX_EN", "VASP1_PIX_EN", "VASP2_ADC_EN", "VASP1_ADC_EN", "VASP2_RESET", "VASP1_RESET", "OVERRIDE_ADC", "ADC2_EN_P5V0", "ADC1_EN_P5V0", "PT1000_CAL_ON_N", "EN_V_MUX_N", "ADC2_PWDN_N", "ADC1_PWDN_N", "ADC_CLK_EN", "RESERVED_2" Fields</t>
  </si>
  <si>
    <t xml:space="preserve">  others_0 : std_logic_vector(31 downto 0); -- RESERVED_0, "WATCH-DOG_DIS", "INT_SYNC", "RESERVED_1", "VASP_CDS_EN", "VASP2_CAL_EN", "VASP1_CAL_EN", "RESERVED_2" Fields</t>
  </si>
  <si>
    <t xml:space="preserve">  others_0 : std_logic_vector(23 downto 0); -- RESERVED_1, "ADC_DATA_RD", "ADC_CFG_WR", "ADC_CFG_RD", "DAC_WR", "RESERVED_2" Fields</t>
  </si>
  <si>
    <t xml:space="preserve">  others_0 : std_logic_vector(31 downto 0); -- RESERVED_0, "DAC_VOG", "RESERVED_1", "DAC_VRD" Fields</t>
  </si>
  <si>
    <t xml:space="preserve">  others_0 : std_logic_vector(31 downto 0); -- RESERVED_0, "DAC_VOD", "RESERVED_1" Fields</t>
  </si>
  <si>
    <t xml:space="preserve">  others_0 : std_logic_vector(31 downto 0); -- VASP_CFG_ADDR, "VASP1_CFG_DATA", "VASP2_CFG_DATA", "RESERVED", "VASP2_SELECT", "VASP1_SELECT", "CALIBRATION_START", "I2C_READ_START", "I2C_WRITE_START" Fields</t>
  </si>
  <si>
    <t xml:space="preserve">  others_0 : std_logic_vector(31 downto 0); -- RESERVED_0, "SPIRST", "MUXMOD", "BYPAS", "CLKENB", "CHOP", "STAT", "RESERVED_1", "IDLMOD", "DLY", "SBCS", "DRATE", "AINP", "AINN", "DIFF" Fields</t>
  </si>
  <si>
    <t xml:space="preserve">  others_0 : std_logic_vector(31 downto 0); -- AIN7, "AIN6", "AIN5", "AIN4", "AIN3", "AIN2", "AIN1", "AIN0", "AIN15", "AIN14", "AIN13", "AIN12", "AIN11", "AIN10", "AIN9", "AIN8", "RESERVED_0", "REF", "GAIN", "TEMP", "VCC", "RESERVED_1", "OFFSET", "CIO7", "CIO6", "CIO5", "CIO4", "CIO3", "CIO2", "CIO1", "CIO0" Fields</t>
  </si>
  <si>
    <t xml:space="preserve">  others_0 : std_logic_vector(31 downto 0); -- DIO7, "DIO6", "DIO5", "DIO4", "DIO3", "DIO2", "DIO1", "DIO0", "RESERVED" Fields</t>
  </si>
  <si>
    <t xml:space="preserve">  others_0 : std_logic_vector(31 downto 0); -- RESERVED_0, "SEQ_OE_CCD_ENABLE", "SEQ_OE_SPARE", "SEQ_OE_TSTLINE", "SEQ_OE_TSTFRM", "SEQ_OE_VASPCLAMP", "SEQ_OE_PRECLAMP", "SEQ_OE_IG", "SEQ_OE_TG", "SEQ_OE_DG", "SEQ_OE_RPHIR", "SEQ_OE_SW", "SEQ_OE_RPHI3", "SEQ_OE_RPHI2", "SEQ_OE_RPHI1", "SEQ_OE_SPHI4", "SEQ_OE_SPHI3", "SEQ_OE_SPHI2", "SEQ_OE_SPHI1", "SEQ_OE_IPHI4", "SEQ_OE_IPHI3", "SEQ_OE_IPHI2", "SEQ_OE_IPHI1", "RESERVED_1", "ADC_CLK_DIV" Fields</t>
  </si>
  <si>
    <t xml:space="preserve">  others_0 : std_logic_vector(31 downto 0); -- RESERVED_0, "SPHI_INV", "RESERVED_1", "RPHI_INV", "RESERVED_2" Fields</t>
  </si>
  <si>
    <t xml:space="preserve">  others_0 : std_logic_vector(31 downto 0); -- ADC_CLK_LOW_POS, "ADC_CLK_HIGH_POS", "CDS_CLK_LOW_POS", "CDS_CLK_HIGH_POS" Fields</t>
  </si>
  <si>
    <t xml:space="preserve">  others_0 : std_logic_vector(31 downto 0); -- RPHIR_CLK_LOW_POS, "RPHIR_CLK_HIGH_POS", "RPHI1_CLK_LOW_POS", "RPHI1_CLK_HIGH_POS" Fields</t>
  </si>
  <si>
    <t xml:space="preserve">  others_0 : std_logic_vector(31 downto 0); -- RPHI2_CLK_LOW_POS, "RPHI2_CLK_HIGH_POS", "RPHI3_CLK_LOW_POS", "RPHI3_CLK_HIGH_POS" Fields</t>
  </si>
  <si>
    <t xml:space="preserve">  others_0 : std_logic_vector(31 downto 0); -- SW_CLK_LOW_POS, "SW_CLK_HIGH_POS", "VASP_OUT_CTRL", "RESERVED", "VASP_OUT_EN_POS" Fields</t>
  </si>
  <si>
    <t xml:space="preserve">  others_0 : std_logic_vector(31 downto 0); -- VASP_OUT_CTRL_INV, "RESERVED_0", "VASP_OUT_DIS_POS", "RESERVED_1" Fields</t>
  </si>
  <si>
    <t xml:space="preserve">  others_0 : std_logic_vector(31 downto 0); -- NEW, "OVF", "SUPPLY", "CHID", "ADC_CHX_DATA_ADC_REF_BUF_2" Fields</t>
  </si>
  <si>
    <t xml:space="preserve">  others_0 : std_logic_vector(31 downto 0); -- NEW, "OVF", "SUPPLY", "CHID", "ADC_CHX_DATA_HK_ANA_N5V" Fields</t>
  </si>
  <si>
    <t xml:space="preserve">  others_0 : std_logic_vector(31 downto 0); -- NEW, "OVF", "SUPPLY", "CHID", "ADC_CHX_DATA_HK_ANA_P3V3" Fields</t>
  </si>
  <si>
    <t xml:space="preserve">  others_0 : std_logic_vector(31 downto 0); -- NEW, "OVF", "SUPPLY", "CHID", "ADC_CHX_DATA_HK_ANA_P5V" Fields</t>
  </si>
  <si>
    <t xml:space="preserve">  others_0 : std_logic_vector(31 downto 0); -- NEW, "OVF", "SUPPLY", "CHID", "ADC_CHX_DATA_HK_CCD_P31V" Fields</t>
  </si>
  <si>
    <t xml:space="preserve">  others_0 : std_logic_vector(31 downto 0); -- NEW, "OVF", "SUPPLY", "CHID", "ADC_CHX_DATA_HK_CLK_P15V" Fields</t>
  </si>
  <si>
    <t xml:space="preserve">  others_0 : std_logic_vector(31 downto 0); -- NEW, "OVF", "SUPPLY", "CHID", "ADC_CHX_DATA_HK_DIG_P3V3" Fields</t>
  </si>
  <si>
    <t xml:space="preserve">  others_0 : std_logic_vector(31 downto 0); -- NEW, "OVF", "SUPPLY", "CHID", "ADC_CHX_DATA_HK_VODE" Fields</t>
  </si>
  <si>
    <t xml:space="preserve">  others_0 : std_logic_vector(31 downto 0); -- NEW, "OVF", "SUPPLY", "CHID", "ADC_CHX_DATA_HK_VODF" Fields</t>
  </si>
  <si>
    <t xml:space="preserve">  others_0 : std_logic_vector(31 downto 0); -- NEW, "OVF", "SUPPLY", "CHID", "ADC_CHX_DATA_HK_VOG" Fields</t>
  </si>
  <si>
    <t xml:space="preserve">  others_0 : std_logic_vector(31 downto 0); -- NEW, "OVF", "SUPPLY", "CHID", "ADC_CHX_DATA_HK_VRD" Fields</t>
  </si>
  <si>
    <t xml:space="preserve">  others_0 : std_logic_vector(31 downto 0); -- NEW, "OVF", "SUPPLY", "CHID", "ADC_CHX_DATA_S_REF" Fields</t>
  </si>
  <si>
    <t xml:space="preserve">  others_0 : std_logic_vector(31 downto 0); -- NEW, "OVF", "SUPPLY", "CHID", "ADC_CHX_DATA_T_BIAS_P" Fields</t>
  </si>
  <si>
    <t xml:space="preserve">  others_0 : std_logic_vector(31 downto 0); -- NEW, "OVF", "SUPPLY", "CHID", "ADC_CHX_DATA_T_CCD" Fields</t>
  </si>
  <si>
    <t xml:space="preserve">  others_0 : std_logic_vector(31 downto 0); -- NEW, "OVF", "SUPPLY", "CHID", "ADC_CHX_DATA_T_HK_P" Fields</t>
  </si>
  <si>
    <t xml:space="preserve">  others_0 : std_logic_vector(31 downto 0); -- NEW, "OVF", "SUPPLY", "CHID", "ADC_CHX_DATA_T_REF1K_MEA" Fields</t>
  </si>
  <si>
    <t xml:space="preserve">  others_0 : std_logic_vector(31 downto 0); -- NEW, "OVF", "SUPPLY", "CHID", "ADC_CHX_DATA_T_REF649R_MEA" Fields</t>
  </si>
  <si>
    <t xml:space="preserve">  others_0 : std_logic_vector(31 downto 0); -- NEW, "OVF", "SUPPLY", "CHID", "ADC_CHX_DATA_T_TOU_1_P" Fields</t>
  </si>
  <si>
    <t xml:space="preserve">  others_0 : std_logic_vector(31 downto 0); -- NEW, "OVF", "SUPPLY", "CHID", "ADC_CHX_DATA_T_TOU_2_P" Fields</t>
  </si>
  <si>
    <t xml:space="preserve">  others_0 : std_logic_vector(31 downto 0); -- NEW, "OVF", "SUPPLY", "CHID", "ADC_CHX_DATA_T_VASP_L" Fields</t>
  </si>
  <si>
    <t xml:space="preserve">  others_0 : std_logic_vector(31 downto 0); -- NEW, "OVF", "SUPPLY", "CHID", "ADC_CHX_DATA_T_VASP_R" Fields</t>
  </si>
  <si>
    <t xml:space="preserve">  others_0 : std_logic_vector(31 downto 0); -- FPGA_VERSION, "FPGA_DATE" Fields</t>
  </si>
  <si>
    <t xml:space="preserve">  others_0 : std_logic_vector(31 downto 0); -- FPGA_TIME_H, "FPGA_TIME_M", "FPGA_SVN" Fields</t>
  </si>
  <si>
    <t xml:space="preserve">  others_0 : std_logic_vector(15 downto 0); -- VASP1_READ_DATA, "VASP2_READ_DATA" Fields</t>
  </si>
  <si>
    <t xml:space="preserve">      avalon_mm_rmap_o.readdata(7 downto 0) &lt;= rmap_registers_wr_i.aeb_crit_cfg_aeb_control.others_0(7 downto 0);</t>
  </si>
  <si>
    <t xml:space="preserve">      avalon_mm_rmap_o.readdata(15 downto 8) &lt;= rmap_registers_wr_i.aeb_crit_cfg_aeb_control.others_0(15 downto 8);</t>
  </si>
  <si>
    <t xml:space="preserve">      avalon_mm_rmap_o.readdata(23 downto 16) &lt;= rmap_registers_wr_i.aeb_crit_cfg_aeb_control.others_0(23 downto 16);</t>
  </si>
  <si>
    <t xml:space="preserve">      avalon_mm_rmap_o.readdata(7 downto 0) &lt;= rmap_registers_wr_i.aeb_crit_cfg_aeb_config.others_0(7 downto 0);</t>
  </si>
  <si>
    <t xml:space="preserve">      avalon_mm_rmap_o.readdata(15 downto 8) &lt;= rmap_registers_wr_i.aeb_crit_cfg_aeb_config.others_0(15 downto 8);</t>
  </si>
  <si>
    <t xml:space="preserve">      avalon_mm_rmap_o.readdata(23 downto 16) &lt;= rmap_registers_wr_i.aeb_crit_cfg_aeb_config.others_0(23 downto 16);</t>
  </si>
  <si>
    <t xml:space="preserve">      avalon_mm_rmap_o.readdata(31 downto 24) &lt;= rmap_registers_wr_i.aeb_crit_cfg_aeb_config.others_0(31 downto 24);</t>
  </si>
  <si>
    <t xml:space="preserve">      avalon_mm_rmap_o.readdata(7 downto 0) &lt;= rmap_registers_wr_i.aeb_crit_cfg_aeb_config_ait.others_0(7 downto 0);</t>
  </si>
  <si>
    <t xml:space="preserve">      avalon_mm_rmap_o.readdata(15 downto 8) &lt;= rmap_registers_wr_i.aeb_crit_cfg_aeb_config_ait.others_0(15 downto 8);</t>
  </si>
  <si>
    <t xml:space="preserve">      avalon_mm_rmap_o.readdata(23 downto 16) &lt;= rmap_registers_wr_i.aeb_crit_cfg_aeb_config_ait.others_0(23 downto 16);</t>
  </si>
  <si>
    <t xml:space="preserve">      avalon_mm_rmap_o.readdata(31 downto 24) &lt;= rmap_registers_wr_i.aeb_crit_cfg_aeb_config_ait.others_0(31 downto 24);</t>
  </si>
  <si>
    <t xml:space="preserve">      avalon_mm_rmap_o.readdata(7 downto 0) &lt;= rmap_registers_wr_i.aeb_crit_cfg_vasp_i2c_control.others_0(7 downto 0);</t>
  </si>
  <si>
    <t xml:space="preserve">      avalon_mm_rmap_o.readdata(15 downto 8) &lt;= rmap_registers_wr_i.aeb_crit_cfg_vasp_i2c_control.others_0(15 downto 8);</t>
  </si>
  <si>
    <t xml:space="preserve">      avalon_mm_rmap_o.readdata(23 downto 16) &lt;= rmap_registers_wr_i.aeb_crit_cfg_vasp_i2c_control.others_0(23 downto 16);</t>
  </si>
  <si>
    <t xml:space="preserve">      avalon_mm_rmap_o.readdata(31 downto 24) &lt;= rmap_registers_wr_i.aeb_crit_cfg_vasp_i2c_control.others_0(31 downto 24);</t>
  </si>
  <si>
    <t xml:space="preserve">      avalon_mm_rmap_o.readdata(7 downto 0) &lt;= rmap_registers_wr_i.aeb_crit_cfg_dac_config_1.others_0(7 downto 0);</t>
  </si>
  <si>
    <t xml:space="preserve">      avalon_mm_rmap_o.readdata(15 downto 8) &lt;= rmap_registers_wr_i.aeb_crit_cfg_dac_config_1.others_0(15 downto 8);</t>
  </si>
  <si>
    <t xml:space="preserve">      avalon_mm_rmap_o.readdata(23 downto 16) &lt;= rmap_registers_wr_i.aeb_crit_cfg_dac_config_1.others_0(23 downto 16);</t>
  </si>
  <si>
    <t xml:space="preserve">      avalon_mm_rmap_o.readdata(31 downto 24) &lt;= rmap_registers_wr_i.aeb_crit_cfg_dac_config_1.others_0(31 downto 24);</t>
  </si>
  <si>
    <t xml:space="preserve">      avalon_mm_rmap_o.readdata(7 downto 0) &lt;= rmap_registers_wr_i.aeb_crit_cfg_dac_config_2.others_0(7 downto 0);</t>
  </si>
  <si>
    <t xml:space="preserve">      avalon_mm_rmap_o.readdata(15 downto 8) &lt;= rmap_registers_wr_i.aeb_crit_cfg_dac_config_2.others_0(15 downto 8);</t>
  </si>
  <si>
    <t xml:space="preserve">      avalon_mm_rmap_o.readdata(23 downto 16) &lt;= rmap_registers_wr_i.aeb_crit_cfg_dac_config_2.others_0(23 downto 16);</t>
  </si>
  <si>
    <t xml:space="preserve">      avalon_mm_rmap_o.readdata(31 downto 24) &lt;= rmap_registers_wr_i.aeb_crit_cfg_dac_config_2.others_0(31 downto 24);</t>
  </si>
  <si>
    <t xml:space="preserve">      avalon_mm_rmap_o.readdata(7 downto 0) &lt;= rmap_registers_wr_i.aeb_gen_cfg_adc1_config_1.others_0(7 downto 0);</t>
  </si>
  <si>
    <t xml:space="preserve">      avalon_mm_rmap_o.readdata(15 downto 8) &lt;= rmap_registers_wr_i.aeb_gen_cfg_adc1_config_1.others_0(15 downto 8);</t>
  </si>
  <si>
    <t xml:space="preserve">      avalon_mm_rmap_o.readdata(23 downto 16) &lt;= rmap_registers_wr_i.aeb_gen_cfg_adc1_config_1.others_0(23 downto 16);</t>
  </si>
  <si>
    <t xml:space="preserve">      avalon_mm_rmap_o.readdata(31 downto 24) &lt;= rmap_registers_wr_i.aeb_gen_cfg_adc1_config_1.others_0(31 downto 24);</t>
  </si>
  <si>
    <t xml:space="preserve">      avalon_mm_rmap_o.readdata(7 downto 0) &lt;= rmap_registers_wr_i.aeb_gen_cfg_adc1_config_2.others_0(7 downto 0);</t>
  </si>
  <si>
    <t xml:space="preserve">      avalon_mm_rmap_o.readdata(15 downto 8) &lt;= rmap_registers_wr_i.aeb_gen_cfg_adc1_config_2.others_0(15 downto 8);</t>
  </si>
  <si>
    <t xml:space="preserve">      avalon_mm_rmap_o.readdata(23 downto 16) &lt;= rmap_registers_wr_i.aeb_gen_cfg_adc1_config_2.others_0(23 downto 16);</t>
  </si>
  <si>
    <t xml:space="preserve">      avalon_mm_rmap_o.readdata(31 downto 24) &lt;= rmap_registers_wr_i.aeb_gen_cfg_adc1_config_2.others_0(31 downto 24);</t>
  </si>
  <si>
    <t xml:space="preserve">      avalon_mm_rmap_o.readdata(7 downto 0) &lt;= rmap_registers_wr_i.aeb_gen_cfg_adc1_config_3.others_0(7 downto 0);</t>
  </si>
  <si>
    <t xml:space="preserve">      avalon_mm_rmap_o.readdata(15 downto 8) &lt;= rmap_registers_wr_i.aeb_gen_cfg_adc1_config_3.others_0(15 downto 8);</t>
  </si>
  <si>
    <t xml:space="preserve">      avalon_mm_rmap_o.readdata(23 downto 16) &lt;= rmap_registers_wr_i.aeb_gen_cfg_adc1_config_3.others_0(23 downto 16);</t>
  </si>
  <si>
    <t xml:space="preserve">      avalon_mm_rmap_o.readdata(31 downto 24) &lt;= rmap_registers_wr_i.aeb_gen_cfg_adc1_config_3.others_0(31 downto 24);</t>
  </si>
  <si>
    <t xml:space="preserve">      avalon_mm_rmap_o.readdata(7 downto 0) &lt;= rmap_registers_wr_i.aeb_gen_cfg_adc2_config_1.others_0(7 downto 0);</t>
  </si>
  <si>
    <t xml:space="preserve">      avalon_mm_rmap_o.readdata(15 downto 8) &lt;= rmap_registers_wr_i.aeb_gen_cfg_adc2_config_1.others_0(15 downto 8);</t>
  </si>
  <si>
    <t xml:space="preserve">      avalon_mm_rmap_o.readdata(23 downto 16) &lt;= rmap_registers_wr_i.aeb_gen_cfg_adc2_config_1.others_0(23 downto 16);</t>
  </si>
  <si>
    <t xml:space="preserve">      avalon_mm_rmap_o.readdata(31 downto 24) &lt;= rmap_registers_wr_i.aeb_gen_cfg_adc2_config_1.others_0(31 downto 24);</t>
  </si>
  <si>
    <t xml:space="preserve">      avalon_mm_rmap_o.readdata(7 downto 0) &lt;= rmap_registers_wr_i.aeb_gen_cfg_adc2_config_2.others_0(7 downto 0);</t>
  </si>
  <si>
    <t xml:space="preserve">      avalon_mm_rmap_o.readdata(15 downto 8) &lt;= rmap_registers_wr_i.aeb_gen_cfg_adc2_config_2.others_0(15 downto 8);</t>
  </si>
  <si>
    <t xml:space="preserve">      avalon_mm_rmap_o.readdata(23 downto 16) &lt;= rmap_registers_wr_i.aeb_gen_cfg_adc2_config_2.others_0(23 downto 16);</t>
  </si>
  <si>
    <t xml:space="preserve">      avalon_mm_rmap_o.readdata(31 downto 24) &lt;= rmap_registers_wr_i.aeb_gen_cfg_adc2_config_2.others_0(31 downto 24);</t>
  </si>
  <si>
    <t xml:space="preserve">      avalon_mm_rmap_o.readdata(7 downto 0) &lt;= rmap_registers_wr_i.aeb_gen_cfg_adc2_config_3.others_0(7 downto 0);</t>
  </si>
  <si>
    <t xml:space="preserve">      avalon_mm_rmap_o.readdata(15 downto 8) &lt;= rmap_registers_wr_i.aeb_gen_cfg_adc2_config_3.others_0(15 downto 8);</t>
  </si>
  <si>
    <t xml:space="preserve">      avalon_mm_rmap_o.readdata(23 downto 16) &lt;= rmap_registers_wr_i.aeb_gen_cfg_adc2_config_3.others_0(23 downto 16);</t>
  </si>
  <si>
    <t xml:space="preserve">      avalon_mm_rmap_o.readdata(31 downto 24) &lt;= rmap_registers_wr_i.aeb_gen_cfg_adc2_config_3.others_0(31 downto 24);</t>
  </si>
  <si>
    <t xml:space="preserve">      avalon_mm_rmap_o.readdata(7 downto 0) &lt;= rmap_registers_wr_i.aeb_gen_cfg_seq_config_1.others_0(7 downto 0);</t>
  </si>
  <si>
    <t xml:space="preserve">      avalon_mm_rmap_o.readdata(15 downto 8) &lt;= rmap_registers_wr_i.aeb_gen_cfg_seq_config_1.others_0(15 downto 8);</t>
  </si>
  <si>
    <t xml:space="preserve">      avalon_mm_rmap_o.readdata(23 downto 16) &lt;= rmap_registers_wr_i.aeb_gen_cfg_seq_config_1.others_0(23 downto 16);</t>
  </si>
  <si>
    <t xml:space="preserve">      avalon_mm_rmap_o.readdata(31 downto 24) &lt;= rmap_registers_wr_i.aeb_gen_cfg_seq_config_1.others_0(31 downto 24);</t>
  </si>
  <si>
    <t xml:space="preserve">      avalon_mm_rmap_o.readdata(7 downto 0) &lt;= rmap_registers_wr_i.aeb_gen_cfg_seq_config_2.others_0(7 downto 0);</t>
  </si>
  <si>
    <t xml:space="preserve">      avalon_mm_rmap_o.readdata(15 downto 8) &lt;= rmap_registers_wr_i.aeb_gen_cfg_seq_config_2.others_0(15 downto 8);</t>
  </si>
  <si>
    <t xml:space="preserve">      avalon_mm_rmap_o.readdata(23 downto 16) &lt;= rmap_registers_wr_i.aeb_gen_cfg_seq_config_2.others_0(23 downto 16);</t>
  </si>
  <si>
    <t xml:space="preserve">      avalon_mm_rmap_o.readdata(31 downto 24) &lt;= rmap_registers_wr_i.aeb_gen_cfg_seq_config_2.others_0(31 downto 24);</t>
  </si>
  <si>
    <t xml:space="preserve">      avalon_mm_rmap_o.readdata(7 downto 0) &lt;= rmap_registers_wr_i.aeb_gen_cfg_seq_config_3.others_0(7 downto 0);</t>
  </si>
  <si>
    <t xml:space="preserve">      avalon_mm_rmap_o.readdata(15 downto 8) &lt;= rmap_registers_wr_i.aeb_gen_cfg_seq_config_3.others_0(15 downto 8);</t>
  </si>
  <si>
    <t xml:space="preserve">      avalon_mm_rmap_o.readdata(23 downto 16) &lt;= rmap_registers_wr_i.aeb_gen_cfg_seq_config_3.others_0(23 downto 16);</t>
  </si>
  <si>
    <t xml:space="preserve">      avalon_mm_rmap_o.readdata(31 downto 24) &lt;= rmap_registers_wr_i.aeb_gen_cfg_seq_config_3.others_0(31 downto 24);</t>
  </si>
  <si>
    <t xml:space="preserve">      avalon_mm_rmap_o.readdata(7 downto 0) &lt;= rmap_registers_wr_i.aeb_gen_cfg_seq_config_4.others_0(7 downto 0);</t>
  </si>
  <si>
    <t xml:space="preserve">      avalon_mm_rmap_o.readdata(15 downto 8) &lt;= rmap_registers_wr_i.aeb_gen_cfg_seq_config_4.others_0(15 downto 8);</t>
  </si>
  <si>
    <t xml:space="preserve">      avalon_mm_rmap_o.readdata(23 downto 16) &lt;= rmap_registers_wr_i.aeb_gen_cfg_seq_config_4.others_0(23 downto 16);</t>
  </si>
  <si>
    <t xml:space="preserve">      avalon_mm_rmap_o.readdata(31 downto 24) &lt;= rmap_registers_wr_i.aeb_gen_cfg_seq_config_4.others_0(31 downto 24);</t>
  </si>
  <si>
    <t xml:space="preserve">      avalon_mm_rmap_o.readdata(7 downto 0) &lt;= rmap_registers_wr_i.aeb_gen_cfg_seq_config_5.others_0(7 downto 0);</t>
  </si>
  <si>
    <t xml:space="preserve">      avalon_mm_rmap_o.readdata(15 downto 8) &lt;= rmap_registers_wr_i.aeb_gen_cfg_seq_config_5.others_0(15 downto 8);</t>
  </si>
  <si>
    <t xml:space="preserve">      avalon_mm_rmap_o.readdata(23 downto 16) &lt;= rmap_registers_wr_i.aeb_gen_cfg_seq_config_5.others_0(23 downto 16);</t>
  </si>
  <si>
    <t xml:space="preserve">      avalon_mm_rmap_o.readdata(31 downto 24) &lt;= rmap_registers_wr_i.aeb_gen_cfg_seq_config_5.others_0(31 downto 24);</t>
  </si>
  <si>
    <t xml:space="preserve">      avalon_mm_rmap_o.readdata(7 downto 0) &lt;= rmap_registers_wr_i.aeb_gen_cfg_seq_config_6.others_0(7 downto 0);</t>
  </si>
  <si>
    <t xml:space="preserve">      avalon_mm_rmap_o.readdata(15 downto 8) &lt;= rmap_registers_wr_i.aeb_gen_cfg_seq_config_6.others_0(15 downto 8);</t>
  </si>
  <si>
    <t xml:space="preserve">      avalon_mm_rmap_o.readdata(23 downto 16) &lt;= rmap_registers_wr_i.aeb_gen_cfg_seq_config_6.others_0(23 downto 16);</t>
  </si>
  <si>
    <t xml:space="preserve">      avalon_mm_rmap_o.readdata(31 downto 24) &lt;= rmap_registers_wr_i.aeb_gen_cfg_seq_config_6.others_0(31 downto 24);</t>
  </si>
  <si>
    <t xml:space="preserve">      avalon_mm_rmap_o.readdata(7 downto 0) &lt;= rmap_registers_wr_i.aeb_gen_cfg_seq_config_14.others_0(7 downto 0);</t>
  </si>
  <si>
    <t xml:space="preserve">      avalon_mm_rmap_o.readdata(15 downto 8) &lt;= rmap_registers_wr_i.aeb_gen_cfg_seq_config_14.others_0(15 downto 8);</t>
  </si>
  <si>
    <t xml:space="preserve">      avalon_mm_rmap_o.readdata(23 downto 16) &lt;= rmap_registers_wr_i.aeb_gen_cfg_seq_config_14.others_0(23 downto 16);</t>
  </si>
  <si>
    <t xml:space="preserve">      avalon_mm_rmap_o.readdata(31 downto 24) &lt;= rmap_registers_wr_i.aeb_gen_cfg_seq_config_14.others_0(31 downto 24);</t>
  </si>
  <si>
    <t xml:space="preserve">      avalon_mm_rmap_o.readdata(7 downto 0) &lt;= rmap_registers_rd_i.aeb_hk_adc1_rd_config_3.others_0;</t>
  </si>
  <si>
    <t xml:space="preserve">      avalon_mm_rmap_o.readdata(7 downto 0) &lt;= rmap_registers_rd_i.aeb_hk_adc2_rd_config_3.others_0;</t>
  </si>
  <si>
    <t>rmap_registers_wr_o.aeb_crit_cfg_aeb_control.others_0 &lt;= (others =&gt; '0');</t>
  </si>
  <si>
    <t>rmap_registers_wr_o.aeb_crit_cfg_aeb_config.others_0 &lt;= x"00070000";</t>
  </si>
  <si>
    <t>rmap_registers_wr_o.aeb_crit_cfg_aeb_config_ait.others_0 &lt;= (others =&gt; '0');</t>
  </si>
  <si>
    <t>rmap_registers_wr_o.aeb_crit_cfg_vasp_i2c_control.others_0 &lt;= (others =&gt; '0');</t>
  </si>
  <si>
    <t>rmap_registers_wr_o.aeb_crit_cfg_dac_config_1.others_0 &lt;= x"08000800";</t>
  </si>
  <si>
    <t>rmap_registers_wr_o.aeb_crit_cfg_dac_config_2.others_0 &lt;= x"08000000";</t>
  </si>
  <si>
    <t>rmap_registers_wr_o.aeb_gen_cfg_adc1_config_1.others_0 &lt;= x"5640003F";</t>
  </si>
  <si>
    <t>rmap_registers_wr_o.aeb_gen_cfg_adc1_config_2.others_0 &lt;= x"00F00000";</t>
  </si>
  <si>
    <t>rmap_registers_wr_o.aeb_gen_cfg_adc1_config_3.others_0 &lt;= (others =&gt; '0');</t>
  </si>
  <si>
    <t>rmap_registers_wr_o.aeb_gen_cfg_adc2_config_1.others_0 &lt;= x"5640008F";</t>
  </si>
  <si>
    <t>rmap_registers_wr_o.aeb_gen_cfg_adc2_config_2.others_0 &lt;= x"003F0000";</t>
  </si>
  <si>
    <t>rmap_registers_wr_o.aeb_gen_cfg_adc2_config_3.others_0 &lt;= (others =&gt; '0');</t>
  </si>
  <si>
    <t>rmap_registers_wr_o.aeb_gen_cfg_seq_config_1.others_0 &lt;= x"22FFFF1F";</t>
  </si>
  <si>
    <t>rmap_registers_wr_o.aeb_gen_cfg_seq_config_2.others_0 &lt;= x"0E1F0011";</t>
  </si>
  <si>
    <t>rmap_registers_wr_o.aeb_gen_cfg_seq_config_3.others_0 &lt;= (others =&gt; '0');</t>
  </si>
  <si>
    <t>rmap_registers_wr_o.aeb_gen_cfg_seq_config_4.others_0 &lt;= (others =&gt; '0');</t>
  </si>
  <si>
    <t>rmap_registers_wr_o.aeb_gen_cfg_seq_config_5.others_0 &lt;= (others =&gt; '0');</t>
  </si>
  <si>
    <t>rmap_registers_wr_o.aeb_gen_cfg_seq_config_6.others_0 &lt;= (others =&gt; '0');</t>
  </si>
  <si>
    <t>rmap_registers_wr_o.aeb_gen_cfg_seq_config_14.others_0 &lt;= (others =&gt; '0');</t>
  </si>
  <si>
    <t xml:space="preserve">      rmap_registers_wr_o.aeb_crit_cfg_aeb_control.others_0(7 downto 0) &lt;= avalon_mm_rmap_i.writedata(7 downto 0);</t>
  </si>
  <si>
    <t xml:space="preserve">      rmap_registers_wr_o.aeb_crit_cfg_aeb_control.others_0(15 downto 8) &lt;= avalon_mm_rmap_i.writedata(15 downto 8);</t>
  </si>
  <si>
    <t xml:space="preserve">      rmap_registers_wr_o.aeb_crit_cfg_aeb_control.others_0(23 downto 16) &lt;= avalon_mm_rmap_i.writedata(23 downto 16);</t>
  </si>
  <si>
    <t xml:space="preserve">      rmap_registers_wr_o.aeb_crit_cfg_aeb_config.others_0(7 downto 0) &lt;= avalon_mm_rmap_i.writedata(7 downto 0);</t>
  </si>
  <si>
    <t xml:space="preserve">      rmap_registers_wr_o.aeb_crit_cfg_aeb_config.others_0(15 downto 8) &lt;= avalon_mm_rmap_i.writedata(15 downto 8);</t>
  </si>
  <si>
    <t xml:space="preserve">      rmap_registers_wr_o.aeb_crit_cfg_aeb_config.others_0(23 downto 16) &lt;= avalon_mm_rmap_i.writedata(23 downto 16);</t>
  </si>
  <si>
    <t xml:space="preserve">      rmap_registers_wr_o.aeb_crit_cfg_aeb_config.others_0(31 downto 24) &lt;= avalon_mm_rmap_i.writedata(31 downto 24);</t>
  </si>
  <si>
    <t xml:space="preserve">      rmap_registers_wr_o.aeb_crit_cfg_aeb_config_ait.others_0(7 downto 0) &lt;= avalon_mm_rmap_i.writedata(7 downto 0);</t>
  </si>
  <si>
    <t xml:space="preserve">      rmap_registers_wr_o.aeb_crit_cfg_aeb_config_ait.others_0(15 downto 8) &lt;= avalon_mm_rmap_i.writedata(15 downto 8);</t>
  </si>
  <si>
    <t xml:space="preserve">      rmap_registers_wr_o.aeb_crit_cfg_aeb_config_ait.others_0(23 downto 16) &lt;= avalon_mm_rmap_i.writedata(23 downto 16);</t>
  </si>
  <si>
    <t xml:space="preserve">      rmap_registers_wr_o.aeb_crit_cfg_aeb_config_ait.others_0(31 downto 24) &lt;= avalon_mm_rmap_i.writedata(31 downto 24);</t>
  </si>
  <si>
    <t xml:space="preserve">      rmap_registers_wr_o.aeb_crit_cfg_vasp_i2c_control.others_0(7 downto 0) &lt;= avalon_mm_rmap_i.writedata(7 downto 0);</t>
  </si>
  <si>
    <t xml:space="preserve">      rmap_registers_wr_o.aeb_crit_cfg_vasp_i2c_control.others_0(15 downto 8) &lt;= avalon_mm_rmap_i.writedata(15 downto 8);</t>
  </si>
  <si>
    <t xml:space="preserve">      rmap_registers_wr_o.aeb_crit_cfg_vasp_i2c_control.others_0(23 downto 16) &lt;= avalon_mm_rmap_i.writedata(23 downto 16);</t>
  </si>
  <si>
    <t xml:space="preserve">      rmap_registers_wr_o.aeb_crit_cfg_vasp_i2c_control.others_0(31 downto 24) &lt;= avalon_mm_rmap_i.writedata(31 downto 24);</t>
  </si>
  <si>
    <t xml:space="preserve">      rmap_registers_wr_o.aeb_crit_cfg_dac_config_1.others_0(7 downto 0) &lt;= avalon_mm_rmap_i.writedata(7 downto 0);</t>
  </si>
  <si>
    <t xml:space="preserve">      rmap_registers_wr_o.aeb_crit_cfg_dac_config_1.others_0(15 downto 8) &lt;= avalon_mm_rmap_i.writedata(15 downto 8);</t>
  </si>
  <si>
    <t xml:space="preserve">      rmap_registers_wr_o.aeb_crit_cfg_dac_config_1.others_0(23 downto 16) &lt;= avalon_mm_rmap_i.writedata(23 downto 16);</t>
  </si>
  <si>
    <t xml:space="preserve">      rmap_registers_wr_o.aeb_crit_cfg_dac_config_1.others_0(31 downto 24) &lt;= avalon_mm_rmap_i.writedata(31 downto 24);</t>
  </si>
  <si>
    <t xml:space="preserve">      rmap_registers_wr_o.aeb_crit_cfg_dac_config_2.others_0(7 downto 0) &lt;= avalon_mm_rmap_i.writedata(7 downto 0);</t>
  </si>
  <si>
    <t xml:space="preserve">      rmap_registers_wr_o.aeb_crit_cfg_dac_config_2.others_0(15 downto 8) &lt;= avalon_mm_rmap_i.writedata(15 downto 8);</t>
  </si>
  <si>
    <t xml:space="preserve">      rmap_registers_wr_o.aeb_crit_cfg_dac_config_2.others_0(23 downto 16) &lt;= avalon_mm_rmap_i.writedata(23 downto 16);</t>
  </si>
  <si>
    <t xml:space="preserve">      rmap_registers_wr_o.aeb_crit_cfg_dac_config_2.others_0(31 downto 24) &lt;= avalon_mm_rmap_i.writedata(31 downto 24);</t>
  </si>
  <si>
    <t xml:space="preserve">      rmap_registers_wr_o.aeb_gen_cfg_adc1_config_1.others_0(7 downto 0) &lt;= avalon_mm_rmap_i.writedata(7 downto 0);</t>
  </si>
  <si>
    <t xml:space="preserve">      rmap_registers_wr_o.aeb_gen_cfg_adc1_config_1.others_0(15 downto 8) &lt;= avalon_mm_rmap_i.writedata(15 downto 8);</t>
  </si>
  <si>
    <t xml:space="preserve">      rmap_registers_wr_o.aeb_gen_cfg_adc1_config_1.others_0(23 downto 16) &lt;= avalon_mm_rmap_i.writedata(23 downto 16);</t>
  </si>
  <si>
    <t xml:space="preserve">      rmap_registers_wr_o.aeb_gen_cfg_adc1_config_1.others_0(31 downto 24) &lt;= avalon_mm_rmap_i.writedata(31 downto 24);</t>
  </si>
  <si>
    <t xml:space="preserve">      rmap_registers_wr_o.aeb_gen_cfg_adc1_config_2.others_0(7 downto 0) &lt;= avalon_mm_rmap_i.writedata(7 downto 0);</t>
  </si>
  <si>
    <t xml:space="preserve">      rmap_registers_wr_o.aeb_gen_cfg_adc1_config_2.others_0(15 downto 8) &lt;= avalon_mm_rmap_i.writedata(15 downto 8);</t>
  </si>
  <si>
    <t xml:space="preserve">      rmap_registers_wr_o.aeb_gen_cfg_adc1_config_2.others_0(23 downto 16) &lt;= avalon_mm_rmap_i.writedata(23 downto 16);</t>
  </si>
  <si>
    <t xml:space="preserve">      rmap_registers_wr_o.aeb_gen_cfg_adc1_config_2.others_0(31 downto 24) &lt;= avalon_mm_rmap_i.writedata(31 downto 24);</t>
  </si>
  <si>
    <t xml:space="preserve">      rmap_registers_wr_o.aeb_gen_cfg_adc1_config_3.others_0(7 downto 0) &lt;= avalon_mm_rmap_i.writedata(7 downto 0);</t>
  </si>
  <si>
    <t xml:space="preserve">      rmap_registers_wr_o.aeb_gen_cfg_adc1_config_3.others_0(15 downto 8) &lt;= avalon_mm_rmap_i.writedata(15 downto 8);</t>
  </si>
  <si>
    <t xml:space="preserve">      rmap_registers_wr_o.aeb_gen_cfg_adc1_config_3.others_0(23 downto 16) &lt;= avalon_mm_rmap_i.writedata(23 downto 16);</t>
  </si>
  <si>
    <t xml:space="preserve">      rmap_registers_wr_o.aeb_gen_cfg_adc1_config_3.others_0(31 downto 24) &lt;= avalon_mm_rmap_i.writedata(31 downto 24);</t>
  </si>
  <si>
    <t xml:space="preserve">      rmap_registers_wr_o.aeb_gen_cfg_adc2_config_1.others_0(7 downto 0) &lt;= avalon_mm_rmap_i.writedata(7 downto 0);</t>
  </si>
  <si>
    <t xml:space="preserve">      rmap_registers_wr_o.aeb_gen_cfg_adc2_config_1.others_0(15 downto 8) &lt;= avalon_mm_rmap_i.writedata(15 downto 8);</t>
  </si>
  <si>
    <t xml:space="preserve">      rmap_registers_wr_o.aeb_gen_cfg_adc2_config_1.others_0(23 downto 16) &lt;= avalon_mm_rmap_i.writedata(23 downto 16);</t>
  </si>
  <si>
    <t xml:space="preserve">      rmap_registers_wr_o.aeb_gen_cfg_adc2_config_1.others_0(31 downto 24) &lt;= avalon_mm_rmap_i.writedata(31 downto 24);</t>
  </si>
  <si>
    <t xml:space="preserve">      rmap_registers_wr_o.aeb_gen_cfg_adc2_config_2.others_0(7 downto 0) &lt;= avalon_mm_rmap_i.writedata(7 downto 0);</t>
  </si>
  <si>
    <t xml:space="preserve">      rmap_registers_wr_o.aeb_gen_cfg_adc2_config_2.others_0(15 downto 8) &lt;= avalon_mm_rmap_i.writedata(15 downto 8);</t>
  </si>
  <si>
    <t xml:space="preserve">      rmap_registers_wr_o.aeb_gen_cfg_adc2_config_2.others_0(23 downto 16) &lt;= avalon_mm_rmap_i.writedata(23 downto 16);</t>
  </si>
  <si>
    <t xml:space="preserve">      rmap_registers_wr_o.aeb_gen_cfg_adc2_config_2.others_0(31 downto 24) &lt;= avalon_mm_rmap_i.writedata(31 downto 24);</t>
  </si>
  <si>
    <t xml:space="preserve">      rmap_registers_wr_o.aeb_gen_cfg_adc2_config_3.others_0(7 downto 0) &lt;= avalon_mm_rmap_i.writedata(7 downto 0);</t>
  </si>
  <si>
    <t xml:space="preserve">      rmap_registers_wr_o.aeb_gen_cfg_adc2_config_3.others_0(15 downto 8) &lt;= avalon_mm_rmap_i.writedata(15 downto 8);</t>
  </si>
  <si>
    <t xml:space="preserve">      rmap_registers_wr_o.aeb_gen_cfg_adc2_config_3.others_0(23 downto 16) &lt;= avalon_mm_rmap_i.writedata(23 downto 16);</t>
  </si>
  <si>
    <t xml:space="preserve">      rmap_registers_wr_o.aeb_gen_cfg_adc2_config_3.others_0(31 downto 24) &lt;= avalon_mm_rmap_i.writedata(31 downto 24);</t>
  </si>
  <si>
    <t xml:space="preserve">      rmap_registers_wr_o.aeb_gen_cfg_seq_config_1.others_0(7 downto 0) &lt;= avalon_mm_rmap_i.writedata(7 downto 0);</t>
  </si>
  <si>
    <t xml:space="preserve">      rmap_registers_wr_o.aeb_gen_cfg_seq_config_1.others_0(15 downto 8) &lt;= avalon_mm_rmap_i.writedata(15 downto 8);</t>
  </si>
  <si>
    <t xml:space="preserve">      rmap_registers_wr_o.aeb_gen_cfg_seq_config_1.others_0(23 downto 16) &lt;= avalon_mm_rmap_i.writedata(23 downto 16);</t>
  </si>
  <si>
    <t xml:space="preserve">      rmap_registers_wr_o.aeb_gen_cfg_seq_config_1.others_0(31 downto 24) &lt;= avalon_mm_rmap_i.writedata(31 downto 24);</t>
  </si>
  <si>
    <t xml:space="preserve">      rmap_registers_wr_o.aeb_gen_cfg_seq_config_2.others_0(7 downto 0) &lt;= avalon_mm_rmap_i.writedata(7 downto 0);</t>
  </si>
  <si>
    <t xml:space="preserve">      rmap_registers_wr_o.aeb_gen_cfg_seq_config_2.others_0(15 downto 8) &lt;= avalon_mm_rmap_i.writedata(15 downto 8);</t>
  </si>
  <si>
    <t xml:space="preserve">      rmap_registers_wr_o.aeb_gen_cfg_seq_config_2.others_0(23 downto 16) &lt;= avalon_mm_rmap_i.writedata(23 downto 16);</t>
  </si>
  <si>
    <t xml:space="preserve">      rmap_registers_wr_o.aeb_gen_cfg_seq_config_2.others_0(31 downto 24) &lt;= avalon_mm_rmap_i.writedata(31 downto 24);</t>
  </si>
  <si>
    <t xml:space="preserve">      rmap_registers_wr_o.aeb_gen_cfg_seq_config_3.others_0(7 downto 0) &lt;= avalon_mm_rmap_i.writedata(7 downto 0);</t>
  </si>
  <si>
    <t xml:space="preserve">      rmap_registers_wr_o.aeb_gen_cfg_seq_config_3.others_0(15 downto 8) &lt;= avalon_mm_rmap_i.writedata(15 downto 8);</t>
  </si>
  <si>
    <t xml:space="preserve">      rmap_registers_wr_o.aeb_gen_cfg_seq_config_3.others_0(23 downto 16) &lt;= avalon_mm_rmap_i.writedata(23 downto 16);</t>
  </si>
  <si>
    <t xml:space="preserve">      rmap_registers_wr_o.aeb_gen_cfg_seq_config_3.others_0(31 downto 24) &lt;= avalon_mm_rmap_i.writedata(31 downto 24);</t>
  </si>
  <si>
    <t xml:space="preserve">      rmap_registers_wr_o.aeb_gen_cfg_seq_config_4.others_0(7 downto 0) &lt;= avalon_mm_rmap_i.writedata(7 downto 0);</t>
  </si>
  <si>
    <t xml:space="preserve">      rmap_registers_wr_o.aeb_gen_cfg_seq_config_4.others_0(15 downto 8) &lt;= avalon_mm_rmap_i.writedata(15 downto 8);</t>
  </si>
  <si>
    <t xml:space="preserve">      rmap_registers_wr_o.aeb_gen_cfg_seq_config_4.others_0(23 downto 16) &lt;= avalon_mm_rmap_i.writedata(23 downto 16);</t>
  </si>
  <si>
    <t xml:space="preserve">      rmap_registers_wr_o.aeb_gen_cfg_seq_config_4.others_0(31 downto 24) &lt;= avalon_mm_rmap_i.writedata(31 downto 24);</t>
  </si>
  <si>
    <t xml:space="preserve">      rmap_registers_wr_o.aeb_gen_cfg_seq_config_5.others_0(7 downto 0) &lt;= avalon_mm_rmap_i.writedata(7 downto 0);</t>
  </si>
  <si>
    <t xml:space="preserve">      rmap_registers_wr_o.aeb_gen_cfg_seq_config_5.others_0(15 downto 8) &lt;= avalon_mm_rmap_i.writedata(15 downto 8);</t>
  </si>
  <si>
    <t xml:space="preserve">      rmap_registers_wr_o.aeb_gen_cfg_seq_config_5.others_0(23 downto 16) &lt;= avalon_mm_rmap_i.writedata(23 downto 16);</t>
  </si>
  <si>
    <t xml:space="preserve">      rmap_registers_wr_o.aeb_gen_cfg_seq_config_5.others_0(31 downto 24) &lt;= avalon_mm_rmap_i.writedata(31 downto 24);</t>
  </si>
  <si>
    <t xml:space="preserve">      rmap_registers_wr_o.aeb_gen_cfg_seq_config_6.others_0(7 downto 0) &lt;= avalon_mm_rmap_i.writedata(7 downto 0);</t>
  </si>
  <si>
    <t xml:space="preserve">      rmap_registers_wr_o.aeb_gen_cfg_seq_config_6.others_0(15 downto 8) &lt;= avalon_mm_rmap_i.writedata(15 downto 8);</t>
  </si>
  <si>
    <t xml:space="preserve">      rmap_registers_wr_o.aeb_gen_cfg_seq_config_6.others_0(23 downto 16) &lt;= avalon_mm_rmap_i.writedata(23 downto 16);</t>
  </si>
  <si>
    <t xml:space="preserve">      rmap_registers_wr_o.aeb_gen_cfg_seq_config_6.others_0(31 downto 24) &lt;= avalon_mm_rmap_i.writedata(31 downto 24);</t>
  </si>
  <si>
    <t xml:space="preserve">      rmap_registers_wr_o.aeb_gen_cfg_seq_config_14.others_0(7 downto 0) &lt;= avalon_mm_rmap_i.writedata(7 downto 0);</t>
  </si>
  <si>
    <t xml:space="preserve">      rmap_registers_wr_o.aeb_gen_cfg_seq_config_14.others_0(15 downto 8) &lt;= avalon_mm_rmap_i.writedata(15 downto 8);</t>
  </si>
  <si>
    <t xml:space="preserve">      rmap_registers_wr_o.aeb_gen_cfg_seq_config_14.others_0(23 downto 16) &lt;= avalon_mm_rmap_i.writedata(23 downto 16);</t>
  </si>
  <si>
    <t xml:space="preserve">      rmap_registers_wr_o.aeb_gen_cfg_seq_config_14.others_0(31 downto 24) &lt;= avalon_mm_rmap_i.writedata(31 downto 24);</t>
  </si>
  <si>
    <t xml:space="preserve">      avalon_mm_rmap_o.readdata(9 downto 8) &lt;= rmap_registers_wr_i.aeb_hk_aeb_status.others_0;</t>
  </si>
  <si>
    <t xml:space="preserve">      avalon_mm_rmap_o.readdata(23 downto 16) &lt;= rmap_registers_wr_i.aeb_hk_aeb_status.others_1(7 downto 0);</t>
  </si>
  <si>
    <t xml:space="preserve">      avalon_mm_rmap_o.readdata(27 downto 24) &lt;= rmap_registers_wr_i.aeb_hk_aeb_status.others_1(11 downto 8);</t>
  </si>
  <si>
    <t xml:space="preserve">      avalon_mm_rmap_o.readdata(7 downto 0) &lt;= rmap_registers_wr_i.aeb_hk_adc_rd_data_t_vasp_l.others_0(7 downto 0);</t>
  </si>
  <si>
    <t xml:space="preserve">      avalon_mm_rmap_o.readdata(15 downto 8) &lt;= rmap_registers_wr_i.aeb_hk_adc_rd_data_t_vasp_l.others_0(15 downto 8);</t>
  </si>
  <si>
    <t xml:space="preserve">      avalon_mm_rmap_o.readdata(23 downto 16) &lt;= rmap_registers_wr_i.aeb_hk_adc_rd_data_t_vasp_l.others_0(23 downto 16);</t>
  </si>
  <si>
    <t xml:space="preserve">      avalon_mm_rmap_o.readdata(31 downto 24) &lt;= rmap_registers_wr_i.aeb_hk_adc_rd_data_t_vasp_l.others_0(31 downto 24);</t>
  </si>
  <si>
    <t xml:space="preserve">      avalon_mm_rmap_o.readdata(7 downto 0) &lt;= rmap_registers_wr_i.aeb_hk_adc_rd_data_t_vasp_r.others_0(7 downto 0);</t>
  </si>
  <si>
    <t xml:space="preserve">      avalon_mm_rmap_o.readdata(15 downto 8) &lt;= rmap_registers_wr_i.aeb_hk_adc_rd_data_t_vasp_r.others_0(15 downto 8);</t>
  </si>
  <si>
    <t xml:space="preserve">      avalon_mm_rmap_o.readdata(23 downto 16) &lt;= rmap_registers_wr_i.aeb_hk_adc_rd_data_t_vasp_r.others_0(23 downto 16);</t>
  </si>
  <si>
    <t xml:space="preserve">      avalon_mm_rmap_o.readdata(31 downto 24) &lt;= rmap_registers_wr_i.aeb_hk_adc_rd_data_t_vasp_r.others_0(31 downto 24);</t>
  </si>
  <si>
    <t xml:space="preserve">      avalon_mm_rmap_o.readdata(7 downto 0) &lt;= rmap_registers_wr_i.aeb_hk_adc_rd_data_t_bias_p.others_0(7 downto 0);</t>
  </si>
  <si>
    <t xml:space="preserve">      avalon_mm_rmap_o.readdata(15 downto 8) &lt;= rmap_registers_wr_i.aeb_hk_adc_rd_data_t_bias_p.others_0(15 downto 8);</t>
  </si>
  <si>
    <t xml:space="preserve">      avalon_mm_rmap_o.readdata(23 downto 16) &lt;= rmap_registers_wr_i.aeb_hk_adc_rd_data_t_bias_p.others_0(23 downto 16);</t>
  </si>
  <si>
    <t xml:space="preserve">      avalon_mm_rmap_o.readdata(31 downto 24) &lt;= rmap_registers_wr_i.aeb_hk_adc_rd_data_t_bias_p.others_0(31 downto 24);</t>
  </si>
  <si>
    <t xml:space="preserve">      avalon_mm_rmap_o.readdata(7 downto 0) &lt;= rmap_registers_wr_i.aeb_hk_adc_rd_data_t_hk_p.others_0(7 downto 0);</t>
  </si>
  <si>
    <t xml:space="preserve">      avalon_mm_rmap_o.readdata(15 downto 8) &lt;= rmap_registers_wr_i.aeb_hk_adc_rd_data_t_hk_p.others_0(15 downto 8);</t>
  </si>
  <si>
    <t xml:space="preserve">      avalon_mm_rmap_o.readdata(23 downto 16) &lt;= rmap_registers_wr_i.aeb_hk_adc_rd_data_t_hk_p.others_0(23 downto 16);</t>
  </si>
  <si>
    <t xml:space="preserve">      avalon_mm_rmap_o.readdata(31 downto 24) &lt;= rmap_registers_wr_i.aeb_hk_adc_rd_data_t_hk_p.others_0(31 downto 24);</t>
  </si>
  <si>
    <t xml:space="preserve">      avalon_mm_rmap_o.readdata(7 downto 0) &lt;= rmap_registers_wr_i.aeb_hk_adc_rd_data_t_tou_1_p.others_0(7 downto 0);</t>
  </si>
  <si>
    <t xml:space="preserve">      avalon_mm_rmap_o.readdata(15 downto 8) &lt;= rmap_registers_wr_i.aeb_hk_adc_rd_data_t_tou_1_p.others_0(15 downto 8);</t>
  </si>
  <si>
    <t xml:space="preserve">      avalon_mm_rmap_o.readdata(23 downto 16) &lt;= rmap_registers_wr_i.aeb_hk_adc_rd_data_t_tou_1_p.others_0(23 downto 16);</t>
  </si>
  <si>
    <t xml:space="preserve">      avalon_mm_rmap_o.readdata(31 downto 24) &lt;= rmap_registers_wr_i.aeb_hk_adc_rd_data_t_tou_1_p.others_0(31 downto 24);</t>
  </si>
  <si>
    <t xml:space="preserve">      avalon_mm_rmap_o.readdata(7 downto 0) &lt;= rmap_registers_wr_i.aeb_hk_adc_rd_data_t_tou_2_p.others_0(7 downto 0);</t>
  </si>
  <si>
    <t xml:space="preserve">      avalon_mm_rmap_o.readdata(15 downto 8) &lt;= rmap_registers_wr_i.aeb_hk_adc_rd_data_t_tou_2_p.others_0(15 downto 8);</t>
  </si>
  <si>
    <t xml:space="preserve">      avalon_mm_rmap_o.readdata(23 downto 16) &lt;= rmap_registers_wr_i.aeb_hk_adc_rd_data_t_tou_2_p.others_0(23 downto 16);</t>
  </si>
  <si>
    <t xml:space="preserve">      avalon_mm_rmap_o.readdata(31 downto 24) &lt;= rmap_registers_wr_i.aeb_hk_adc_rd_data_t_tou_2_p.others_0(31 downto 24);</t>
  </si>
  <si>
    <t xml:space="preserve">      avalon_mm_rmap_o.readdata(7 downto 0) &lt;= rmap_registers_wr_i.aeb_hk_adc_rd_data_hk_vode.others_0(7 downto 0);</t>
  </si>
  <si>
    <t xml:space="preserve">      avalon_mm_rmap_o.readdata(15 downto 8) &lt;= rmap_registers_wr_i.aeb_hk_adc_rd_data_hk_vode.others_0(15 downto 8);</t>
  </si>
  <si>
    <t xml:space="preserve">      avalon_mm_rmap_o.readdata(23 downto 16) &lt;= rmap_registers_wr_i.aeb_hk_adc_rd_data_hk_vode.others_0(23 downto 16);</t>
  </si>
  <si>
    <t xml:space="preserve">      avalon_mm_rmap_o.readdata(31 downto 24) &lt;= rmap_registers_wr_i.aeb_hk_adc_rd_data_hk_vode.others_0(31 downto 24);</t>
  </si>
  <si>
    <t xml:space="preserve">      avalon_mm_rmap_o.readdata(7 downto 0) &lt;= rmap_registers_wr_i.aeb_hk_adc_rd_data_hk_vodf.others_0(7 downto 0);</t>
  </si>
  <si>
    <t xml:space="preserve">      avalon_mm_rmap_o.readdata(15 downto 8) &lt;= rmap_registers_wr_i.aeb_hk_adc_rd_data_hk_vodf.others_0(15 downto 8);</t>
  </si>
  <si>
    <t xml:space="preserve">      avalon_mm_rmap_o.readdata(23 downto 16) &lt;= rmap_registers_wr_i.aeb_hk_adc_rd_data_hk_vodf.others_0(23 downto 16);</t>
  </si>
  <si>
    <t xml:space="preserve">      avalon_mm_rmap_o.readdata(31 downto 24) &lt;= rmap_registers_wr_i.aeb_hk_adc_rd_data_hk_vodf.others_0(31 downto 24);</t>
  </si>
  <si>
    <t xml:space="preserve">      avalon_mm_rmap_o.readdata(7 downto 0) &lt;= rmap_registers_wr_i.aeb_hk_adc_rd_data_hk_vrd.others_0(7 downto 0);</t>
  </si>
  <si>
    <t xml:space="preserve">      avalon_mm_rmap_o.readdata(15 downto 8) &lt;= rmap_registers_wr_i.aeb_hk_adc_rd_data_hk_vrd.others_0(15 downto 8);</t>
  </si>
  <si>
    <t xml:space="preserve">      avalon_mm_rmap_o.readdata(23 downto 16) &lt;= rmap_registers_wr_i.aeb_hk_adc_rd_data_hk_vrd.others_0(23 downto 16);</t>
  </si>
  <si>
    <t xml:space="preserve">      avalon_mm_rmap_o.readdata(31 downto 24) &lt;= rmap_registers_wr_i.aeb_hk_adc_rd_data_hk_vrd.others_0(31 downto 24);</t>
  </si>
  <si>
    <t xml:space="preserve">      avalon_mm_rmap_o.readdata(7 downto 0) &lt;= rmap_registers_wr_i.aeb_hk_adc_rd_data_hk_vog.others_0(7 downto 0);</t>
  </si>
  <si>
    <t xml:space="preserve">      avalon_mm_rmap_o.readdata(15 downto 8) &lt;= rmap_registers_wr_i.aeb_hk_adc_rd_data_hk_vog.others_0(15 downto 8);</t>
  </si>
  <si>
    <t xml:space="preserve">      avalon_mm_rmap_o.readdata(23 downto 16) &lt;= rmap_registers_wr_i.aeb_hk_adc_rd_data_hk_vog.others_0(23 downto 16);</t>
  </si>
  <si>
    <t xml:space="preserve">      avalon_mm_rmap_o.readdata(31 downto 24) &lt;= rmap_registers_wr_i.aeb_hk_adc_rd_data_hk_vog.others_0(31 downto 24);</t>
  </si>
  <si>
    <t xml:space="preserve">      avalon_mm_rmap_o.readdata(7 downto 0) &lt;= rmap_registers_wr_i.aeb_hk_adc_rd_data_t_ccd.others_0(7 downto 0);</t>
  </si>
  <si>
    <t xml:space="preserve">      avalon_mm_rmap_o.readdata(15 downto 8) &lt;= rmap_registers_wr_i.aeb_hk_adc_rd_data_t_ccd.others_0(15 downto 8);</t>
  </si>
  <si>
    <t xml:space="preserve">      avalon_mm_rmap_o.readdata(23 downto 16) &lt;= rmap_registers_wr_i.aeb_hk_adc_rd_data_t_ccd.others_0(23 downto 16);</t>
  </si>
  <si>
    <t xml:space="preserve">      avalon_mm_rmap_o.readdata(31 downto 24) &lt;= rmap_registers_wr_i.aeb_hk_adc_rd_data_t_ccd.others_0(31 downto 24);</t>
  </si>
  <si>
    <t xml:space="preserve">      avalon_mm_rmap_o.readdata(7 downto 0) &lt;= rmap_registers_wr_i.aeb_hk_adc_rd_data_t_ref1k_mea.others_0(7 downto 0);</t>
  </si>
  <si>
    <t xml:space="preserve">      avalon_mm_rmap_o.readdata(15 downto 8) &lt;= rmap_registers_wr_i.aeb_hk_adc_rd_data_t_ref1k_mea.others_0(15 downto 8);</t>
  </si>
  <si>
    <t xml:space="preserve">      avalon_mm_rmap_o.readdata(23 downto 16) &lt;= rmap_registers_wr_i.aeb_hk_adc_rd_data_t_ref1k_mea.others_0(23 downto 16);</t>
  </si>
  <si>
    <t xml:space="preserve">      avalon_mm_rmap_o.readdata(31 downto 24) &lt;= rmap_registers_wr_i.aeb_hk_adc_rd_data_t_ref1k_mea.others_0(31 downto 24);</t>
  </si>
  <si>
    <t xml:space="preserve">      avalon_mm_rmap_o.readdata(7 downto 0) &lt;= rmap_registers_wr_i.aeb_hk_adc_rd_data_t_ref649r_mea.others_0(7 downto 0);</t>
  </si>
  <si>
    <t xml:space="preserve">      avalon_mm_rmap_o.readdata(15 downto 8) &lt;= rmap_registers_wr_i.aeb_hk_adc_rd_data_t_ref649r_mea.others_0(15 downto 8);</t>
  </si>
  <si>
    <t xml:space="preserve">      avalon_mm_rmap_o.readdata(23 downto 16) &lt;= rmap_registers_wr_i.aeb_hk_adc_rd_data_t_ref649r_mea.others_0(23 downto 16);</t>
  </si>
  <si>
    <t xml:space="preserve">      avalon_mm_rmap_o.readdata(31 downto 24) &lt;= rmap_registers_wr_i.aeb_hk_adc_rd_data_t_ref649r_mea.others_0(31 downto 24);</t>
  </si>
  <si>
    <t xml:space="preserve">      avalon_mm_rmap_o.readdata(7 downto 0) &lt;= rmap_registers_wr_i.aeb_hk_adc_rd_data_hk_ana_n5v.others_0(7 downto 0);</t>
  </si>
  <si>
    <t xml:space="preserve">      avalon_mm_rmap_o.readdata(15 downto 8) &lt;= rmap_registers_wr_i.aeb_hk_adc_rd_data_hk_ana_n5v.others_0(15 downto 8);</t>
  </si>
  <si>
    <t xml:space="preserve">      avalon_mm_rmap_o.readdata(23 downto 16) &lt;= rmap_registers_wr_i.aeb_hk_adc_rd_data_hk_ana_n5v.others_0(23 downto 16);</t>
  </si>
  <si>
    <t xml:space="preserve">      avalon_mm_rmap_o.readdata(31 downto 24) &lt;= rmap_registers_wr_i.aeb_hk_adc_rd_data_hk_ana_n5v.others_0(31 downto 24);</t>
  </si>
  <si>
    <t xml:space="preserve">      avalon_mm_rmap_o.readdata(7 downto 0) &lt;= rmap_registers_wr_i.aeb_hk_adc_rd_data_s_ref.others_0(7 downto 0);</t>
  </si>
  <si>
    <t xml:space="preserve">      avalon_mm_rmap_o.readdata(15 downto 8) &lt;= rmap_registers_wr_i.aeb_hk_adc_rd_data_s_ref.others_0(15 downto 8);</t>
  </si>
  <si>
    <t xml:space="preserve">      avalon_mm_rmap_o.readdata(23 downto 16) &lt;= rmap_registers_wr_i.aeb_hk_adc_rd_data_s_ref.others_0(23 downto 16);</t>
  </si>
  <si>
    <t xml:space="preserve">      avalon_mm_rmap_o.readdata(31 downto 24) &lt;= rmap_registers_wr_i.aeb_hk_adc_rd_data_s_ref.others_0(31 downto 24);</t>
  </si>
  <si>
    <t xml:space="preserve">      avalon_mm_rmap_o.readdata(7 downto 0) &lt;= rmap_registers_wr_i.aeb_hk_adc_rd_data_hk_ccd_p31v.others_0(7 downto 0);</t>
  </si>
  <si>
    <t xml:space="preserve">      avalon_mm_rmap_o.readdata(15 downto 8) &lt;= rmap_registers_wr_i.aeb_hk_adc_rd_data_hk_ccd_p31v.others_0(15 downto 8);</t>
  </si>
  <si>
    <t xml:space="preserve">      avalon_mm_rmap_o.readdata(23 downto 16) &lt;= rmap_registers_wr_i.aeb_hk_adc_rd_data_hk_ccd_p31v.others_0(23 downto 16);</t>
  </si>
  <si>
    <t xml:space="preserve">      avalon_mm_rmap_o.readdata(31 downto 24) &lt;= rmap_registers_wr_i.aeb_hk_adc_rd_data_hk_ccd_p31v.others_0(31 downto 24);</t>
  </si>
  <si>
    <t xml:space="preserve">      avalon_mm_rmap_o.readdata(7 downto 0) &lt;= rmap_registers_wr_i.aeb_hk_adc_rd_data_hk_clk_p15v.others_0(7 downto 0);</t>
  </si>
  <si>
    <t xml:space="preserve">      avalon_mm_rmap_o.readdata(15 downto 8) &lt;= rmap_registers_wr_i.aeb_hk_adc_rd_data_hk_clk_p15v.others_0(15 downto 8);</t>
  </si>
  <si>
    <t xml:space="preserve">      avalon_mm_rmap_o.readdata(23 downto 16) &lt;= rmap_registers_wr_i.aeb_hk_adc_rd_data_hk_clk_p15v.others_0(23 downto 16);</t>
  </si>
  <si>
    <t xml:space="preserve">      avalon_mm_rmap_o.readdata(31 downto 24) &lt;= rmap_registers_wr_i.aeb_hk_adc_rd_data_hk_clk_p15v.others_0(31 downto 24);</t>
  </si>
  <si>
    <t xml:space="preserve">      avalon_mm_rmap_o.readdata(7 downto 0) &lt;= rmap_registers_wr_i.aeb_hk_adc_rd_data_hk_ana_p5v.others_0(7 downto 0);</t>
  </si>
  <si>
    <t xml:space="preserve">      avalon_mm_rmap_o.readdata(15 downto 8) &lt;= rmap_registers_wr_i.aeb_hk_adc_rd_data_hk_ana_p5v.others_0(15 downto 8);</t>
  </si>
  <si>
    <t xml:space="preserve">      avalon_mm_rmap_o.readdata(23 downto 16) &lt;= rmap_registers_wr_i.aeb_hk_adc_rd_data_hk_ana_p5v.others_0(23 downto 16);</t>
  </si>
  <si>
    <t xml:space="preserve">      avalon_mm_rmap_o.readdata(31 downto 24) &lt;= rmap_registers_wr_i.aeb_hk_adc_rd_data_hk_ana_p5v.others_0(31 downto 24);</t>
  </si>
  <si>
    <t xml:space="preserve">      avalon_mm_rmap_o.readdata(7 downto 0) &lt;= rmap_registers_wr_i.aeb_hk_adc_rd_data_hk_ana_p3v3.others_0(7 downto 0);</t>
  </si>
  <si>
    <t xml:space="preserve">      avalon_mm_rmap_o.readdata(15 downto 8) &lt;= rmap_registers_wr_i.aeb_hk_adc_rd_data_hk_ana_p3v3.others_0(15 downto 8);</t>
  </si>
  <si>
    <t xml:space="preserve">      avalon_mm_rmap_o.readdata(23 downto 16) &lt;= rmap_registers_wr_i.aeb_hk_adc_rd_data_hk_ana_p3v3.others_0(23 downto 16);</t>
  </si>
  <si>
    <t xml:space="preserve">      avalon_mm_rmap_o.readdata(31 downto 24) &lt;= rmap_registers_wr_i.aeb_hk_adc_rd_data_hk_ana_p3v3.others_0(31 downto 24);</t>
  </si>
  <si>
    <t xml:space="preserve">      avalon_mm_rmap_o.readdata(7 downto 0) &lt;= rmap_registers_wr_i.aeb_hk_adc_rd_data_hk_dig_p3v3.others_0(7 downto 0);</t>
  </si>
  <si>
    <t xml:space="preserve">      avalon_mm_rmap_o.readdata(15 downto 8) &lt;= rmap_registers_wr_i.aeb_hk_adc_rd_data_hk_dig_p3v3.others_0(15 downto 8);</t>
  </si>
  <si>
    <t xml:space="preserve">      avalon_mm_rmap_o.readdata(23 downto 16) &lt;= rmap_registers_wr_i.aeb_hk_adc_rd_data_hk_dig_p3v3.others_0(23 downto 16);</t>
  </si>
  <si>
    <t xml:space="preserve">      avalon_mm_rmap_o.readdata(31 downto 24) &lt;= rmap_registers_wr_i.aeb_hk_adc_rd_data_hk_dig_p3v3.others_0(31 downto 24);</t>
  </si>
  <si>
    <t xml:space="preserve">      avalon_mm_rmap_o.readdata(7 downto 0) &lt;= rmap_registers_wr_i.aeb_hk_adc_rd_data_adc_ref_buf_2.others_0(7 downto 0);</t>
  </si>
  <si>
    <t xml:space="preserve">      avalon_mm_rmap_o.readdata(15 downto 8) &lt;= rmap_registers_wr_i.aeb_hk_adc_rd_data_adc_ref_buf_2.others_0(15 downto 8);</t>
  </si>
  <si>
    <t xml:space="preserve">      avalon_mm_rmap_o.readdata(23 downto 16) &lt;= rmap_registers_wr_i.aeb_hk_adc_rd_data_adc_ref_buf_2.others_0(23 downto 16);</t>
  </si>
  <si>
    <t xml:space="preserve">      avalon_mm_rmap_o.readdata(31 downto 24) &lt;= rmap_registers_wr_i.aeb_hk_adc_rd_data_adc_ref_buf_2.others_0(31 downto 24);</t>
  </si>
  <si>
    <t xml:space="preserve">      avalon_mm_rmap_o.readdata(23 downto 16) &lt;= rmap_registers_wr_i.aeb_hk_vasp_rd_config.others_0(7 downto 0);</t>
  </si>
  <si>
    <t xml:space="preserve">      avalon_mm_rmap_o.readdata(31 downto 24) &lt;= rmap_registers_wr_i.aeb_hk_vasp_rd_config.others_0(15 downto 8);</t>
  </si>
  <si>
    <t xml:space="preserve">      avalon_mm_rmap_o.readdata(7 downto 0) &lt;= rmap_registers_wr_i.aeb_hk_revision_id_1.others_0(7 downto 0);</t>
  </si>
  <si>
    <t xml:space="preserve">      avalon_mm_rmap_o.readdata(15 downto 8) &lt;= rmap_registers_wr_i.aeb_hk_revision_id_1.others_0(15 downto 8);</t>
  </si>
  <si>
    <t xml:space="preserve">      avalon_mm_rmap_o.readdata(23 downto 16) &lt;= rmap_registers_wr_i.aeb_hk_revision_id_1.others_0(23 downto 16);</t>
  </si>
  <si>
    <t xml:space="preserve">      avalon_mm_rmap_o.readdata(31 downto 24) &lt;= rmap_registers_wr_i.aeb_hk_revision_id_1.others_0(31 downto 24);</t>
  </si>
  <si>
    <t xml:space="preserve">      avalon_mm_rmap_o.readdata(7 downto 0) &lt;= rmap_registers_wr_i.aeb_hk_revision_id_2.others_0(7 downto 0);</t>
  </si>
  <si>
    <t xml:space="preserve">      avalon_mm_rmap_o.readdata(15 downto 8) &lt;= rmap_registers_wr_i.aeb_hk_revision_id_2.others_0(15 downto 8);</t>
  </si>
  <si>
    <t xml:space="preserve">      avalon_mm_rmap_o.readdata(23 downto 16) &lt;= rmap_registers_wr_i.aeb_hk_revision_id_2.others_0(23 downto 16);</t>
  </si>
  <si>
    <t xml:space="preserve">      avalon_mm_rmap_o.readdata(31 downto 24) &lt;= rmap_registers_wr_i.aeb_hk_revision_id_2.others_0(31 downto 24);</t>
  </si>
  <si>
    <t>-- AEB Housekeeping Area Register "AEB_STATUS" : "AEB_STATUS" Field</t>
  </si>
  <si>
    <t>rmap_registers_wr_o.aeb_hk_aeb_status.aeb_status &lt;= (others =&gt; '0');</t>
  </si>
  <si>
    <t>-- AEB Housekeeping Area Register "AEB_STATUS" : VASP2_CFG_RUN, "VASP1_CFG_RUN" Fields</t>
  </si>
  <si>
    <t>rmap_registers_wr_o.aeb_hk_aeb_status.others_0 &lt;= (others =&gt; '0');</t>
  </si>
  <si>
    <t>-- AEB Housekeeping Area Register "AEB_STATUS" : DAC_CFG_WR_RUN, "ADC_CFG_RD_RUN", "ADC_CFG_WR_RUN", "ADC_DAT_RD_RUN", "ADC_ERROR", "ADC2_LU", "ADC1_LU", "ADC_DAT_RD", "ADC_CFG_RD", "ADC_CFG_WR", "ADC2_BUSY", "ADC1_BUSY" Fields</t>
  </si>
  <si>
    <t>rmap_registers_wr_o.aeb_hk_aeb_status.others_1 &lt;= (others =&gt; '0');</t>
  </si>
  <si>
    <t>-- AEB Housekeeping Area Register "TIMESTAMP_1" : "TIMESTAMP_DWORD_1" Field</t>
  </si>
  <si>
    <t>rmap_registers_wr_o.aeb_hk_timestamp_1.timestamp_dword_1 &lt;= (others =&gt; '0');</t>
  </si>
  <si>
    <t>-- AEB Housekeeping Area Register "TIMESTAMP_2" : "TIMESTAMP_DWORD_0" Field</t>
  </si>
  <si>
    <t>rmap_registers_wr_o.aeb_hk_timestamp_2.timestamp_dword_0 &lt;= (others =&gt; '0');</t>
  </si>
  <si>
    <t>-- AEB Housekeeping Area Register "ADC_RD_DATA_T_VASP_L" : NEW, "OVF", "SUPPLY", "CHID", "ADC_CHX_DATA_T_VASP_L" Fields</t>
  </si>
  <si>
    <t>rmap_registers_wr_o.aeb_hk_adc_rd_data_t_vasp_l.others_0 &lt;= (others =&gt; '0');</t>
  </si>
  <si>
    <t>-- AEB Housekeeping Area Register "ADC_RD_DATA_T_VASP_R" : NEW, "OVF", "SUPPLY", "CHID", "ADC_CHX_DATA_T_VASP_R" Fields</t>
  </si>
  <si>
    <t>rmap_registers_wr_o.aeb_hk_adc_rd_data_t_vasp_r.others_0 &lt;= (others =&gt; '0');</t>
  </si>
  <si>
    <t>-- AEB Housekeeping Area Register "ADC_RD_DATA_T_BIAS_P" : NEW, "OVF", "SUPPLY", "CHID", "ADC_CHX_DATA_T_BIAS_P" Fields</t>
  </si>
  <si>
    <t>rmap_registers_wr_o.aeb_hk_adc_rd_data_t_bias_p.others_0 &lt;= (others =&gt; '0');</t>
  </si>
  <si>
    <t>-- AEB Housekeeping Area Register "ADC_RD_DATA_T_HK_P" : NEW, "OVF", "SUPPLY", "CHID", "ADC_CHX_DATA_T_HK_P" Fields</t>
  </si>
  <si>
    <t>rmap_registers_wr_o.aeb_hk_adc_rd_data_t_hk_p.others_0 &lt;= (others =&gt; '0');</t>
  </si>
  <si>
    <t>-- AEB Housekeeping Area Register "ADC_RD_DATA_T_TOU_1_P" : NEW, "OVF", "SUPPLY", "CHID", "ADC_CHX_DATA_T_TOU_1_P" Fields</t>
  </si>
  <si>
    <t>rmap_registers_wr_o.aeb_hk_adc_rd_data_t_tou_1_p.others_0 &lt;= (others =&gt; '0');</t>
  </si>
  <si>
    <t>-- AEB Housekeeping Area Register "ADC_RD_DATA_T_TOU_2_P" : NEW, "OVF", "SUPPLY", "CHID", "ADC_CHX_DATA_T_TOU_2_P" Fields</t>
  </si>
  <si>
    <t>rmap_registers_wr_o.aeb_hk_adc_rd_data_t_tou_2_p.others_0 &lt;= (others =&gt; '0');</t>
  </si>
  <si>
    <t>-- AEB Housekeeping Area Register "ADC_RD_DATA_HK_VODE" : NEW, "OVF", "SUPPLY", "CHID", "ADC_CHX_DATA_HK_VODE" Fields</t>
  </si>
  <si>
    <t>rmap_registers_wr_o.aeb_hk_adc_rd_data_hk_vode.others_0 &lt;= (others =&gt; '0');</t>
  </si>
  <si>
    <t>-- AEB Housekeeping Area Register "ADC_RD_DATA_HK_VODF" : NEW, "OVF", "SUPPLY", "CHID", "ADC_CHX_DATA_HK_VODF" Fields</t>
  </si>
  <si>
    <t>rmap_registers_wr_o.aeb_hk_adc_rd_data_hk_vodf.others_0 &lt;= (others =&gt; '0');</t>
  </si>
  <si>
    <t>-- AEB Housekeeping Area Register "ADC_RD_DATA_HK_VRD" : NEW, "OVF", "SUPPLY", "CHID", "ADC_CHX_DATA_HK_VRD" Fields</t>
  </si>
  <si>
    <t>rmap_registers_wr_o.aeb_hk_adc_rd_data_hk_vrd.others_0 &lt;= (others =&gt; '0');</t>
  </si>
  <si>
    <t>-- AEB Housekeeping Area Register "ADC_RD_DATA_HK_VOG" : NEW, "OVF", "SUPPLY", "CHID", "ADC_CHX_DATA_HK_VOG" Fields</t>
  </si>
  <si>
    <t>rmap_registers_wr_o.aeb_hk_adc_rd_data_hk_vog.others_0 &lt;= (others =&gt; '0');</t>
  </si>
  <si>
    <t>-- AEB Housekeeping Area Register "ADC_RD_DATA_T_CCD" : NEW, "OVF", "SUPPLY", "CHID", "ADC_CHX_DATA_T_CCD" Fields</t>
  </si>
  <si>
    <t>rmap_registers_wr_o.aeb_hk_adc_rd_data_t_ccd.others_0 &lt;= (others =&gt; '0');</t>
  </si>
  <si>
    <t>-- AEB Housekeeping Area Register "ADC_RD_DATA_T_REF1K_MEA" : NEW, "OVF", "SUPPLY", "CHID", "ADC_CHX_DATA_T_REF1K_MEA" Fields</t>
  </si>
  <si>
    <t>rmap_registers_wr_o.aeb_hk_adc_rd_data_t_ref1k_mea.others_0 &lt;= (others =&gt; '0');</t>
  </si>
  <si>
    <t>-- AEB Housekeeping Area Register "ADC_RD_DATA_T_REF649R_MEA" : NEW, "OVF", "SUPPLY", "CHID", "ADC_CHX_DATA_T_REF649R_MEA" Fields</t>
  </si>
  <si>
    <t>rmap_registers_wr_o.aeb_hk_adc_rd_data_t_ref649r_mea.others_0 &lt;= (others =&gt; '0');</t>
  </si>
  <si>
    <t>-- AEB Housekeeping Area Register "ADC_RD_DATA_HK_ANA_N5V" : NEW, "OVF", "SUPPLY", "CHID", "ADC_CHX_DATA_HK_ANA_N5V" Fields</t>
  </si>
  <si>
    <t>rmap_registers_wr_o.aeb_hk_adc_rd_data_hk_ana_n5v.others_0 &lt;= (others =&gt; '0');</t>
  </si>
  <si>
    <t>-- AEB Housekeeping Area Register "ADC_RD_DATA_S_REF" : NEW, "OVF", "SUPPLY", "CHID", "ADC_CHX_DATA_S_REF" Fields</t>
  </si>
  <si>
    <t>rmap_registers_wr_o.aeb_hk_adc_rd_data_s_ref.others_0 &lt;= (others =&gt; '0');</t>
  </si>
  <si>
    <t>-- AEB Housekeeping Area Register "ADC_RD_DATA_HK_CCD_P31V" : NEW, "OVF", "SUPPLY", "CHID", "ADC_CHX_DATA_HK_CCD_P31V" Fields</t>
  </si>
  <si>
    <t>rmap_registers_wr_o.aeb_hk_adc_rd_data_hk_ccd_p31v.others_0 &lt;= (others =&gt; '0');</t>
  </si>
  <si>
    <t>-- AEB Housekeeping Area Register "ADC_RD_DATA_HK_CLK_P15V" : NEW, "OVF", "SUPPLY", "CHID", "ADC_CHX_DATA_HK_CLK_P15V" Fields</t>
  </si>
  <si>
    <t>rmap_registers_wr_o.aeb_hk_adc_rd_data_hk_clk_p15v.others_0 &lt;= (others =&gt; '0');</t>
  </si>
  <si>
    <t>-- AEB Housekeeping Area Register "ADC_RD_DATA_HK_ANA_P5V" : NEW, "OVF", "SUPPLY", "CHID", "ADC_CHX_DATA_HK_ANA_P5V" Fields</t>
  </si>
  <si>
    <t>rmap_registers_wr_o.aeb_hk_adc_rd_data_hk_ana_p5v.others_0 &lt;= (others =&gt; '0');</t>
  </si>
  <si>
    <t>-- AEB Housekeeping Area Register "ADC_RD_DATA_HK_ANA_P3V3" : NEW, "OVF", "SUPPLY", "CHID", "ADC_CHX_DATA_HK_ANA_P3V3" Fields</t>
  </si>
  <si>
    <t>rmap_registers_wr_o.aeb_hk_adc_rd_data_hk_ana_p3v3.others_0 &lt;= (others =&gt; '0');</t>
  </si>
  <si>
    <t>-- AEB Housekeeping Area Register "ADC_RD_DATA_HK_DIG_P3V3" : NEW, "OVF", "SUPPLY", "CHID", "ADC_CHX_DATA_HK_DIG_P3V3" Fields</t>
  </si>
  <si>
    <t>rmap_registers_wr_o.aeb_hk_adc_rd_data_hk_dig_p3v3.others_0 &lt;= (others =&gt; '0');</t>
  </si>
  <si>
    <t>-- AEB Housekeeping Area Register "ADC_RD_DATA_ADC_REF_BUF_2" : NEW, "OVF", "SUPPLY", "CHID", "ADC_CHX_DATA_ADC_REF_BUF_2" Fields</t>
  </si>
  <si>
    <t>rmap_registers_wr_o.aeb_hk_adc_rd_data_adc_ref_buf_2.others_0 &lt;= (others =&gt; '0');</t>
  </si>
  <si>
    <t>-- AEB Housekeeping Area Register "VASP_RD_CONFIG" : VASP1_READ_DATA, "VASP2_READ_DATA" Fields</t>
  </si>
  <si>
    <t>rmap_registers_wr_o.aeb_hk_vasp_rd_config.others_0 &lt;= (others =&gt; '0');</t>
  </si>
  <si>
    <t>-- AEB Housekeeping Area Register "REVISION_ID_1" : FPGA_VERSION, "FPGA_DATE" Fields</t>
  </si>
  <si>
    <t>rmap_registers_wr_o.aeb_hk_revision_id_1.others_0 &lt;= (others =&gt; '0');</t>
  </si>
  <si>
    <t>-- AEB Housekeeping Area Register "REVISION_ID_2" : FPGA_TIME_H, "FPGA_TIME_M", "FPGA_SVN" Fields</t>
  </si>
  <si>
    <t>rmap_registers_wr_o.aeb_hk_revision_id_2.others_0 &lt;= (others =&gt; '0');</t>
  </si>
  <si>
    <t xml:space="preserve">      rmap_registers_wr_o.aeb_hk_aeb_status.others_0 &lt;= avalon_mm_rmap_i.writedata(9 downto 8);</t>
  </si>
  <si>
    <t xml:space="preserve">      rmap_registers_wr_o.aeb_hk_aeb_status.others_1(7 downto 0) &lt;= avalon_mm_rmap_i.writedata(23 downto 16);</t>
  </si>
  <si>
    <t xml:space="preserve">      rmap_registers_wr_o.aeb_hk_aeb_status.others_1(11 downto 8) &lt;= avalon_mm_rmap_i.writedata(27 downto 24);</t>
  </si>
  <si>
    <t xml:space="preserve">      rmap_registers_wr_o.aeb_hk_adc_rd_data_t_vasp_l.others_0(7 downto 0) &lt;= avalon_mm_rmap_i.writedata(7 downto 0);</t>
  </si>
  <si>
    <t xml:space="preserve">      rmap_registers_wr_o.aeb_hk_adc_rd_data_t_vasp_l.others_0(15 downto 8) &lt;= avalon_mm_rmap_i.writedata(15 downto 8);</t>
  </si>
  <si>
    <t xml:space="preserve">      rmap_registers_wr_o.aeb_hk_adc_rd_data_t_vasp_l.others_0(23 downto 16) &lt;= avalon_mm_rmap_i.writedata(23 downto 16);</t>
  </si>
  <si>
    <t xml:space="preserve">      rmap_registers_wr_o.aeb_hk_adc_rd_data_t_vasp_l.others_0(31 downto 24) &lt;= avalon_mm_rmap_i.writedata(31 downto 24);</t>
  </si>
  <si>
    <t xml:space="preserve">      rmap_registers_wr_o.aeb_hk_adc_rd_data_t_vasp_r.others_0(7 downto 0) &lt;= avalon_mm_rmap_i.writedata(7 downto 0);</t>
  </si>
  <si>
    <t xml:space="preserve">      rmap_registers_wr_o.aeb_hk_adc_rd_data_t_vasp_r.others_0(15 downto 8) &lt;= avalon_mm_rmap_i.writedata(15 downto 8);</t>
  </si>
  <si>
    <t xml:space="preserve">      rmap_registers_wr_o.aeb_hk_adc_rd_data_t_vasp_r.others_0(23 downto 16) &lt;= avalon_mm_rmap_i.writedata(23 downto 16);</t>
  </si>
  <si>
    <t xml:space="preserve">      rmap_registers_wr_o.aeb_hk_adc_rd_data_t_vasp_r.others_0(31 downto 24) &lt;= avalon_mm_rmap_i.writedata(31 downto 24);</t>
  </si>
  <si>
    <t xml:space="preserve">      rmap_registers_wr_o.aeb_hk_adc_rd_data_t_bias_p.others_0(7 downto 0) &lt;= avalon_mm_rmap_i.writedata(7 downto 0);</t>
  </si>
  <si>
    <t xml:space="preserve">      rmap_registers_wr_o.aeb_hk_adc_rd_data_t_bias_p.others_0(15 downto 8) &lt;= avalon_mm_rmap_i.writedata(15 downto 8);</t>
  </si>
  <si>
    <t xml:space="preserve">      rmap_registers_wr_o.aeb_hk_adc_rd_data_t_bias_p.others_0(23 downto 16) &lt;= avalon_mm_rmap_i.writedata(23 downto 16);</t>
  </si>
  <si>
    <t xml:space="preserve">      rmap_registers_wr_o.aeb_hk_adc_rd_data_t_bias_p.others_0(31 downto 24) &lt;= avalon_mm_rmap_i.writedata(31 downto 24);</t>
  </si>
  <si>
    <t xml:space="preserve">      rmap_registers_wr_o.aeb_hk_adc_rd_data_t_hk_p.others_0(7 downto 0) &lt;= avalon_mm_rmap_i.writedata(7 downto 0);</t>
  </si>
  <si>
    <t xml:space="preserve">      rmap_registers_wr_o.aeb_hk_adc_rd_data_t_hk_p.others_0(15 downto 8) &lt;= avalon_mm_rmap_i.writedata(15 downto 8);</t>
  </si>
  <si>
    <t xml:space="preserve">      rmap_registers_wr_o.aeb_hk_adc_rd_data_t_hk_p.others_0(23 downto 16) &lt;= avalon_mm_rmap_i.writedata(23 downto 16);</t>
  </si>
  <si>
    <t xml:space="preserve">      rmap_registers_wr_o.aeb_hk_adc_rd_data_t_hk_p.others_0(31 downto 24) &lt;= avalon_mm_rmap_i.writedata(31 downto 24);</t>
  </si>
  <si>
    <t xml:space="preserve">      rmap_registers_wr_o.aeb_hk_adc_rd_data_t_tou_1_p.others_0(7 downto 0) &lt;= avalon_mm_rmap_i.writedata(7 downto 0);</t>
  </si>
  <si>
    <t xml:space="preserve">      rmap_registers_wr_o.aeb_hk_adc_rd_data_t_tou_1_p.others_0(15 downto 8) &lt;= avalon_mm_rmap_i.writedata(15 downto 8);</t>
  </si>
  <si>
    <t xml:space="preserve">      rmap_registers_wr_o.aeb_hk_adc_rd_data_t_tou_1_p.others_0(23 downto 16) &lt;= avalon_mm_rmap_i.writedata(23 downto 16);</t>
  </si>
  <si>
    <t xml:space="preserve">      rmap_registers_wr_o.aeb_hk_adc_rd_data_t_tou_1_p.others_0(31 downto 24) &lt;= avalon_mm_rmap_i.writedata(31 downto 24);</t>
  </si>
  <si>
    <t xml:space="preserve">      rmap_registers_wr_o.aeb_hk_adc_rd_data_t_tou_2_p.others_0(7 downto 0) &lt;= avalon_mm_rmap_i.writedata(7 downto 0);</t>
  </si>
  <si>
    <t xml:space="preserve">      rmap_registers_wr_o.aeb_hk_adc_rd_data_t_tou_2_p.others_0(15 downto 8) &lt;= avalon_mm_rmap_i.writedata(15 downto 8);</t>
  </si>
  <si>
    <t xml:space="preserve">      rmap_registers_wr_o.aeb_hk_adc_rd_data_t_tou_2_p.others_0(23 downto 16) &lt;= avalon_mm_rmap_i.writedata(23 downto 16);</t>
  </si>
  <si>
    <t xml:space="preserve">      rmap_registers_wr_o.aeb_hk_adc_rd_data_t_tou_2_p.others_0(31 downto 24) &lt;= avalon_mm_rmap_i.writedata(31 downto 24);</t>
  </si>
  <si>
    <t xml:space="preserve">      rmap_registers_wr_o.aeb_hk_adc_rd_data_hk_vode.others_0(7 downto 0) &lt;= avalon_mm_rmap_i.writedata(7 downto 0);</t>
  </si>
  <si>
    <t xml:space="preserve">      rmap_registers_wr_o.aeb_hk_adc_rd_data_hk_vode.others_0(15 downto 8) &lt;= avalon_mm_rmap_i.writedata(15 downto 8);</t>
  </si>
  <si>
    <t xml:space="preserve">      rmap_registers_wr_o.aeb_hk_adc_rd_data_hk_vode.others_0(23 downto 16) &lt;= avalon_mm_rmap_i.writedata(23 downto 16);</t>
  </si>
  <si>
    <t xml:space="preserve">      rmap_registers_wr_o.aeb_hk_adc_rd_data_hk_vode.others_0(31 downto 24) &lt;= avalon_mm_rmap_i.writedata(31 downto 24);</t>
  </si>
  <si>
    <t xml:space="preserve">      rmap_registers_wr_o.aeb_hk_adc_rd_data_hk_vodf.others_0(7 downto 0) &lt;= avalon_mm_rmap_i.writedata(7 downto 0);</t>
  </si>
  <si>
    <t xml:space="preserve">      rmap_registers_wr_o.aeb_hk_adc_rd_data_hk_vodf.others_0(15 downto 8) &lt;= avalon_mm_rmap_i.writedata(15 downto 8);</t>
  </si>
  <si>
    <t xml:space="preserve">      rmap_registers_wr_o.aeb_hk_adc_rd_data_hk_vodf.others_0(23 downto 16) &lt;= avalon_mm_rmap_i.writedata(23 downto 16);</t>
  </si>
  <si>
    <t xml:space="preserve">      rmap_registers_wr_o.aeb_hk_adc_rd_data_hk_vodf.others_0(31 downto 24) &lt;= avalon_mm_rmap_i.writedata(31 downto 24);</t>
  </si>
  <si>
    <t xml:space="preserve">      rmap_registers_wr_o.aeb_hk_adc_rd_data_hk_vrd.others_0(7 downto 0) &lt;= avalon_mm_rmap_i.writedata(7 downto 0);</t>
  </si>
  <si>
    <t xml:space="preserve">      rmap_registers_wr_o.aeb_hk_adc_rd_data_hk_vrd.others_0(15 downto 8) &lt;= avalon_mm_rmap_i.writedata(15 downto 8);</t>
  </si>
  <si>
    <t xml:space="preserve">      rmap_registers_wr_o.aeb_hk_adc_rd_data_hk_vrd.others_0(23 downto 16) &lt;= avalon_mm_rmap_i.writedata(23 downto 16);</t>
  </si>
  <si>
    <t xml:space="preserve">      rmap_registers_wr_o.aeb_hk_adc_rd_data_hk_vrd.others_0(31 downto 24) &lt;= avalon_mm_rmap_i.writedata(31 downto 24);</t>
  </si>
  <si>
    <t xml:space="preserve">      rmap_registers_wr_o.aeb_hk_adc_rd_data_hk_vog.others_0(7 downto 0) &lt;= avalon_mm_rmap_i.writedata(7 downto 0);</t>
  </si>
  <si>
    <t xml:space="preserve">      rmap_registers_wr_o.aeb_hk_adc_rd_data_hk_vog.others_0(15 downto 8) &lt;= avalon_mm_rmap_i.writedata(15 downto 8);</t>
  </si>
  <si>
    <t xml:space="preserve">      rmap_registers_wr_o.aeb_hk_adc_rd_data_hk_vog.others_0(23 downto 16) &lt;= avalon_mm_rmap_i.writedata(23 downto 16);</t>
  </si>
  <si>
    <t xml:space="preserve">      rmap_registers_wr_o.aeb_hk_adc_rd_data_hk_vog.others_0(31 downto 24) &lt;= avalon_mm_rmap_i.writedata(31 downto 24);</t>
  </si>
  <si>
    <t xml:space="preserve">      rmap_registers_wr_o.aeb_hk_adc_rd_data_t_ccd.others_0(7 downto 0) &lt;= avalon_mm_rmap_i.writedata(7 downto 0);</t>
  </si>
  <si>
    <t xml:space="preserve">      rmap_registers_wr_o.aeb_hk_adc_rd_data_t_ccd.others_0(15 downto 8) &lt;= avalon_mm_rmap_i.writedata(15 downto 8);</t>
  </si>
  <si>
    <t xml:space="preserve">      rmap_registers_wr_o.aeb_hk_adc_rd_data_t_ccd.others_0(23 downto 16) &lt;= avalon_mm_rmap_i.writedata(23 downto 16);</t>
  </si>
  <si>
    <t xml:space="preserve">      rmap_registers_wr_o.aeb_hk_adc_rd_data_t_ccd.others_0(31 downto 24) &lt;= avalon_mm_rmap_i.writedata(31 downto 24);</t>
  </si>
  <si>
    <t xml:space="preserve">      rmap_registers_wr_o.aeb_hk_adc_rd_data_t_ref1k_mea.others_0(7 downto 0) &lt;= avalon_mm_rmap_i.writedata(7 downto 0);</t>
  </si>
  <si>
    <t xml:space="preserve">      rmap_registers_wr_o.aeb_hk_adc_rd_data_t_ref1k_mea.others_0(15 downto 8) &lt;= avalon_mm_rmap_i.writedata(15 downto 8);</t>
  </si>
  <si>
    <t xml:space="preserve">      rmap_registers_wr_o.aeb_hk_adc_rd_data_t_ref1k_mea.others_0(23 downto 16) &lt;= avalon_mm_rmap_i.writedata(23 downto 16);</t>
  </si>
  <si>
    <t xml:space="preserve">      rmap_registers_wr_o.aeb_hk_adc_rd_data_t_ref1k_mea.others_0(31 downto 24) &lt;= avalon_mm_rmap_i.writedata(31 downto 24);</t>
  </si>
  <si>
    <t xml:space="preserve">      rmap_registers_wr_o.aeb_hk_adc_rd_data_t_ref649r_mea.others_0(7 downto 0) &lt;= avalon_mm_rmap_i.writedata(7 downto 0);</t>
  </si>
  <si>
    <t xml:space="preserve">      rmap_registers_wr_o.aeb_hk_adc_rd_data_t_ref649r_mea.others_0(15 downto 8) &lt;= avalon_mm_rmap_i.writedata(15 downto 8);</t>
  </si>
  <si>
    <t xml:space="preserve">      rmap_registers_wr_o.aeb_hk_adc_rd_data_t_ref649r_mea.others_0(23 downto 16) &lt;= avalon_mm_rmap_i.writedata(23 downto 16);</t>
  </si>
  <si>
    <t xml:space="preserve">      rmap_registers_wr_o.aeb_hk_adc_rd_data_t_ref649r_mea.others_0(31 downto 24) &lt;= avalon_mm_rmap_i.writedata(31 downto 24);</t>
  </si>
  <si>
    <t xml:space="preserve">      rmap_registers_wr_o.aeb_hk_adc_rd_data_hk_ana_n5v.others_0(7 downto 0) &lt;= avalon_mm_rmap_i.writedata(7 downto 0);</t>
  </si>
  <si>
    <t xml:space="preserve">      rmap_registers_wr_o.aeb_hk_adc_rd_data_hk_ana_n5v.others_0(15 downto 8) &lt;= avalon_mm_rmap_i.writedata(15 downto 8);</t>
  </si>
  <si>
    <t xml:space="preserve">      rmap_registers_wr_o.aeb_hk_adc_rd_data_hk_ana_n5v.others_0(23 downto 16) &lt;= avalon_mm_rmap_i.writedata(23 downto 16);</t>
  </si>
  <si>
    <t xml:space="preserve">      rmap_registers_wr_o.aeb_hk_adc_rd_data_hk_ana_n5v.others_0(31 downto 24) &lt;= avalon_mm_rmap_i.writedata(31 downto 24);</t>
  </si>
  <si>
    <t xml:space="preserve">      rmap_registers_wr_o.aeb_hk_adc_rd_data_s_ref.others_0(7 downto 0) &lt;= avalon_mm_rmap_i.writedata(7 downto 0);</t>
  </si>
  <si>
    <t xml:space="preserve">      rmap_registers_wr_o.aeb_hk_adc_rd_data_s_ref.others_0(15 downto 8) &lt;= avalon_mm_rmap_i.writedata(15 downto 8);</t>
  </si>
  <si>
    <t xml:space="preserve">      rmap_registers_wr_o.aeb_hk_adc_rd_data_s_ref.others_0(23 downto 16) &lt;= avalon_mm_rmap_i.writedata(23 downto 16);</t>
  </si>
  <si>
    <t xml:space="preserve">      rmap_registers_wr_o.aeb_hk_adc_rd_data_s_ref.others_0(31 downto 24) &lt;= avalon_mm_rmap_i.writedata(31 downto 24);</t>
  </si>
  <si>
    <t xml:space="preserve">      rmap_registers_wr_o.aeb_hk_adc_rd_data_hk_ccd_p31v.others_0(7 downto 0) &lt;= avalon_mm_rmap_i.writedata(7 downto 0);</t>
  </si>
  <si>
    <t xml:space="preserve">      rmap_registers_wr_o.aeb_hk_adc_rd_data_hk_ccd_p31v.others_0(15 downto 8) &lt;= avalon_mm_rmap_i.writedata(15 downto 8);</t>
  </si>
  <si>
    <t xml:space="preserve">      rmap_registers_wr_o.aeb_hk_adc_rd_data_hk_ccd_p31v.others_0(23 downto 16) &lt;= avalon_mm_rmap_i.writedata(23 downto 16);</t>
  </si>
  <si>
    <t xml:space="preserve">      rmap_registers_wr_o.aeb_hk_adc_rd_data_hk_ccd_p31v.others_0(31 downto 24) &lt;= avalon_mm_rmap_i.writedata(31 downto 24);</t>
  </si>
  <si>
    <t xml:space="preserve">      rmap_registers_wr_o.aeb_hk_adc_rd_data_hk_clk_p15v.others_0(7 downto 0) &lt;= avalon_mm_rmap_i.writedata(7 downto 0);</t>
  </si>
  <si>
    <t xml:space="preserve">      rmap_registers_wr_o.aeb_hk_adc_rd_data_hk_clk_p15v.others_0(15 downto 8) &lt;= avalon_mm_rmap_i.writedata(15 downto 8);</t>
  </si>
  <si>
    <t xml:space="preserve">      rmap_registers_wr_o.aeb_hk_adc_rd_data_hk_clk_p15v.others_0(23 downto 16) &lt;= avalon_mm_rmap_i.writedata(23 downto 16);</t>
  </si>
  <si>
    <t xml:space="preserve">      rmap_registers_wr_o.aeb_hk_adc_rd_data_hk_clk_p15v.others_0(31 downto 24) &lt;= avalon_mm_rmap_i.writedata(31 downto 24);</t>
  </si>
  <si>
    <t xml:space="preserve">      rmap_registers_wr_o.aeb_hk_adc_rd_data_hk_ana_p5v.others_0(7 downto 0) &lt;= avalon_mm_rmap_i.writedata(7 downto 0);</t>
  </si>
  <si>
    <t xml:space="preserve">      rmap_registers_wr_o.aeb_hk_adc_rd_data_hk_ana_p5v.others_0(15 downto 8) &lt;= avalon_mm_rmap_i.writedata(15 downto 8);</t>
  </si>
  <si>
    <t xml:space="preserve">      rmap_registers_wr_o.aeb_hk_adc_rd_data_hk_ana_p5v.others_0(23 downto 16) &lt;= avalon_mm_rmap_i.writedata(23 downto 16);</t>
  </si>
  <si>
    <t xml:space="preserve">      rmap_registers_wr_o.aeb_hk_adc_rd_data_hk_ana_p5v.others_0(31 downto 24) &lt;= avalon_mm_rmap_i.writedata(31 downto 24);</t>
  </si>
  <si>
    <t xml:space="preserve">      rmap_registers_wr_o.aeb_hk_adc_rd_data_hk_ana_p3v3.others_0(7 downto 0) &lt;= avalon_mm_rmap_i.writedata(7 downto 0);</t>
  </si>
  <si>
    <t xml:space="preserve">      rmap_registers_wr_o.aeb_hk_adc_rd_data_hk_ana_p3v3.others_0(15 downto 8) &lt;= avalon_mm_rmap_i.writedata(15 downto 8);</t>
  </si>
  <si>
    <t xml:space="preserve">      rmap_registers_wr_o.aeb_hk_adc_rd_data_hk_ana_p3v3.others_0(23 downto 16) &lt;= avalon_mm_rmap_i.writedata(23 downto 16);</t>
  </si>
  <si>
    <t xml:space="preserve">      rmap_registers_wr_o.aeb_hk_adc_rd_data_hk_ana_p3v3.others_0(31 downto 24) &lt;= avalon_mm_rmap_i.writedata(31 downto 24);</t>
  </si>
  <si>
    <t xml:space="preserve">      rmap_registers_wr_o.aeb_hk_adc_rd_data_hk_dig_p3v3.others_0(7 downto 0) &lt;= avalon_mm_rmap_i.writedata(7 downto 0);</t>
  </si>
  <si>
    <t xml:space="preserve">      rmap_registers_wr_o.aeb_hk_adc_rd_data_hk_dig_p3v3.others_0(15 downto 8) &lt;= avalon_mm_rmap_i.writedata(15 downto 8);</t>
  </si>
  <si>
    <t xml:space="preserve">      rmap_registers_wr_o.aeb_hk_adc_rd_data_hk_dig_p3v3.others_0(23 downto 16) &lt;= avalon_mm_rmap_i.writedata(23 downto 16);</t>
  </si>
  <si>
    <t xml:space="preserve">      rmap_registers_wr_o.aeb_hk_adc_rd_data_hk_dig_p3v3.others_0(31 downto 24) &lt;= avalon_mm_rmap_i.writedata(31 downto 24);</t>
  </si>
  <si>
    <t xml:space="preserve">      rmap_registers_wr_o.aeb_hk_adc_rd_data_adc_ref_buf_2.others_0(7 downto 0) &lt;= avalon_mm_rmap_i.writedata(7 downto 0);</t>
  </si>
  <si>
    <t xml:space="preserve">      rmap_registers_wr_o.aeb_hk_adc_rd_data_adc_ref_buf_2.others_0(15 downto 8) &lt;= avalon_mm_rmap_i.writedata(15 downto 8);</t>
  </si>
  <si>
    <t xml:space="preserve">      rmap_registers_wr_o.aeb_hk_adc_rd_data_adc_ref_buf_2.others_0(23 downto 16) &lt;= avalon_mm_rmap_i.writedata(23 downto 16);</t>
  </si>
  <si>
    <t xml:space="preserve">      rmap_registers_wr_o.aeb_hk_adc_rd_data_adc_ref_buf_2.others_0(31 downto 24) &lt;= avalon_mm_rmap_i.writedata(31 downto 24);</t>
  </si>
  <si>
    <t xml:space="preserve">      rmap_registers_wr_o.aeb_hk_vasp_rd_config.others_0(7 downto 0) &lt;= avalon_mm_rmap_i.writedata(23 downto 16);</t>
  </si>
  <si>
    <t xml:space="preserve">      rmap_registers_wr_o.aeb_hk_vasp_rd_config.others_0(15 downto 8) &lt;= avalon_mm_rmap_i.writedata(31 downto 24);</t>
  </si>
  <si>
    <t xml:space="preserve">      rmap_registers_wr_o.aeb_hk_revision_id_1.others_0(7 downto 0) &lt;= avalon_mm_rmap_i.writedata(7 downto 0);</t>
  </si>
  <si>
    <t xml:space="preserve">      rmap_registers_wr_o.aeb_hk_revision_id_1.others_0(15 downto 8) &lt;= avalon_mm_rmap_i.writedata(15 downto 8);</t>
  </si>
  <si>
    <t xml:space="preserve">      rmap_registers_wr_o.aeb_hk_revision_id_1.others_0(23 downto 16) &lt;= avalon_mm_rmap_i.writedata(23 downto 16);</t>
  </si>
  <si>
    <t xml:space="preserve">      rmap_registers_wr_o.aeb_hk_revision_id_1.others_0(31 downto 24) &lt;= avalon_mm_rmap_i.writedata(31 downto 24);</t>
  </si>
  <si>
    <t xml:space="preserve">      rmap_registers_wr_o.aeb_hk_revision_id_2.others_0(7 downto 0) &lt;= avalon_mm_rmap_i.writedata(7 downto 0);</t>
  </si>
  <si>
    <t xml:space="preserve">      rmap_registers_wr_o.aeb_hk_revision_id_2.others_0(15 downto 8) &lt;= avalon_mm_rmap_i.writedata(15 downto 8);</t>
  </si>
  <si>
    <t xml:space="preserve">      rmap_registers_wr_o.aeb_hk_revision_id_2.others_0(23 downto 16) &lt;= avalon_mm_rmap_i.writedata(23 downto 16);</t>
  </si>
  <si>
    <t xml:space="preserve">      rmap_registers_wr_o.aeb_hk_revision_id_2.others_0(31 downto 24) &lt;= avalon_mm_rmap_i.writedata(31 downto 24);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</si>
</sst>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I11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3" t="s">
        <v>31</v>
      </c>
      <c r="C2" s="23" t="s">
        <v>32</v>
      </c>
      <c r="D2" s="23" t="s">
        <v>0</v>
      </c>
      <c r="E2" s="23" t="s">
        <v>43</v>
      </c>
      <c r="F2" s="23" t="s">
        <v>1</v>
      </c>
      <c r="G2" s="23" t="s">
        <v>3</v>
      </c>
      <c r="H2" s="23" t="s">
        <v>2</v>
      </c>
      <c r="I2" s="23" t="s">
        <v>42</v>
      </c>
      <c r="J2" s="23" t="s">
        <v>33</v>
      </c>
      <c r="K2" s="23" t="s">
        <v>79</v>
      </c>
      <c r="L2" s="23" t="s">
        <v>80</v>
      </c>
      <c r="M2" s="23" t="s">
        <v>82</v>
      </c>
      <c r="N2" s="23" t="s">
        <v>44</v>
      </c>
      <c r="O2" s="23" t="s">
        <v>45</v>
      </c>
      <c r="P2" s="23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6" t="s">
        <v>7</v>
      </c>
      <c r="X2" s="26"/>
      <c r="Y2" s="26"/>
      <c r="Z2" s="26"/>
      <c r="AA2" s="27" t="s">
        <v>116</v>
      </c>
      <c r="AB2" s="27"/>
      <c r="AC2" s="27"/>
      <c r="AD2" s="27"/>
      <c r="AE2" s="27" t="s">
        <v>22</v>
      </c>
      <c r="AF2" s="27"/>
      <c r="AG2" s="27"/>
      <c r="AH2" s="27"/>
      <c r="AI2" s="5" t="s">
        <v>83</v>
      </c>
    </row>
    <row r="3" spans="1:35" x14ac:dyDescent="0.25">
      <c r="A3" s="2"/>
      <c r="B3" s="23" t="s">
        <v>40</v>
      </c>
      <c r="C3" s="23" t="s">
        <v>40</v>
      </c>
      <c r="D3" s="23" t="s">
        <v>40</v>
      </c>
      <c r="E3" s="23" t="s">
        <v>40</v>
      </c>
      <c r="F3" s="23" t="s">
        <v>40</v>
      </c>
      <c r="G3" s="23" t="s">
        <v>40</v>
      </c>
      <c r="H3" s="23" t="s">
        <v>40</v>
      </c>
      <c r="I3" s="23" t="s">
        <v>40</v>
      </c>
      <c r="J3" s="23" t="s">
        <v>40</v>
      </c>
      <c r="K3" s="23" t="s">
        <v>40</v>
      </c>
      <c r="L3" s="23" t="s">
        <v>40</v>
      </c>
      <c r="M3" s="23" t="s">
        <v>40</v>
      </c>
      <c r="N3" s="23" t="s">
        <v>40</v>
      </c>
      <c r="O3" s="23" t="s">
        <v>40</v>
      </c>
      <c r="P3" s="23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144</v>
      </c>
      <c r="C4" s="2" t="s">
        <v>141</v>
      </c>
      <c r="D4" s="2" t="s">
        <v>0</v>
      </c>
      <c r="E4" s="2" t="s">
        <v>130</v>
      </c>
      <c r="F4" s="2" t="s">
        <v>146</v>
      </c>
      <c r="G4" s="2" t="s">
        <v>147</v>
      </c>
      <c r="H4" s="2" t="s">
        <v>142</v>
      </c>
      <c r="I4" s="2" t="s">
        <v>41</v>
      </c>
      <c r="J4" s="2">
        <v>2</v>
      </c>
      <c r="K4" s="2" t="s">
        <v>132</v>
      </c>
      <c r="L4" s="2" t="s">
        <v>40</v>
      </c>
      <c r="M4" s="2" t="s">
        <v>2394</v>
      </c>
      <c r="N4" s="2" t="s">
        <v>2327</v>
      </c>
      <c r="O4" s="2" t="s">
        <v>2290</v>
      </c>
      <c r="P4" s="2" t="s">
        <v>47</v>
      </c>
      <c r="Q4" s="2">
        <f>INDEX(Tables!$C$4:$C$28,MATCH($P4,Tables!$B$4:$B$28,0))</f>
        <v>8</v>
      </c>
      <c r="R4" s="2">
        <f>INDEX(Tables!$D$4:$D$28,MATCH($P4,Tables!$B$4:$B$28,0))</f>
        <v>1</v>
      </c>
      <c r="S4" s="2">
        <v>0</v>
      </c>
      <c r="T4" s="2" t="str">
        <f>DEC2HEX($S4,4)</f>
        <v>0000</v>
      </c>
      <c r="U4" s="2">
        <f>ROUNDDOWN(S4/4,0)</f>
        <v>0</v>
      </c>
      <c r="V4" s="2" t="str">
        <f>DEC2HEX($U4,3)</f>
        <v>000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>IF(X4="","",CONCATENATE("(",IF(($J4-COUNTIF($Y4:$Z4,"X")*8)=1,"16)",CONCATENATE(IF(($J4-COUNTIF($Y4:$Z4,"X")*8)&gt;=8,24,($J4-COUNTIF($Y4:$Z4,"X")*8)+16)-1," downto 16)"))))</f>
        <v/>
      </c>
      <c r="AC4" s="2" t="str">
        <f>IF(Y4="","",CONCATENATE("(",IF(($J4-COUNTIF($Z4,"X")*8)=1,"8)",CONCATENATE(IF(($J4-COUNTIF($Z4,"X")*8)&gt;=8,16,($J4-COUNTIF($Z4,"X")*8)+8)-1," downto 8)"))))</f>
        <v/>
      </c>
      <c r="AD4" s="2" t="str">
        <f>IF(Z4="","",CONCATENATE("(",IF($J4=1,"0)",CONCATENATE(IF($J4&gt;=8,8,$J4)-1," downto 0)"))))</f>
        <v>(1 downto 0)</v>
      </c>
      <c r="AE4" s="2" t="str">
        <f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>IF(Z4="","",IF($J4&lt;=8,"",CONCATENATE("(",IF($J4&gt;=8,7,$J4-1)," downto ",0,")")))</f>
        <v/>
      </c>
    </row>
    <row r="5" spans="1:35" x14ac:dyDescent="0.25">
      <c r="B5" s="2" t="s">
        <v>144</v>
      </c>
      <c r="C5" s="2" t="s">
        <v>149</v>
      </c>
      <c r="D5" s="2" t="s">
        <v>0</v>
      </c>
      <c r="E5" s="2" t="s">
        <v>130</v>
      </c>
      <c r="F5" s="2" t="s">
        <v>146</v>
      </c>
      <c r="G5" s="2" t="s">
        <v>147</v>
      </c>
      <c r="H5" s="2" t="s">
        <v>150</v>
      </c>
      <c r="I5" s="2" t="s">
        <v>41</v>
      </c>
      <c r="J5" s="2">
        <v>4</v>
      </c>
      <c r="K5" s="2" t="s">
        <v>151</v>
      </c>
      <c r="L5" s="2" t="s">
        <v>40</v>
      </c>
      <c r="M5" s="2" t="s">
        <v>2394</v>
      </c>
      <c r="N5" s="2" t="s">
        <v>2327</v>
      </c>
      <c r="O5" s="2" t="s">
        <v>2711</v>
      </c>
      <c r="P5" s="2" t="s">
        <v>47</v>
      </c>
      <c r="Q5" s="2">
        <f>INDEX(Tables!$C$4:$C$28,MATCH($P5,Tables!$B$4:$B$28,0))</f>
        <v>8</v>
      </c>
      <c r="R5" s="2">
        <f>INDEX(Tables!$D$4:$D$28,MATCH($P5,Tables!$B$4:$B$28,0))</f>
        <v>1</v>
      </c>
      <c r="S5" s="2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1</v>
      </c>
      <c r="T5" s="2" t="str">
        <f>DEC2HEX($S5,4)</f>
        <v>0001</v>
      </c>
      <c r="U5" s="2">
        <f>ROUNDDOWN(S5/4,0)</f>
        <v>0</v>
      </c>
      <c r="V5" s="2" t="str">
        <f>DEC2HEX($U5,3)</f>
        <v>000</v>
      </c>
      <c r="W5" s="2" t="str">
        <f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>IF(MOD($S5,4)=1,"X",IF(AND(MOD($S5,4)=0,$J5&gt;8),"X",""))</f>
        <v>X</v>
      </c>
      <c r="Z5" s="2" t="str">
        <f>IF(MOD($S5,4)=0,"X","")</f>
        <v/>
      </c>
      <c r="AA5" s="2" t="str">
        <f>IF(W5="","",CONCATENATE("(",IF(($J5-COUNTIF($X5:$Z5,"X")*8)=1,"24)",CONCATENATE(IF(($J5-COUNTIF($X5:$Z5,"X")*8)&gt;=8,32,($J5-COUNTIF($X5:$Z5,"X")*8)+24)-1," downto 24)"))))</f>
        <v/>
      </c>
      <c r="AB5" s="2" t="str">
        <f>IF(X5="","",CONCATENATE("(",IF(($J5-COUNTIF($Y5:$Z5,"X")*8)=1,"16)",CONCATENATE(IF(($J5-COUNTIF($Y5:$Z5,"X")*8)&gt;=8,24,($J5-COUNTIF($Y5:$Z5,"X")*8)+16)-1," downto 16)"))))</f>
        <v/>
      </c>
      <c r="AC5" s="2" t="str">
        <f>IF(Y5="","",CONCATENATE("(",IF(($J5-COUNTIF($Z5,"X")*8)=1,"8)",CONCATENATE(IF(($J5-COUNTIF($Z5,"X")*8)&gt;=8,16,($J5-COUNTIF($Z5,"X")*8)+8)-1," downto 8)"))))</f>
        <v>(11 downto 8)</v>
      </c>
      <c r="AD5" s="2" t="str">
        <f>IF(Z5="","",CONCATENATE("(",IF($J5=1,"0)",CONCATENATE(IF($J5&gt;=8,8,$J5)-1," downto 0)"))))</f>
        <v/>
      </c>
      <c r="AE5" s="2" t="str">
        <f>IF(W5="","",IF($J5&lt;=8,"",IF(($J5-COUNTIF($X5:$Z5,"X")*8)=1,CONCATENATE("(",($J5-1),")"),CONCATENATE("(",IF(($J5-COUNTIF($X5:$Z5,"X")*8)&gt;=8,COUNTIF($X5:$Z5,"X")*8+7,$J5-COUNTIF($X5:$Z5,"X")*8-1+COUNTIF($X5:$Z5,"X")*8)," downto ",COUNTIF($X5:$Z5,"X")*8,")"))))</f>
        <v/>
      </c>
      <c r="AF5" s="2" t="str">
        <f>IF(X5="","",IF($J5&lt;=8,"",IF(($J5-COUNTIF($Y5:$Z5,"X")*8)=1,CONCATENATE("(",($J5-1),")"),CONCATENATE("(",IF(($J5-COUNTIF($Y5:$Z5,"X")*8)&gt;=8,COUNTIF($Y5:$Z5,"X")*8+7,$J5-COUNTIF($Y5:$Z5,"X")*8-1+COUNTIF($Y5:$Z5,"X")*8)," downto ",COUNTIF($Y5:$Z5,"X")*8,")"))))</f>
        <v/>
      </c>
      <c r="AG5" s="2" t="str">
        <f>IF(Y5="","",IF($J5&lt;=8,"",IF(($J5-COUNTIF($Z5,"X")*8)=1,CONCATENATE("(",($J5-1),")"),CONCATENATE("(",IF(($J5-COUNTIF($Z5,"X")*8)&gt;=8,COUNTIF($Z5,"X")*8+7,$J5-COUNTIF($Z5,"X")*8-1+COUNTIF($Z5,"X")*8)," downto ",COUNTIF($Z5,"X")*8,")"))))</f>
        <v/>
      </c>
      <c r="AH5" s="2" t="str">
        <f>IF(Z5="","",IF($J5&lt;=8,"",CONCATENATE("(",IF($J5&gt;=8,7,$J5-1)," downto ",0,")")))</f>
        <v/>
      </c>
    </row>
    <row r="6" spans="1:35" x14ac:dyDescent="0.25">
      <c r="B6" s="2" t="s">
        <v>144</v>
      </c>
      <c r="C6" s="2" t="s">
        <v>152</v>
      </c>
      <c r="D6" s="2" t="s">
        <v>0</v>
      </c>
      <c r="E6" s="2" t="s">
        <v>130</v>
      </c>
      <c r="F6" s="2" t="s">
        <v>146</v>
      </c>
      <c r="G6" s="2" t="s">
        <v>147</v>
      </c>
      <c r="H6" s="2" t="s">
        <v>153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2394</v>
      </c>
      <c r="N6" s="2" t="s">
        <v>2327</v>
      </c>
      <c r="O6" s="2" t="s">
        <v>2287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4</v>
      </c>
      <c r="T6" s="2" t="str">
        <f>DEC2HEX($S6,4)</f>
        <v>0004</v>
      </c>
      <c r="U6" s="2">
        <f>ROUNDDOWN(S6/4,0)</f>
        <v>1</v>
      </c>
      <c r="V6" s="2" t="str">
        <f>DEC2HEX($U6,3)</f>
        <v>001</v>
      </c>
      <c r="W6" s="2" t="str">
        <f>IF(MOD($S6,4)=3,"X",IF(AND(MOD($S6,4)=2,$J6&gt;8),"X",IF(AND(MOD($S6,4)=1,$J6&gt;16),"X",IF(AND(MOD($S6,4)=0,$J6&gt;24),"X",""))))</f>
        <v/>
      </c>
      <c r="X6" s="2" t="str">
        <f>IF(MOD($S6,4)=2,"X",IF(AND(MOD($S6,4)=1,$J6&gt;8),"X",IF(AND(MOD($S6,4)=0,$J6&gt;16),"X","")))</f>
        <v/>
      </c>
      <c r="Y6" s="2" t="str">
        <f>IF(MOD($S6,4)=1,"X",IF(AND(MOD($S6,4)=0,$J6&gt;8),"X",""))</f>
        <v/>
      </c>
      <c r="Z6" s="2" t="str">
        <f>IF(MOD($S6,4)=0,"X","")</f>
        <v>X</v>
      </c>
      <c r="AA6" s="2" t="str">
        <f>IF(W6="","",CONCATENATE("(",IF(($J6-COUNTIF($X6:$Z6,"X")*8)=1,"24)",CONCATENATE(IF(($J6-COUNTIF($X6:$Z6,"X")*8)&gt;=8,32,($J6-COUNTIF($X6:$Z6,"X")*8)+24)-1," downto 24)"))))</f>
        <v/>
      </c>
      <c r="AB6" s="2" t="str">
        <f>IF(X6="","",CONCATENATE("(",IF(($J6-COUNTIF($Y6:$Z6,"X")*8)=1,"16)",CONCATENATE(IF(($J6-COUNTIF($Y6:$Z6,"X")*8)&gt;=8,24,($J6-COUNTIF($Y6:$Z6,"X")*8)+16)-1," downto 16)"))))</f>
        <v/>
      </c>
      <c r="AC6" s="2" t="str">
        <f>IF(Y6="","",CONCATENATE("(",IF(($J6-COUNTIF($Z6,"X")*8)=1,"8)",CONCATENATE(IF(($J6-COUNTIF($Z6,"X")*8)&gt;=8,16,($J6-COUNTIF($Z6,"X")*8)+8)-1," downto 8)"))))</f>
        <v/>
      </c>
      <c r="AD6" s="2" t="str">
        <f>IF(Z6="","",CONCATENATE("(",IF($J6=1,"0)",CONCATENATE(IF($J6&gt;=8,8,$J6)-1," downto 0)"))))</f>
        <v>(0)</v>
      </c>
      <c r="AE6" s="2" t="str">
        <f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/>
      </c>
      <c r="AF6" s="2" t="str">
        <f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/>
      </c>
      <c r="AG6" s="2" t="str">
        <f>IF(Y6="","",IF($J6&lt;=8,"",IF(($J6-COUNTIF($Z6,"X")*8)=1,CONCATENATE("(",($J6-1),")"),CONCATENATE("(",IF(($J6-COUNTIF($Z6,"X")*8)&gt;=8,COUNTIF($Z6,"X")*8+7,$J6-COUNTIF($Z6,"X")*8-1+COUNTIF($Z6,"X")*8)," downto ",COUNTIF($Z6,"X")*8,")"))))</f>
        <v/>
      </c>
      <c r="AH6" s="2" t="str">
        <f>IF(Z6="","",IF($J6&lt;=8,"",CONCATENATE("(",IF($J6&gt;=8,7,$J6-1)," downto ",0,")")))</f>
        <v/>
      </c>
    </row>
    <row r="7" spans="1:35" x14ac:dyDescent="0.25">
      <c r="B7" s="2" t="s">
        <v>144</v>
      </c>
      <c r="C7" s="2" t="s">
        <v>154</v>
      </c>
      <c r="D7" s="2" t="s">
        <v>0</v>
      </c>
      <c r="E7" s="2" t="s">
        <v>130</v>
      </c>
      <c r="F7" s="2" t="s">
        <v>146</v>
      </c>
      <c r="G7" s="2" t="s">
        <v>147</v>
      </c>
      <c r="H7" s="2" t="s">
        <v>155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2394</v>
      </c>
      <c r="N7" s="2" t="s">
        <v>2327</v>
      </c>
      <c r="O7" s="2" t="s">
        <v>2288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8</v>
      </c>
      <c r="T7" s="2" t="str">
        <f>DEC2HEX($S7,4)</f>
        <v>0008</v>
      </c>
      <c r="U7" s="2">
        <f>ROUNDDOWN(S7/4,0)</f>
        <v>2</v>
      </c>
      <c r="V7" s="2" t="str">
        <f>DEC2HEX($U7,3)</f>
        <v>002</v>
      </c>
      <c r="W7" s="2" t="str">
        <f>IF(MOD($S7,4)=3,"X",IF(AND(MOD($S7,4)=2,$J7&gt;8),"X",IF(AND(MOD($S7,4)=1,$J7&gt;16),"X",IF(AND(MOD($S7,4)=0,$J7&gt;24),"X",""))))</f>
        <v/>
      </c>
      <c r="X7" s="2" t="str">
        <f>IF(MOD($S7,4)=2,"X",IF(AND(MOD($S7,4)=1,$J7&gt;8),"X",IF(AND(MOD($S7,4)=0,$J7&gt;16),"X","")))</f>
        <v/>
      </c>
      <c r="Y7" s="2" t="str">
        <f>IF(MOD($S7,4)=1,"X",IF(AND(MOD($S7,4)=0,$J7&gt;8),"X",""))</f>
        <v/>
      </c>
      <c r="Z7" s="2" t="str">
        <f>IF(MOD($S7,4)=0,"X","")</f>
        <v>X</v>
      </c>
      <c r="AA7" s="2" t="str">
        <f>IF(W7="","",CONCATENATE("(",IF(($J7-COUNTIF($X7:$Z7,"X")*8)=1,"24)",CONCATENATE(IF(($J7-COUNTIF($X7:$Z7,"X")*8)&gt;=8,32,($J7-COUNTIF($X7:$Z7,"X")*8)+24)-1," downto 24)"))))</f>
        <v/>
      </c>
      <c r="AB7" s="2" t="str">
        <f>IF(X7="","",CONCATENATE("(",IF(($J7-COUNTIF($Y7:$Z7,"X")*8)=1,"16)",CONCATENATE(IF(($J7-COUNTIF($Y7:$Z7,"X")*8)&gt;=8,24,($J7-COUNTIF($Y7:$Z7,"X")*8)+16)-1," downto 16)"))))</f>
        <v/>
      </c>
      <c r="AC7" s="2" t="str">
        <f>IF(Y7="","",CONCATENATE("(",IF(($J7-COUNTIF($Z7,"X")*8)=1,"8)",CONCATENATE(IF(($J7-COUNTIF($Z7,"X")*8)&gt;=8,16,($J7-COUNTIF($Z7,"X")*8)+8)-1," downto 8)"))))</f>
        <v/>
      </c>
      <c r="AD7" s="2" t="str">
        <f>IF(Z7="","",CONCATENATE("(",IF($J7=1,"0)",CONCATENATE(IF($J7&gt;=8,8,$J7)-1," downto 0)"))))</f>
        <v>(0)</v>
      </c>
      <c r="AE7" s="2" t="str">
        <f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>IF(Z7="","",IF($J7&lt;=8,"",CONCATENATE("(",IF($J7&gt;=8,7,$J7-1)," downto ",0,")")))</f>
        <v/>
      </c>
    </row>
    <row r="8" spans="1:35" x14ac:dyDescent="0.25">
      <c r="B8" s="2" t="s">
        <v>144</v>
      </c>
      <c r="C8" s="2" t="s">
        <v>2758</v>
      </c>
      <c r="D8" s="2" t="s">
        <v>0</v>
      </c>
      <c r="E8" s="2" t="s">
        <v>130</v>
      </c>
      <c r="F8" s="2" t="s">
        <v>146</v>
      </c>
      <c r="G8" s="2" t="s">
        <v>147</v>
      </c>
      <c r="H8" s="2" t="s">
        <v>2784</v>
      </c>
      <c r="I8" s="2" t="s">
        <v>41</v>
      </c>
      <c r="J8" s="2">
        <v>24</v>
      </c>
      <c r="K8" s="2" t="s">
        <v>132</v>
      </c>
      <c r="L8" s="2" t="s">
        <v>40</v>
      </c>
      <c r="M8" s="2" t="s">
        <v>2394</v>
      </c>
      <c r="N8" s="2" t="s">
        <v>2327</v>
      </c>
      <c r="O8" s="2" t="s">
        <v>2825</v>
      </c>
      <c r="P8" s="2" t="s">
        <v>48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12</v>
      </c>
      <c r="T8" s="2" t="str">
        <f t="shared" ref="T8:T71" si="0">DEC2HEX($S8,4)</f>
        <v>000C</v>
      </c>
      <c r="U8" s="2">
        <f t="shared" ref="U8:U71" si="1">ROUNDDOWN(S8/4,0)</f>
        <v>3</v>
      </c>
      <c r="V8" s="2" t="str">
        <f t="shared" ref="V8:V71" si="2">DEC2HEX($U8,3)</f>
        <v>003</v>
      </c>
      <c r="W8" s="2" t="str">
        <f t="shared" ref="W8:W71" si="3">IF(MOD($S8,4)=3,"X",IF(AND(MOD($S8,4)=2,$J8&gt;8),"X",IF(AND(MOD($S8,4)=1,$J8&gt;16),"X",IF(AND(MOD($S8,4)=0,$J8&gt;24),"X",""))))</f>
        <v/>
      </c>
      <c r="X8" s="2" t="str">
        <f t="shared" ref="X8:X71" si="4">IF(MOD($S8,4)=2,"X",IF(AND(MOD($S8,4)=1,$J8&gt;8),"X",IF(AND(MOD($S8,4)=0,$J8&gt;16),"X","")))</f>
        <v>X</v>
      </c>
      <c r="Y8" s="2" t="str">
        <f t="shared" ref="Y8:Y71" si="5">IF(MOD($S8,4)=1,"X",IF(AND(MOD($S8,4)=0,$J8&gt;8),"X",""))</f>
        <v>X</v>
      </c>
      <c r="Z8" s="2" t="str">
        <f t="shared" ref="Z8:Z71" si="6">IF(MOD($S8,4)=0,"X","")</f>
        <v>X</v>
      </c>
      <c r="AA8" s="2" t="str">
        <f t="shared" ref="AA8:AA71" si="7">IF(W8="","",CONCATENATE("(",IF(($J8-COUNTIF($X8:$Z8,"X")*8)=1,"24)",CONCATENATE(IF(($J8-COUNTIF($X8:$Z8,"X")*8)&gt;=8,32,($J8-COUNTIF($X8:$Z8,"X")*8)+24)-1," downto 24)"))))</f>
        <v/>
      </c>
      <c r="AB8" s="2" t="str">
        <f t="shared" ref="AB8:AB71" si="8">IF(X8="","",CONCATENATE("(",IF(($J8-COUNTIF($Y8:$Z8,"X")*8)=1,"16)",CONCATENATE(IF(($J8-COUNTIF($Y8:$Z8,"X")*8)&gt;=8,24,($J8-COUNTIF($Y8:$Z8,"X")*8)+16)-1," downto 16)"))))</f>
        <v>(23 downto 16)</v>
      </c>
      <c r="AC8" s="2" t="str">
        <f t="shared" ref="AC8:AC71" si="9">IF(Y8="","",CONCATENATE("(",IF(($J8-COUNTIF($Z8,"X")*8)=1,"8)",CONCATENATE(IF(($J8-COUNTIF($Z8,"X")*8)&gt;=8,16,($J8-COUNTIF($Z8,"X")*8)+8)-1," downto 8)"))))</f>
        <v>(15 downto 8)</v>
      </c>
      <c r="AD8" s="2" t="str">
        <f t="shared" ref="AD8:AD71" si="10">IF(Z8="","",CONCATENATE("(",IF($J8=1,"0)",CONCATENATE(IF($J8&gt;=8,8,$J8)-1," downto 0)"))))</f>
        <v>(7 downto 0)</v>
      </c>
      <c r="AE8" s="2" t="str">
        <f t="shared" ref="AE8:AE71" si="11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12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>(23 downto 16)</v>
      </c>
      <c r="AG8" s="2" t="str">
        <f t="shared" ref="AG8:AG71" si="13">IF(Y8="","",IF($J8&lt;=8,"",IF(($J8-COUNTIF($Z8,"X")*8)=1,CONCATENATE("(",($J8-1),")"),CONCATENATE("(",IF(($J8-COUNTIF($Z8,"X")*8)&gt;=8,COUNTIF($Z8,"X")*8+7,$J8-COUNTIF($Z8,"X")*8-1+COUNTIF($Z8,"X")*8)," downto ",COUNTIF($Z8,"X")*8,")"))))</f>
        <v>(15 downto 8)</v>
      </c>
      <c r="AH8" s="2" t="str">
        <f t="shared" ref="AH8:AH71" si="14">IF(Z8="","",IF($J8&lt;=8,"",CONCATENATE("(",IF($J8&gt;=8,7,$J8-1)," downto ",0,")")))</f>
        <v>(7 downto 0)</v>
      </c>
    </row>
    <row r="9" spans="1:35" x14ac:dyDescent="0.25">
      <c r="B9" s="2" t="s">
        <v>158</v>
      </c>
      <c r="C9" s="2" t="s">
        <v>2759</v>
      </c>
      <c r="D9" s="2" t="s">
        <v>0</v>
      </c>
      <c r="E9" s="2" t="s">
        <v>130</v>
      </c>
      <c r="F9" s="2" t="s">
        <v>159</v>
      </c>
      <c r="G9" s="2" t="s">
        <v>160</v>
      </c>
      <c r="H9" s="2" t="s">
        <v>2784</v>
      </c>
      <c r="I9" s="2" t="s">
        <v>41</v>
      </c>
      <c r="J9" s="2">
        <v>32</v>
      </c>
      <c r="K9" s="2" t="s">
        <v>2760</v>
      </c>
      <c r="L9" s="2" t="s">
        <v>40</v>
      </c>
      <c r="M9" s="2" t="s">
        <v>2394</v>
      </c>
      <c r="N9" s="2" t="s">
        <v>2328</v>
      </c>
      <c r="O9" s="2" t="s">
        <v>2825</v>
      </c>
      <c r="P9" s="2" t="s">
        <v>48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16</v>
      </c>
      <c r="T9" s="2" t="str">
        <f t="shared" si="0"/>
        <v>0010</v>
      </c>
      <c r="U9" s="2">
        <f t="shared" si="1"/>
        <v>4</v>
      </c>
      <c r="V9" s="2" t="str">
        <f t="shared" si="2"/>
        <v>004</v>
      </c>
      <c r="W9" s="2" t="str">
        <f t="shared" si="3"/>
        <v>X</v>
      </c>
      <c r="X9" s="2" t="str">
        <f t="shared" si="4"/>
        <v>X</v>
      </c>
      <c r="Y9" s="2" t="str">
        <f t="shared" si="5"/>
        <v>X</v>
      </c>
      <c r="Z9" s="2" t="str">
        <f t="shared" si="6"/>
        <v>X</v>
      </c>
      <c r="AA9" s="2" t="str">
        <f t="shared" si="7"/>
        <v>(31 downto 24)</v>
      </c>
      <c r="AB9" s="2" t="str">
        <f t="shared" si="8"/>
        <v>(23 downto 16)</v>
      </c>
      <c r="AC9" s="2" t="str">
        <f t="shared" si="9"/>
        <v>(15 downto 8)</v>
      </c>
      <c r="AD9" s="2" t="str">
        <f t="shared" si="10"/>
        <v>(7 downto 0)</v>
      </c>
      <c r="AE9" s="2" t="str">
        <f t="shared" si="11"/>
        <v>(31 downto 24)</v>
      </c>
      <c r="AF9" s="2" t="str">
        <f t="shared" si="12"/>
        <v>(23 downto 16)</v>
      </c>
      <c r="AG9" s="2" t="str">
        <f t="shared" si="13"/>
        <v>(15 downto 8)</v>
      </c>
      <c r="AH9" s="2" t="str">
        <f t="shared" si="14"/>
        <v>(7 downto 0)</v>
      </c>
    </row>
    <row r="10" spans="1:35" x14ac:dyDescent="0.25">
      <c r="B10" s="2" t="s">
        <v>161</v>
      </c>
      <c r="C10" s="2" t="s">
        <v>162</v>
      </c>
      <c r="D10" s="2" t="s">
        <v>0</v>
      </c>
      <c r="E10" s="2" t="s">
        <v>130</v>
      </c>
      <c r="F10" s="2" t="s">
        <v>163</v>
      </c>
      <c r="G10" s="2" t="s">
        <v>164</v>
      </c>
      <c r="H10" s="2" t="s">
        <v>165</v>
      </c>
      <c r="I10" s="2" t="s">
        <v>41</v>
      </c>
      <c r="J10" s="2">
        <v>32</v>
      </c>
      <c r="K10" s="2" t="s">
        <v>132</v>
      </c>
      <c r="L10" s="2" t="s">
        <v>40</v>
      </c>
      <c r="M10" s="2" t="s">
        <v>2394</v>
      </c>
      <c r="N10" s="2" t="s">
        <v>2329</v>
      </c>
      <c r="O10" s="2" t="s">
        <v>2291</v>
      </c>
      <c r="P10" s="2" t="s">
        <v>48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20</v>
      </c>
      <c r="T10" s="2" t="str">
        <f t="shared" si="0"/>
        <v>0014</v>
      </c>
      <c r="U10" s="2">
        <f t="shared" si="1"/>
        <v>5</v>
      </c>
      <c r="V10" s="2" t="str">
        <f t="shared" si="2"/>
        <v>005</v>
      </c>
      <c r="W10" s="2" t="str">
        <f t="shared" si="3"/>
        <v>X</v>
      </c>
      <c r="X10" s="2" t="str">
        <f t="shared" si="4"/>
        <v>X</v>
      </c>
      <c r="Y10" s="2" t="str">
        <f t="shared" si="5"/>
        <v>X</v>
      </c>
      <c r="Z10" s="2" t="str">
        <f t="shared" si="6"/>
        <v>X</v>
      </c>
      <c r="AA10" s="2" t="str">
        <f t="shared" si="7"/>
        <v>(31 downto 24)</v>
      </c>
      <c r="AB10" s="2" t="str">
        <f t="shared" si="8"/>
        <v>(23 downto 16)</v>
      </c>
      <c r="AC10" s="2" t="str">
        <f t="shared" si="9"/>
        <v>(15 downto 8)</v>
      </c>
      <c r="AD10" s="2" t="str">
        <f t="shared" si="10"/>
        <v>(7 downto 0)</v>
      </c>
      <c r="AE10" s="2" t="str">
        <f t="shared" si="11"/>
        <v>(31 downto 24)</v>
      </c>
      <c r="AF10" s="2" t="str">
        <f t="shared" si="12"/>
        <v>(23 downto 16)</v>
      </c>
      <c r="AG10" s="2" t="str">
        <f t="shared" si="13"/>
        <v>(15 downto 8)</v>
      </c>
      <c r="AH10" s="2" t="str">
        <f t="shared" si="14"/>
        <v>(7 downto 0)</v>
      </c>
    </row>
    <row r="11" spans="1:35" x14ac:dyDescent="0.25">
      <c r="B11" s="2" t="s">
        <v>166</v>
      </c>
      <c r="C11" s="2" t="s">
        <v>2761</v>
      </c>
      <c r="D11" s="2" t="s">
        <v>0</v>
      </c>
      <c r="E11" s="2" t="s">
        <v>130</v>
      </c>
      <c r="F11" s="2" t="s">
        <v>167</v>
      </c>
      <c r="G11" s="2" t="s">
        <v>168</v>
      </c>
      <c r="H11" s="2" t="s">
        <v>2784</v>
      </c>
      <c r="I11" s="2" t="s">
        <v>41</v>
      </c>
      <c r="J11" s="2">
        <v>32</v>
      </c>
      <c r="K11" s="2" t="s">
        <v>132</v>
      </c>
      <c r="L11" s="2" t="s">
        <v>40</v>
      </c>
      <c r="M11" s="2" t="s">
        <v>2394</v>
      </c>
      <c r="N11" s="2" t="s">
        <v>2330</v>
      </c>
      <c r="O11" s="2" t="s">
        <v>2825</v>
      </c>
      <c r="P11" s="2" t="s">
        <v>48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24</v>
      </c>
      <c r="T11" s="2" t="str">
        <f t="shared" si="0"/>
        <v>0018</v>
      </c>
      <c r="U11" s="2">
        <f t="shared" si="1"/>
        <v>6</v>
      </c>
      <c r="V11" s="2" t="str">
        <f t="shared" si="2"/>
        <v>006</v>
      </c>
      <c r="W11" s="2" t="str">
        <f t="shared" si="3"/>
        <v>X</v>
      </c>
      <c r="X11" s="2" t="str">
        <f t="shared" si="4"/>
        <v>X</v>
      </c>
      <c r="Y11" s="2" t="str">
        <f t="shared" si="5"/>
        <v>X</v>
      </c>
      <c r="Z11" s="2" t="str">
        <f t="shared" si="6"/>
        <v>X</v>
      </c>
      <c r="AA11" s="2" t="str">
        <f t="shared" si="7"/>
        <v>(31 downto 24)</v>
      </c>
      <c r="AB11" s="2" t="str">
        <f t="shared" si="8"/>
        <v>(23 downto 16)</v>
      </c>
      <c r="AC11" s="2" t="str">
        <f t="shared" si="9"/>
        <v>(15 downto 8)</v>
      </c>
      <c r="AD11" s="2" t="str">
        <f t="shared" si="10"/>
        <v>(7 downto 0)</v>
      </c>
      <c r="AE11" s="2" t="str">
        <f t="shared" si="11"/>
        <v>(31 downto 24)</v>
      </c>
      <c r="AF11" s="2" t="str">
        <f t="shared" si="12"/>
        <v>(23 downto 16)</v>
      </c>
      <c r="AG11" s="2" t="str">
        <f t="shared" si="13"/>
        <v>(15 downto 8)</v>
      </c>
      <c r="AH11" s="2" t="str">
        <f t="shared" si="14"/>
        <v>(7 downto 0)</v>
      </c>
    </row>
    <row r="12" spans="1:35" x14ac:dyDescent="0.25">
      <c r="B12" s="2" t="s">
        <v>169</v>
      </c>
      <c r="C12" s="2" t="s">
        <v>170</v>
      </c>
      <c r="D12" s="2" t="s">
        <v>0</v>
      </c>
      <c r="E12" s="2" t="s">
        <v>130</v>
      </c>
      <c r="F12" s="2" t="s">
        <v>171</v>
      </c>
      <c r="G12" s="2" t="s">
        <v>172</v>
      </c>
      <c r="H12" s="2" t="s">
        <v>173</v>
      </c>
      <c r="I12" s="2" t="s">
        <v>41</v>
      </c>
      <c r="J12" s="2">
        <v>2</v>
      </c>
      <c r="K12" s="2" t="s">
        <v>140</v>
      </c>
      <c r="L12" s="2" t="s">
        <v>40</v>
      </c>
      <c r="M12" s="2" t="s">
        <v>2394</v>
      </c>
      <c r="N12" s="2" t="s">
        <v>2331</v>
      </c>
      <c r="O12" s="2" t="s">
        <v>2293</v>
      </c>
      <c r="P12" s="2" t="s">
        <v>47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28</v>
      </c>
      <c r="T12" s="2" t="str">
        <f t="shared" si="0"/>
        <v>001C</v>
      </c>
      <c r="U12" s="2">
        <f t="shared" si="1"/>
        <v>7</v>
      </c>
      <c r="V12" s="2" t="str">
        <f t="shared" si="2"/>
        <v>007</v>
      </c>
      <c r="W12" s="2" t="str">
        <f t="shared" si="3"/>
        <v/>
      </c>
      <c r="X12" s="2" t="str">
        <f t="shared" si="4"/>
        <v/>
      </c>
      <c r="Y12" s="2" t="str">
        <f t="shared" si="5"/>
        <v/>
      </c>
      <c r="Z12" s="2" t="str">
        <f t="shared" si="6"/>
        <v>X</v>
      </c>
      <c r="AA12" s="2" t="str">
        <f t="shared" si="7"/>
        <v/>
      </c>
      <c r="AB12" s="2" t="str">
        <f t="shared" si="8"/>
        <v/>
      </c>
      <c r="AC12" s="2" t="str">
        <f t="shared" si="9"/>
        <v/>
      </c>
      <c r="AD12" s="2" t="str">
        <f t="shared" si="10"/>
        <v>(1 downto 0)</v>
      </c>
      <c r="AE12" s="2" t="str">
        <f t="shared" si="11"/>
        <v/>
      </c>
      <c r="AF12" s="2" t="str">
        <f t="shared" si="12"/>
        <v/>
      </c>
      <c r="AG12" s="2" t="str">
        <f t="shared" si="13"/>
        <v/>
      </c>
      <c r="AH12" s="2" t="str">
        <f t="shared" si="14"/>
        <v/>
      </c>
    </row>
    <row r="13" spans="1:35" x14ac:dyDescent="0.25">
      <c r="B13" s="2" t="s">
        <v>169</v>
      </c>
      <c r="C13" s="2" t="s">
        <v>174</v>
      </c>
      <c r="D13" s="2" t="s">
        <v>0</v>
      </c>
      <c r="E13" s="2" t="s">
        <v>130</v>
      </c>
      <c r="F13" s="2" t="s">
        <v>171</v>
      </c>
      <c r="G13" s="2" t="s">
        <v>172</v>
      </c>
      <c r="H13" s="2" t="s">
        <v>175</v>
      </c>
      <c r="I13" s="2" t="s">
        <v>41</v>
      </c>
      <c r="J13" s="2">
        <v>14</v>
      </c>
      <c r="K13" s="2" t="s">
        <v>176</v>
      </c>
      <c r="L13" s="2" t="s">
        <v>40</v>
      </c>
      <c r="M13" s="2" t="s">
        <v>2394</v>
      </c>
      <c r="N13" s="2" t="s">
        <v>2331</v>
      </c>
      <c r="O13" s="2" t="s">
        <v>2294</v>
      </c>
      <c r="P13" s="2" t="s">
        <v>49</v>
      </c>
      <c r="Q13" s="2">
        <f>INDEX(Tables!$C$4:$C$28,MATCH($P13,Tables!$B$4:$B$28,0))</f>
        <v>16</v>
      </c>
      <c r="R13" s="2">
        <f>INDEX(Tables!$D$4:$D$28,MATCH($P13,Tables!$B$4:$B$28,0))</f>
        <v>2</v>
      </c>
      <c r="S13" s="2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30</v>
      </c>
      <c r="T13" s="2" t="str">
        <f t="shared" si="0"/>
        <v>001E</v>
      </c>
      <c r="U13" s="2">
        <f t="shared" si="1"/>
        <v>7</v>
      </c>
      <c r="V13" s="2" t="str">
        <f t="shared" si="2"/>
        <v>007</v>
      </c>
      <c r="W13" s="2" t="str">
        <f t="shared" si="3"/>
        <v>X</v>
      </c>
      <c r="X13" s="2" t="str">
        <f t="shared" si="4"/>
        <v>X</v>
      </c>
      <c r="Y13" s="2" t="str">
        <f t="shared" si="5"/>
        <v/>
      </c>
      <c r="Z13" s="2" t="str">
        <f t="shared" si="6"/>
        <v/>
      </c>
      <c r="AA13" s="2" t="str">
        <f t="shared" si="7"/>
        <v>(29 downto 24)</v>
      </c>
      <c r="AB13" s="2" t="str">
        <f t="shared" si="8"/>
        <v>(23 downto 16)</v>
      </c>
      <c r="AC13" s="2" t="str">
        <f t="shared" si="9"/>
        <v/>
      </c>
      <c r="AD13" s="2" t="str">
        <f t="shared" si="10"/>
        <v/>
      </c>
      <c r="AE13" s="2" t="str">
        <f t="shared" si="11"/>
        <v>(13 downto 8)</v>
      </c>
      <c r="AF13" s="2" t="str">
        <f t="shared" si="12"/>
        <v>(7 downto 0)</v>
      </c>
      <c r="AG13" s="2" t="str">
        <f t="shared" si="13"/>
        <v/>
      </c>
      <c r="AH13" s="2" t="str">
        <f t="shared" si="14"/>
        <v/>
      </c>
    </row>
    <row r="14" spans="1:35" x14ac:dyDescent="0.25">
      <c r="B14" s="2" t="s">
        <v>169</v>
      </c>
      <c r="C14" s="2" t="s">
        <v>141</v>
      </c>
      <c r="D14" s="2" t="s">
        <v>0</v>
      </c>
      <c r="E14" s="2" t="s">
        <v>130</v>
      </c>
      <c r="F14" s="2" t="s">
        <v>171</v>
      </c>
      <c r="G14" s="2" t="s">
        <v>172</v>
      </c>
      <c r="H14" s="2" t="s">
        <v>142</v>
      </c>
      <c r="I14" s="2" t="s">
        <v>41</v>
      </c>
      <c r="J14" s="2">
        <v>2</v>
      </c>
      <c r="K14" s="2" t="s">
        <v>132</v>
      </c>
      <c r="L14" s="2" t="s">
        <v>40</v>
      </c>
      <c r="M14" s="2" t="s">
        <v>2394</v>
      </c>
      <c r="N14" s="2" t="s">
        <v>2331</v>
      </c>
      <c r="O14" s="2" t="s">
        <v>2295</v>
      </c>
      <c r="P14" s="2" t="s">
        <v>47</v>
      </c>
      <c r="Q14" s="2">
        <f>INDEX(Tables!$C$4:$C$28,MATCH($P14,Tables!$B$4:$B$28,0))</f>
        <v>8</v>
      </c>
      <c r="R14" s="2">
        <f>INDEX(Tables!$D$4:$D$28,MATCH($P14,Tables!$B$4:$B$28,0))</f>
        <v>1</v>
      </c>
      <c r="S14" s="2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32</v>
      </c>
      <c r="T14" s="2" t="str">
        <f t="shared" si="0"/>
        <v>0020</v>
      </c>
      <c r="U14" s="2">
        <f t="shared" si="1"/>
        <v>8</v>
      </c>
      <c r="V14" s="2" t="str">
        <f t="shared" si="2"/>
        <v>008</v>
      </c>
      <c r="W14" s="2" t="str">
        <f t="shared" si="3"/>
        <v/>
      </c>
      <c r="X14" s="2" t="str">
        <f t="shared" si="4"/>
        <v/>
      </c>
      <c r="Y14" s="2" t="str">
        <f t="shared" si="5"/>
        <v/>
      </c>
      <c r="Z14" s="2" t="str">
        <f t="shared" si="6"/>
        <v>X</v>
      </c>
      <c r="AA14" s="2" t="str">
        <f t="shared" si="7"/>
        <v/>
      </c>
      <c r="AB14" s="2" t="str">
        <f t="shared" si="8"/>
        <v/>
      </c>
      <c r="AC14" s="2" t="str">
        <f t="shared" si="9"/>
        <v/>
      </c>
      <c r="AD14" s="2" t="str">
        <f t="shared" si="10"/>
        <v>(1 downto 0)</v>
      </c>
      <c r="AE14" s="2" t="str">
        <f t="shared" si="11"/>
        <v/>
      </c>
      <c r="AF14" s="2" t="str">
        <f t="shared" si="12"/>
        <v/>
      </c>
      <c r="AG14" s="2" t="str">
        <f t="shared" si="13"/>
        <v/>
      </c>
      <c r="AH14" s="2" t="str">
        <f t="shared" si="14"/>
        <v/>
      </c>
    </row>
    <row r="15" spans="1:35" x14ac:dyDescent="0.25">
      <c r="B15" s="2" t="s">
        <v>169</v>
      </c>
      <c r="C15" s="2" t="s">
        <v>177</v>
      </c>
      <c r="D15" s="2" t="s">
        <v>0</v>
      </c>
      <c r="E15" s="2" t="s">
        <v>130</v>
      </c>
      <c r="F15" s="2" t="s">
        <v>171</v>
      </c>
      <c r="G15" s="2" t="s">
        <v>172</v>
      </c>
      <c r="H15" s="2" t="s">
        <v>178</v>
      </c>
      <c r="I15" s="2" t="s">
        <v>41</v>
      </c>
      <c r="J15" s="2">
        <v>14</v>
      </c>
      <c r="K15" s="2" t="s">
        <v>176</v>
      </c>
      <c r="L15" s="2" t="s">
        <v>40</v>
      </c>
      <c r="M15" s="2" t="s">
        <v>2394</v>
      </c>
      <c r="N15" s="2" t="s">
        <v>2331</v>
      </c>
      <c r="O15" s="2" t="s">
        <v>2296</v>
      </c>
      <c r="P15" s="2" t="s">
        <v>49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34</v>
      </c>
      <c r="T15" s="2" t="str">
        <f t="shared" si="0"/>
        <v>0022</v>
      </c>
      <c r="U15" s="2">
        <f t="shared" si="1"/>
        <v>8</v>
      </c>
      <c r="V15" s="2" t="str">
        <f t="shared" si="2"/>
        <v>008</v>
      </c>
      <c r="W15" s="2" t="str">
        <f t="shared" si="3"/>
        <v>X</v>
      </c>
      <c r="X15" s="2" t="str">
        <f t="shared" si="4"/>
        <v>X</v>
      </c>
      <c r="Y15" s="2" t="str">
        <f t="shared" si="5"/>
        <v/>
      </c>
      <c r="Z15" s="2" t="str">
        <f t="shared" si="6"/>
        <v/>
      </c>
      <c r="AA15" s="2" t="str">
        <f t="shared" si="7"/>
        <v>(29 downto 24)</v>
      </c>
      <c r="AB15" s="2" t="str">
        <f t="shared" si="8"/>
        <v>(23 downto 16)</v>
      </c>
      <c r="AC15" s="2" t="str">
        <f t="shared" si="9"/>
        <v/>
      </c>
      <c r="AD15" s="2" t="str">
        <f t="shared" si="10"/>
        <v/>
      </c>
      <c r="AE15" s="2" t="str">
        <f t="shared" si="11"/>
        <v>(13 downto 8)</v>
      </c>
      <c r="AF15" s="2" t="str">
        <f t="shared" si="12"/>
        <v>(7 downto 0)</v>
      </c>
      <c r="AG15" s="2" t="str">
        <f t="shared" si="13"/>
        <v/>
      </c>
      <c r="AH15" s="2" t="str">
        <f t="shared" si="14"/>
        <v/>
      </c>
    </row>
    <row r="16" spans="1:35" x14ac:dyDescent="0.25">
      <c r="B16" s="2" t="s">
        <v>179</v>
      </c>
      <c r="C16" s="2" t="s">
        <v>2762</v>
      </c>
      <c r="D16" s="2" t="s">
        <v>0</v>
      </c>
      <c r="E16" s="2" t="s">
        <v>130</v>
      </c>
      <c r="F16" s="2" t="s">
        <v>180</v>
      </c>
      <c r="G16" s="2" t="s">
        <v>181</v>
      </c>
      <c r="H16" s="2" t="s">
        <v>2784</v>
      </c>
      <c r="I16" s="2" t="s">
        <v>41</v>
      </c>
      <c r="J16" s="2">
        <v>32</v>
      </c>
      <c r="K16" s="2" t="s">
        <v>132</v>
      </c>
      <c r="L16" s="2" t="s">
        <v>40</v>
      </c>
      <c r="M16" s="2" t="s">
        <v>2394</v>
      </c>
      <c r="N16" s="2" t="s">
        <v>2332</v>
      </c>
      <c r="O16" s="2" t="s">
        <v>2825</v>
      </c>
      <c r="P16" s="2" t="s">
        <v>48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36</v>
      </c>
      <c r="T16" s="2" t="str">
        <f t="shared" si="0"/>
        <v>0024</v>
      </c>
      <c r="U16" s="2">
        <f t="shared" si="1"/>
        <v>9</v>
      </c>
      <c r="V16" s="2" t="str">
        <f t="shared" si="2"/>
        <v>009</v>
      </c>
      <c r="W16" s="2" t="str">
        <f t="shared" si="3"/>
        <v>X</v>
      </c>
      <c r="X16" s="2" t="str">
        <f t="shared" si="4"/>
        <v>X</v>
      </c>
      <c r="Y16" s="2" t="str">
        <f t="shared" si="5"/>
        <v>X</v>
      </c>
      <c r="Z16" s="2" t="str">
        <f t="shared" si="6"/>
        <v>X</v>
      </c>
      <c r="AA16" s="2" t="str">
        <f t="shared" si="7"/>
        <v>(31 downto 24)</v>
      </c>
      <c r="AB16" s="2" t="str">
        <f t="shared" si="8"/>
        <v>(23 downto 16)</v>
      </c>
      <c r="AC16" s="2" t="str">
        <f t="shared" si="9"/>
        <v>(15 downto 8)</v>
      </c>
      <c r="AD16" s="2" t="str">
        <f t="shared" si="10"/>
        <v>(7 downto 0)</v>
      </c>
      <c r="AE16" s="2" t="str">
        <f t="shared" si="11"/>
        <v>(31 downto 24)</v>
      </c>
      <c r="AF16" s="2" t="str">
        <f t="shared" si="12"/>
        <v>(23 downto 16)</v>
      </c>
      <c r="AG16" s="2" t="str">
        <f t="shared" si="13"/>
        <v>(15 downto 8)</v>
      </c>
      <c r="AH16" s="2" t="str">
        <f t="shared" si="14"/>
        <v>(7 downto 0)</v>
      </c>
    </row>
    <row r="17" spans="2:34" x14ac:dyDescent="0.25">
      <c r="B17" s="2" t="s">
        <v>182</v>
      </c>
      <c r="C17" s="2" t="s">
        <v>2763</v>
      </c>
      <c r="D17" s="2" t="s">
        <v>0</v>
      </c>
      <c r="E17" s="2" t="s">
        <v>130</v>
      </c>
      <c r="F17" s="2" t="s">
        <v>183</v>
      </c>
      <c r="G17" s="2" t="s">
        <v>184</v>
      </c>
      <c r="H17" s="2" t="s">
        <v>2784</v>
      </c>
      <c r="I17" s="2" t="s">
        <v>41</v>
      </c>
      <c r="J17" s="2">
        <v>32</v>
      </c>
      <c r="K17" s="2" t="s">
        <v>2764</v>
      </c>
      <c r="L17" s="2" t="s">
        <v>40</v>
      </c>
      <c r="M17" s="2" t="s">
        <v>2394</v>
      </c>
      <c r="N17" s="2" t="s">
        <v>2333</v>
      </c>
      <c r="O17" s="2" t="s">
        <v>2825</v>
      </c>
      <c r="P17" s="2" t="s">
        <v>48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40</v>
      </c>
      <c r="T17" s="2" t="str">
        <f t="shared" si="0"/>
        <v>0028</v>
      </c>
      <c r="U17" s="2">
        <f t="shared" si="1"/>
        <v>10</v>
      </c>
      <c r="V17" s="2" t="str">
        <f t="shared" si="2"/>
        <v>00A</v>
      </c>
      <c r="W17" s="2" t="str">
        <f t="shared" si="3"/>
        <v>X</v>
      </c>
      <c r="X17" s="2" t="str">
        <f t="shared" si="4"/>
        <v>X</v>
      </c>
      <c r="Y17" s="2" t="str">
        <f t="shared" si="5"/>
        <v>X</v>
      </c>
      <c r="Z17" s="2" t="str">
        <f t="shared" si="6"/>
        <v>X</v>
      </c>
      <c r="AA17" s="2" t="str">
        <f t="shared" si="7"/>
        <v>(31 downto 24)</v>
      </c>
      <c r="AB17" s="2" t="str">
        <f t="shared" si="8"/>
        <v>(23 downto 16)</v>
      </c>
      <c r="AC17" s="2" t="str">
        <f t="shared" si="9"/>
        <v>(15 downto 8)</v>
      </c>
      <c r="AD17" s="2" t="str">
        <f t="shared" si="10"/>
        <v>(7 downto 0)</v>
      </c>
      <c r="AE17" s="2" t="str">
        <f t="shared" si="11"/>
        <v>(31 downto 24)</v>
      </c>
      <c r="AF17" s="2" t="str">
        <f t="shared" si="12"/>
        <v>(23 downto 16)</v>
      </c>
      <c r="AG17" s="2" t="str">
        <f t="shared" si="13"/>
        <v>(15 downto 8)</v>
      </c>
      <c r="AH17" s="2" t="str">
        <f t="shared" si="14"/>
        <v>(7 downto 0)</v>
      </c>
    </row>
    <row r="18" spans="2:34" x14ac:dyDescent="0.25">
      <c r="B18" s="2" t="s">
        <v>185</v>
      </c>
      <c r="C18" s="2" t="s">
        <v>2765</v>
      </c>
      <c r="D18" s="2" t="s">
        <v>0</v>
      </c>
      <c r="E18" s="2" t="s">
        <v>130</v>
      </c>
      <c r="F18" s="2" t="s">
        <v>186</v>
      </c>
      <c r="G18" s="2" t="s">
        <v>187</v>
      </c>
      <c r="H18" s="2" t="s">
        <v>2784</v>
      </c>
      <c r="I18" s="2" t="s">
        <v>41</v>
      </c>
      <c r="J18" s="2">
        <v>32</v>
      </c>
      <c r="K18" s="2" t="s">
        <v>2766</v>
      </c>
      <c r="L18" s="2" t="s">
        <v>40</v>
      </c>
      <c r="M18" s="2" t="s">
        <v>2394</v>
      </c>
      <c r="N18" s="2" t="s">
        <v>2334</v>
      </c>
      <c r="O18" s="2" t="s">
        <v>2825</v>
      </c>
      <c r="P18" s="2" t="s">
        <v>48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44</v>
      </c>
      <c r="T18" s="2" t="str">
        <f t="shared" si="0"/>
        <v>002C</v>
      </c>
      <c r="U18" s="2">
        <f t="shared" si="1"/>
        <v>11</v>
      </c>
      <c r="V18" s="2" t="str">
        <f t="shared" si="2"/>
        <v>00B</v>
      </c>
      <c r="W18" s="2" t="str">
        <f t="shared" si="3"/>
        <v>X</v>
      </c>
      <c r="X18" s="2" t="str">
        <f t="shared" si="4"/>
        <v>X</v>
      </c>
      <c r="Y18" s="2" t="str">
        <f t="shared" si="5"/>
        <v>X</v>
      </c>
      <c r="Z18" s="2" t="str">
        <f t="shared" si="6"/>
        <v>X</v>
      </c>
      <c r="AA18" s="2" t="str">
        <f t="shared" si="7"/>
        <v>(31 downto 24)</v>
      </c>
      <c r="AB18" s="2" t="str">
        <f t="shared" si="8"/>
        <v>(23 downto 16)</v>
      </c>
      <c r="AC18" s="2" t="str">
        <f t="shared" si="9"/>
        <v>(15 downto 8)</v>
      </c>
      <c r="AD18" s="2" t="str">
        <f t="shared" si="10"/>
        <v>(7 downto 0)</v>
      </c>
      <c r="AE18" s="2" t="str">
        <f t="shared" si="11"/>
        <v>(31 downto 24)</v>
      </c>
      <c r="AF18" s="2" t="str">
        <f t="shared" si="12"/>
        <v>(23 downto 16)</v>
      </c>
      <c r="AG18" s="2" t="str">
        <f t="shared" si="13"/>
        <v>(15 downto 8)</v>
      </c>
      <c r="AH18" s="2" t="str">
        <f t="shared" si="14"/>
        <v>(7 downto 0)</v>
      </c>
    </row>
    <row r="19" spans="2:34" x14ac:dyDescent="0.25">
      <c r="B19" s="2" t="s">
        <v>188</v>
      </c>
      <c r="C19" s="2" t="s">
        <v>141</v>
      </c>
      <c r="D19" s="2" t="s">
        <v>0</v>
      </c>
      <c r="E19" s="2" t="s">
        <v>130</v>
      </c>
      <c r="F19" s="2" t="s">
        <v>189</v>
      </c>
      <c r="G19" s="2" t="s">
        <v>190</v>
      </c>
      <c r="H19" s="2" t="s">
        <v>142</v>
      </c>
      <c r="I19" s="2" t="s">
        <v>41</v>
      </c>
      <c r="J19" s="2">
        <v>32</v>
      </c>
      <c r="K19" s="2" t="s">
        <v>132</v>
      </c>
      <c r="L19" s="2" t="s">
        <v>40</v>
      </c>
      <c r="M19" s="2" t="s">
        <v>2394</v>
      </c>
      <c r="N19" s="2" t="s">
        <v>2335</v>
      </c>
      <c r="O19" s="2" t="s">
        <v>2297</v>
      </c>
      <c r="P19" s="2" t="s">
        <v>48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48</v>
      </c>
      <c r="T19" s="2" t="str">
        <f t="shared" si="0"/>
        <v>0030</v>
      </c>
      <c r="U19" s="2">
        <f t="shared" si="1"/>
        <v>12</v>
      </c>
      <c r="V19" s="2" t="str">
        <f t="shared" si="2"/>
        <v>00C</v>
      </c>
      <c r="W19" s="2" t="str">
        <f t="shared" si="3"/>
        <v>X</v>
      </c>
      <c r="X19" s="2" t="str">
        <f t="shared" si="4"/>
        <v>X</v>
      </c>
      <c r="Y19" s="2" t="str">
        <f t="shared" si="5"/>
        <v>X</v>
      </c>
      <c r="Z19" s="2" t="str">
        <f t="shared" si="6"/>
        <v>X</v>
      </c>
      <c r="AA19" s="2" t="str">
        <f t="shared" si="7"/>
        <v>(31 downto 24)</v>
      </c>
      <c r="AB19" s="2" t="str">
        <f t="shared" si="8"/>
        <v>(23 downto 16)</v>
      </c>
      <c r="AC19" s="2" t="str">
        <f t="shared" si="9"/>
        <v>(15 downto 8)</v>
      </c>
      <c r="AD19" s="2" t="str">
        <f t="shared" si="10"/>
        <v>(7 downto 0)</v>
      </c>
      <c r="AE19" s="2" t="str">
        <f t="shared" si="11"/>
        <v>(31 downto 24)</v>
      </c>
      <c r="AF19" s="2" t="str">
        <f t="shared" si="12"/>
        <v>(23 downto 16)</v>
      </c>
      <c r="AG19" s="2" t="str">
        <f t="shared" si="13"/>
        <v>(15 downto 8)</v>
      </c>
      <c r="AH19" s="2" t="str">
        <f t="shared" si="14"/>
        <v>(7 downto 0)</v>
      </c>
    </row>
    <row r="20" spans="2:34" x14ac:dyDescent="0.25">
      <c r="B20" s="2" t="s">
        <v>191</v>
      </c>
      <c r="C20" s="2" t="s">
        <v>192</v>
      </c>
      <c r="D20" s="2" t="s">
        <v>0</v>
      </c>
      <c r="E20" s="2" t="s">
        <v>130</v>
      </c>
      <c r="F20" s="2" t="s">
        <v>193</v>
      </c>
      <c r="G20" s="2" t="s">
        <v>194</v>
      </c>
      <c r="H20" s="2" t="s">
        <v>195</v>
      </c>
      <c r="I20" s="2" t="s">
        <v>41</v>
      </c>
      <c r="J20" s="2">
        <v>8</v>
      </c>
      <c r="K20" s="2" t="s">
        <v>196</v>
      </c>
      <c r="L20" s="2" t="s">
        <v>40</v>
      </c>
      <c r="M20" s="2" t="s">
        <v>2394</v>
      </c>
      <c r="N20" s="2" t="s">
        <v>2336</v>
      </c>
      <c r="O20" s="2" t="s">
        <v>2298</v>
      </c>
      <c r="P20" s="2" t="s">
        <v>47</v>
      </c>
      <c r="Q20" s="2">
        <f>INDEX(Tables!$C$4:$C$28,MATCH($P20,Tables!$B$4:$B$28,0))</f>
        <v>8</v>
      </c>
      <c r="R20" s="2">
        <f>INDEX(Tables!$D$4:$D$28,MATCH($P20,Tables!$B$4:$B$28,0))</f>
        <v>1</v>
      </c>
      <c r="S20" s="2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52</v>
      </c>
      <c r="T20" s="2" t="str">
        <f t="shared" si="0"/>
        <v>0034</v>
      </c>
      <c r="U20" s="2">
        <f t="shared" si="1"/>
        <v>13</v>
      </c>
      <c r="V20" s="2" t="str">
        <f t="shared" si="2"/>
        <v>00D</v>
      </c>
      <c r="W20" s="2" t="str">
        <f t="shared" si="3"/>
        <v/>
      </c>
      <c r="X20" s="2" t="str">
        <f t="shared" si="4"/>
        <v/>
      </c>
      <c r="Y20" s="2" t="str">
        <f t="shared" si="5"/>
        <v/>
      </c>
      <c r="Z20" s="2" t="str">
        <f t="shared" si="6"/>
        <v>X</v>
      </c>
      <c r="AA20" s="2" t="str">
        <f t="shared" si="7"/>
        <v/>
      </c>
      <c r="AB20" s="2" t="str">
        <f t="shared" si="8"/>
        <v/>
      </c>
      <c r="AC20" s="2" t="str">
        <f t="shared" si="9"/>
        <v/>
      </c>
      <c r="AD20" s="2" t="str">
        <f t="shared" si="10"/>
        <v>(7 downto 0)</v>
      </c>
      <c r="AE20" s="2" t="str">
        <f t="shared" si="11"/>
        <v/>
      </c>
      <c r="AF20" s="2" t="str">
        <f t="shared" si="12"/>
        <v/>
      </c>
      <c r="AG20" s="2" t="str">
        <f t="shared" si="13"/>
        <v/>
      </c>
      <c r="AH20" s="2" t="str">
        <f t="shared" si="14"/>
        <v/>
      </c>
    </row>
    <row r="21" spans="2:34" x14ac:dyDescent="0.25">
      <c r="B21" s="2" t="s">
        <v>191</v>
      </c>
      <c r="C21" s="2" t="s">
        <v>197</v>
      </c>
      <c r="D21" s="2" t="s">
        <v>0</v>
      </c>
      <c r="E21" s="2" t="s">
        <v>130</v>
      </c>
      <c r="F21" s="2" t="s">
        <v>193</v>
      </c>
      <c r="G21" s="2" t="s">
        <v>194</v>
      </c>
      <c r="H21" s="2" t="s">
        <v>198</v>
      </c>
      <c r="I21" s="2" t="s">
        <v>41</v>
      </c>
      <c r="J21" s="2">
        <v>8</v>
      </c>
      <c r="K21" s="2" t="s">
        <v>199</v>
      </c>
      <c r="L21" s="2" t="s">
        <v>40</v>
      </c>
      <c r="M21" s="2" t="s">
        <v>2394</v>
      </c>
      <c r="N21" s="2" t="s">
        <v>2336</v>
      </c>
      <c r="O21" s="2" t="s">
        <v>2299</v>
      </c>
      <c r="P21" s="2" t="s">
        <v>47</v>
      </c>
      <c r="Q21" s="2">
        <f>INDEX(Tables!$C$4:$C$28,MATCH($P21,Tables!$B$4:$B$28,0))</f>
        <v>8</v>
      </c>
      <c r="R21" s="2">
        <f>INDEX(Tables!$D$4:$D$28,MATCH($P21,Tables!$B$4:$B$28,0))</f>
        <v>1</v>
      </c>
      <c r="S21" s="2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53</v>
      </c>
      <c r="T21" s="2" t="str">
        <f t="shared" si="0"/>
        <v>0035</v>
      </c>
      <c r="U21" s="2">
        <f t="shared" si="1"/>
        <v>13</v>
      </c>
      <c r="V21" s="2" t="str">
        <f t="shared" si="2"/>
        <v>00D</v>
      </c>
      <c r="W21" s="2" t="str">
        <f t="shared" si="3"/>
        <v/>
      </c>
      <c r="X21" s="2" t="str">
        <f t="shared" si="4"/>
        <v/>
      </c>
      <c r="Y21" s="2" t="str">
        <f t="shared" si="5"/>
        <v>X</v>
      </c>
      <c r="Z21" s="2" t="str">
        <f t="shared" si="6"/>
        <v/>
      </c>
      <c r="AA21" s="2" t="str">
        <f t="shared" si="7"/>
        <v/>
      </c>
      <c r="AB21" s="2" t="str">
        <f t="shared" si="8"/>
        <v/>
      </c>
      <c r="AC21" s="2" t="str">
        <f t="shared" si="9"/>
        <v>(15 downto 8)</v>
      </c>
      <c r="AD21" s="2" t="str">
        <f t="shared" si="10"/>
        <v/>
      </c>
      <c r="AE21" s="2" t="str">
        <f t="shared" si="11"/>
        <v/>
      </c>
      <c r="AF21" s="2" t="str">
        <f t="shared" si="12"/>
        <v/>
      </c>
      <c r="AG21" s="2" t="str">
        <f t="shared" si="13"/>
        <v/>
      </c>
      <c r="AH21" s="2" t="str">
        <f t="shared" si="14"/>
        <v/>
      </c>
    </row>
    <row r="22" spans="2:34" x14ac:dyDescent="0.25">
      <c r="B22" s="2" t="s">
        <v>191</v>
      </c>
      <c r="C22" s="2" t="s">
        <v>200</v>
      </c>
      <c r="D22" s="2" t="s">
        <v>0</v>
      </c>
      <c r="E22" s="2" t="s">
        <v>130</v>
      </c>
      <c r="F22" s="2" t="s">
        <v>193</v>
      </c>
      <c r="G22" s="2" t="s">
        <v>194</v>
      </c>
      <c r="H22" s="2" t="s">
        <v>201</v>
      </c>
      <c r="I22" s="2" t="s">
        <v>41</v>
      </c>
      <c r="J22" s="2">
        <v>8</v>
      </c>
      <c r="K22" s="2" t="s">
        <v>202</v>
      </c>
      <c r="L22" s="2" t="s">
        <v>40</v>
      </c>
      <c r="M22" s="2" t="s">
        <v>2394</v>
      </c>
      <c r="N22" s="2" t="s">
        <v>2336</v>
      </c>
      <c r="O22" s="2" t="s">
        <v>2300</v>
      </c>
      <c r="P22" s="2" t="s">
        <v>47</v>
      </c>
      <c r="Q22" s="2">
        <f>INDEX(Tables!$C$4:$C$28,MATCH($P22,Tables!$B$4:$B$28,0))</f>
        <v>8</v>
      </c>
      <c r="R22" s="2">
        <f>INDEX(Tables!$D$4:$D$28,MATCH($P22,Tables!$B$4:$B$28,0))</f>
        <v>1</v>
      </c>
      <c r="S22" s="2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54</v>
      </c>
      <c r="T22" s="2" t="str">
        <f t="shared" si="0"/>
        <v>0036</v>
      </c>
      <c r="U22" s="2">
        <f t="shared" si="1"/>
        <v>13</v>
      </c>
      <c r="V22" s="2" t="str">
        <f t="shared" si="2"/>
        <v>00D</v>
      </c>
      <c r="W22" s="2" t="str">
        <f t="shared" si="3"/>
        <v/>
      </c>
      <c r="X22" s="2" t="str">
        <f t="shared" si="4"/>
        <v>X</v>
      </c>
      <c r="Y22" s="2" t="str">
        <f t="shared" si="5"/>
        <v/>
      </c>
      <c r="Z22" s="2" t="str">
        <f t="shared" si="6"/>
        <v/>
      </c>
      <c r="AA22" s="2" t="str">
        <f t="shared" si="7"/>
        <v/>
      </c>
      <c r="AB22" s="2" t="str">
        <f t="shared" si="8"/>
        <v>(23 downto 16)</v>
      </c>
      <c r="AC22" s="2" t="str">
        <f t="shared" si="9"/>
        <v/>
      </c>
      <c r="AD22" s="2" t="str">
        <f t="shared" si="10"/>
        <v/>
      </c>
      <c r="AE22" s="2" t="str">
        <f t="shared" si="11"/>
        <v/>
      </c>
      <c r="AF22" s="2" t="str">
        <f t="shared" si="12"/>
        <v/>
      </c>
      <c r="AG22" s="2" t="str">
        <f t="shared" si="13"/>
        <v/>
      </c>
      <c r="AH22" s="2" t="str">
        <f t="shared" si="14"/>
        <v/>
      </c>
    </row>
    <row r="23" spans="2:34" x14ac:dyDescent="0.25">
      <c r="B23" s="2" t="s">
        <v>191</v>
      </c>
      <c r="C23" s="2" t="s">
        <v>203</v>
      </c>
      <c r="D23" s="2" t="s">
        <v>0</v>
      </c>
      <c r="E23" s="2" t="s">
        <v>130</v>
      </c>
      <c r="F23" s="2" t="s">
        <v>193</v>
      </c>
      <c r="G23" s="2" t="s">
        <v>194</v>
      </c>
      <c r="H23" s="2" t="s">
        <v>204</v>
      </c>
      <c r="I23" s="2" t="s">
        <v>41</v>
      </c>
      <c r="J23" s="2">
        <v>8</v>
      </c>
      <c r="K23" s="2" t="s">
        <v>202</v>
      </c>
      <c r="L23" s="2" t="s">
        <v>40</v>
      </c>
      <c r="M23" s="2" t="s">
        <v>2394</v>
      </c>
      <c r="N23" s="2" t="s">
        <v>2336</v>
      </c>
      <c r="O23" s="2" t="s">
        <v>2301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55</v>
      </c>
      <c r="T23" s="2" t="str">
        <f t="shared" si="0"/>
        <v>0037</v>
      </c>
      <c r="U23" s="2">
        <f t="shared" si="1"/>
        <v>13</v>
      </c>
      <c r="V23" s="2" t="str">
        <f t="shared" si="2"/>
        <v>00D</v>
      </c>
      <c r="W23" s="2" t="str">
        <f t="shared" si="3"/>
        <v>X</v>
      </c>
      <c r="X23" s="2" t="str">
        <f t="shared" si="4"/>
        <v/>
      </c>
      <c r="Y23" s="2" t="str">
        <f t="shared" si="5"/>
        <v/>
      </c>
      <c r="Z23" s="2" t="str">
        <f t="shared" si="6"/>
        <v/>
      </c>
      <c r="AA23" s="2" t="str">
        <f t="shared" si="7"/>
        <v>(31 downto 24)</v>
      </c>
      <c r="AB23" s="2" t="str">
        <f t="shared" si="8"/>
        <v/>
      </c>
      <c r="AC23" s="2" t="str">
        <f t="shared" si="9"/>
        <v/>
      </c>
      <c r="AD23" s="2" t="str">
        <f t="shared" si="10"/>
        <v/>
      </c>
      <c r="AE23" s="2" t="str">
        <f t="shared" si="11"/>
        <v/>
      </c>
      <c r="AF23" s="2" t="str">
        <f t="shared" si="12"/>
        <v/>
      </c>
      <c r="AG23" s="2" t="str">
        <f t="shared" si="13"/>
        <v/>
      </c>
      <c r="AH23" s="2" t="str">
        <f t="shared" si="14"/>
        <v/>
      </c>
    </row>
    <row r="24" spans="2:34" x14ac:dyDescent="0.25">
      <c r="B24" s="2" t="s">
        <v>205</v>
      </c>
      <c r="C24" s="2" t="s">
        <v>206</v>
      </c>
      <c r="D24" s="2" t="s">
        <v>0</v>
      </c>
      <c r="E24" s="2" t="s">
        <v>130</v>
      </c>
      <c r="F24" s="2" t="s">
        <v>207</v>
      </c>
      <c r="G24" s="2" t="s">
        <v>208</v>
      </c>
      <c r="H24" s="2" t="s">
        <v>209</v>
      </c>
      <c r="I24" s="2" t="s">
        <v>41</v>
      </c>
      <c r="J24" s="2">
        <v>8</v>
      </c>
      <c r="K24" s="2" t="s">
        <v>202</v>
      </c>
      <c r="L24" s="2" t="s">
        <v>40</v>
      </c>
      <c r="M24" s="2" t="s">
        <v>2394</v>
      </c>
      <c r="N24" s="2" t="s">
        <v>2337</v>
      </c>
      <c r="O24" s="2" t="s">
        <v>2302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56</v>
      </c>
      <c r="T24" s="2" t="str">
        <f t="shared" si="0"/>
        <v>0038</v>
      </c>
      <c r="U24" s="2">
        <f t="shared" si="1"/>
        <v>14</v>
      </c>
      <c r="V24" s="2" t="str">
        <f t="shared" si="2"/>
        <v>00E</v>
      </c>
      <c r="W24" s="2" t="str">
        <f t="shared" si="3"/>
        <v/>
      </c>
      <c r="X24" s="2" t="str">
        <f t="shared" si="4"/>
        <v/>
      </c>
      <c r="Y24" s="2" t="str">
        <f t="shared" si="5"/>
        <v/>
      </c>
      <c r="Z24" s="2" t="str">
        <f t="shared" si="6"/>
        <v>X</v>
      </c>
      <c r="AA24" s="2" t="str">
        <f t="shared" si="7"/>
        <v/>
      </c>
      <c r="AB24" s="2" t="str">
        <f t="shared" si="8"/>
        <v/>
      </c>
      <c r="AC24" s="2" t="str">
        <f t="shared" si="9"/>
        <v/>
      </c>
      <c r="AD24" s="2" t="str">
        <f t="shared" si="10"/>
        <v>(7 downto 0)</v>
      </c>
      <c r="AE24" s="2" t="str">
        <f t="shared" si="11"/>
        <v/>
      </c>
      <c r="AF24" s="2" t="str">
        <f t="shared" si="12"/>
        <v/>
      </c>
      <c r="AG24" s="2" t="str">
        <f t="shared" si="13"/>
        <v/>
      </c>
      <c r="AH24" s="2" t="str">
        <f t="shared" si="14"/>
        <v/>
      </c>
    </row>
    <row r="25" spans="2:34" x14ac:dyDescent="0.25">
      <c r="B25" s="2" t="s">
        <v>205</v>
      </c>
      <c r="C25" s="2" t="s">
        <v>210</v>
      </c>
      <c r="D25" s="2" t="s">
        <v>0</v>
      </c>
      <c r="E25" s="2" t="s">
        <v>130</v>
      </c>
      <c r="F25" s="2" t="s">
        <v>207</v>
      </c>
      <c r="G25" s="2" t="s">
        <v>208</v>
      </c>
      <c r="H25" s="2" t="s">
        <v>211</v>
      </c>
      <c r="I25" s="2" t="s">
        <v>41</v>
      </c>
      <c r="J25" s="2">
        <v>8</v>
      </c>
      <c r="K25" s="2" t="s">
        <v>202</v>
      </c>
      <c r="L25" s="2" t="s">
        <v>40</v>
      </c>
      <c r="M25" s="2" t="s">
        <v>2394</v>
      </c>
      <c r="N25" s="2" t="s">
        <v>2337</v>
      </c>
      <c r="O25" s="2" t="s">
        <v>2303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57</v>
      </c>
      <c r="T25" s="2" t="str">
        <f t="shared" si="0"/>
        <v>0039</v>
      </c>
      <c r="U25" s="2">
        <f t="shared" si="1"/>
        <v>14</v>
      </c>
      <c r="V25" s="2" t="str">
        <f t="shared" si="2"/>
        <v>00E</v>
      </c>
      <c r="W25" s="2" t="str">
        <f t="shared" si="3"/>
        <v/>
      </c>
      <c r="X25" s="2" t="str">
        <f t="shared" si="4"/>
        <v/>
      </c>
      <c r="Y25" s="2" t="str">
        <f t="shared" si="5"/>
        <v>X</v>
      </c>
      <c r="Z25" s="2" t="str">
        <f t="shared" si="6"/>
        <v/>
      </c>
      <c r="AA25" s="2" t="str">
        <f t="shared" si="7"/>
        <v/>
      </c>
      <c r="AB25" s="2" t="str">
        <f t="shared" si="8"/>
        <v/>
      </c>
      <c r="AC25" s="2" t="str">
        <f t="shared" si="9"/>
        <v>(15 downto 8)</v>
      </c>
      <c r="AD25" s="2" t="str">
        <f t="shared" si="10"/>
        <v/>
      </c>
      <c r="AE25" s="2" t="str">
        <f t="shared" si="11"/>
        <v/>
      </c>
      <c r="AF25" s="2" t="str">
        <f t="shared" si="12"/>
        <v/>
      </c>
      <c r="AG25" s="2" t="str">
        <f t="shared" si="13"/>
        <v/>
      </c>
      <c r="AH25" s="2" t="str">
        <f t="shared" si="14"/>
        <v/>
      </c>
    </row>
    <row r="26" spans="2:34" x14ac:dyDescent="0.25">
      <c r="B26" s="2" t="s">
        <v>205</v>
      </c>
      <c r="C26" s="2" t="s">
        <v>212</v>
      </c>
      <c r="D26" s="2" t="s">
        <v>0</v>
      </c>
      <c r="E26" s="2" t="s">
        <v>130</v>
      </c>
      <c r="F26" s="2" t="s">
        <v>207</v>
      </c>
      <c r="G26" s="2" t="s">
        <v>208</v>
      </c>
      <c r="H26" s="2" t="s">
        <v>213</v>
      </c>
      <c r="I26" s="2" t="s">
        <v>41</v>
      </c>
      <c r="J26" s="2">
        <v>8</v>
      </c>
      <c r="K26" s="2" t="s">
        <v>199</v>
      </c>
      <c r="L26" s="2" t="s">
        <v>40</v>
      </c>
      <c r="M26" s="2" t="s">
        <v>2394</v>
      </c>
      <c r="N26" s="2" t="s">
        <v>2337</v>
      </c>
      <c r="O26" s="2" t="s">
        <v>2304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58</v>
      </c>
      <c r="T26" s="2" t="str">
        <f t="shared" si="0"/>
        <v>003A</v>
      </c>
      <c r="U26" s="2">
        <f t="shared" si="1"/>
        <v>14</v>
      </c>
      <c r="V26" s="2" t="str">
        <f t="shared" si="2"/>
        <v>00E</v>
      </c>
      <c r="W26" s="2" t="str">
        <f t="shared" si="3"/>
        <v/>
      </c>
      <c r="X26" s="2" t="str">
        <f t="shared" si="4"/>
        <v>X</v>
      </c>
      <c r="Y26" s="2" t="str">
        <f t="shared" si="5"/>
        <v/>
      </c>
      <c r="Z26" s="2" t="str">
        <f t="shared" si="6"/>
        <v/>
      </c>
      <c r="AA26" s="2" t="str">
        <f t="shared" si="7"/>
        <v/>
      </c>
      <c r="AB26" s="2" t="str">
        <f t="shared" si="8"/>
        <v>(23 downto 16)</v>
      </c>
      <c r="AC26" s="2" t="str">
        <f t="shared" si="9"/>
        <v/>
      </c>
      <c r="AD26" s="2" t="str">
        <f t="shared" si="10"/>
        <v/>
      </c>
      <c r="AE26" s="2" t="str">
        <f t="shared" si="11"/>
        <v/>
      </c>
      <c r="AF26" s="2" t="str">
        <f t="shared" si="12"/>
        <v/>
      </c>
      <c r="AG26" s="2" t="str">
        <f t="shared" si="13"/>
        <v/>
      </c>
      <c r="AH26" s="2" t="str">
        <f t="shared" si="14"/>
        <v/>
      </c>
    </row>
    <row r="27" spans="2:34" x14ac:dyDescent="0.25">
      <c r="B27" s="2" t="s">
        <v>205</v>
      </c>
      <c r="C27" s="2" t="s">
        <v>214</v>
      </c>
      <c r="D27" s="2" t="s">
        <v>0</v>
      </c>
      <c r="E27" s="2" t="s">
        <v>130</v>
      </c>
      <c r="F27" s="2" t="s">
        <v>207</v>
      </c>
      <c r="G27" s="2" t="s">
        <v>208</v>
      </c>
      <c r="H27" s="2" t="s">
        <v>215</v>
      </c>
      <c r="I27" s="2" t="s">
        <v>41</v>
      </c>
      <c r="J27" s="2">
        <v>8</v>
      </c>
      <c r="K27" s="2" t="s">
        <v>196</v>
      </c>
      <c r="L27" s="2" t="s">
        <v>40</v>
      </c>
      <c r="M27" s="2" t="s">
        <v>2394</v>
      </c>
      <c r="N27" s="2" t="s">
        <v>2337</v>
      </c>
      <c r="O27" s="2" t="s">
        <v>2305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59</v>
      </c>
      <c r="T27" s="2" t="str">
        <f t="shared" si="0"/>
        <v>003B</v>
      </c>
      <c r="U27" s="2">
        <f t="shared" si="1"/>
        <v>14</v>
      </c>
      <c r="V27" s="2" t="str">
        <f t="shared" si="2"/>
        <v>00E</v>
      </c>
      <c r="W27" s="2" t="str">
        <f t="shared" si="3"/>
        <v>X</v>
      </c>
      <c r="X27" s="2" t="str">
        <f t="shared" si="4"/>
        <v/>
      </c>
      <c r="Y27" s="2" t="str">
        <f t="shared" si="5"/>
        <v/>
      </c>
      <c r="Z27" s="2" t="str">
        <f t="shared" si="6"/>
        <v/>
      </c>
      <c r="AA27" s="2" t="str">
        <f t="shared" si="7"/>
        <v>(31 downto 24)</v>
      </c>
      <c r="AB27" s="2" t="str">
        <f t="shared" si="8"/>
        <v/>
      </c>
      <c r="AC27" s="2" t="str">
        <f t="shared" si="9"/>
        <v/>
      </c>
      <c r="AD27" s="2" t="str">
        <f t="shared" si="10"/>
        <v/>
      </c>
      <c r="AE27" s="2" t="str">
        <f t="shared" si="11"/>
        <v/>
      </c>
      <c r="AF27" s="2" t="str">
        <f t="shared" si="12"/>
        <v/>
      </c>
      <c r="AG27" s="2" t="str">
        <f t="shared" si="13"/>
        <v/>
      </c>
      <c r="AH27" s="2" t="str">
        <f t="shared" si="14"/>
        <v/>
      </c>
    </row>
    <row r="28" spans="2:34" x14ac:dyDescent="0.25">
      <c r="B28" s="2" t="s">
        <v>216</v>
      </c>
      <c r="C28" s="2" t="s">
        <v>217</v>
      </c>
      <c r="D28" s="2" t="s">
        <v>0</v>
      </c>
      <c r="E28" s="2" t="s">
        <v>130</v>
      </c>
      <c r="F28" s="2" t="s">
        <v>218</v>
      </c>
      <c r="G28" s="2" t="s">
        <v>219</v>
      </c>
      <c r="H28" s="2" t="s">
        <v>220</v>
      </c>
      <c r="I28" s="2" t="s">
        <v>41</v>
      </c>
      <c r="J28" s="2">
        <v>8</v>
      </c>
      <c r="K28" s="2" t="s">
        <v>196</v>
      </c>
      <c r="L28" s="2" t="s">
        <v>40</v>
      </c>
      <c r="M28" s="2" t="s">
        <v>2394</v>
      </c>
      <c r="N28" s="2" t="s">
        <v>2338</v>
      </c>
      <c r="O28" s="2" t="s">
        <v>2306</v>
      </c>
      <c r="P28" s="2" t="s">
        <v>47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60</v>
      </c>
      <c r="T28" s="2" t="str">
        <f t="shared" si="0"/>
        <v>003C</v>
      </c>
      <c r="U28" s="2">
        <f t="shared" si="1"/>
        <v>15</v>
      </c>
      <c r="V28" s="2" t="str">
        <f t="shared" si="2"/>
        <v>00F</v>
      </c>
      <c r="W28" s="2" t="str">
        <f t="shared" si="3"/>
        <v/>
      </c>
      <c r="X28" s="2" t="str">
        <f t="shared" si="4"/>
        <v/>
      </c>
      <c r="Y28" s="2" t="str">
        <f t="shared" si="5"/>
        <v/>
      </c>
      <c r="Z28" s="2" t="str">
        <f t="shared" si="6"/>
        <v>X</v>
      </c>
      <c r="AA28" s="2" t="str">
        <f t="shared" si="7"/>
        <v/>
      </c>
      <c r="AB28" s="2" t="str">
        <f t="shared" si="8"/>
        <v/>
      </c>
      <c r="AC28" s="2" t="str">
        <f t="shared" si="9"/>
        <v/>
      </c>
      <c r="AD28" s="2" t="str">
        <f t="shared" si="10"/>
        <v>(7 downto 0)</v>
      </c>
      <c r="AE28" s="2" t="str">
        <f t="shared" si="11"/>
        <v/>
      </c>
      <c r="AF28" s="2" t="str">
        <f t="shared" si="12"/>
        <v/>
      </c>
      <c r="AG28" s="2" t="str">
        <f t="shared" si="13"/>
        <v/>
      </c>
      <c r="AH28" s="2" t="str">
        <f t="shared" si="14"/>
        <v/>
      </c>
    </row>
    <row r="29" spans="2:34" x14ac:dyDescent="0.25">
      <c r="B29" s="2" t="s">
        <v>216</v>
      </c>
      <c r="C29" s="2" t="s">
        <v>221</v>
      </c>
      <c r="D29" s="2" t="s">
        <v>0</v>
      </c>
      <c r="E29" s="2" t="s">
        <v>130</v>
      </c>
      <c r="F29" s="2" t="s">
        <v>218</v>
      </c>
      <c r="G29" s="2" t="s">
        <v>219</v>
      </c>
      <c r="H29" s="2" t="s">
        <v>222</v>
      </c>
      <c r="I29" s="2" t="s">
        <v>41</v>
      </c>
      <c r="J29" s="2">
        <v>8</v>
      </c>
      <c r="K29" s="2" t="s">
        <v>196</v>
      </c>
      <c r="L29" s="2" t="s">
        <v>40</v>
      </c>
      <c r="M29" s="2" t="s">
        <v>2394</v>
      </c>
      <c r="N29" s="2" t="s">
        <v>2338</v>
      </c>
      <c r="O29" s="2" t="s">
        <v>2307</v>
      </c>
      <c r="P29" s="2" t="s">
        <v>47</v>
      </c>
      <c r="Q29" s="2">
        <f>INDEX(Tables!$C$4:$C$28,MATCH($P29,Tables!$B$4:$B$28,0))</f>
        <v>8</v>
      </c>
      <c r="R29" s="2">
        <f>INDEX(Tables!$D$4:$D$28,MATCH($P29,Tables!$B$4:$B$28,0))</f>
        <v>1</v>
      </c>
      <c r="S29" s="2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61</v>
      </c>
      <c r="T29" s="2" t="str">
        <f t="shared" si="0"/>
        <v>003D</v>
      </c>
      <c r="U29" s="2">
        <f t="shared" si="1"/>
        <v>15</v>
      </c>
      <c r="V29" s="2" t="str">
        <f t="shared" si="2"/>
        <v>00F</v>
      </c>
      <c r="W29" s="2" t="str">
        <f t="shared" si="3"/>
        <v/>
      </c>
      <c r="X29" s="2" t="str">
        <f t="shared" si="4"/>
        <v/>
      </c>
      <c r="Y29" s="2" t="str">
        <f t="shared" si="5"/>
        <v>X</v>
      </c>
      <c r="Z29" s="2" t="str">
        <f t="shared" si="6"/>
        <v/>
      </c>
      <c r="AA29" s="2" t="str">
        <f t="shared" si="7"/>
        <v/>
      </c>
      <c r="AB29" s="2" t="str">
        <f t="shared" si="8"/>
        <v/>
      </c>
      <c r="AC29" s="2" t="str">
        <f t="shared" si="9"/>
        <v>(15 downto 8)</v>
      </c>
      <c r="AD29" s="2" t="str">
        <f t="shared" si="10"/>
        <v/>
      </c>
      <c r="AE29" s="2" t="str">
        <f t="shared" si="11"/>
        <v/>
      </c>
      <c r="AF29" s="2" t="str">
        <f t="shared" si="12"/>
        <v/>
      </c>
      <c r="AG29" s="2" t="str">
        <f t="shared" si="13"/>
        <v/>
      </c>
      <c r="AH29" s="2" t="str">
        <f t="shared" si="14"/>
        <v/>
      </c>
    </row>
    <row r="30" spans="2:34" x14ac:dyDescent="0.25">
      <c r="B30" s="2" t="s">
        <v>223</v>
      </c>
      <c r="C30" s="2" t="s">
        <v>2767</v>
      </c>
      <c r="D30" s="2" t="s">
        <v>0</v>
      </c>
      <c r="E30" s="2" t="s">
        <v>130</v>
      </c>
      <c r="F30" s="2" t="s">
        <v>224</v>
      </c>
      <c r="G30" s="2" t="s">
        <v>225</v>
      </c>
      <c r="H30" s="2" t="s">
        <v>2784</v>
      </c>
      <c r="I30" s="2" t="s">
        <v>41</v>
      </c>
      <c r="J30" s="2">
        <v>32</v>
      </c>
      <c r="K30" s="2" t="s">
        <v>2768</v>
      </c>
      <c r="L30" s="2" t="s">
        <v>40</v>
      </c>
      <c r="M30" s="2" t="s">
        <v>2395</v>
      </c>
      <c r="N30" s="2" t="s">
        <v>2339</v>
      </c>
      <c r="O30" s="2" t="s">
        <v>2825</v>
      </c>
      <c r="P30" s="2" t="s">
        <v>48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64</v>
      </c>
      <c r="T30" s="2" t="str">
        <f t="shared" si="0"/>
        <v>0040</v>
      </c>
      <c r="U30" s="2">
        <f t="shared" si="1"/>
        <v>16</v>
      </c>
      <c r="V30" s="2" t="str">
        <f t="shared" si="2"/>
        <v>010</v>
      </c>
      <c r="W30" s="2" t="str">
        <f t="shared" si="3"/>
        <v>X</v>
      </c>
      <c r="X30" s="2" t="str">
        <f t="shared" si="4"/>
        <v>X</v>
      </c>
      <c r="Y30" s="2" t="str">
        <f t="shared" si="5"/>
        <v>X</v>
      </c>
      <c r="Z30" s="2" t="str">
        <f t="shared" si="6"/>
        <v>X</v>
      </c>
      <c r="AA30" s="2" t="str">
        <f t="shared" si="7"/>
        <v>(31 downto 24)</v>
      </c>
      <c r="AB30" s="2" t="str">
        <f t="shared" si="8"/>
        <v>(23 downto 16)</v>
      </c>
      <c r="AC30" s="2" t="str">
        <f t="shared" si="9"/>
        <v>(15 downto 8)</v>
      </c>
      <c r="AD30" s="2" t="str">
        <f t="shared" si="10"/>
        <v>(7 downto 0)</v>
      </c>
      <c r="AE30" s="2" t="str">
        <f t="shared" si="11"/>
        <v>(31 downto 24)</v>
      </c>
      <c r="AF30" s="2" t="str">
        <f t="shared" si="12"/>
        <v>(23 downto 16)</v>
      </c>
      <c r="AG30" s="2" t="str">
        <f t="shared" si="13"/>
        <v>(15 downto 8)</v>
      </c>
      <c r="AH30" s="2" t="str">
        <f t="shared" si="14"/>
        <v>(7 downto 0)</v>
      </c>
    </row>
    <row r="31" spans="2:34" x14ac:dyDescent="0.25">
      <c r="B31" s="2" t="s">
        <v>226</v>
      </c>
      <c r="C31" s="2" t="s">
        <v>2769</v>
      </c>
      <c r="D31" s="2" t="s">
        <v>0</v>
      </c>
      <c r="E31" s="2" t="s">
        <v>130</v>
      </c>
      <c r="F31" s="2" t="s">
        <v>227</v>
      </c>
      <c r="G31" s="2" t="s">
        <v>228</v>
      </c>
      <c r="H31" s="2" t="s">
        <v>2784</v>
      </c>
      <c r="I31" s="2" t="s">
        <v>41</v>
      </c>
      <c r="J31" s="2">
        <v>32</v>
      </c>
      <c r="K31" s="2" t="s">
        <v>2770</v>
      </c>
      <c r="L31" s="2" t="s">
        <v>40</v>
      </c>
      <c r="M31" s="2" t="s">
        <v>2395</v>
      </c>
      <c r="N31" s="2" t="s">
        <v>2340</v>
      </c>
      <c r="O31" s="2" t="s">
        <v>2825</v>
      </c>
      <c r="P31" s="2" t="s">
        <v>48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68</v>
      </c>
      <c r="T31" s="2" t="str">
        <f t="shared" si="0"/>
        <v>0044</v>
      </c>
      <c r="U31" s="2">
        <f t="shared" si="1"/>
        <v>17</v>
      </c>
      <c r="V31" s="2" t="str">
        <f t="shared" si="2"/>
        <v>011</v>
      </c>
      <c r="W31" s="2" t="str">
        <f t="shared" si="3"/>
        <v>X</v>
      </c>
      <c r="X31" s="2" t="str">
        <f t="shared" si="4"/>
        <v>X</v>
      </c>
      <c r="Y31" s="2" t="str">
        <f t="shared" si="5"/>
        <v>X</v>
      </c>
      <c r="Z31" s="2" t="str">
        <f t="shared" si="6"/>
        <v>X</v>
      </c>
      <c r="AA31" s="2" t="str">
        <f t="shared" si="7"/>
        <v>(31 downto 24)</v>
      </c>
      <c r="AB31" s="2" t="str">
        <f t="shared" si="8"/>
        <v>(23 downto 16)</v>
      </c>
      <c r="AC31" s="2" t="str">
        <f t="shared" si="9"/>
        <v>(15 downto 8)</v>
      </c>
      <c r="AD31" s="2" t="str">
        <f t="shared" si="10"/>
        <v>(7 downto 0)</v>
      </c>
      <c r="AE31" s="2" t="str">
        <f t="shared" si="11"/>
        <v>(31 downto 24)</v>
      </c>
      <c r="AF31" s="2" t="str">
        <f t="shared" si="12"/>
        <v>(23 downto 16)</v>
      </c>
      <c r="AG31" s="2" t="str">
        <f t="shared" si="13"/>
        <v>(15 downto 8)</v>
      </c>
      <c r="AH31" s="2" t="str">
        <f t="shared" si="14"/>
        <v>(7 downto 0)</v>
      </c>
    </row>
    <row r="32" spans="2:34" x14ac:dyDescent="0.25">
      <c r="B32" s="2" t="s">
        <v>229</v>
      </c>
      <c r="C32" s="2" t="s">
        <v>2771</v>
      </c>
      <c r="D32" s="2" t="s">
        <v>0</v>
      </c>
      <c r="E32" s="2" t="s">
        <v>130</v>
      </c>
      <c r="F32" s="2" t="s">
        <v>230</v>
      </c>
      <c r="G32" s="2" t="s">
        <v>231</v>
      </c>
      <c r="H32" s="2" t="s">
        <v>2784</v>
      </c>
      <c r="I32" s="2" t="s">
        <v>41</v>
      </c>
      <c r="J32" s="2">
        <v>32</v>
      </c>
      <c r="K32" s="2" t="s">
        <v>132</v>
      </c>
      <c r="L32" s="2" t="s">
        <v>40</v>
      </c>
      <c r="M32" s="2" t="s">
        <v>2395</v>
      </c>
      <c r="N32" s="2" t="s">
        <v>2341</v>
      </c>
      <c r="O32" s="2" t="s">
        <v>2825</v>
      </c>
      <c r="P32" s="2" t="s">
        <v>48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72</v>
      </c>
      <c r="T32" s="2" t="str">
        <f t="shared" si="0"/>
        <v>0048</v>
      </c>
      <c r="U32" s="2">
        <f t="shared" si="1"/>
        <v>18</v>
      </c>
      <c r="V32" s="2" t="str">
        <f t="shared" si="2"/>
        <v>012</v>
      </c>
      <c r="W32" s="2" t="str">
        <f t="shared" si="3"/>
        <v>X</v>
      </c>
      <c r="X32" s="2" t="str">
        <f t="shared" si="4"/>
        <v>X</v>
      </c>
      <c r="Y32" s="2" t="str">
        <f t="shared" si="5"/>
        <v>X</v>
      </c>
      <c r="Z32" s="2" t="str">
        <f t="shared" si="6"/>
        <v>X</v>
      </c>
      <c r="AA32" s="2" t="str">
        <f t="shared" si="7"/>
        <v>(31 downto 24)</v>
      </c>
      <c r="AB32" s="2" t="str">
        <f t="shared" si="8"/>
        <v>(23 downto 16)</v>
      </c>
      <c r="AC32" s="2" t="str">
        <f t="shared" si="9"/>
        <v>(15 downto 8)</v>
      </c>
      <c r="AD32" s="2" t="str">
        <f t="shared" si="10"/>
        <v>(7 downto 0)</v>
      </c>
      <c r="AE32" s="2" t="str">
        <f t="shared" si="11"/>
        <v>(31 downto 24)</v>
      </c>
      <c r="AF32" s="2" t="str">
        <f t="shared" si="12"/>
        <v>(23 downto 16)</v>
      </c>
      <c r="AG32" s="2" t="str">
        <f t="shared" si="13"/>
        <v>(15 downto 8)</v>
      </c>
      <c r="AH32" s="2" t="str">
        <f t="shared" si="14"/>
        <v>(7 downto 0)</v>
      </c>
    </row>
    <row r="33" spans="2:34" x14ac:dyDescent="0.25">
      <c r="B33" s="2" t="s">
        <v>232</v>
      </c>
      <c r="C33" s="2" t="s">
        <v>2767</v>
      </c>
      <c r="D33" s="2" t="s">
        <v>0</v>
      </c>
      <c r="E33" s="2" t="s">
        <v>130</v>
      </c>
      <c r="F33" s="2" t="s">
        <v>233</v>
      </c>
      <c r="G33" s="2" t="s">
        <v>234</v>
      </c>
      <c r="H33" s="2" t="s">
        <v>2784</v>
      </c>
      <c r="I33" s="2" t="s">
        <v>41</v>
      </c>
      <c r="J33" s="2">
        <v>32</v>
      </c>
      <c r="K33" s="2" t="s">
        <v>2772</v>
      </c>
      <c r="L33" s="2" t="s">
        <v>40</v>
      </c>
      <c r="M33" s="2" t="s">
        <v>2395</v>
      </c>
      <c r="N33" s="2" t="s">
        <v>2342</v>
      </c>
      <c r="O33" s="2" t="s">
        <v>2825</v>
      </c>
      <c r="P33" s="2" t="s">
        <v>48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76</v>
      </c>
      <c r="T33" s="2" t="str">
        <f t="shared" si="0"/>
        <v>004C</v>
      </c>
      <c r="U33" s="2">
        <f t="shared" si="1"/>
        <v>19</v>
      </c>
      <c r="V33" s="2" t="str">
        <f t="shared" si="2"/>
        <v>013</v>
      </c>
      <c r="W33" s="2" t="str">
        <f t="shared" si="3"/>
        <v>X</v>
      </c>
      <c r="X33" s="2" t="str">
        <f t="shared" si="4"/>
        <v>X</v>
      </c>
      <c r="Y33" s="2" t="str">
        <f t="shared" si="5"/>
        <v>X</v>
      </c>
      <c r="Z33" s="2" t="str">
        <f t="shared" si="6"/>
        <v>X</v>
      </c>
      <c r="AA33" s="2" t="str">
        <f t="shared" si="7"/>
        <v>(31 downto 24)</v>
      </c>
      <c r="AB33" s="2" t="str">
        <f t="shared" si="8"/>
        <v>(23 downto 16)</v>
      </c>
      <c r="AC33" s="2" t="str">
        <f t="shared" si="9"/>
        <v>(15 downto 8)</v>
      </c>
      <c r="AD33" s="2" t="str">
        <f t="shared" si="10"/>
        <v>(7 downto 0)</v>
      </c>
      <c r="AE33" s="2" t="str">
        <f t="shared" si="11"/>
        <v>(31 downto 24)</v>
      </c>
      <c r="AF33" s="2" t="str">
        <f t="shared" si="12"/>
        <v>(23 downto 16)</v>
      </c>
      <c r="AG33" s="2" t="str">
        <f t="shared" si="13"/>
        <v>(15 downto 8)</v>
      </c>
      <c r="AH33" s="2" t="str">
        <f t="shared" si="14"/>
        <v>(7 downto 0)</v>
      </c>
    </row>
    <row r="34" spans="2:34" x14ac:dyDescent="0.25">
      <c r="B34" s="2" t="s">
        <v>235</v>
      </c>
      <c r="C34" s="2" t="s">
        <v>2769</v>
      </c>
      <c r="D34" s="2" t="s">
        <v>0</v>
      </c>
      <c r="E34" s="2" t="s">
        <v>130</v>
      </c>
      <c r="F34" s="2" t="s">
        <v>236</v>
      </c>
      <c r="G34" s="2" t="s">
        <v>237</v>
      </c>
      <c r="H34" s="2" t="s">
        <v>2784</v>
      </c>
      <c r="I34" s="2" t="s">
        <v>41</v>
      </c>
      <c r="J34" s="2">
        <v>32</v>
      </c>
      <c r="K34" s="2" t="s">
        <v>2773</v>
      </c>
      <c r="L34" s="2" t="s">
        <v>40</v>
      </c>
      <c r="M34" s="2" t="s">
        <v>2395</v>
      </c>
      <c r="N34" s="2" t="s">
        <v>2343</v>
      </c>
      <c r="O34" s="2" t="s">
        <v>2825</v>
      </c>
      <c r="P34" s="2" t="s">
        <v>48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80</v>
      </c>
      <c r="T34" s="2" t="str">
        <f t="shared" si="0"/>
        <v>0050</v>
      </c>
      <c r="U34" s="2">
        <f t="shared" si="1"/>
        <v>20</v>
      </c>
      <c r="V34" s="2" t="str">
        <f t="shared" si="2"/>
        <v>014</v>
      </c>
      <c r="W34" s="2" t="str">
        <f t="shared" si="3"/>
        <v>X</v>
      </c>
      <c r="X34" s="2" t="str">
        <f t="shared" si="4"/>
        <v>X</v>
      </c>
      <c r="Y34" s="2" t="str">
        <f t="shared" si="5"/>
        <v>X</v>
      </c>
      <c r="Z34" s="2" t="str">
        <f t="shared" si="6"/>
        <v>X</v>
      </c>
      <c r="AA34" s="2" t="str">
        <f t="shared" si="7"/>
        <v>(31 downto 24)</v>
      </c>
      <c r="AB34" s="2" t="str">
        <f t="shared" si="8"/>
        <v>(23 downto 16)</v>
      </c>
      <c r="AC34" s="2" t="str">
        <f t="shared" si="9"/>
        <v>(15 downto 8)</v>
      </c>
      <c r="AD34" s="2" t="str">
        <f t="shared" si="10"/>
        <v>(7 downto 0)</v>
      </c>
      <c r="AE34" s="2" t="str">
        <f t="shared" si="11"/>
        <v>(31 downto 24)</v>
      </c>
      <c r="AF34" s="2" t="str">
        <f t="shared" si="12"/>
        <v>(23 downto 16)</v>
      </c>
      <c r="AG34" s="2" t="str">
        <f t="shared" si="13"/>
        <v>(15 downto 8)</v>
      </c>
      <c r="AH34" s="2" t="str">
        <f t="shared" si="14"/>
        <v>(7 downto 0)</v>
      </c>
    </row>
    <row r="35" spans="2:34" x14ac:dyDescent="0.25">
      <c r="B35" s="2" t="s">
        <v>238</v>
      </c>
      <c r="C35" s="2" t="s">
        <v>2771</v>
      </c>
      <c r="D35" s="2" t="s">
        <v>0</v>
      </c>
      <c r="E35" s="2" t="s">
        <v>130</v>
      </c>
      <c r="F35" s="2" t="s">
        <v>239</v>
      </c>
      <c r="G35" s="2" t="s">
        <v>240</v>
      </c>
      <c r="H35" s="2" t="s">
        <v>2784</v>
      </c>
      <c r="I35" s="2" t="s">
        <v>41</v>
      </c>
      <c r="J35" s="2">
        <v>32</v>
      </c>
      <c r="K35" s="2" t="s">
        <v>132</v>
      </c>
      <c r="L35" s="2" t="s">
        <v>40</v>
      </c>
      <c r="M35" s="2" t="s">
        <v>2395</v>
      </c>
      <c r="N35" s="2" t="s">
        <v>2344</v>
      </c>
      <c r="O35" s="2" t="s">
        <v>2825</v>
      </c>
      <c r="P35" s="2" t="s">
        <v>48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84</v>
      </c>
      <c r="T35" s="2" t="str">
        <f t="shared" si="0"/>
        <v>0054</v>
      </c>
      <c r="U35" s="2">
        <f t="shared" si="1"/>
        <v>21</v>
      </c>
      <c r="V35" s="2" t="str">
        <f t="shared" si="2"/>
        <v>015</v>
      </c>
      <c r="W35" s="2" t="str">
        <f t="shared" si="3"/>
        <v>X</v>
      </c>
      <c r="X35" s="2" t="str">
        <f t="shared" si="4"/>
        <v>X</v>
      </c>
      <c r="Y35" s="2" t="str">
        <f t="shared" si="5"/>
        <v>X</v>
      </c>
      <c r="Z35" s="2" t="str">
        <f t="shared" si="6"/>
        <v>X</v>
      </c>
      <c r="AA35" s="2" t="str">
        <f t="shared" si="7"/>
        <v>(31 downto 24)</v>
      </c>
      <c r="AB35" s="2" t="str">
        <f t="shared" si="8"/>
        <v>(23 downto 16)</v>
      </c>
      <c r="AC35" s="2" t="str">
        <f t="shared" si="9"/>
        <v>(15 downto 8)</v>
      </c>
      <c r="AD35" s="2" t="str">
        <f t="shared" si="10"/>
        <v>(7 downto 0)</v>
      </c>
      <c r="AE35" s="2" t="str">
        <f t="shared" si="11"/>
        <v>(31 downto 24)</v>
      </c>
      <c r="AF35" s="2" t="str">
        <f t="shared" si="12"/>
        <v>(23 downto 16)</v>
      </c>
      <c r="AG35" s="2" t="str">
        <f t="shared" si="13"/>
        <v>(15 downto 8)</v>
      </c>
      <c r="AH35" s="2" t="str">
        <f t="shared" si="14"/>
        <v>(7 downto 0)</v>
      </c>
    </row>
    <row r="36" spans="2:34" x14ac:dyDescent="0.25">
      <c r="B36" s="2" t="s">
        <v>241</v>
      </c>
      <c r="C36" s="2" t="s">
        <v>141</v>
      </c>
      <c r="D36" s="2" t="s">
        <v>0</v>
      </c>
      <c r="E36" s="2" t="s">
        <v>130</v>
      </c>
      <c r="F36" s="2" t="s">
        <v>242</v>
      </c>
      <c r="G36" s="2" t="s">
        <v>243</v>
      </c>
      <c r="H36" s="2" t="s">
        <v>142</v>
      </c>
      <c r="I36" s="2" t="s">
        <v>41</v>
      </c>
      <c r="J36" s="2">
        <v>32</v>
      </c>
      <c r="K36" s="2" t="s">
        <v>132</v>
      </c>
      <c r="L36" s="2" t="s">
        <v>40</v>
      </c>
      <c r="M36" s="2" t="s">
        <v>2395</v>
      </c>
      <c r="N36" s="2" t="s">
        <v>2345</v>
      </c>
      <c r="O36" s="2" t="s">
        <v>2297</v>
      </c>
      <c r="P36" s="2" t="s">
        <v>48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88</v>
      </c>
      <c r="T36" s="2" t="str">
        <f t="shared" si="0"/>
        <v>0058</v>
      </c>
      <c r="U36" s="2">
        <f t="shared" si="1"/>
        <v>22</v>
      </c>
      <c r="V36" s="2" t="str">
        <f t="shared" si="2"/>
        <v>016</v>
      </c>
      <c r="W36" s="2" t="str">
        <f t="shared" si="3"/>
        <v>X</v>
      </c>
      <c r="X36" s="2" t="str">
        <f t="shared" si="4"/>
        <v>X</v>
      </c>
      <c r="Y36" s="2" t="str">
        <f t="shared" si="5"/>
        <v>X</v>
      </c>
      <c r="Z36" s="2" t="str">
        <f t="shared" si="6"/>
        <v>X</v>
      </c>
      <c r="AA36" s="2" t="str">
        <f t="shared" si="7"/>
        <v>(31 downto 24)</v>
      </c>
      <c r="AB36" s="2" t="str">
        <f t="shared" si="8"/>
        <v>(23 downto 16)</v>
      </c>
      <c r="AC36" s="2" t="str">
        <f t="shared" si="9"/>
        <v>(15 downto 8)</v>
      </c>
      <c r="AD36" s="2" t="str">
        <f t="shared" si="10"/>
        <v>(7 downto 0)</v>
      </c>
      <c r="AE36" s="2" t="str">
        <f t="shared" si="11"/>
        <v>(31 downto 24)</v>
      </c>
      <c r="AF36" s="2" t="str">
        <f t="shared" si="12"/>
        <v>(23 downto 16)</v>
      </c>
      <c r="AG36" s="2" t="str">
        <f t="shared" si="13"/>
        <v>(15 downto 8)</v>
      </c>
      <c r="AH36" s="2" t="str">
        <f t="shared" si="14"/>
        <v>(7 downto 0)</v>
      </c>
    </row>
    <row r="37" spans="2:34" x14ac:dyDescent="0.25">
      <c r="B37" s="2" t="s">
        <v>244</v>
      </c>
      <c r="C37" s="2" t="s">
        <v>141</v>
      </c>
      <c r="D37" s="2" t="s">
        <v>0</v>
      </c>
      <c r="E37" s="2" t="s">
        <v>130</v>
      </c>
      <c r="F37" s="2" t="s">
        <v>245</v>
      </c>
      <c r="G37" s="2" t="s">
        <v>246</v>
      </c>
      <c r="H37" s="2" t="s">
        <v>142</v>
      </c>
      <c r="I37" s="2" t="s">
        <v>41</v>
      </c>
      <c r="J37" s="2">
        <v>32</v>
      </c>
      <c r="K37" s="2" t="s">
        <v>132</v>
      </c>
      <c r="L37" s="2" t="s">
        <v>40</v>
      </c>
      <c r="M37" s="2" t="s">
        <v>2395</v>
      </c>
      <c r="N37" s="2" t="s">
        <v>2346</v>
      </c>
      <c r="O37" s="2" t="s">
        <v>2297</v>
      </c>
      <c r="P37" s="2" t="s">
        <v>48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92</v>
      </c>
      <c r="T37" s="2" t="str">
        <f t="shared" si="0"/>
        <v>005C</v>
      </c>
      <c r="U37" s="2">
        <f t="shared" si="1"/>
        <v>23</v>
      </c>
      <c r="V37" s="2" t="str">
        <f t="shared" si="2"/>
        <v>017</v>
      </c>
      <c r="W37" s="2" t="str">
        <f t="shared" si="3"/>
        <v>X</v>
      </c>
      <c r="X37" s="2" t="str">
        <f t="shared" si="4"/>
        <v>X</v>
      </c>
      <c r="Y37" s="2" t="str">
        <f t="shared" si="5"/>
        <v>X</v>
      </c>
      <c r="Z37" s="2" t="str">
        <f t="shared" si="6"/>
        <v>X</v>
      </c>
      <c r="AA37" s="2" t="str">
        <f t="shared" si="7"/>
        <v>(31 downto 24)</v>
      </c>
      <c r="AB37" s="2" t="str">
        <f t="shared" si="8"/>
        <v>(23 downto 16)</v>
      </c>
      <c r="AC37" s="2" t="str">
        <f t="shared" si="9"/>
        <v>(15 downto 8)</v>
      </c>
      <c r="AD37" s="2" t="str">
        <f t="shared" si="10"/>
        <v>(7 downto 0)</v>
      </c>
      <c r="AE37" s="2" t="str">
        <f t="shared" si="11"/>
        <v>(31 downto 24)</v>
      </c>
      <c r="AF37" s="2" t="str">
        <f t="shared" si="12"/>
        <v>(23 downto 16)</v>
      </c>
      <c r="AG37" s="2" t="str">
        <f t="shared" si="13"/>
        <v>(15 downto 8)</v>
      </c>
      <c r="AH37" s="2" t="str">
        <f t="shared" si="14"/>
        <v>(7 downto 0)</v>
      </c>
    </row>
    <row r="38" spans="2:34" x14ac:dyDescent="0.25">
      <c r="B38" s="2" t="s">
        <v>247</v>
      </c>
      <c r="C38" s="2" t="s">
        <v>2774</v>
      </c>
      <c r="D38" s="2" t="s">
        <v>0</v>
      </c>
      <c r="E38" s="2" t="s">
        <v>130</v>
      </c>
      <c r="F38" s="2" t="s">
        <v>248</v>
      </c>
      <c r="G38" s="2" t="s">
        <v>249</v>
      </c>
      <c r="H38" s="2" t="s">
        <v>2784</v>
      </c>
      <c r="I38" s="2" t="s">
        <v>41</v>
      </c>
      <c r="J38" s="2">
        <v>32</v>
      </c>
      <c r="K38" s="2" t="s">
        <v>2775</v>
      </c>
      <c r="L38" s="2" t="s">
        <v>40</v>
      </c>
      <c r="M38" s="2" t="s">
        <v>2395</v>
      </c>
      <c r="N38" s="2" t="s">
        <v>2347</v>
      </c>
      <c r="O38" s="2" t="s">
        <v>2825</v>
      </c>
      <c r="P38" s="2" t="s">
        <v>48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96</v>
      </c>
      <c r="T38" s="2" t="str">
        <f t="shared" si="0"/>
        <v>0060</v>
      </c>
      <c r="U38" s="2">
        <f t="shared" si="1"/>
        <v>24</v>
      </c>
      <c r="V38" s="2" t="str">
        <f t="shared" si="2"/>
        <v>018</v>
      </c>
      <c r="W38" s="2" t="str">
        <f t="shared" si="3"/>
        <v>X</v>
      </c>
      <c r="X38" s="2" t="str">
        <f t="shared" si="4"/>
        <v>X</v>
      </c>
      <c r="Y38" s="2" t="str">
        <f t="shared" si="5"/>
        <v>X</v>
      </c>
      <c r="Z38" s="2" t="str">
        <f t="shared" si="6"/>
        <v>X</v>
      </c>
      <c r="AA38" s="2" t="str">
        <f t="shared" si="7"/>
        <v>(31 downto 24)</v>
      </c>
      <c r="AB38" s="2" t="str">
        <f t="shared" si="8"/>
        <v>(23 downto 16)</v>
      </c>
      <c r="AC38" s="2" t="str">
        <f t="shared" si="9"/>
        <v>(15 downto 8)</v>
      </c>
      <c r="AD38" s="2" t="str">
        <f t="shared" si="10"/>
        <v>(7 downto 0)</v>
      </c>
      <c r="AE38" s="2" t="str">
        <f t="shared" si="11"/>
        <v>(31 downto 24)</v>
      </c>
      <c r="AF38" s="2" t="str">
        <f t="shared" si="12"/>
        <v>(23 downto 16)</v>
      </c>
      <c r="AG38" s="2" t="str">
        <f t="shared" si="13"/>
        <v>(15 downto 8)</v>
      </c>
      <c r="AH38" s="2" t="str">
        <f t="shared" si="14"/>
        <v>(7 downto 0)</v>
      </c>
    </row>
    <row r="39" spans="2:34" x14ac:dyDescent="0.25">
      <c r="B39" s="2" t="s">
        <v>250</v>
      </c>
      <c r="C39" s="2" t="s">
        <v>2776</v>
      </c>
      <c r="D39" s="2" t="s">
        <v>0</v>
      </c>
      <c r="E39" s="2" t="s">
        <v>130</v>
      </c>
      <c r="F39" s="2" t="s">
        <v>251</v>
      </c>
      <c r="G39" s="2" t="s">
        <v>252</v>
      </c>
      <c r="H39" s="2" t="s">
        <v>2784</v>
      </c>
      <c r="I39" s="2" t="s">
        <v>41</v>
      </c>
      <c r="J39" s="2">
        <v>32</v>
      </c>
      <c r="K39" s="2" t="s">
        <v>2777</v>
      </c>
      <c r="L39" s="2" t="s">
        <v>40</v>
      </c>
      <c r="M39" s="2" t="s">
        <v>2395</v>
      </c>
      <c r="N39" s="2" t="s">
        <v>2348</v>
      </c>
      <c r="O39" s="2" t="s">
        <v>2825</v>
      </c>
      <c r="P39" s="2" t="s">
        <v>48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100</v>
      </c>
      <c r="T39" s="2" t="str">
        <f t="shared" si="0"/>
        <v>0064</v>
      </c>
      <c r="U39" s="2">
        <f t="shared" si="1"/>
        <v>25</v>
      </c>
      <c r="V39" s="2" t="str">
        <f t="shared" si="2"/>
        <v>019</v>
      </c>
      <c r="W39" s="2" t="str">
        <f t="shared" si="3"/>
        <v>X</v>
      </c>
      <c r="X39" s="2" t="str">
        <f t="shared" si="4"/>
        <v>X</v>
      </c>
      <c r="Y39" s="2" t="str">
        <f t="shared" si="5"/>
        <v>X</v>
      </c>
      <c r="Z39" s="2" t="str">
        <f t="shared" si="6"/>
        <v>X</v>
      </c>
      <c r="AA39" s="2" t="str">
        <f t="shared" si="7"/>
        <v>(31 downto 24)</v>
      </c>
      <c r="AB39" s="2" t="str">
        <f t="shared" si="8"/>
        <v>(23 downto 16)</v>
      </c>
      <c r="AC39" s="2" t="str">
        <f t="shared" si="9"/>
        <v>(15 downto 8)</v>
      </c>
      <c r="AD39" s="2" t="str">
        <f t="shared" si="10"/>
        <v>(7 downto 0)</v>
      </c>
      <c r="AE39" s="2" t="str">
        <f t="shared" si="11"/>
        <v>(31 downto 24)</v>
      </c>
      <c r="AF39" s="2" t="str">
        <f t="shared" si="12"/>
        <v>(23 downto 16)</v>
      </c>
      <c r="AG39" s="2" t="str">
        <f t="shared" si="13"/>
        <v>(15 downto 8)</v>
      </c>
      <c r="AH39" s="2" t="str">
        <f t="shared" si="14"/>
        <v>(7 downto 0)</v>
      </c>
    </row>
    <row r="40" spans="2:34" x14ac:dyDescent="0.25">
      <c r="B40" s="2" t="s">
        <v>253</v>
      </c>
      <c r="C40" s="2" t="s">
        <v>2778</v>
      </c>
      <c r="D40" s="2" t="s">
        <v>0</v>
      </c>
      <c r="E40" s="2" t="s">
        <v>130</v>
      </c>
      <c r="F40" s="2" t="s">
        <v>254</v>
      </c>
      <c r="G40" s="2" t="s">
        <v>255</v>
      </c>
      <c r="H40" s="2" t="s">
        <v>2784</v>
      </c>
      <c r="I40" s="2" t="s">
        <v>41</v>
      </c>
      <c r="J40" s="2">
        <v>32</v>
      </c>
      <c r="K40" s="2" t="s">
        <v>132</v>
      </c>
      <c r="L40" s="2" t="s">
        <v>40</v>
      </c>
      <c r="M40" s="2" t="s">
        <v>2395</v>
      </c>
      <c r="N40" s="2" t="s">
        <v>2349</v>
      </c>
      <c r="O40" s="2" t="s">
        <v>2825</v>
      </c>
      <c r="P40" s="2" t="s">
        <v>48</v>
      </c>
      <c r="Q40" s="2">
        <f>INDEX(Tables!$C$4:$C$28,MATCH($P40,Tables!$B$4:$B$28,0))</f>
        <v>32</v>
      </c>
      <c r="R40" s="2">
        <f>INDEX(Tables!$D$4:$D$28,MATCH($P40,Tables!$B$4:$B$28,0))</f>
        <v>4</v>
      </c>
      <c r="S40" s="2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104</v>
      </c>
      <c r="T40" s="2" t="str">
        <f t="shared" si="0"/>
        <v>0068</v>
      </c>
      <c r="U40" s="2">
        <f t="shared" si="1"/>
        <v>26</v>
      </c>
      <c r="V40" s="2" t="str">
        <f t="shared" si="2"/>
        <v>01A</v>
      </c>
      <c r="W40" s="2" t="str">
        <f t="shared" si="3"/>
        <v>X</v>
      </c>
      <c r="X40" s="2" t="str">
        <f t="shared" si="4"/>
        <v>X</v>
      </c>
      <c r="Y40" s="2" t="str">
        <f t="shared" si="5"/>
        <v>X</v>
      </c>
      <c r="Z40" s="2" t="str">
        <f t="shared" si="6"/>
        <v>X</v>
      </c>
      <c r="AA40" s="2" t="str">
        <f t="shared" si="7"/>
        <v>(31 downto 24)</v>
      </c>
      <c r="AB40" s="2" t="str">
        <f t="shared" si="8"/>
        <v>(23 downto 16)</v>
      </c>
      <c r="AC40" s="2" t="str">
        <f t="shared" si="9"/>
        <v>(15 downto 8)</v>
      </c>
      <c r="AD40" s="2" t="str">
        <f t="shared" si="10"/>
        <v>(7 downto 0)</v>
      </c>
      <c r="AE40" s="2" t="str">
        <f t="shared" si="11"/>
        <v>(31 downto 24)</v>
      </c>
      <c r="AF40" s="2" t="str">
        <f t="shared" si="12"/>
        <v>(23 downto 16)</v>
      </c>
      <c r="AG40" s="2" t="str">
        <f t="shared" si="13"/>
        <v>(15 downto 8)</v>
      </c>
      <c r="AH40" s="2" t="str">
        <f t="shared" si="14"/>
        <v>(7 downto 0)</v>
      </c>
    </row>
    <row r="41" spans="2:34" x14ac:dyDescent="0.25">
      <c r="B41" s="2" t="s">
        <v>256</v>
      </c>
      <c r="C41" s="2" t="s">
        <v>2779</v>
      </c>
      <c r="D41" s="2" t="s">
        <v>0</v>
      </c>
      <c r="E41" s="2" t="s">
        <v>130</v>
      </c>
      <c r="F41" s="2" t="s">
        <v>257</v>
      </c>
      <c r="G41" s="2" t="s">
        <v>258</v>
      </c>
      <c r="H41" s="2" t="s">
        <v>2784</v>
      </c>
      <c r="I41" s="2" t="s">
        <v>41</v>
      </c>
      <c r="J41" s="2">
        <v>32</v>
      </c>
      <c r="K41" s="2" t="s">
        <v>132</v>
      </c>
      <c r="L41" s="2" t="s">
        <v>40</v>
      </c>
      <c r="M41" s="2" t="s">
        <v>2395</v>
      </c>
      <c r="N41" s="2" t="s">
        <v>2350</v>
      </c>
      <c r="O41" s="2" t="s">
        <v>2825</v>
      </c>
      <c r="P41" s="2" t="s">
        <v>48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108</v>
      </c>
      <c r="T41" s="2" t="str">
        <f t="shared" si="0"/>
        <v>006C</v>
      </c>
      <c r="U41" s="2">
        <f t="shared" si="1"/>
        <v>27</v>
      </c>
      <c r="V41" s="2" t="str">
        <f t="shared" si="2"/>
        <v>01B</v>
      </c>
      <c r="W41" s="2" t="str">
        <f t="shared" si="3"/>
        <v>X</v>
      </c>
      <c r="X41" s="2" t="str">
        <f t="shared" si="4"/>
        <v>X</v>
      </c>
      <c r="Y41" s="2" t="str">
        <f t="shared" si="5"/>
        <v>X</v>
      </c>
      <c r="Z41" s="2" t="str">
        <f t="shared" si="6"/>
        <v>X</v>
      </c>
      <c r="AA41" s="2" t="str">
        <f t="shared" si="7"/>
        <v>(31 downto 24)</v>
      </c>
      <c r="AB41" s="2" t="str">
        <f t="shared" si="8"/>
        <v>(23 downto 16)</v>
      </c>
      <c r="AC41" s="2" t="str">
        <f t="shared" si="9"/>
        <v>(15 downto 8)</v>
      </c>
      <c r="AD41" s="2" t="str">
        <f t="shared" si="10"/>
        <v>(7 downto 0)</v>
      </c>
      <c r="AE41" s="2" t="str">
        <f t="shared" si="11"/>
        <v>(31 downto 24)</v>
      </c>
      <c r="AF41" s="2" t="str">
        <f t="shared" si="12"/>
        <v>(23 downto 16)</v>
      </c>
      <c r="AG41" s="2" t="str">
        <f t="shared" si="13"/>
        <v>(15 downto 8)</v>
      </c>
      <c r="AH41" s="2" t="str">
        <f t="shared" si="14"/>
        <v>(7 downto 0)</v>
      </c>
    </row>
    <row r="42" spans="2:34" x14ac:dyDescent="0.25">
      <c r="B42" s="2" t="s">
        <v>259</v>
      </c>
      <c r="C42" s="2" t="s">
        <v>2780</v>
      </c>
      <c r="D42" s="2" t="s">
        <v>0</v>
      </c>
      <c r="E42" s="2" t="s">
        <v>130</v>
      </c>
      <c r="F42" s="2" t="s">
        <v>260</v>
      </c>
      <c r="G42" s="2" t="s">
        <v>261</v>
      </c>
      <c r="H42" s="2" t="s">
        <v>2784</v>
      </c>
      <c r="I42" s="2" t="s">
        <v>41</v>
      </c>
      <c r="J42" s="2">
        <v>32</v>
      </c>
      <c r="K42" s="2" t="s">
        <v>132</v>
      </c>
      <c r="L42" s="2" t="s">
        <v>40</v>
      </c>
      <c r="M42" s="2" t="s">
        <v>2395</v>
      </c>
      <c r="N42" s="2" t="s">
        <v>2351</v>
      </c>
      <c r="O42" s="2" t="s">
        <v>2825</v>
      </c>
      <c r="P42" s="2" t="s">
        <v>48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112</v>
      </c>
      <c r="T42" s="2" t="str">
        <f t="shared" si="0"/>
        <v>0070</v>
      </c>
      <c r="U42" s="2">
        <f t="shared" si="1"/>
        <v>28</v>
      </c>
      <c r="V42" s="2" t="str">
        <f t="shared" si="2"/>
        <v>01C</v>
      </c>
      <c r="W42" s="2" t="str">
        <f t="shared" si="3"/>
        <v>X</v>
      </c>
      <c r="X42" s="2" t="str">
        <f t="shared" si="4"/>
        <v>X</v>
      </c>
      <c r="Y42" s="2" t="str">
        <f t="shared" si="5"/>
        <v>X</v>
      </c>
      <c r="Z42" s="2" t="str">
        <f t="shared" si="6"/>
        <v>X</v>
      </c>
      <c r="AA42" s="2" t="str">
        <f t="shared" si="7"/>
        <v>(31 downto 24)</v>
      </c>
      <c r="AB42" s="2" t="str">
        <f t="shared" si="8"/>
        <v>(23 downto 16)</v>
      </c>
      <c r="AC42" s="2" t="str">
        <f t="shared" si="9"/>
        <v>(15 downto 8)</v>
      </c>
      <c r="AD42" s="2" t="str">
        <f t="shared" si="10"/>
        <v>(7 downto 0)</v>
      </c>
      <c r="AE42" s="2" t="str">
        <f t="shared" si="11"/>
        <v>(31 downto 24)</v>
      </c>
      <c r="AF42" s="2" t="str">
        <f t="shared" si="12"/>
        <v>(23 downto 16)</v>
      </c>
      <c r="AG42" s="2" t="str">
        <f t="shared" si="13"/>
        <v>(15 downto 8)</v>
      </c>
      <c r="AH42" s="2" t="str">
        <f t="shared" si="14"/>
        <v>(7 downto 0)</v>
      </c>
    </row>
    <row r="43" spans="2:34" x14ac:dyDescent="0.25">
      <c r="B43" s="2" t="s">
        <v>262</v>
      </c>
      <c r="C43" s="2" t="s">
        <v>2781</v>
      </c>
      <c r="D43" s="2" t="s">
        <v>0</v>
      </c>
      <c r="E43" s="2" t="s">
        <v>130</v>
      </c>
      <c r="F43" s="2" t="s">
        <v>263</v>
      </c>
      <c r="G43" s="2" t="s">
        <v>264</v>
      </c>
      <c r="H43" s="2" t="s">
        <v>2784</v>
      </c>
      <c r="I43" s="2" t="s">
        <v>41</v>
      </c>
      <c r="J43" s="2">
        <v>32</v>
      </c>
      <c r="K43" s="2" t="s">
        <v>132</v>
      </c>
      <c r="L43" s="2" t="s">
        <v>40</v>
      </c>
      <c r="M43" s="2" t="s">
        <v>2395</v>
      </c>
      <c r="N43" s="2" t="s">
        <v>2352</v>
      </c>
      <c r="O43" s="2" t="s">
        <v>2825</v>
      </c>
      <c r="P43" s="2" t="s">
        <v>48</v>
      </c>
      <c r="Q43" s="2">
        <f>INDEX(Tables!$C$4:$C$28,MATCH($P43,Tables!$B$4:$B$28,0))</f>
        <v>32</v>
      </c>
      <c r="R43" s="2">
        <f>INDEX(Tables!$D$4:$D$28,MATCH($P43,Tables!$B$4:$B$28,0))</f>
        <v>4</v>
      </c>
      <c r="S43" s="2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116</v>
      </c>
      <c r="T43" s="2" t="str">
        <f t="shared" si="0"/>
        <v>0074</v>
      </c>
      <c r="U43" s="2">
        <f t="shared" si="1"/>
        <v>29</v>
      </c>
      <c r="V43" s="2" t="str">
        <f t="shared" si="2"/>
        <v>01D</v>
      </c>
      <c r="W43" s="2" t="str">
        <f t="shared" si="3"/>
        <v>X</v>
      </c>
      <c r="X43" s="2" t="str">
        <f t="shared" si="4"/>
        <v>X</v>
      </c>
      <c r="Y43" s="2" t="str">
        <f t="shared" si="5"/>
        <v>X</v>
      </c>
      <c r="Z43" s="2" t="str">
        <f t="shared" si="6"/>
        <v>X</v>
      </c>
      <c r="AA43" s="2" t="str">
        <f t="shared" si="7"/>
        <v>(31 downto 24)</v>
      </c>
      <c r="AB43" s="2" t="str">
        <f t="shared" si="8"/>
        <v>(23 downto 16)</v>
      </c>
      <c r="AC43" s="2" t="str">
        <f t="shared" si="9"/>
        <v>(15 downto 8)</v>
      </c>
      <c r="AD43" s="2" t="str">
        <f t="shared" si="10"/>
        <v>(7 downto 0)</v>
      </c>
      <c r="AE43" s="2" t="str">
        <f t="shared" si="11"/>
        <v>(31 downto 24)</v>
      </c>
      <c r="AF43" s="2" t="str">
        <f t="shared" si="12"/>
        <v>(23 downto 16)</v>
      </c>
      <c r="AG43" s="2" t="str">
        <f t="shared" si="13"/>
        <v>(15 downto 8)</v>
      </c>
      <c r="AH43" s="2" t="str">
        <f t="shared" si="14"/>
        <v>(7 downto 0)</v>
      </c>
    </row>
    <row r="44" spans="2:34" x14ac:dyDescent="0.25">
      <c r="B44" s="2" t="s">
        <v>265</v>
      </c>
      <c r="C44" s="2" t="s">
        <v>141</v>
      </c>
      <c r="D44" s="2" t="s">
        <v>0</v>
      </c>
      <c r="E44" s="2" t="s">
        <v>130</v>
      </c>
      <c r="F44" s="2" t="s">
        <v>266</v>
      </c>
      <c r="G44" s="2" t="s">
        <v>267</v>
      </c>
      <c r="H44" s="2" t="s">
        <v>142</v>
      </c>
      <c r="I44" s="2" t="s">
        <v>41</v>
      </c>
      <c r="J44" s="2">
        <v>32</v>
      </c>
      <c r="K44" s="2" t="s">
        <v>132</v>
      </c>
      <c r="L44" s="2" t="s">
        <v>40</v>
      </c>
      <c r="M44" s="2" t="s">
        <v>2395</v>
      </c>
      <c r="N44" s="2" t="s">
        <v>2353</v>
      </c>
      <c r="O44" s="2" t="s">
        <v>2297</v>
      </c>
      <c r="P44" s="2" t="s">
        <v>48</v>
      </c>
      <c r="Q44" s="2">
        <f>INDEX(Tables!$C$4:$C$28,MATCH($P44,Tables!$B$4:$B$28,0))</f>
        <v>32</v>
      </c>
      <c r="R44" s="2">
        <f>INDEX(Tables!$D$4:$D$28,MATCH($P44,Tables!$B$4:$B$28,0))</f>
        <v>4</v>
      </c>
      <c r="S44" s="2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120</v>
      </c>
      <c r="T44" s="2" t="str">
        <f t="shared" si="0"/>
        <v>0078</v>
      </c>
      <c r="U44" s="2">
        <f t="shared" si="1"/>
        <v>30</v>
      </c>
      <c r="V44" s="2" t="str">
        <f t="shared" si="2"/>
        <v>01E</v>
      </c>
      <c r="W44" s="2" t="str">
        <f t="shared" si="3"/>
        <v>X</v>
      </c>
      <c r="X44" s="2" t="str">
        <f t="shared" si="4"/>
        <v>X</v>
      </c>
      <c r="Y44" s="2" t="str">
        <f t="shared" si="5"/>
        <v>X</v>
      </c>
      <c r="Z44" s="2" t="str">
        <f t="shared" si="6"/>
        <v>X</v>
      </c>
      <c r="AA44" s="2" t="str">
        <f t="shared" si="7"/>
        <v>(31 downto 24)</v>
      </c>
      <c r="AB44" s="2" t="str">
        <f t="shared" si="8"/>
        <v>(23 downto 16)</v>
      </c>
      <c r="AC44" s="2" t="str">
        <f t="shared" si="9"/>
        <v>(15 downto 8)</v>
      </c>
      <c r="AD44" s="2" t="str">
        <f t="shared" si="10"/>
        <v>(7 downto 0)</v>
      </c>
      <c r="AE44" s="2" t="str">
        <f t="shared" si="11"/>
        <v>(31 downto 24)</v>
      </c>
      <c r="AF44" s="2" t="str">
        <f t="shared" si="12"/>
        <v>(23 downto 16)</v>
      </c>
      <c r="AG44" s="2" t="str">
        <f t="shared" si="13"/>
        <v>(15 downto 8)</v>
      </c>
      <c r="AH44" s="2" t="str">
        <f t="shared" si="14"/>
        <v>(7 downto 0)</v>
      </c>
    </row>
    <row r="45" spans="2:34" x14ac:dyDescent="0.25">
      <c r="B45" s="2" t="s">
        <v>268</v>
      </c>
      <c r="C45" s="2" t="s">
        <v>141</v>
      </c>
      <c r="D45" s="2" t="s">
        <v>0</v>
      </c>
      <c r="E45" s="2" t="s">
        <v>130</v>
      </c>
      <c r="F45" s="2" t="s">
        <v>269</v>
      </c>
      <c r="G45" s="2" t="s">
        <v>270</v>
      </c>
      <c r="H45" s="2" t="s">
        <v>142</v>
      </c>
      <c r="I45" s="2" t="s">
        <v>41</v>
      </c>
      <c r="J45" s="2">
        <v>32</v>
      </c>
      <c r="K45" s="2" t="s">
        <v>132</v>
      </c>
      <c r="L45" s="2" t="s">
        <v>40</v>
      </c>
      <c r="M45" s="2" t="s">
        <v>2395</v>
      </c>
      <c r="N45" s="2" t="s">
        <v>2354</v>
      </c>
      <c r="O45" s="2" t="s">
        <v>2297</v>
      </c>
      <c r="P45" s="2" t="s">
        <v>48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124</v>
      </c>
      <c r="T45" s="2" t="str">
        <f t="shared" si="0"/>
        <v>007C</v>
      </c>
      <c r="U45" s="2">
        <f t="shared" si="1"/>
        <v>31</v>
      </c>
      <c r="V45" s="2" t="str">
        <f t="shared" si="2"/>
        <v>01F</v>
      </c>
      <c r="W45" s="2" t="str">
        <f t="shared" si="3"/>
        <v>X</v>
      </c>
      <c r="X45" s="2" t="str">
        <f t="shared" si="4"/>
        <v>X</v>
      </c>
      <c r="Y45" s="2" t="str">
        <f t="shared" si="5"/>
        <v>X</v>
      </c>
      <c r="Z45" s="2" t="str">
        <f t="shared" si="6"/>
        <v>X</v>
      </c>
      <c r="AA45" s="2" t="str">
        <f t="shared" si="7"/>
        <v>(31 downto 24)</v>
      </c>
      <c r="AB45" s="2" t="str">
        <f t="shared" si="8"/>
        <v>(23 downto 16)</v>
      </c>
      <c r="AC45" s="2" t="str">
        <f t="shared" si="9"/>
        <v>(15 downto 8)</v>
      </c>
      <c r="AD45" s="2" t="str">
        <f t="shared" si="10"/>
        <v>(7 downto 0)</v>
      </c>
      <c r="AE45" s="2" t="str">
        <f t="shared" si="11"/>
        <v>(31 downto 24)</v>
      </c>
      <c r="AF45" s="2" t="str">
        <f t="shared" si="12"/>
        <v>(23 downto 16)</v>
      </c>
      <c r="AG45" s="2" t="str">
        <f t="shared" si="13"/>
        <v>(15 downto 8)</v>
      </c>
      <c r="AH45" s="2" t="str">
        <f t="shared" si="14"/>
        <v>(7 downto 0)</v>
      </c>
    </row>
    <row r="46" spans="2:34" x14ac:dyDescent="0.25">
      <c r="B46" s="2" t="s">
        <v>271</v>
      </c>
      <c r="C46" s="2" t="s">
        <v>145</v>
      </c>
      <c r="D46" s="2" t="s">
        <v>0</v>
      </c>
      <c r="E46" s="2" t="s">
        <v>130</v>
      </c>
      <c r="F46" s="2" t="s">
        <v>272</v>
      </c>
      <c r="G46" s="2" t="s">
        <v>273</v>
      </c>
      <c r="H46" s="2" t="s">
        <v>148</v>
      </c>
      <c r="I46" s="2" t="s">
        <v>41</v>
      </c>
      <c r="J46" s="2">
        <v>2</v>
      </c>
      <c r="K46" s="2" t="s">
        <v>132</v>
      </c>
      <c r="L46" s="2" t="s">
        <v>40</v>
      </c>
      <c r="M46" s="2" t="s">
        <v>2395</v>
      </c>
      <c r="N46" s="2" t="s">
        <v>2355</v>
      </c>
      <c r="O46" s="2" t="s">
        <v>2290</v>
      </c>
      <c r="P46" s="2" t="s">
        <v>47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128</v>
      </c>
      <c r="T46" s="2" t="str">
        <f t="shared" si="0"/>
        <v>0080</v>
      </c>
      <c r="U46" s="2">
        <f t="shared" si="1"/>
        <v>32</v>
      </c>
      <c r="V46" s="2" t="str">
        <f t="shared" si="2"/>
        <v>020</v>
      </c>
      <c r="W46" s="2" t="str">
        <f t="shared" si="3"/>
        <v/>
      </c>
      <c r="X46" s="2" t="str">
        <f t="shared" si="4"/>
        <v/>
      </c>
      <c r="Y46" s="2" t="str">
        <f t="shared" si="5"/>
        <v/>
      </c>
      <c r="Z46" s="2" t="str">
        <f t="shared" si="6"/>
        <v>X</v>
      </c>
      <c r="AA46" s="2" t="str">
        <f t="shared" si="7"/>
        <v/>
      </c>
      <c r="AB46" s="2" t="str">
        <f t="shared" si="8"/>
        <v/>
      </c>
      <c r="AC46" s="2" t="str">
        <f t="shared" si="9"/>
        <v/>
      </c>
      <c r="AD46" s="2" t="str">
        <f t="shared" si="10"/>
        <v>(1 downto 0)</v>
      </c>
      <c r="AE46" s="2" t="str">
        <f t="shared" si="11"/>
        <v/>
      </c>
      <c r="AF46" s="2" t="str">
        <f t="shared" si="12"/>
        <v/>
      </c>
      <c r="AG46" s="2" t="str">
        <f t="shared" si="13"/>
        <v/>
      </c>
      <c r="AH46" s="2" t="str">
        <f t="shared" si="14"/>
        <v/>
      </c>
    </row>
    <row r="47" spans="2:34" x14ac:dyDescent="0.25">
      <c r="B47" s="2" t="s">
        <v>271</v>
      </c>
      <c r="C47" s="2" t="s">
        <v>274</v>
      </c>
      <c r="D47" s="2" t="s">
        <v>0</v>
      </c>
      <c r="E47" s="2" t="s">
        <v>130</v>
      </c>
      <c r="F47" s="2" t="s">
        <v>272</v>
      </c>
      <c r="G47" s="2" t="s">
        <v>273</v>
      </c>
      <c r="H47" s="2" t="s">
        <v>275</v>
      </c>
      <c r="I47" s="2" t="s">
        <v>41</v>
      </c>
      <c r="J47" s="2">
        <v>14</v>
      </c>
      <c r="K47" s="2" t="s">
        <v>276</v>
      </c>
      <c r="L47" s="2" t="s">
        <v>40</v>
      </c>
      <c r="M47" s="2" t="s">
        <v>2395</v>
      </c>
      <c r="N47" s="2" t="s">
        <v>2355</v>
      </c>
      <c r="O47" s="2" t="s">
        <v>2309</v>
      </c>
      <c r="P47" s="2" t="s">
        <v>49</v>
      </c>
      <c r="Q47" s="2">
        <f>INDEX(Tables!$C$4:$C$28,MATCH($P47,Tables!$B$4:$B$28,0))</f>
        <v>16</v>
      </c>
      <c r="R47" s="2">
        <f>INDEX(Tables!$D$4:$D$28,MATCH($P47,Tables!$B$4:$B$28,0))</f>
        <v>2</v>
      </c>
      <c r="S47" s="2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130</v>
      </c>
      <c r="T47" s="2" t="str">
        <f t="shared" si="0"/>
        <v>0082</v>
      </c>
      <c r="U47" s="2">
        <f t="shared" si="1"/>
        <v>32</v>
      </c>
      <c r="V47" s="2" t="str">
        <f t="shared" si="2"/>
        <v>020</v>
      </c>
      <c r="W47" s="2" t="str">
        <f t="shared" si="3"/>
        <v>X</v>
      </c>
      <c r="X47" s="2" t="str">
        <f t="shared" si="4"/>
        <v>X</v>
      </c>
      <c r="Y47" s="2" t="str">
        <f t="shared" si="5"/>
        <v/>
      </c>
      <c r="Z47" s="2" t="str">
        <f t="shared" si="6"/>
        <v/>
      </c>
      <c r="AA47" s="2" t="str">
        <f t="shared" si="7"/>
        <v>(29 downto 24)</v>
      </c>
      <c r="AB47" s="2" t="str">
        <f t="shared" si="8"/>
        <v>(23 downto 16)</v>
      </c>
      <c r="AC47" s="2" t="str">
        <f t="shared" si="9"/>
        <v/>
      </c>
      <c r="AD47" s="2" t="str">
        <f t="shared" si="10"/>
        <v/>
      </c>
      <c r="AE47" s="2" t="str">
        <f t="shared" si="11"/>
        <v>(13 downto 8)</v>
      </c>
      <c r="AF47" s="2" t="str">
        <f t="shared" si="12"/>
        <v>(7 downto 0)</v>
      </c>
      <c r="AG47" s="2" t="str">
        <f t="shared" si="13"/>
        <v/>
      </c>
      <c r="AH47" s="2" t="str">
        <f t="shared" si="14"/>
        <v/>
      </c>
    </row>
    <row r="48" spans="2:34" x14ac:dyDescent="0.25">
      <c r="B48" s="2" t="s">
        <v>271</v>
      </c>
      <c r="C48" s="2" t="s">
        <v>277</v>
      </c>
      <c r="D48" s="2" t="s">
        <v>0</v>
      </c>
      <c r="E48" s="2" t="s">
        <v>130</v>
      </c>
      <c r="F48" s="2" t="s">
        <v>272</v>
      </c>
      <c r="G48" s="2" t="s">
        <v>273</v>
      </c>
      <c r="H48" s="2" t="s">
        <v>278</v>
      </c>
      <c r="I48" s="2" t="s">
        <v>41</v>
      </c>
      <c r="J48" s="2">
        <v>1</v>
      </c>
      <c r="K48" s="2" t="s">
        <v>81</v>
      </c>
      <c r="L48" s="2" t="s">
        <v>40</v>
      </c>
      <c r="M48" s="2" t="s">
        <v>2395</v>
      </c>
      <c r="N48" s="2" t="s">
        <v>2355</v>
      </c>
      <c r="O48" s="2" t="s">
        <v>2310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132</v>
      </c>
      <c r="T48" s="2" t="str">
        <f t="shared" si="0"/>
        <v>0084</v>
      </c>
      <c r="U48" s="2">
        <f t="shared" si="1"/>
        <v>33</v>
      </c>
      <c r="V48" s="2" t="str">
        <f t="shared" si="2"/>
        <v>021</v>
      </c>
      <c r="W48" s="2" t="str">
        <f t="shared" si="3"/>
        <v/>
      </c>
      <c r="X48" s="2" t="str">
        <f t="shared" si="4"/>
        <v/>
      </c>
      <c r="Y48" s="2" t="str">
        <f t="shared" si="5"/>
        <v/>
      </c>
      <c r="Z48" s="2" t="str">
        <f t="shared" si="6"/>
        <v>X</v>
      </c>
      <c r="AA48" s="2" t="str">
        <f t="shared" si="7"/>
        <v/>
      </c>
      <c r="AB48" s="2" t="str">
        <f t="shared" si="8"/>
        <v/>
      </c>
      <c r="AC48" s="2" t="str">
        <f t="shared" si="9"/>
        <v/>
      </c>
      <c r="AD48" s="2" t="str">
        <f t="shared" si="10"/>
        <v>(0)</v>
      </c>
      <c r="AE48" s="2" t="str">
        <f t="shared" si="11"/>
        <v/>
      </c>
      <c r="AF48" s="2" t="str">
        <f t="shared" si="12"/>
        <v/>
      </c>
      <c r="AG48" s="2" t="str">
        <f t="shared" si="13"/>
        <v/>
      </c>
      <c r="AH48" s="2" t="str">
        <f t="shared" si="14"/>
        <v/>
      </c>
    </row>
    <row r="49" spans="2:34" x14ac:dyDescent="0.25">
      <c r="B49" s="2" t="s">
        <v>271</v>
      </c>
      <c r="C49" s="2" t="s">
        <v>156</v>
      </c>
      <c r="D49" s="2" t="s">
        <v>0</v>
      </c>
      <c r="E49" s="2" t="s">
        <v>130</v>
      </c>
      <c r="F49" s="2" t="s">
        <v>272</v>
      </c>
      <c r="G49" s="2" t="s">
        <v>273</v>
      </c>
      <c r="H49" s="2" t="s">
        <v>157</v>
      </c>
      <c r="I49" s="2" t="s">
        <v>41</v>
      </c>
      <c r="J49" s="2">
        <v>1</v>
      </c>
      <c r="K49" s="2" t="s">
        <v>81</v>
      </c>
      <c r="L49" s="2" t="s">
        <v>40</v>
      </c>
      <c r="M49" s="2" t="s">
        <v>2395</v>
      </c>
      <c r="N49" s="2" t="s">
        <v>2355</v>
      </c>
      <c r="O49" s="2" t="s">
        <v>2292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136</v>
      </c>
      <c r="T49" s="2" t="str">
        <f t="shared" si="0"/>
        <v>0088</v>
      </c>
      <c r="U49" s="2">
        <f t="shared" si="1"/>
        <v>34</v>
      </c>
      <c r="V49" s="2" t="str">
        <f t="shared" si="2"/>
        <v>022</v>
      </c>
      <c r="W49" s="2" t="str">
        <f t="shared" si="3"/>
        <v/>
      </c>
      <c r="X49" s="2" t="str">
        <f t="shared" si="4"/>
        <v/>
      </c>
      <c r="Y49" s="2" t="str">
        <f t="shared" si="5"/>
        <v/>
      </c>
      <c r="Z49" s="2" t="str">
        <f t="shared" si="6"/>
        <v>X</v>
      </c>
      <c r="AA49" s="2" t="str">
        <f t="shared" si="7"/>
        <v/>
      </c>
      <c r="AB49" s="2" t="str">
        <f t="shared" si="8"/>
        <v/>
      </c>
      <c r="AC49" s="2" t="str">
        <f t="shared" si="9"/>
        <v/>
      </c>
      <c r="AD49" s="2" t="str">
        <f t="shared" si="10"/>
        <v>(0)</v>
      </c>
      <c r="AE49" s="2" t="str">
        <f t="shared" si="11"/>
        <v/>
      </c>
      <c r="AF49" s="2" t="str">
        <f t="shared" si="12"/>
        <v/>
      </c>
      <c r="AG49" s="2" t="str">
        <f t="shared" si="13"/>
        <v/>
      </c>
      <c r="AH49" s="2" t="str">
        <f t="shared" si="14"/>
        <v/>
      </c>
    </row>
    <row r="50" spans="2:34" x14ac:dyDescent="0.25">
      <c r="B50" s="2" t="s">
        <v>271</v>
      </c>
      <c r="C50" s="2" t="s">
        <v>279</v>
      </c>
      <c r="D50" s="2" t="s">
        <v>0</v>
      </c>
      <c r="E50" s="2" t="s">
        <v>130</v>
      </c>
      <c r="F50" s="2" t="s">
        <v>272</v>
      </c>
      <c r="G50" s="2" t="s">
        <v>273</v>
      </c>
      <c r="H50" s="2" t="s">
        <v>280</v>
      </c>
      <c r="I50" s="2" t="s">
        <v>41</v>
      </c>
      <c r="J50" s="2">
        <v>14</v>
      </c>
      <c r="K50" s="2" t="s">
        <v>132</v>
      </c>
      <c r="L50" s="2" t="s">
        <v>40</v>
      </c>
      <c r="M50" s="2" t="s">
        <v>2395</v>
      </c>
      <c r="N50" s="2" t="s">
        <v>2355</v>
      </c>
      <c r="O50" s="2" t="s">
        <v>2311</v>
      </c>
      <c r="P50" s="2" t="s">
        <v>49</v>
      </c>
      <c r="Q50" s="2">
        <f>INDEX(Tables!$C$4:$C$28,MATCH($P50,Tables!$B$4:$B$28,0))</f>
        <v>16</v>
      </c>
      <c r="R50" s="2">
        <f>INDEX(Tables!$D$4:$D$28,MATCH($P50,Tables!$B$4:$B$28,0))</f>
        <v>2</v>
      </c>
      <c r="S50" s="2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140</v>
      </c>
      <c r="T50" s="2" t="str">
        <f t="shared" si="0"/>
        <v>008C</v>
      </c>
      <c r="U50" s="2">
        <f t="shared" si="1"/>
        <v>35</v>
      </c>
      <c r="V50" s="2" t="str">
        <f t="shared" si="2"/>
        <v>023</v>
      </c>
      <c r="W50" s="2" t="str">
        <f t="shared" si="3"/>
        <v/>
      </c>
      <c r="X50" s="2" t="str">
        <f t="shared" si="4"/>
        <v/>
      </c>
      <c r="Y50" s="2" t="str">
        <f t="shared" si="5"/>
        <v>X</v>
      </c>
      <c r="Z50" s="2" t="str">
        <f t="shared" si="6"/>
        <v>X</v>
      </c>
      <c r="AA50" s="2" t="str">
        <f t="shared" si="7"/>
        <v/>
      </c>
      <c r="AB50" s="2" t="str">
        <f t="shared" si="8"/>
        <v/>
      </c>
      <c r="AC50" s="2" t="str">
        <f t="shared" si="9"/>
        <v>(13 downto 8)</v>
      </c>
      <c r="AD50" s="2" t="str">
        <f t="shared" si="10"/>
        <v>(7 downto 0)</v>
      </c>
      <c r="AE50" s="2" t="str">
        <f t="shared" si="11"/>
        <v/>
      </c>
      <c r="AF50" s="2" t="str">
        <f t="shared" si="12"/>
        <v/>
      </c>
      <c r="AG50" s="2" t="str">
        <f t="shared" si="13"/>
        <v>(13 downto 8)</v>
      </c>
      <c r="AH50" s="2" t="str">
        <f t="shared" si="14"/>
        <v>(7 downto 0)</v>
      </c>
    </row>
    <row r="51" spans="2:34" x14ac:dyDescent="0.25">
      <c r="B51" s="2" t="s">
        <v>281</v>
      </c>
      <c r="C51" s="2" t="s">
        <v>282</v>
      </c>
      <c r="D51" s="2" t="s">
        <v>0</v>
      </c>
      <c r="E51" s="2" t="s">
        <v>130</v>
      </c>
      <c r="F51" s="2" t="s">
        <v>283</v>
      </c>
      <c r="G51" s="2" t="s">
        <v>284</v>
      </c>
      <c r="H51" s="2" t="s">
        <v>285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2395</v>
      </c>
      <c r="N51" s="2" t="s">
        <v>2356</v>
      </c>
      <c r="O51" s="2" t="s">
        <v>2312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144</v>
      </c>
      <c r="T51" s="2" t="str">
        <f t="shared" si="0"/>
        <v>0090</v>
      </c>
      <c r="U51" s="2">
        <f t="shared" si="1"/>
        <v>36</v>
      </c>
      <c r="V51" s="2" t="str">
        <f t="shared" si="2"/>
        <v>024</v>
      </c>
      <c r="W51" s="2" t="str">
        <f t="shared" si="3"/>
        <v/>
      </c>
      <c r="X51" s="2" t="str">
        <f t="shared" si="4"/>
        <v/>
      </c>
      <c r="Y51" s="2" t="str">
        <f t="shared" si="5"/>
        <v/>
      </c>
      <c r="Z51" s="2" t="str">
        <f t="shared" si="6"/>
        <v>X</v>
      </c>
      <c r="AA51" s="2" t="str">
        <f t="shared" si="7"/>
        <v/>
      </c>
      <c r="AB51" s="2" t="str">
        <f t="shared" si="8"/>
        <v/>
      </c>
      <c r="AC51" s="2" t="str">
        <f t="shared" si="9"/>
        <v/>
      </c>
      <c r="AD51" s="2" t="str">
        <f t="shared" si="10"/>
        <v>(0)</v>
      </c>
      <c r="AE51" s="2" t="str">
        <f t="shared" si="11"/>
        <v/>
      </c>
      <c r="AF51" s="2" t="str">
        <f t="shared" si="12"/>
        <v/>
      </c>
      <c r="AG51" s="2" t="str">
        <f t="shared" si="13"/>
        <v/>
      </c>
      <c r="AH51" s="2" t="str">
        <f t="shared" si="14"/>
        <v/>
      </c>
    </row>
    <row r="52" spans="2:34" x14ac:dyDescent="0.25">
      <c r="B52" s="2" t="s">
        <v>281</v>
      </c>
      <c r="C52" s="2" t="s">
        <v>145</v>
      </c>
      <c r="D52" s="2" t="s">
        <v>0</v>
      </c>
      <c r="E52" s="2" t="s">
        <v>130</v>
      </c>
      <c r="F52" s="2" t="s">
        <v>283</v>
      </c>
      <c r="G52" s="2" t="s">
        <v>284</v>
      </c>
      <c r="H52" s="2" t="s">
        <v>148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2395</v>
      </c>
      <c r="N52" s="2" t="s">
        <v>2356</v>
      </c>
      <c r="O52" s="2" t="s">
        <v>2286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148</v>
      </c>
      <c r="T52" s="2" t="str">
        <f t="shared" si="0"/>
        <v>0094</v>
      </c>
      <c r="U52" s="2">
        <f t="shared" si="1"/>
        <v>37</v>
      </c>
      <c r="V52" s="2" t="str">
        <f t="shared" si="2"/>
        <v>025</v>
      </c>
      <c r="W52" s="2" t="str">
        <f t="shared" si="3"/>
        <v/>
      </c>
      <c r="X52" s="2" t="str">
        <f t="shared" si="4"/>
        <v/>
      </c>
      <c r="Y52" s="2" t="str">
        <f t="shared" si="5"/>
        <v/>
      </c>
      <c r="Z52" s="2" t="str">
        <f t="shared" si="6"/>
        <v>X</v>
      </c>
      <c r="AA52" s="2" t="str">
        <f t="shared" si="7"/>
        <v/>
      </c>
      <c r="AB52" s="2" t="str">
        <f t="shared" si="8"/>
        <v/>
      </c>
      <c r="AC52" s="2" t="str">
        <f t="shared" si="9"/>
        <v/>
      </c>
      <c r="AD52" s="2" t="str">
        <f t="shared" si="10"/>
        <v>(0)</v>
      </c>
      <c r="AE52" s="2" t="str">
        <f t="shared" si="11"/>
        <v/>
      </c>
      <c r="AF52" s="2" t="str">
        <f t="shared" si="12"/>
        <v/>
      </c>
      <c r="AG52" s="2" t="str">
        <f t="shared" si="13"/>
        <v/>
      </c>
      <c r="AH52" s="2" t="str">
        <f t="shared" si="14"/>
        <v/>
      </c>
    </row>
    <row r="53" spans="2:34" x14ac:dyDescent="0.25">
      <c r="B53" s="2" t="s">
        <v>281</v>
      </c>
      <c r="C53" s="2" t="s">
        <v>286</v>
      </c>
      <c r="D53" s="2" t="s">
        <v>0</v>
      </c>
      <c r="E53" s="2" t="s">
        <v>130</v>
      </c>
      <c r="F53" s="2" t="s">
        <v>283</v>
      </c>
      <c r="G53" s="2" t="s">
        <v>284</v>
      </c>
      <c r="H53" s="2" t="s">
        <v>287</v>
      </c>
      <c r="I53" s="2" t="s">
        <v>41</v>
      </c>
      <c r="J53" s="2">
        <v>14</v>
      </c>
      <c r="K53" s="2" t="s">
        <v>276</v>
      </c>
      <c r="L53" s="2" t="s">
        <v>40</v>
      </c>
      <c r="M53" s="2" t="s">
        <v>2395</v>
      </c>
      <c r="N53" s="2" t="s">
        <v>2356</v>
      </c>
      <c r="O53" s="2" t="s">
        <v>2313</v>
      </c>
      <c r="P53" s="2" t="s">
        <v>49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152</v>
      </c>
      <c r="T53" s="2" t="str">
        <f t="shared" si="0"/>
        <v>0098</v>
      </c>
      <c r="U53" s="2">
        <f t="shared" si="1"/>
        <v>38</v>
      </c>
      <c r="V53" s="2" t="str">
        <f t="shared" si="2"/>
        <v>026</v>
      </c>
      <c r="W53" s="2" t="str">
        <f t="shared" si="3"/>
        <v/>
      </c>
      <c r="X53" s="2" t="str">
        <f t="shared" si="4"/>
        <v/>
      </c>
      <c r="Y53" s="2" t="str">
        <f t="shared" si="5"/>
        <v>X</v>
      </c>
      <c r="Z53" s="2" t="str">
        <f t="shared" si="6"/>
        <v>X</v>
      </c>
      <c r="AA53" s="2" t="str">
        <f t="shared" si="7"/>
        <v/>
      </c>
      <c r="AB53" s="2" t="str">
        <f t="shared" si="8"/>
        <v/>
      </c>
      <c r="AC53" s="2" t="str">
        <f t="shared" si="9"/>
        <v>(13 downto 8)</v>
      </c>
      <c r="AD53" s="2" t="str">
        <f t="shared" si="10"/>
        <v>(7 downto 0)</v>
      </c>
      <c r="AE53" s="2" t="str">
        <f t="shared" si="11"/>
        <v/>
      </c>
      <c r="AF53" s="2" t="str">
        <f t="shared" si="12"/>
        <v/>
      </c>
      <c r="AG53" s="2" t="str">
        <f t="shared" si="13"/>
        <v>(13 downto 8)</v>
      </c>
      <c r="AH53" s="2" t="str">
        <f t="shared" si="14"/>
        <v>(7 downto 0)</v>
      </c>
    </row>
    <row r="54" spans="2:34" x14ac:dyDescent="0.25">
      <c r="B54" s="2" t="s">
        <v>281</v>
      </c>
      <c r="C54" s="2" t="s">
        <v>288</v>
      </c>
      <c r="D54" s="2" t="s">
        <v>0</v>
      </c>
      <c r="E54" s="2" t="s">
        <v>130</v>
      </c>
      <c r="F54" s="2" t="s">
        <v>283</v>
      </c>
      <c r="G54" s="2" t="s">
        <v>284</v>
      </c>
      <c r="H54" s="2" t="s">
        <v>289</v>
      </c>
      <c r="I54" s="2" t="s">
        <v>41</v>
      </c>
      <c r="J54" s="2">
        <v>1</v>
      </c>
      <c r="K54" s="2" t="s">
        <v>81</v>
      </c>
      <c r="L54" s="2" t="s">
        <v>40</v>
      </c>
      <c r="M54" s="2" t="s">
        <v>2395</v>
      </c>
      <c r="N54" s="2" t="s">
        <v>2356</v>
      </c>
      <c r="O54" s="2" t="s">
        <v>2314</v>
      </c>
      <c r="P54" s="2" t="s">
        <v>4</v>
      </c>
      <c r="Q54" s="2">
        <f>INDEX(Tables!$C$4:$C$28,MATCH($P54,Tables!$B$4:$B$28,0))</f>
        <v>32</v>
      </c>
      <c r="R54" s="2">
        <f>INDEX(Tables!$D$4:$D$28,MATCH($P54,Tables!$B$4:$B$28,0))</f>
        <v>4</v>
      </c>
      <c r="S54" s="2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156</v>
      </c>
      <c r="T54" s="2" t="str">
        <f t="shared" si="0"/>
        <v>009C</v>
      </c>
      <c r="U54" s="2">
        <f t="shared" si="1"/>
        <v>39</v>
      </c>
      <c r="V54" s="2" t="str">
        <f t="shared" si="2"/>
        <v>027</v>
      </c>
      <c r="W54" s="2" t="str">
        <f t="shared" si="3"/>
        <v/>
      </c>
      <c r="X54" s="2" t="str">
        <f t="shared" si="4"/>
        <v/>
      </c>
      <c r="Y54" s="2" t="str">
        <f t="shared" si="5"/>
        <v/>
      </c>
      <c r="Z54" s="2" t="str">
        <f t="shared" si="6"/>
        <v>X</v>
      </c>
      <c r="AA54" s="2" t="str">
        <f t="shared" si="7"/>
        <v/>
      </c>
      <c r="AB54" s="2" t="str">
        <f t="shared" si="8"/>
        <v/>
      </c>
      <c r="AC54" s="2" t="str">
        <f t="shared" si="9"/>
        <v/>
      </c>
      <c r="AD54" s="2" t="str">
        <f t="shared" si="10"/>
        <v>(0)</v>
      </c>
      <c r="AE54" s="2" t="str">
        <f t="shared" si="11"/>
        <v/>
      </c>
      <c r="AF54" s="2" t="str">
        <f t="shared" si="12"/>
        <v/>
      </c>
      <c r="AG54" s="2" t="str">
        <f t="shared" si="13"/>
        <v/>
      </c>
      <c r="AH54" s="2" t="str">
        <f t="shared" si="14"/>
        <v/>
      </c>
    </row>
    <row r="55" spans="2:34" x14ac:dyDescent="0.25">
      <c r="B55" s="2" t="s">
        <v>281</v>
      </c>
      <c r="C55" s="2" t="s">
        <v>156</v>
      </c>
      <c r="D55" s="2" t="s">
        <v>0</v>
      </c>
      <c r="E55" s="2" t="s">
        <v>130</v>
      </c>
      <c r="F55" s="2" t="s">
        <v>283</v>
      </c>
      <c r="G55" s="2" t="s">
        <v>284</v>
      </c>
      <c r="H55" s="2" t="s">
        <v>157</v>
      </c>
      <c r="I55" s="2" t="s">
        <v>41</v>
      </c>
      <c r="J55" s="2">
        <v>1</v>
      </c>
      <c r="K55" s="2" t="s">
        <v>81</v>
      </c>
      <c r="L55" s="2" t="s">
        <v>40</v>
      </c>
      <c r="M55" s="2" t="s">
        <v>2395</v>
      </c>
      <c r="N55" s="2" t="s">
        <v>2356</v>
      </c>
      <c r="O55" s="2" t="s">
        <v>2292</v>
      </c>
      <c r="P55" s="2" t="s">
        <v>4</v>
      </c>
      <c r="Q55" s="2">
        <f>INDEX(Tables!$C$4:$C$28,MATCH($P55,Tables!$B$4:$B$28,0))</f>
        <v>32</v>
      </c>
      <c r="R55" s="2">
        <f>INDEX(Tables!$D$4:$D$28,MATCH($P55,Tables!$B$4:$B$28,0))</f>
        <v>4</v>
      </c>
      <c r="S55" s="2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160</v>
      </c>
      <c r="T55" s="2" t="str">
        <f t="shared" si="0"/>
        <v>00A0</v>
      </c>
      <c r="U55" s="2">
        <f t="shared" si="1"/>
        <v>40</v>
      </c>
      <c r="V55" s="2" t="str">
        <f t="shared" si="2"/>
        <v>028</v>
      </c>
      <c r="W55" s="2" t="str">
        <f t="shared" si="3"/>
        <v/>
      </c>
      <c r="X55" s="2" t="str">
        <f t="shared" si="4"/>
        <v/>
      </c>
      <c r="Y55" s="2" t="str">
        <f t="shared" si="5"/>
        <v/>
      </c>
      <c r="Z55" s="2" t="str">
        <f t="shared" si="6"/>
        <v>X</v>
      </c>
      <c r="AA55" s="2" t="str">
        <f t="shared" si="7"/>
        <v/>
      </c>
      <c r="AB55" s="2" t="str">
        <f t="shared" si="8"/>
        <v/>
      </c>
      <c r="AC55" s="2" t="str">
        <f t="shared" si="9"/>
        <v/>
      </c>
      <c r="AD55" s="2" t="str">
        <f t="shared" si="10"/>
        <v>(0)</v>
      </c>
      <c r="AE55" s="2" t="str">
        <f t="shared" si="11"/>
        <v/>
      </c>
      <c r="AF55" s="2" t="str">
        <f t="shared" si="12"/>
        <v/>
      </c>
      <c r="AG55" s="2" t="str">
        <f t="shared" si="13"/>
        <v/>
      </c>
      <c r="AH55" s="2" t="str">
        <f t="shared" si="14"/>
        <v/>
      </c>
    </row>
    <row r="56" spans="2:34" x14ac:dyDescent="0.25">
      <c r="B56" s="2" t="s">
        <v>281</v>
      </c>
      <c r="C56" s="2" t="s">
        <v>290</v>
      </c>
      <c r="D56" s="2" t="s">
        <v>0</v>
      </c>
      <c r="E56" s="2" t="s">
        <v>130</v>
      </c>
      <c r="F56" s="2" t="s">
        <v>283</v>
      </c>
      <c r="G56" s="2" t="s">
        <v>284</v>
      </c>
      <c r="H56" s="2" t="s">
        <v>291</v>
      </c>
      <c r="I56" s="2" t="s">
        <v>41</v>
      </c>
      <c r="J56" s="2">
        <v>14</v>
      </c>
      <c r="K56" s="2" t="s">
        <v>132</v>
      </c>
      <c r="L56" s="2" t="s">
        <v>40</v>
      </c>
      <c r="M56" s="2" t="s">
        <v>2395</v>
      </c>
      <c r="N56" s="2" t="s">
        <v>2356</v>
      </c>
      <c r="O56" s="2" t="s">
        <v>2315</v>
      </c>
      <c r="P56" s="2" t="s">
        <v>49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164</v>
      </c>
      <c r="T56" s="2" t="str">
        <f t="shared" si="0"/>
        <v>00A4</v>
      </c>
      <c r="U56" s="2">
        <f t="shared" si="1"/>
        <v>41</v>
      </c>
      <c r="V56" s="2" t="str">
        <f t="shared" si="2"/>
        <v>029</v>
      </c>
      <c r="W56" s="2" t="str">
        <f t="shared" si="3"/>
        <v/>
      </c>
      <c r="X56" s="2" t="str">
        <f t="shared" si="4"/>
        <v/>
      </c>
      <c r="Y56" s="2" t="str">
        <f t="shared" si="5"/>
        <v>X</v>
      </c>
      <c r="Z56" s="2" t="str">
        <f t="shared" si="6"/>
        <v>X</v>
      </c>
      <c r="AA56" s="2" t="str">
        <f t="shared" si="7"/>
        <v/>
      </c>
      <c r="AB56" s="2" t="str">
        <f t="shared" si="8"/>
        <v/>
      </c>
      <c r="AC56" s="2" t="str">
        <f t="shared" si="9"/>
        <v>(13 downto 8)</v>
      </c>
      <c r="AD56" s="2" t="str">
        <f t="shared" si="10"/>
        <v>(7 downto 0)</v>
      </c>
      <c r="AE56" s="2" t="str">
        <f t="shared" si="11"/>
        <v/>
      </c>
      <c r="AF56" s="2" t="str">
        <f t="shared" si="12"/>
        <v/>
      </c>
      <c r="AG56" s="2" t="str">
        <f t="shared" si="13"/>
        <v>(13 downto 8)</v>
      </c>
      <c r="AH56" s="2" t="str">
        <f t="shared" si="14"/>
        <v>(7 downto 0)</v>
      </c>
    </row>
    <row r="57" spans="2:34" x14ac:dyDescent="0.25">
      <c r="B57" s="2" t="s">
        <v>292</v>
      </c>
      <c r="C57" s="2" t="s">
        <v>293</v>
      </c>
      <c r="D57" s="2" t="s">
        <v>0</v>
      </c>
      <c r="E57" s="2" t="s">
        <v>130</v>
      </c>
      <c r="F57" s="2" t="s">
        <v>294</v>
      </c>
      <c r="G57" s="2" t="s">
        <v>295</v>
      </c>
      <c r="H57" s="2" t="s">
        <v>296</v>
      </c>
      <c r="I57" s="2" t="s">
        <v>41</v>
      </c>
      <c r="J57" s="2">
        <v>1</v>
      </c>
      <c r="K57" s="2" t="s">
        <v>81</v>
      </c>
      <c r="L57" s="2" t="s">
        <v>40</v>
      </c>
      <c r="M57" s="2" t="s">
        <v>2395</v>
      </c>
      <c r="N57" s="2" t="s">
        <v>2357</v>
      </c>
      <c r="O57" s="2" t="s">
        <v>2316</v>
      </c>
      <c r="P57" s="2" t="s">
        <v>4</v>
      </c>
      <c r="Q57" s="2">
        <f>INDEX(Tables!$C$4:$C$28,MATCH($P57,Tables!$B$4:$B$28,0))</f>
        <v>32</v>
      </c>
      <c r="R57" s="2">
        <f>INDEX(Tables!$D$4:$D$28,MATCH($P57,Tables!$B$4:$B$28,0))</f>
        <v>4</v>
      </c>
      <c r="S57" s="2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168</v>
      </c>
      <c r="T57" s="2" t="str">
        <f t="shared" si="0"/>
        <v>00A8</v>
      </c>
      <c r="U57" s="2">
        <f t="shared" si="1"/>
        <v>42</v>
      </c>
      <c r="V57" s="2" t="str">
        <f t="shared" si="2"/>
        <v>02A</v>
      </c>
      <c r="W57" s="2" t="str">
        <f t="shared" si="3"/>
        <v/>
      </c>
      <c r="X57" s="2" t="str">
        <f t="shared" si="4"/>
        <v/>
      </c>
      <c r="Y57" s="2" t="str">
        <f t="shared" si="5"/>
        <v/>
      </c>
      <c r="Z57" s="2" t="str">
        <f t="shared" si="6"/>
        <v>X</v>
      </c>
      <c r="AA57" s="2" t="str">
        <f t="shared" si="7"/>
        <v/>
      </c>
      <c r="AB57" s="2" t="str">
        <f t="shared" si="8"/>
        <v/>
      </c>
      <c r="AC57" s="2" t="str">
        <f t="shared" si="9"/>
        <v/>
      </c>
      <c r="AD57" s="2" t="str">
        <f t="shared" si="10"/>
        <v>(0)</v>
      </c>
      <c r="AE57" s="2" t="str">
        <f t="shared" si="11"/>
        <v/>
      </c>
      <c r="AF57" s="2" t="str">
        <f t="shared" si="12"/>
        <v/>
      </c>
      <c r="AG57" s="2" t="str">
        <f t="shared" si="13"/>
        <v/>
      </c>
      <c r="AH57" s="2" t="str">
        <f t="shared" si="14"/>
        <v/>
      </c>
    </row>
    <row r="58" spans="2:34" x14ac:dyDescent="0.25">
      <c r="B58" s="2" t="s">
        <v>292</v>
      </c>
      <c r="C58" s="2" t="s">
        <v>141</v>
      </c>
      <c r="D58" s="2" t="s">
        <v>0</v>
      </c>
      <c r="E58" s="2" t="s">
        <v>130</v>
      </c>
      <c r="F58" s="2" t="s">
        <v>294</v>
      </c>
      <c r="G58" s="2" t="s">
        <v>295</v>
      </c>
      <c r="H58" s="2" t="s">
        <v>142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2395</v>
      </c>
      <c r="N58" s="2" t="s">
        <v>2357</v>
      </c>
      <c r="O58" s="2" t="s">
        <v>2308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172</v>
      </c>
      <c r="T58" s="2" t="str">
        <f t="shared" si="0"/>
        <v>00AC</v>
      </c>
      <c r="U58" s="2">
        <f t="shared" si="1"/>
        <v>43</v>
      </c>
      <c r="V58" s="2" t="str">
        <f t="shared" si="2"/>
        <v>02B</v>
      </c>
      <c r="W58" s="2" t="str">
        <f t="shared" si="3"/>
        <v/>
      </c>
      <c r="X58" s="2" t="str">
        <f t="shared" si="4"/>
        <v/>
      </c>
      <c r="Y58" s="2" t="str">
        <f t="shared" si="5"/>
        <v/>
      </c>
      <c r="Z58" s="2" t="str">
        <f t="shared" si="6"/>
        <v>X</v>
      </c>
      <c r="AA58" s="2" t="str">
        <f t="shared" si="7"/>
        <v/>
      </c>
      <c r="AB58" s="2" t="str">
        <f t="shared" si="8"/>
        <v/>
      </c>
      <c r="AC58" s="2" t="str">
        <f t="shared" si="9"/>
        <v/>
      </c>
      <c r="AD58" s="2" t="str">
        <f t="shared" si="10"/>
        <v>(0)</v>
      </c>
      <c r="AE58" s="2" t="str">
        <f t="shared" si="11"/>
        <v/>
      </c>
      <c r="AF58" s="2" t="str">
        <f t="shared" si="12"/>
        <v/>
      </c>
      <c r="AG58" s="2" t="str">
        <f t="shared" si="13"/>
        <v/>
      </c>
      <c r="AH58" s="2" t="str">
        <f t="shared" si="14"/>
        <v/>
      </c>
    </row>
    <row r="59" spans="2:34" x14ac:dyDescent="0.25">
      <c r="B59" s="2" t="s">
        <v>292</v>
      </c>
      <c r="C59" s="2" t="s">
        <v>297</v>
      </c>
      <c r="D59" s="2" t="s">
        <v>0</v>
      </c>
      <c r="E59" s="2" t="s">
        <v>130</v>
      </c>
      <c r="F59" s="2" t="s">
        <v>294</v>
      </c>
      <c r="G59" s="2" t="s">
        <v>295</v>
      </c>
      <c r="H59" s="2" t="s">
        <v>298</v>
      </c>
      <c r="I59" s="2" t="s">
        <v>41</v>
      </c>
      <c r="J59" s="2">
        <v>14</v>
      </c>
      <c r="K59" s="2" t="s">
        <v>299</v>
      </c>
      <c r="L59" s="2" t="s">
        <v>40</v>
      </c>
      <c r="M59" s="2" t="s">
        <v>2395</v>
      </c>
      <c r="N59" s="2" t="s">
        <v>2357</v>
      </c>
      <c r="O59" s="2" t="s">
        <v>2317</v>
      </c>
      <c r="P59" s="2" t="s">
        <v>49</v>
      </c>
      <c r="Q59" s="2">
        <f>INDEX(Tables!$C$4:$C$28,MATCH($P59,Tables!$B$4:$B$28,0))</f>
        <v>16</v>
      </c>
      <c r="R59" s="2">
        <f>INDEX(Tables!$D$4:$D$28,MATCH($P59,Tables!$B$4:$B$28,0))</f>
        <v>2</v>
      </c>
      <c r="S59" s="2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2" t="str">
        <f t="shared" si="0"/>
        <v>00B0</v>
      </c>
      <c r="U59" s="2">
        <f t="shared" si="1"/>
        <v>44</v>
      </c>
      <c r="V59" s="2" t="str">
        <f t="shared" si="2"/>
        <v>02C</v>
      </c>
      <c r="W59" s="2" t="str">
        <f t="shared" si="3"/>
        <v/>
      </c>
      <c r="X59" s="2" t="str">
        <f t="shared" si="4"/>
        <v/>
      </c>
      <c r="Y59" s="2" t="str">
        <f t="shared" si="5"/>
        <v>X</v>
      </c>
      <c r="Z59" s="2" t="str">
        <f t="shared" si="6"/>
        <v>X</v>
      </c>
      <c r="AA59" s="2" t="str">
        <f t="shared" si="7"/>
        <v/>
      </c>
      <c r="AB59" s="2" t="str">
        <f t="shared" si="8"/>
        <v/>
      </c>
      <c r="AC59" s="2" t="str">
        <f t="shared" si="9"/>
        <v>(13 downto 8)</v>
      </c>
      <c r="AD59" s="2" t="str">
        <f t="shared" si="10"/>
        <v>(7 downto 0)</v>
      </c>
      <c r="AE59" s="2" t="str">
        <f t="shared" si="11"/>
        <v/>
      </c>
      <c r="AF59" s="2" t="str">
        <f t="shared" si="12"/>
        <v/>
      </c>
      <c r="AG59" s="2" t="str">
        <f t="shared" si="13"/>
        <v>(13 downto 8)</v>
      </c>
      <c r="AH59" s="2" t="str">
        <f t="shared" si="14"/>
        <v>(7 downto 0)</v>
      </c>
    </row>
    <row r="60" spans="2:34" x14ac:dyDescent="0.25">
      <c r="B60" s="2" t="s">
        <v>292</v>
      </c>
      <c r="C60" s="2" t="s">
        <v>300</v>
      </c>
      <c r="D60" s="2" t="s">
        <v>0</v>
      </c>
      <c r="E60" s="2" t="s">
        <v>130</v>
      </c>
      <c r="F60" s="2" t="s">
        <v>294</v>
      </c>
      <c r="G60" s="2" t="s">
        <v>295</v>
      </c>
      <c r="H60" s="2" t="s">
        <v>301</v>
      </c>
      <c r="I60" s="2" t="s">
        <v>41</v>
      </c>
      <c r="J60" s="2">
        <v>16</v>
      </c>
      <c r="K60" s="2" t="s">
        <v>302</v>
      </c>
      <c r="L60" s="2" t="s">
        <v>40</v>
      </c>
      <c r="M60" s="2" t="s">
        <v>2395</v>
      </c>
      <c r="N60" s="2" t="s">
        <v>2357</v>
      </c>
      <c r="O60" s="2" t="s">
        <v>2318</v>
      </c>
      <c r="P60" s="2" t="s">
        <v>49</v>
      </c>
      <c r="Q60" s="2">
        <f>INDEX(Tables!$C$4:$C$28,MATCH($P60,Tables!$B$4:$B$28,0))</f>
        <v>16</v>
      </c>
      <c r="R60" s="2">
        <f>INDEX(Tables!$D$4:$D$28,MATCH($P60,Tables!$B$4:$B$28,0))</f>
        <v>2</v>
      </c>
      <c r="S60" s="2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178</v>
      </c>
      <c r="T60" s="2" t="str">
        <f t="shared" si="0"/>
        <v>00B2</v>
      </c>
      <c r="U60" s="2">
        <f t="shared" si="1"/>
        <v>44</v>
      </c>
      <c r="V60" s="2" t="str">
        <f t="shared" si="2"/>
        <v>02C</v>
      </c>
      <c r="W60" s="2" t="str">
        <f t="shared" si="3"/>
        <v>X</v>
      </c>
      <c r="X60" s="2" t="str">
        <f t="shared" si="4"/>
        <v>X</v>
      </c>
      <c r="Y60" s="2" t="str">
        <f t="shared" si="5"/>
        <v/>
      </c>
      <c r="Z60" s="2" t="str">
        <f t="shared" si="6"/>
        <v/>
      </c>
      <c r="AA60" s="2" t="str">
        <f t="shared" si="7"/>
        <v>(31 downto 24)</v>
      </c>
      <c r="AB60" s="2" t="str">
        <f t="shared" si="8"/>
        <v>(23 downto 16)</v>
      </c>
      <c r="AC60" s="2" t="str">
        <f t="shared" si="9"/>
        <v/>
      </c>
      <c r="AD60" s="2" t="str">
        <f t="shared" si="10"/>
        <v/>
      </c>
      <c r="AE60" s="2" t="str">
        <f t="shared" si="11"/>
        <v>(15 downto 8)</v>
      </c>
      <c r="AF60" s="2" t="str">
        <f t="shared" si="12"/>
        <v>(7 downto 0)</v>
      </c>
      <c r="AG60" s="2" t="str">
        <f t="shared" si="13"/>
        <v/>
      </c>
      <c r="AH60" s="2" t="str">
        <f t="shared" si="14"/>
        <v/>
      </c>
    </row>
    <row r="61" spans="2:34" x14ac:dyDescent="0.25">
      <c r="B61" s="2" t="s">
        <v>303</v>
      </c>
      <c r="C61" s="2" t="s">
        <v>304</v>
      </c>
      <c r="D61" s="2" t="s">
        <v>0</v>
      </c>
      <c r="E61" s="2" t="s">
        <v>130</v>
      </c>
      <c r="F61" s="2" t="s">
        <v>305</v>
      </c>
      <c r="G61" s="2" t="s">
        <v>306</v>
      </c>
      <c r="H61" s="2" t="s">
        <v>307</v>
      </c>
      <c r="I61" s="2" t="s">
        <v>41</v>
      </c>
      <c r="J61" s="2">
        <v>16</v>
      </c>
      <c r="K61" s="2" t="s">
        <v>308</v>
      </c>
      <c r="L61" s="2" t="s">
        <v>40</v>
      </c>
      <c r="M61" s="2" t="s">
        <v>2395</v>
      </c>
      <c r="N61" s="2" t="s">
        <v>2358</v>
      </c>
      <c r="O61" s="2" t="s">
        <v>2319</v>
      </c>
      <c r="P61" s="2" t="s">
        <v>49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180</v>
      </c>
      <c r="T61" s="2" t="str">
        <f t="shared" si="0"/>
        <v>00B4</v>
      </c>
      <c r="U61" s="2">
        <f t="shared" si="1"/>
        <v>45</v>
      </c>
      <c r="V61" s="2" t="str">
        <f t="shared" si="2"/>
        <v>02D</v>
      </c>
      <c r="W61" s="2" t="str">
        <f t="shared" si="3"/>
        <v/>
      </c>
      <c r="X61" s="2" t="str">
        <f t="shared" si="4"/>
        <v/>
      </c>
      <c r="Y61" s="2" t="str">
        <f t="shared" si="5"/>
        <v>X</v>
      </c>
      <c r="Z61" s="2" t="str">
        <f t="shared" si="6"/>
        <v>X</v>
      </c>
      <c r="AA61" s="2" t="str">
        <f t="shared" si="7"/>
        <v/>
      </c>
      <c r="AB61" s="2" t="str">
        <f t="shared" si="8"/>
        <v/>
      </c>
      <c r="AC61" s="2" t="str">
        <f t="shared" si="9"/>
        <v>(15 downto 8)</v>
      </c>
      <c r="AD61" s="2" t="str">
        <f t="shared" si="10"/>
        <v>(7 downto 0)</v>
      </c>
      <c r="AE61" s="2" t="str">
        <f t="shared" si="11"/>
        <v/>
      </c>
      <c r="AF61" s="2" t="str">
        <f t="shared" si="12"/>
        <v/>
      </c>
      <c r="AG61" s="2" t="str">
        <f t="shared" si="13"/>
        <v>(15 downto 8)</v>
      </c>
      <c r="AH61" s="2" t="str">
        <f t="shared" si="14"/>
        <v>(7 downto 0)</v>
      </c>
    </row>
    <row r="62" spans="2:34" x14ac:dyDescent="0.25">
      <c r="B62" s="2" t="s">
        <v>303</v>
      </c>
      <c r="C62" s="2" t="s">
        <v>309</v>
      </c>
      <c r="D62" s="2" t="s">
        <v>0</v>
      </c>
      <c r="E62" s="2" t="s">
        <v>130</v>
      </c>
      <c r="F62" s="2" t="s">
        <v>305</v>
      </c>
      <c r="G62" s="2" t="s">
        <v>306</v>
      </c>
      <c r="H62" s="2" t="s">
        <v>310</v>
      </c>
      <c r="I62" s="2" t="s">
        <v>41</v>
      </c>
      <c r="J62" s="2">
        <v>1</v>
      </c>
      <c r="K62" s="2" t="s">
        <v>81</v>
      </c>
      <c r="L62" s="2" t="s">
        <v>40</v>
      </c>
      <c r="M62" s="2" t="s">
        <v>2395</v>
      </c>
      <c r="N62" s="2" t="s">
        <v>2358</v>
      </c>
      <c r="O62" s="2" t="s">
        <v>2320</v>
      </c>
      <c r="P62" s="2" t="s">
        <v>4</v>
      </c>
      <c r="Q62" s="2">
        <f>INDEX(Tables!$C$4:$C$28,MATCH($P62,Tables!$B$4:$B$28,0))</f>
        <v>32</v>
      </c>
      <c r="R62" s="2">
        <f>INDEX(Tables!$D$4:$D$28,MATCH($P62,Tables!$B$4:$B$28,0))</f>
        <v>4</v>
      </c>
      <c r="S62" s="2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184</v>
      </c>
      <c r="T62" s="2" t="str">
        <f t="shared" si="0"/>
        <v>00B8</v>
      </c>
      <c r="U62" s="2">
        <f t="shared" si="1"/>
        <v>46</v>
      </c>
      <c r="V62" s="2" t="str">
        <f t="shared" si="2"/>
        <v>02E</v>
      </c>
      <c r="W62" s="2" t="str">
        <f t="shared" si="3"/>
        <v/>
      </c>
      <c r="X62" s="2" t="str">
        <f t="shared" si="4"/>
        <v/>
      </c>
      <c r="Y62" s="2" t="str">
        <f t="shared" si="5"/>
        <v/>
      </c>
      <c r="Z62" s="2" t="str">
        <f t="shared" si="6"/>
        <v>X</v>
      </c>
      <c r="AA62" s="2" t="str">
        <f t="shared" si="7"/>
        <v/>
      </c>
      <c r="AB62" s="2" t="str">
        <f t="shared" si="8"/>
        <v/>
      </c>
      <c r="AC62" s="2" t="str">
        <f t="shared" si="9"/>
        <v/>
      </c>
      <c r="AD62" s="2" t="str">
        <f t="shared" si="10"/>
        <v>(0)</v>
      </c>
      <c r="AE62" s="2" t="str">
        <f t="shared" si="11"/>
        <v/>
      </c>
      <c r="AF62" s="2" t="str">
        <f t="shared" si="12"/>
        <v/>
      </c>
      <c r="AG62" s="2" t="str">
        <f t="shared" si="13"/>
        <v/>
      </c>
      <c r="AH62" s="2" t="str">
        <f t="shared" si="14"/>
        <v/>
      </c>
    </row>
    <row r="63" spans="2:34" x14ac:dyDescent="0.25">
      <c r="B63" s="2" t="s">
        <v>303</v>
      </c>
      <c r="C63" s="2" t="s">
        <v>141</v>
      </c>
      <c r="D63" s="2" t="s">
        <v>0</v>
      </c>
      <c r="E63" s="2" t="s">
        <v>130</v>
      </c>
      <c r="F63" s="2" t="s">
        <v>305</v>
      </c>
      <c r="G63" s="2" t="s">
        <v>306</v>
      </c>
      <c r="H63" s="2" t="s">
        <v>142</v>
      </c>
      <c r="I63" s="2" t="s">
        <v>41</v>
      </c>
      <c r="J63" s="2">
        <v>1</v>
      </c>
      <c r="K63" s="2" t="s">
        <v>81</v>
      </c>
      <c r="L63" s="2" t="s">
        <v>40</v>
      </c>
      <c r="M63" s="2" t="s">
        <v>2395</v>
      </c>
      <c r="N63" s="2" t="s">
        <v>2358</v>
      </c>
      <c r="O63" s="2" t="s">
        <v>2308</v>
      </c>
      <c r="P63" s="2" t="s">
        <v>4</v>
      </c>
      <c r="Q63" s="2">
        <f>INDEX(Tables!$C$4:$C$28,MATCH($P63,Tables!$B$4:$B$28,0))</f>
        <v>32</v>
      </c>
      <c r="R63" s="2">
        <f>INDEX(Tables!$D$4:$D$28,MATCH($P63,Tables!$B$4:$B$28,0))</f>
        <v>4</v>
      </c>
      <c r="S63" s="2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188</v>
      </c>
      <c r="T63" s="2" t="str">
        <f t="shared" si="0"/>
        <v>00BC</v>
      </c>
      <c r="U63" s="2">
        <f t="shared" si="1"/>
        <v>47</v>
      </c>
      <c r="V63" s="2" t="str">
        <f t="shared" si="2"/>
        <v>02F</v>
      </c>
      <c r="W63" s="2" t="str">
        <f t="shared" si="3"/>
        <v/>
      </c>
      <c r="X63" s="2" t="str">
        <f t="shared" si="4"/>
        <v/>
      </c>
      <c r="Y63" s="2" t="str">
        <f t="shared" si="5"/>
        <v/>
      </c>
      <c r="Z63" s="2" t="str">
        <f t="shared" si="6"/>
        <v>X</v>
      </c>
      <c r="AA63" s="2" t="str">
        <f t="shared" si="7"/>
        <v/>
      </c>
      <c r="AB63" s="2" t="str">
        <f t="shared" si="8"/>
        <v/>
      </c>
      <c r="AC63" s="2" t="str">
        <f t="shared" si="9"/>
        <v/>
      </c>
      <c r="AD63" s="2" t="str">
        <f t="shared" si="10"/>
        <v>(0)</v>
      </c>
      <c r="AE63" s="2" t="str">
        <f t="shared" si="11"/>
        <v/>
      </c>
      <c r="AF63" s="2" t="str">
        <f t="shared" si="12"/>
        <v/>
      </c>
      <c r="AG63" s="2" t="str">
        <f t="shared" si="13"/>
        <v/>
      </c>
      <c r="AH63" s="2" t="str">
        <f t="shared" si="14"/>
        <v/>
      </c>
    </row>
    <row r="64" spans="2:34" x14ac:dyDescent="0.25">
      <c r="B64" s="2" t="s">
        <v>303</v>
      </c>
      <c r="C64" s="2" t="s">
        <v>311</v>
      </c>
      <c r="D64" s="2" t="s">
        <v>0</v>
      </c>
      <c r="E64" s="2" t="s">
        <v>130</v>
      </c>
      <c r="F64" s="2" t="s">
        <v>305</v>
      </c>
      <c r="G64" s="2" t="s">
        <v>306</v>
      </c>
      <c r="H64" s="2" t="s">
        <v>312</v>
      </c>
      <c r="I64" s="2" t="s">
        <v>41</v>
      </c>
      <c r="J64" s="2">
        <v>14</v>
      </c>
      <c r="K64" s="2" t="s">
        <v>313</v>
      </c>
      <c r="L64" s="2" t="s">
        <v>40</v>
      </c>
      <c r="M64" s="2" t="s">
        <v>2395</v>
      </c>
      <c r="N64" s="2" t="s">
        <v>2358</v>
      </c>
      <c r="O64" s="2" t="s">
        <v>2321</v>
      </c>
      <c r="P64" s="2" t="s">
        <v>49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192</v>
      </c>
      <c r="T64" s="2" t="str">
        <f t="shared" si="0"/>
        <v>00C0</v>
      </c>
      <c r="U64" s="2">
        <f t="shared" si="1"/>
        <v>48</v>
      </c>
      <c r="V64" s="2" t="str">
        <f t="shared" si="2"/>
        <v>030</v>
      </c>
      <c r="W64" s="2" t="str">
        <f t="shared" si="3"/>
        <v/>
      </c>
      <c r="X64" s="2" t="str">
        <f t="shared" si="4"/>
        <v/>
      </c>
      <c r="Y64" s="2" t="str">
        <f t="shared" si="5"/>
        <v>X</v>
      </c>
      <c r="Z64" s="2" t="str">
        <f t="shared" si="6"/>
        <v>X</v>
      </c>
      <c r="AA64" s="2" t="str">
        <f t="shared" si="7"/>
        <v/>
      </c>
      <c r="AB64" s="2" t="str">
        <f t="shared" si="8"/>
        <v/>
      </c>
      <c r="AC64" s="2" t="str">
        <f t="shared" si="9"/>
        <v>(13 downto 8)</v>
      </c>
      <c r="AD64" s="2" t="str">
        <f t="shared" si="10"/>
        <v>(7 downto 0)</v>
      </c>
      <c r="AE64" s="2" t="str">
        <f t="shared" si="11"/>
        <v/>
      </c>
      <c r="AF64" s="2" t="str">
        <f t="shared" si="12"/>
        <v/>
      </c>
      <c r="AG64" s="2" t="str">
        <f t="shared" si="13"/>
        <v>(13 downto 8)</v>
      </c>
      <c r="AH64" s="2" t="str">
        <f t="shared" si="14"/>
        <v>(7 downto 0)</v>
      </c>
    </row>
    <row r="65" spans="2:34" x14ac:dyDescent="0.25">
      <c r="B65" s="2" t="s">
        <v>314</v>
      </c>
      <c r="C65" s="2" t="s">
        <v>145</v>
      </c>
      <c r="D65" s="2" t="s">
        <v>0</v>
      </c>
      <c r="E65" s="2" t="s">
        <v>130</v>
      </c>
      <c r="F65" s="2" t="s">
        <v>315</v>
      </c>
      <c r="G65" s="2" t="s">
        <v>316</v>
      </c>
      <c r="H65" s="2" t="s">
        <v>148</v>
      </c>
      <c r="I65" s="2" t="s">
        <v>41</v>
      </c>
      <c r="J65" s="2">
        <v>2</v>
      </c>
      <c r="K65" s="2" t="s">
        <v>132</v>
      </c>
      <c r="L65" s="2" t="s">
        <v>40</v>
      </c>
      <c r="M65" s="2" t="s">
        <v>2395</v>
      </c>
      <c r="N65" s="2" t="s">
        <v>2359</v>
      </c>
      <c r="O65" s="2" t="s">
        <v>2290</v>
      </c>
      <c r="P65" s="2" t="s">
        <v>47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196</v>
      </c>
      <c r="T65" s="2" t="str">
        <f t="shared" si="0"/>
        <v>00C4</v>
      </c>
      <c r="U65" s="2">
        <f t="shared" si="1"/>
        <v>49</v>
      </c>
      <c r="V65" s="2" t="str">
        <f t="shared" si="2"/>
        <v>031</v>
      </c>
      <c r="W65" s="2" t="str">
        <f t="shared" si="3"/>
        <v/>
      </c>
      <c r="X65" s="2" t="str">
        <f t="shared" si="4"/>
        <v/>
      </c>
      <c r="Y65" s="2" t="str">
        <f t="shared" si="5"/>
        <v/>
      </c>
      <c r="Z65" s="2" t="str">
        <f t="shared" si="6"/>
        <v>X</v>
      </c>
      <c r="AA65" s="2" t="str">
        <f t="shared" si="7"/>
        <v/>
      </c>
      <c r="AB65" s="2" t="str">
        <f t="shared" si="8"/>
        <v/>
      </c>
      <c r="AC65" s="2" t="str">
        <f t="shared" si="9"/>
        <v/>
      </c>
      <c r="AD65" s="2" t="str">
        <f t="shared" si="10"/>
        <v>(1 downto 0)</v>
      </c>
      <c r="AE65" s="2" t="str">
        <f t="shared" si="11"/>
        <v/>
      </c>
      <c r="AF65" s="2" t="str">
        <f t="shared" si="12"/>
        <v/>
      </c>
      <c r="AG65" s="2" t="str">
        <f t="shared" si="13"/>
        <v/>
      </c>
      <c r="AH65" s="2" t="str">
        <f t="shared" si="14"/>
        <v/>
      </c>
    </row>
    <row r="66" spans="2:34" x14ac:dyDescent="0.25">
      <c r="B66" s="2" t="s">
        <v>314</v>
      </c>
      <c r="C66" s="2" t="s">
        <v>317</v>
      </c>
      <c r="D66" s="2" t="s">
        <v>0</v>
      </c>
      <c r="E66" s="2" t="s">
        <v>130</v>
      </c>
      <c r="F66" s="2" t="s">
        <v>315</v>
      </c>
      <c r="G66" s="2" t="s">
        <v>316</v>
      </c>
      <c r="H66" s="2" t="s">
        <v>318</v>
      </c>
      <c r="I66" s="2" t="s">
        <v>41</v>
      </c>
      <c r="J66" s="2">
        <v>14</v>
      </c>
      <c r="K66" s="2" t="s">
        <v>132</v>
      </c>
      <c r="L66" s="2" t="s">
        <v>40</v>
      </c>
      <c r="M66" s="2" t="s">
        <v>2395</v>
      </c>
      <c r="N66" s="2" t="s">
        <v>2359</v>
      </c>
      <c r="O66" s="2" t="s">
        <v>2322</v>
      </c>
      <c r="P66" s="2" t="s">
        <v>49</v>
      </c>
      <c r="Q66" s="2">
        <f>INDEX(Tables!$C$4:$C$28,MATCH($P66,Tables!$B$4:$B$28,0))</f>
        <v>16</v>
      </c>
      <c r="R66" s="2">
        <f>INDEX(Tables!$D$4:$D$28,MATCH($P66,Tables!$B$4:$B$28,0))</f>
        <v>2</v>
      </c>
      <c r="S66" s="2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198</v>
      </c>
      <c r="T66" s="2" t="str">
        <f t="shared" si="0"/>
        <v>00C6</v>
      </c>
      <c r="U66" s="2">
        <f t="shared" si="1"/>
        <v>49</v>
      </c>
      <c r="V66" s="2" t="str">
        <f t="shared" si="2"/>
        <v>031</v>
      </c>
      <c r="W66" s="2" t="str">
        <f t="shared" si="3"/>
        <v>X</v>
      </c>
      <c r="X66" s="2" t="str">
        <f t="shared" si="4"/>
        <v>X</v>
      </c>
      <c r="Y66" s="2" t="str">
        <f t="shared" si="5"/>
        <v/>
      </c>
      <c r="Z66" s="2" t="str">
        <f t="shared" si="6"/>
        <v/>
      </c>
      <c r="AA66" s="2" t="str">
        <f t="shared" si="7"/>
        <v>(29 downto 24)</v>
      </c>
      <c r="AB66" s="2" t="str">
        <f t="shared" si="8"/>
        <v>(23 downto 16)</v>
      </c>
      <c r="AC66" s="2" t="str">
        <f t="shared" si="9"/>
        <v/>
      </c>
      <c r="AD66" s="2" t="str">
        <f t="shared" si="10"/>
        <v/>
      </c>
      <c r="AE66" s="2" t="str">
        <f t="shared" si="11"/>
        <v>(13 downto 8)</v>
      </c>
      <c r="AF66" s="2" t="str">
        <f t="shared" si="12"/>
        <v>(7 downto 0)</v>
      </c>
      <c r="AG66" s="2" t="str">
        <f t="shared" si="13"/>
        <v/>
      </c>
      <c r="AH66" s="2" t="str">
        <f t="shared" si="14"/>
        <v/>
      </c>
    </row>
    <row r="67" spans="2:34" x14ac:dyDescent="0.25">
      <c r="B67" s="2" t="s">
        <v>314</v>
      </c>
      <c r="C67" s="2" t="s">
        <v>156</v>
      </c>
      <c r="D67" s="2" t="s">
        <v>0</v>
      </c>
      <c r="E67" s="2" t="s">
        <v>130</v>
      </c>
      <c r="F67" s="2" t="s">
        <v>315</v>
      </c>
      <c r="G67" s="2" t="s">
        <v>316</v>
      </c>
      <c r="H67" s="2" t="s">
        <v>157</v>
      </c>
      <c r="I67" s="2" t="s">
        <v>41</v>
      </c>
      <c r="J67" s="2">
        <v>2</v>
      </c>
      <c r="K67" s="2" t="s">
        <v>132</v>
      </c>
      <c r="L67" s="2" t="s">
        <v>40</v>
      </c>
      <c r="M67" s="2" t="s">
        <v>2395</v>
      </c>
      <c r="N67" s="2" t="s">
        <v>2359</v>
      </c>
      <c r="O67" s="2" t="s">
        <v>2289</v>
      </c>
      <c r="P67" s="2" t="s">
        <v>47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200</v>
      </c>
      <c r="T67" s="2" t="str">
        <f t="shared" si="0"/>
        <v>00C8</v>
      </c>
      <c r="U67" s="2">
        <f t="shared" si="1"/>
        <v>50</v>
      </c>
      <c r="V67" s="2" t="str">
        <f t="shared" si="2"/>
        <v>032</v>
      </c>
      <c r="W67" s="2" t="str">
        <f t="shared" si="3"/>
        <v/>
      </c>
      <c r="X67" s="2" t="str">
        <f t="shared" si="4"/>
        <v/>
      </c>
      <c r="Y67" s="2" t="str">
        <f t="shared" si="5"/>
        <v/>
      </c>
      <c r="Z67" s="2" t="str">
        <f t="shared" si="6"/>
        <v>X</v>
      </c>
      <c r="AA67" s="2" t="str">
        <f t="shared" si="7"/>
        <v/>
      </c>
      <c r="AB67" s="2" t="str">
        <f t="shared" si="8"/>
        <v/>
      </c>
      <c r="AC67" s="2" t="str">
        <f t="shared" si="9"/>
        <v/>
      </c>
      <c r="AD67" s="2" t="str">
        <f t="shared" si="10"/>
        <v>(1 downto 0)</v>
      </c>
      <c r="AE67" s="2" t="str">
        <f t="shared" si="11"/>
        <v/>
      </c>
      <c r="AF67" s="2" t="str">
        <f t="shared" si="12"/>
        <v/>
      </c>
      <c r="AG67" s="2" t="str">
        <f t="shared" si="13"/>
        <v/>
      </c>
      <c r="AH67" s="2" t="str">
        <f t="shared" si="14"/>
        <v/>
      </c>
    </row>
    <row r="68" spans="2:34" x14ac:dyDescent="0.25">
      <c r="B68" s="2" t="s">
        <v>314</v>
      </c>
      <c r="C68" s="2" t="s">
        <v>319</v>
      </c>
      <c r="D68" s="2" t="s">
        <v>0</v>
      </c>
      <c r="E68" s="2" t="s">
        <v>130</v>
      </c>
      <c r="F68" s="2" t="s">
        <v>315</v>
      </c>
      <c r="G68" s="2" t="s">
        <v>316</v>
      </c>
      <c r="H68" s="2" t="s">
        <v>320</v>
      </c>
      <c r="I68" s="2" t="s">
        <v>41</v>
      </c>
      <c r="J68" s="2">
        <v>14</v>
      </c>
      <c r="K68" s="2" t="s">
        <v>132</v>
      </c>
      <c r="L68" s="2" t="s">
        <v>40</v>
      </c>
      <c r="M68" s="2" t="s">
        <v>2395</v>
      </c>
      <c r="N68" s="2" t="s">
        <v>2359</v>
      </c>
      <c r="O68" s="2" t="s">
        <v>2323</v>
      </c>
      <c r="P68" s="2" t="s">
        <v>49</v>
      </c>
      <c r="Q68" s="2">
        <f>INDEX(Tables!$C$4:$C$28,MATCH($P68,Tables!$B$4:$B$28,0))</f>
        <v>16</v>
      </c>
      <c r="R68" s="2">
        <f>INDEX(Tables!$D$4:$D$28,MATCH($P68,Tables!$B$4:$B$28,0))</f>
        <v>2</v>
      </c>
      <c r="S68" s="2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202</v>
      </c>
      <c r="T68" s="2" t="str">
        <f t="shared" si="0"/>
        <v>00CA</v>
      </c>
      <c r="U68" s="2">
        <f t="shared" si="1"/>
        <v>50</v>
      </c>
      <c r="V68" s="2" t="str">
        <f t="shared" si="2"/>
        <v>032</v>
      </c>
      <c r="W68" s="2" t="str">
        <f t="shared" si="3"/>
        <v>X</v>
      </c>
      <c r="X68" s="2" t="str">
        <f t="shared" si="4"/>
        <v>X</v>
      </c>
      <c r="Y68" s="2" t="str">
        <f t="shared" si="5"/>
        <v/>
      </c>
      <c r="Z68" s="2" t="str">
        <f t="shared" si="6"/>
        <v/>
      </c>
      <c r="AA68" s="2" t="str">
        <f t="shared" si="7"/>
        <v>(29 downto 24)</v>
      </c>
      <c r="AB68" s="2" t="str">
        <f t="shared" si="8"/>
        <v>(23 downto 16)</v>
      </c>
      <c r="AC68" s="2" t="str">
        <f t="shared" si="9"/>
        <v/>
      </c>
      <c r="AD68" s="2" t="str">
        <f t="shared" si="10"/>
        <v/>
      </c>
      <c r="AE68" s="2" t="str">
        <f t="shared" si="11"/>
        <v>(13 downto 8)</v>
      </c>
      <c r="AF68" s="2" t="str">
        <f t="shared" si="12"/>
        <v>(7 downto 0)</v>
      </c>
      <c r="AG68" s="2" t="str">
        <f t="shared" si="13"/>
        <v/>
      </c>
      <c r="AH68" s="2" t="str">
        <f t="shared" si="14"/>
        <v/>
      </c>
    </row>
    <row r="69" spans="2:34" x14ac:dyDescent="0.25">
      <c r="B69" s="2" t="s">
        <v>321</v>
      </c>
      <c r="C69" s="2" t="s">
        <v>2782</v>
      </c>
      <c r="D69" s="2" t="s">
        <v>0</v>
      </c>
      <c r="E69" s="2" t="s">
        <v>130</v>
      </c>
      <c r="F69" s="2" t="s">
        <v>322</v>
      </c>
      <c r="G69" s="2" t="s">
        <v>323</v>
      </c>
      <c r="H69" s="2" t="s">
        <v>2784</v>
      </c>
      <c r="I69" s="2" t="s">
        <v>41</v>
      </c>
      <c r="J69" s="2">
        <v>32</v>
      </c>
      <c r="K69" s="2" t="s">
        <v>132</v>
      </c>
      <c r="L69" s="2" t="s">
        <v>40</v>
      </c>
      <c r="M69" s="2" t="s">
        <v>2395</v>
      </c>
      <c r="N69" s="2" t="s">
        <v>2360</v>
      </c>
      <c r="O69" s="2" t="s">
        <v>2825</v>
      </c>
      <c r="P69" s="2" t="s">
        <v>48</v>
      </c>
      <c r="Q69" s="2">
        <f>INDEX(Tables!$C$4:$C$28,MATCH($P69,Tables!$B$4:$B$28,0))</f>
        <v>32</v>
      </c>
      <c r="R69" s="2">
        <f>INDEX(Tables!$D$4:$D$28,MATCH($P69,Tables!$B$4:$B$28,0))</f>
        <v>4</v>
      </c>
      <c r="S69" s="2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204</v>
      </c>
      <c r="T69" s="2" t="str">
        <f t="shared" si="0"/>
        <v>00CC</v>
      </c>
      <c r="U69" s="2">
        <f t="shared" si="1"/>
        <v>51</v>
      </c>
      <c r="V69" s="2" t="str">
        <f t="shared" si="2"/>
        <v>033</v>
      </c>
      <c r="W69" s="2" t="str">
        <f t="shared" si="3"/>
        <v>X</v>
      </c>
      <c r="X69" s="2" t="str">
        <f t="shared" si="4"/>
        <v>X</v>
      </c>
      <c r="Y69" s="2" t="str">
        <f t="shared" si="5"/>
        <v>X</v>
      </c>
      <c r="Z69" s="2" t="str">
        <f t="shared" si="6"/>
        <v>X</v>
      </c>
      <c r="AA69" s="2" t="str">
        <f t="shared" si="7"/>
        <v>(31 downto 24)</v>
      </c>
      <c r="AB69" s="2" t="str">
        <f t="shared" si="8"/>
        <v>(23 downto 16)</v>
      </c>
      <c r="AC69" s="2" t="str">
        <f t="shared" si="9"/>
        <v>(15 downto 8)</v>
      </c>
      <c r="AD69" s="2" t="str">
        <f t="shared" si="10"/>
        <v>(7 downto 0)</v>
      </c>
      <c r="AE69" s="2" t="str">
        <f t="shared" si="11"/>
        <v>(31 downto 24)</v>
      </c>
      <c r="AF69" s="2" t="str">
        <f t="shared" si="12"/>
        <v>(23 downto 16)</v>
      </c>
      <c r="AG69" s="2" t="str">
        <f t="shared" si="13"/>
        <v>(15 downto 8)</v>
      </c>
      <c r="AH69" s="2" t="str">
        <f t="shared" si="14"/>
        <v>(7 downto 0)</v>
      </c>
    </row>
    <row r="70" spans="2:34" x14ac:dyDescent="0.25">
      <c r="B70" s="2" t="s">
        <v>324</v>
      </c>
      <c r="C70" s="2" t="s">
        <v>325</v>
      </c>
      <c r="D70" s="2" t="s">
        <v>0</v>
      </c>
      <c r="E70" s="2" t="s">
        <v>130</v>
      </c>
      <c r="F70" s="2" t="s">
        <v>326</v>
      </c>
      <c r="G70" s="2" t="s">
        <v>327</v>
      </c>
      <c r="H70" s="2" t="s">
        <v>328</v>
      </c>
      <c r="I70" s="2" t="s">
        <v>41</v>
      </c>
      <c r="J70" s="2">
        <v>4</v>
      </c>
      <c r="K70" s="2" t="s">
        <v>132</v>
      </c>
      <c r="L70" s="2" t="s">
        <v>40</v>
      </c>
      <c r="M70" s="2" t="s">
        <v>2396</v>
      </c>
      <c r="N70" s="2" t="s">
        <v>2361</v>
      </c>
      <c r="O70" s="2" t="s">
        <v>2324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208</v>
      </c>
      <c r="T70" s="2" t="str">
        <f t="shared" si="0"/>
        <v>00D0</v>
      </c>
      <c r="U70" s="2">
        <f t="shared" si="1"/>
        <v>52</v>
      </c>
      <c r="V70" s="2" t="str">
        <f t="shared" si="2"/>
        <v>034</v>
      </c>
      <c r="W70" s="2" t="str">
        <f t="shared" si="3"/>
        <v/>
      </c>
      <c r="X70" s="2" t="str">
        <f t="shared" si="4"/>
        <v/>
      </c>
      <c r="Y70" s="2" t="str">
        <f t="shared" si="5"/>
        <v/>
      </c>
      <c r="Z70" s="2" t="str">
        <f t="shared" si="6"/>
        <v>X</v>
      </c>
      <c r="AA70" s="2" t="str">
        <f t="shared" si="7"/>
        <v/>
      </c>
      <c r="AB70" s="2" t="str">
        <f t="shared" si="8"/>
        <v/>
      </c>
      <c r="AC70" s="2" t="str">
        <f t="shared" si="9"/>
        <v/>
      </c>
      <c r="AD70" s="2" t="str">
        <f t="shared" si="10"/>
        <v>(3 downto 0)</v>
      </c>
      <c r="AE70" s="2" t="str">
        <f t="shared" si="11"/>
        <v/>
      </c>
      <c r="AF70" s="2" t="str">
        <f t="shared" si="12"/>
        <v/>
      </c>
      <c r="AG70" s="2" t="str">
        <f t="shared" si="13"/>
        <v/>
      </c>
      <c r="AH70" s="2" t="str">
        <f t="shared" si="14"/>
        <v/>
      </c>
    </row>
    <row r="71" spans="2:34" x14ac:dyDescent="0.25">
      <c r="B71" s="2" t="s">
        <v>324</v>
      </c>
      <c r="C71" s="2" t="s">
        <v>2783</v>
      </c>
      <c r="D71" s="2" t="s">
        <v>0</v>
      </c>
      <c r="E71" s="2" t="s">
        <v>130</v>
      </c>
      <c r="F71" s="2" t="s">
        <v>326</v>
      </c>
      <c r="G71" s="2" t="s">
        <v>327</v>
      </c>
      <c r="H71" s="2" t="s">
        <v>2784</v>
      </c>
      <c r="I71" s="2" t="s">
        <v>41</v>
      </c>
      <c r="J71" s="2">
        <v>2</v>
      </c>
      <c r="K71" s="2" t="s">
        <v>132</v>
      </c>
      <c r="L71" s="2" t="s">
        <v>40</v>
      </c>
      <c r="M71" s="2" t="s">
        <v>2396</v>
      </c>
      <c r="N71" s="2" t="s">
        <v>2361</v>
      </c>
      <c r="O71" s="2" t="s">
        <v>2819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209</v>
      </c>
      <c r="T71" s="2" t="str">
        <f t="shared" si="0"/>
        <v>00D1</v>
      </c>
      <c r="U71" s="2">
        <f t="shared" si="1"/>
        <v>52</v>
      </c>
      <c r="V71" s="2" t="str">
        <f t="shared" si="2"/>
        <v>034</v>
      </c>
      <c r="W71" s="2" t="str">
        <f t="shared" si="3"/>
        <v/>
      </c>
      <c r="X71" s="2" t="str">
        <f t="shared" si="4"/>
        <v/>
      </c>
      <c r="Y71" s="2" t="str">
        <f t="shared" si="5"/>
        <v>X</v>
      </c>
      <c r="Z71" s="2" t="str">
        <f t="shared" si="6"/>
        <v/>
      </c>
      <c r="AA71" s="2" t="str">
        <f t="shared" si="7"/>
        <v/>
      </c>
      <c r="AB71" s="2" t="str">
        <f t="shared" si="8"/>
        <v/>
      </c>
      <c r="AC71" s="2" t="str">
        <f t="shared" si="9"/>
        <v>(9 downto 8)</v>
      </c>
      <c r="AD71" s="2" t="str">
        <f t="shared" si="10"/>
        <v/>
      </c>
      <c r="AE71" s="2" t="str">
        <f t="shared" si="11"/>
        <v/>
      </c>
      <c r="AF71" s="2" t="str">
        <f t="shared" si="12"/>
        <v/>
      </c>
      <c r="AG71" s="2" t="str">
        <f t="shared" si="13"/>
        <v/>
      </c>
      <c r="AH71" s="2" t="str">
        <f t="shared" si="14"/>
        <v/>
      </c>
    </row>
    <row r="72" spans="2:34" x14ac:dyDescent="0.25">
      <c r="B72" s="2" t="s">
        <v>324</v>
      </c>
      <c r="C72" s="2" t="s">
        <v>2785</v>
      </c>
      <c r="D72" s="2" t="s">
        <v>0</v>
      </c>
      <c r="E72" s="2" t="s">
        <v>130</v>
      </c>
      <c r="F72" s="2" t="s">
        <v>326</v>
      </c>
      <c r="G72" s="2" t="s">
        <v>327</v>
      </c>
      <c r="H72" s="2" t="s">
        <v>2786</v>
      </c>
      <c r="I72" s="2" t="s">
        <v>41</v>
      </c>
      <c r="J72" s="2">
        <v>12</v>
      </c>
      <c r="K72" s="2" t="s">
        <v>132</v>
      </c>
      <c r="L72" s="2" t="s">
        <v>40</v>
      </c>
      <c r="M72" s="2" t="s">
        <v>2396</v>
      </c>
      <c r="N72" s="2" t="s">
        <v>2361</v>
      </c>
      <c r="O72" s="2" t="s">
        <v>2822</v>
      </c>
      <c r="P72" s="2" t="s">
        <v>49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210</v>
      </c>
      <c r="T72" s="2" t="str">
        <f t="shared" ref="T72:T110" si="15">DEC2HEX($S72,4)</f>
        <v>00D2</v>
      </c>
      <c r="U72" s="2">
        <f t="shared" ref="U72:U110" si="16">ROUNDDOWN(S72/4,0)</f>
        <v>52</v>
      </c>
      <c r="V72" s="2" t="str">
        <f t="shared" ref="V72:V110" si="17">DEC2HEX($U72,3)</f>
        <v>034</v>
      </c>
      <c r="W72" s="2" t="str">
        <f t="shared" ref="W72:W110" si="18">IF(MOD($S72,4)=3,"X",IF(AND(MOD($S72,4)=2,$J72&gt;8),"X",IF(AND(MOD($S72,4)=1,$J72&gt;16),"X",IF(AND(MOD($S72,4)=0,$J72&gt;24),"X",""))))</f>
        <v>X</v>
      </c>
      <c r="X72" s="2" t="str">
        <f t="shared" ref="X72:X110" si="19">IF(MOD($S72,4)=2,"X",IF(AND(MOD($S72,4)=1,$J72&gt;8),"X",IF(AND(MOD($S72,4)=0,$J72&gt;16),"X","")))</f>
        <v>X</v>
      </c>
      <c r="Y72" s="2" t="str">
        <f t="shared" ref="Y72:Y110" si="20">IF(MOD($S72,4)=1,"X",IF(AND(MOD($S72,4)=0,$J72&gt;8),"X",""))</f>
        <v/>
      </c>
      <c r="Z72" s="2" t="str">
        <f t="shared" ref="Z72:Z110" si="21">IF(MOD($S72,4)=0,"X","")</f>
        <v/>
      </c>
      <c r="AA72" s="2" t="str">
        <f t="shared" ref="AA72:AA110" si="22">IF(W72="","",CONCATENATE("(",IF(($J72-COUNTIF($X72:$Z72,"X")*8)=1,"24)",CONCATENATE(IF(($J72-COUNTIF($X72:$Z72,"X")*8)&gt;=8,32,($J72-COUNTIF($X72:$Z72,"X")*8)+24)-1," downto 24)"))))</f>
        <v>(27 downto 24)</v>
      </c>
      <c r="AB72" s="2" t="str">
        <f t="shared" ref="AB72:AB110" si="23">IF(X72="","",CONCATENATE("(",IF(($J72-COUNTIF($Y72:$Z72,"X")*8)=1,"16)",CONCATENATE(IF(($J72-COUNTIF($Y72:$Z72,"X")*8)&gt;=8,24,($J72-COUNTIF($Y72:$Z72,"X")*8)+16)-1," downto 16)"))))</f>
        <v>(23 downto 16)</v>
      </c>
      <c r="AC72" s="2" t="str">
        <f t="shared" ref="AC72:AC110" si="24">IF(Y72="","",CONCATENATE("(",IF(($J72-COUNTIF($Z72,"X")*8)=1,"8)",CONCATENATE(IF(($J72-COUNTIF($Z72,"X")*8)&gt;=8,16,($J72-COUNTIF($Z72,"X")*8)+8)-1," downto 8)"))))</f>
        <v/>
      </c>
      <c r="AD72" s="2" t="str">
        <f t="shared" ref="AD72:AD110" si="25">IF(Z72="","",CONCATENATE("(",IF($J72=1,"0)",CONCATENATE(IF($J72&gt;=8,8,$J72)-1," downto 0)"))))</f>
        <v/>
      </c>
      <c r="AE72" s="2" t="str">
        <f t="shared" ref="AE72:AE110" si="26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(11 downto 8)</v>
      </c>
      <c r="AF72" s="2" t="str">
        <f t="shared" ref="AF72:AF110" si="27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(7 downto 0)</v>
      </c>
      <c r="AG72" s="2" t="str">
        <f t="shared" ref="AG72:AG110" si="28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2" t="str">
        <f t="shared" ref="AH72:AH110" si="29">IF(Z72="","",IF($J72&lt;=8,"",CONCATENATE("(",IF($J72&gt;=8,7,$J72-1)," downto ",0,")")))</f>
        <v/>
      </c>
    </row>
    <row r="73" spans="2:34" x14ac:dyDescent="0.25">
      <c r="B73" s="2" t="s">
        <v>329</v>
      </c>
      <c r="C73" s="2" t="s">
        <v>330</v>
      </c>
      <c r="D73" s="2" t="s">
        <v>0</v>
      </c>
      <c r="E73" s="2" t="s">
        <v>130</v>
      </c>
      <c r="F73" s="2" t="s">
        <v>331</v>
      </c>
      <c r="G73" s="2" t="s">
        <v>332</v>
      </c>
      <c r="H73" s="2" t="s">
        <v>333</v>
      </c>
      <c r="I73" s="2" t="s">
        <v>41</v>
      </c>
      <c r="J73" s="2">
        <v>32</v>
      </c>
      <c r="K73" s="2" t="s">
        <v>132</v>
      </c>
      <c r="L73" s="2" t="s">
        <v>40</v>
      </c>
      <c r="M73" s="2" t="s">
        <v>2396</v>
      </c>
      <c r="N73" s="2" t="s">
        <v>2362</v>
      </c>
      <c r="O73" s="2" t="s">
        <v>2325</v>
      </c>
      <c r="P73" s="2" t="s">
        <v>48</v>
      </c>
      <c r="Q73" s="2">
        <f>INDEX(Tables!$C$4:$C$28,MATCH($P73,Tables!$B$4:$B$28,0))</f>
        <v>32</v>
      </c>
      <c r="R73" s="2">
        <f>INDEX(Tables!$D$4:$D$28,MATCH($P73,Tables!$B$4:$B$28,0))</f>
        <v>4</v>
      </c>
      <c r="S73" s="2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212</v>
      </c>
      <c r="T73" s="2" t="str">
        <f t="shared" si="15"/>
        <v>00D4</v>
      </c>
      <c r="U73" s="2">
        <f t="shared" si="16"/>
        <v>53</v>
      </c>
      <c r="V73" s="2" t="str">
        <f t="shared" si="17"/>
        <v>035</v>
      </c>
      <c r="W73" s="2" t="str">
        <f t="shared" si="18"/>
        <v>X</v>
      </c>
      <c r="X73" s="2" t="str">
        <f t="shared" si="19"/>
        <v>X</v>
      </c>
      <c r="Y73" s="2" t="str">
        <f t="shared" si="20"/>
        <v>X</v>
      </c>
      <c r="Z73" s="2" t="str">
        <f t="shared" si="21"/>
        <v>X</v>
      </c>
      <c r="AA73" s="2" t="str">
        <f t="shared" si="22"/>
        <v>(31 downto 24)</v>
      </c>
      <c r="AB73" s="2" t="str">
        <f t="shared" si="23"/>
        <v>(23 downto 16)</v>
      </c>
      <c r="AC73" s="2" t="str">
        <f t="shared" si="24"/>
        <v>(15 downto 8)</v>
      </c>
      <c r="AD73" s="2" t="str">
        <f t="shared" si="25"/>
        <v>(7 downto 0)</v>
      </c>
      <c r="AE73" s="2" t="str">
        <f t="shared" si="26"/>
        <v>(31 downto 24)</v>
      </c>
      <c r="AF73" s="2" t="str">
        <f t="shared" si="27"/>
        <v>(23 downto 16)</v>
      </c>
      <c r="AG73" s="2" t="str">
        <f t="shared" si="28"/>
        <v>(15 downto 8)</v>
      </c>
      <c r="AH73" s="2" t="str">
        <f t="shared" si="29"/>
        <v>(7 downto 0)</v>
      </c>
    </row>
    <row r="74" spans="2:34" x14ac:dyDescent="0.25">
      <c r="B74" s="2" t="s">
        <v>334</v>
      </c>
      <c r="C74" s="2" t="s">
        <v>335</v>
      </c>
      <c r="D74" s="2" t="s">
        <v>0</v>
      </c>
      <c r="E74" s="2" t="s">
        <v>130</v>
      </c>
      <c r="F74" s="2" t="s">
        <v>336</v>
      </c>
      <c r="G74" s="2" t="s">
        <v>337</v>
      </c>
      <c r="H74" s="2" t="s">
        <v>338</v>
      </c>
      <c r="I74" s="2" t="s">
        <v>41</v>
      </c>
      <c r="J74" s="2">
        <v>32</v>
      </c>
      <c r="K74" s="2" t="s">
        <v>132</v>
      </c>
      <c r="L74" s="2" t="s">
        <v>40</v>
      </c>
      <c r="M74" s="2" t="s">
        <v>2396</v>
      </c>
      <c r="N74" s="2" t="s">
        <v>2363</v>
      </c>
      <c r="O74" s="2" t="s">
        <v>2326</v>
      </c>
      <c r="P74" s="2" t="s">
        <v>48</v>
      </c>
      <c r="Q74" s="2">
        <f>INDEX(Tables!$C$4:$C$28,MATCH($P74,Tables!$B$4:$B$28,0))</f>
        <v>32</v>
      </c>
      <c r="R74" s="2">
        <f>INDEX(Tables!$D$4:$D$28,MATCH($P74,Tables!$B$4:$B$28,0))</f>
        <v>4</v>
      </c>
      <c r="S74" s="2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216</v>
      </c>
      <c r="T74" s="2" t="str">
        <f t="shared" si="15"/>
        <v>00D8</v>
      </c>
      <c r="U74" s="2">
        <f t="shared" si="16"/>
        <v>54</v>
      </c>
      <c r="V74" s="2" t="str">
        <f t="shared" si="17"/>
        <v>036</v>
      </c>
      <c r="W74" s="2" t="str">
        <f t="shared" si="18"/>
        <v>X</v>
      </c>
      <c r="X74" s="2" t="str">
        <f t="shared" si="19"/>
        <v>X</v>
      </c>
      <c r="Y74" s="2" t="str">
        <f t="shared" si="20"/>
        <v>X</v>
      </c>
      <c r="Z74" s="2" t="str">
        <f t="shared" si="21"/>
        <v>X</v>
      </c>
      <c r="AA74" s="2" t="str">
        <f t="shared" si="22"/>
        <v>(31 downto 24)</v>
      </c>
      <c r="AB74" s="2" t="str">
        <f t="shared" si="23"/>
        <v>(23 downto 16)</v>
      </c>
      <c r="AC74" s="2" t="str">
        <f t="shared" si="24"/>
        <v>(15 downto 8)</v>
      </c>
      <c r="AD74" s="2" t="str">
        <f t="shared" si="25"/>
        <v>(7 downto 0)</v>
      </c>
      <c r="AE74" s="2" t="str">
        <f t="shared" si="26"/>
        <v>(31 downto 24)</v>
      </c>
      <c r="AF74" s="2" t="str">
        <f t="shared" si="27"/>
        <v>(23 downto 16)</v>
      </c>
      <c r="AG74" s="2" t="str">
        <f t="shared" si="28"/>
        <v>(15 downto 8)</v>
      </c>
      <c r="AH74" s="2" t="str">
        <f t="shared" si="29"/>
        <v>(7 downto 0)</v>
      </c>
    </row>
    <row r="75" spans="2:34" x14ac:dyDescent="0.25">
      <c r="B75" s="2" t="s">
        <v>339</v>
      </c>
      <c r="C75" s="2" t="s">
        <v>2787</v>
      </c>
      <c r="D75" s="2" t="s">
        <v>0</v>
      </c>
      <c r="E75" s="2" t="s">
        <v>130</v>
      </c>
      <c r="F75" s="2" t="s">
        <v>340</v>
      </c>
      <c r="G75" s="2" t="s">
        <v>341</v>
      </c>
      <c r="H75" s="2" t="s">
        <v>2784</v>
      </c>
      <c r="I75" s="2" t="s">
        <v>41</v>
      </c>
      <c r="J75" s="2">
        <v>32</v>
      </c>
      <c r="K75" s="2" t="s">
        <v>132</v>
      </c>
      <c r="L75" s="2" t="s">
        <v>40</v>
      </c>
      <c r="M75" s="2" t="s">
        <v>2396</v>
      </c>
      <c r="N75" s="2" t="s">
        <v>2364</v>
      </c>
      <c r="O75" s="2" t="s">
        <v>2825</v>
      </c>
      <c r="P75" s="2" t="s">
        <v>48</v>
      </c>
      <c r="Q75" s="2">
        <f>INDEX(Tables!$C$4:$C$28,MATCH($P75,Tables!$B$4:$B$28,0))</f>
        <v>32</v>
      </c>
      <c r="R75" s="2">
        <f>INDEX(Tables!$D$4:$D$28,MATCH($P75,Tables!$B$4:$B$28,0))</f>
        <v>4</v>
      </c>
      <c r="S75" s="2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220</v>
      </c>
      <c r="T75" s="2" t="str">
        <f t="shared" si="15"/>
        <v>00DC</v>
      </c>
      <c r="U75" s="2">
        <f t="shared" si="16"/>
        <v>55</v>
      </c>
      <c r="V75" s="2" t="str">
        <f t="shared" si="17"/>
        <v>037</v>
      </c>
      <c r="W75" s="2" t="str">
        <f t="shared" si="18"/>
        <v>X</v>
      </c>
      <c r="X75" s="2" t="str">
        <f t="shared" si="19"/>
        <v>X</v>
      </c>
      <c r="Y75" s="2" t="str">
        <f t="shared" si="20"/>
        <v>X</v>
      </c>
      <c r="Z75" s="2" t="str">
        <f t="shared" si="21"/>
        <v>X</v>
      </c>
      <c r="AA75" s="2" t="str">
        <f t="shared" si="22"/>
        <v>(31 downto 24)</v>
      </c>
      <c r="AB75" s="2" t="str">
        <f t="shared" si="23"/>
        <v>(23 downto 16)</v>
      </c>
      <c r="AC75" s="2" t="str">
        <f t="shared" si="24"/>
        <v>(15 downto 8)</v>
      </c>
      <c r="AD75" s="2" t="str">
        <f t="shared" si="25"/>
        <v>(7 downto 0)</v>
      </c>
      <c r="AE75" s="2" t="str">
        <f t="shared" si="26"/>
        <v>(31 downto 24)</v>
      </c>
      <c r="AF75" s="2" t="str">
        <f t="shared" si="27"/>
        <v>(23 downto 16)</v>
      </c>
      <c r="AG75" s="2" t="str">
        <f t="shared" si="28"/>
        <v>(15 downto 8)</v>
      </c>
      <c r="AH75" s="2" t="str">
        <f t="shared" si="29"/>
        <v>(7 downto 0)</v>
      </c>
    </row>
    <row r="76" spans="2:34" x14ac:dyDescent="0.25">
      <c r="B76" s="2" t="s">
        <v>342</v>
      </c>
      <c r="C76" s="2" t="s">
        <v>2788</v>
      </c>
      <c r="D76" s="2" t="s">
        <v>0</v>
      </c>
      <c r="E76" s="2" t="s">
        <v>130</v>
      </c>
      <c r="F76" s="2" t="s">
        <v>343</v>
      </c>
      <c r="G76" s="2" t="s">
        <v>344</v>
      </c>
      <c r="H76" s="2" t="s">
        <v>2784</v>
      </c>
      <c r="I76" s="2" t="s">
        <v>41</v>
      </c>
      <c r="J76" s="2">
        <v>32</v>
      </c>
      <c r="K76" s="2" t="s">
        <v>132</v>
      </c>
      <c r="L76" s="2" t="s">
        <v>40</v>
      </c>
      <c r="M76" s="2" t="s">
        <v>2396</v>
      </c>
      <c r="N76" s="2" t="s">
        <v>2365</v>
      </c>
      <c r="O76" s="2" t="s">
        <v>2825</v>
      </c>
      <c r="P76" s="2" t="s">
        <v>48</v>
      </c>
      <c r="Q76" s="2">
        <f>INDEX(Tables!$C$4:$C$28,MATCH($P76,Tables!$B$4:$B$28,0))</f>
        <v>32</v>
      </c>
      <c r="R76" s="2">
        <f>INDEX(Tables!$D$4:$D$28,MATCH($P76,Tables!$B$4:$B$28,0))</f>
        <v>4</v>
      </c>
      <c r="S76" s="2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224</v>
      </c>
      <c r="T76" s="2" t="str">
        <f t="shared" si="15"/>
        <v>00E0</v>
      </c>
      <c r="U76" s="2">
        <f t="shared" si="16"/>
        <v>56</v>
      </c>
      <c r="V76" s="2" t="str">
        <f t="shared" si="17"/>
        <v>038</v>
      </c>
      <c r="W76" s="2" t="str">
        <f t="shared" si="18"/>
        <v>X</v>
      </c>
      <c r="X76" s="2" t="str">
        <f t="shared" si="19"/>
        <v>X</v>
      </c>
      <c r="Y76" s="2" t="str">
        <f t="shared" si="20"/>
        <v>X</v>
      </c>
      <c r="Z76" s="2" t="str">
        <f t="shared" si="21"/>
        <v>X</v>
      </c>
      <c r="AA76" s="2" t="str">
        <f t="shared" si="22"/>
        <v>(31 downto 24)</v>
      </c>
      <c r="AB76" s="2" t="str">
        <f t="shared" si="23"/>
        <v>(23 downto 16)</v>
      </c>
      <c r="AC76" s="2" t="str">
        <f t="shared" si="24"/>
        <v>(15 downto 8)</v>
      </c>
      <c r="AD76" s="2" t="str">
        <f t="shared" si="25"/>
        <v>(7 downto 0)</v>
      </c>
      <c r="AE76" s="2" t="str">
        <f t="shared" si="26"/>
        <v>(31 downto 24)</v>
      </c>
      <c r="AF76" s="2" t="str">
        <f t="shared" si="27"/>
        <v>(23 downto 16)</v>
      </c>
      <c r="AG76" s="2" t="str">
        <f t="shared" si="28"/>
        <v>(15 downto 8)</v>
      </c>
      <c r="AH76" s="2" t="str">
        <f t="shared" si="29"/>
        <v>(7 downto 0)</v>
      </c>
    </row>
    <row r="77" spans="2:34" x14ac:dyDescent="0.25">
      <c r="B77" s="2" t="s">
        <v>345</v>
      </c>
      <c r="C77" s="2" t="s">
        <v>2789</v>
      </c>
      <c r="D77" s="2" t="s">
        <v>0</v>
      </c>
      <c r="E77" s="2" t="s">
        <v>130</v>
      </c>
      <c r="F77" s="2" t="s">
        <v>346</v>
      </c>
      <c r="G77" s="2" t="s">
        <v>347</v>
      </c>
      <c r="H77" s="2" t="s">
        <v>2784</v>
      </c>
      <c r="I77" s="2" t="s">
        <v>41</v>
      </c>
      <c r="J77" s="2">
        <v>32</v>
      </c>
      <c r="K77" s="2" t="s">
        <v>132</v>
      </c>
      <c r="L77" s="2" t="s">
        <v>40</v>
      </c>
      <c r="M77" s="2" t="s">
        <v>2396</v>
      </c>
      <c r="N77" s="2" t="s">
        <v>2366</v>
      </c>
      <c r="O77" s="2" t="s">
        <v>2825</v>
      </c>
      <c r="P77" s="2" t="s">
        <v>48</v>
      </c>
      <c r="Q77" s="2">
        <f>INDEX(Tables!$C$4:$C$28,MATCH($P77,Tables!$B$4:$B$28,0))</f>
        <v>32</v>
      </c>
      <c r="R77" s="2">
        <f>INDEX(Tables!$D$4:$D$28,MATCH($P77,Tables!$B$4:$B$28,0))</f>
        <v>4</v>
      </c>
      <c r="S77" s="2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228</v>
      </c>
      <c r="T77" s="2" t="str">
        <f t="shared" si="15"/>
        <v>00E4</v>
      </c>
      <c r="U77" s="2">
        <f t="shared" si="16"/>
        <v>57</v>
      </c>
      <c r="V77" s="2" t="str">
        <f t="shared" si="17"/>
        <v>039</v>
      </c>
      <c r="W77" s="2" t="str">
        <f t="shared" si="18"/>
        <v>X</v>
      </c>
      <c r="X77" s="2" t="str">
        <f t="shared" si="19"/>
        <v>X</v>
      </c>
      <c r="Y77" s="2" t="str">
        <f t="shared" si="20"/>
        <v>X</v>
      </c>
      <c r="Z77" s="2" t="str">
        <f t="shared" si="21"/>
        <v>X</v>
      </c>
      <c r="AA77" s="2" t="str">
        <f t="shared" si="22"/>
        <v>(31 downto 24)</v>
      </c>
      <c r="AB77" s="2" t="str">
        <f t="shared" si="23"/>
        <v>(23 downto 16)</v>
      </c>
      <c r="AC77" s="2" t="str">
        <f t="shared" si="24"/>
        <v>(15 downto 8)</v>
      </c>
      <c r="AD77" s="2" t="str">
        <f t="shared" si="25"/>
        <v>(7 downto 0)</v>
      </c>
      <c r="AE77" s="2" t="str">
        <f t="shared" si="26"/>
        <v>(31 downto 24)</v>
      </c>
      <c r="AF77" s="2" t="str">
        <f t="shared" si="27"/>
        <v>(23 downto 16)</v>
      </c>
      <c r="AG77" s="2" t="str">
        <f t="shared" si="28"/>
        <v>(15 downto 8)</v>
      </c>
      <c r="AH77" s="2" t="str">
        <f t="shared" si="29"/>
        <v>(7 downto 0)</v>
      </c>
    </row>
    <row r="78" spans="2:34" x14ac:dyDescent="0.25">
      <c r="B78" s="2" t="s">
        <v>348</v>
      </c>
      <c r="C78" s="2" t="s">
        <v>2790</v>
      </c>
      <c r="D78" s="2" t="s">
        <v>0</v>
      </c>
      <c r="E78" s="2" t="s">
        <v>130</v>
      </c>
      <c r="F78" s="2" t="s">
        <v>349</v>
      </c>
      <c r="G78" s="2" t="s">
        <v>350</v>
      </c>
      <c r="H78" s="2" t="s">
        <v>2784</v>
      </c>
      <c r="I78" s="2" t="s">
        <v>41</v>
      </c>
      <c r="J78" s="2">
        <v>32</v>
      </c>
      <c r="K78" s="2" t="s">
        <v>132</v>
      </c>
      <c r="L78" s="2" t="s">
        <v>40</v>
      </c>
      <c r="M78" s="2" t="s">
        <v>2396</v>
      </c>
      <c r="N78" s="2" t="s">
        <v>2367</v>
      </c>
      <c r="O78" s="2" t="s">
        <v>2825</v>
      </c>
      <c r="P78" s="2" t="s">
        <v>48</v>
      </c>
      <c r="Q78" s="2">
        <f>INDEX(Tables!$C$4:$C$28,MATCH($P78,Tables!$B$4:$B$28,0))</f>
        <v>32</v>
      </c>
      <c r="R78" s="2">
        <f>INDEX(Tables!$D$4:$D$28,MATCH($P78,Tables!$B$4:$B$28,0))</f>
        <v>4</v>
      </c>
      <c r="S78" s="2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232</v>
      </c>
      <c r="T78" s="2" t="str">
        <f t="shared" si="15"/>
        <v>00E8</v>
      </c>
      <c r="U78" s="2">
        <f t="shared" si="16"/>
        <v>58</v>
      </c>
      <c r="V78" s="2" t="str">
        <f t="shared" si="17"/>
        <v>03A</v>
      </c>
      <c r="W78" s="2" t="str">
        <f t="shared" si="18"/>
        <v>X</v>
      </c>
      <c r="X78" s="2" t="str">
        <f t="shared" si="19"/>
        <v>X</v>
      </c>
      <c r="Y78" s="2" t="str">
        <f t="shared" si="20"/>
        <v>X</v>
      </c>
      <c r="Z78" s="2" t="str">
        <f t="shared" si="21"/>
        <v>X</v>
      </c>
      <c r="AA78" s="2" t="str">
        <f t="shared" si="22"/>
        <v>(31 downto 24)</v>
      </c>
      <c r="AB78" s="2" t="str">
        <f t="shared" si="23"/>
        <v>(23 downto 16)</v>
      </c>
      <c r="AC78" s="2" t="str">
        <f t="shared" si="24"/>
        <v>(15 downto 8)</v>
      </c>
      <c r="AD78" s="2" t="str">
        <f t="shared" si="25"/>
        <v>(7 downto 0)</v>
      </c>
      <c r="AE78" s="2" t="str">
        <f t="shared" si="26"/>
        <v>(31 downto 24)</v>
      </c>
      <c r="AF78" s="2" t="str">
        <f t="shared" si="27"/>
        <v>(23 downto 16)</v>
      </c>
      <c r="AG78" s="2" t="str">
        <f t="shared" si="28"/>
        <v>(15 downto 8)</v>
      </c>
      <c r="AH78" s="2" t="str">
        <f t="shared" si="29"/>
        <v>(7 downto 0)</v>
      </c>
    </row>
    <row r="79" spans="2:34" x14ac:dyDescent="0.25">
      <c r="B79" s="2" t="s">
        <v>351</v>
      </c>
      <c r="C79" s="2" t="s">
        <v>2791</v>
      </c>
      <c r="D79" s="2" t="s">
        <v>0</v>
      </c>
      <c r="E79" s="2" t="s">
        <v>130</v>
      </c>
      <c r="F79" s="2" t="s">
        <v>352</v>
      </c>
      <c r="G79" s="2" t="s">
        <v>353</v>
      </c>
      <c r="H79" s="2" t="s">
        <v>2784</v>
      </c>
      <c r="I79" s="2" t="s">
        <v>41</v>
      </c>
      <c r="J79" s="2">
        <v>32</v>
      </c>
      <c r="K79" s="2" t="s">
        <v>132</v>
      </c>
      <c r="L79" s="2" t="s">
        <v>40</v>
      </c>
      <c r="M79" s="2" t="s">
        <v>2396</v>
      </c>
      <c r="N79" s="2" t="s">
        <v>2368</v>
      </c>
      <c r="O79" s="2" t="s">
        <v>2825</v>
      </c>
      <c r="P79" s="2" t="s">
        <v>48</v>
      </c>
      <c r="Q79" s="2">
        <f>INDEX(Tables!$C$4:$C$28,MATCH($P79,Tables!$B$4:$B$28,0))</f>
        <v>32</v>
      </c>
      <c r="R79" s="2">
        <f>INDEX(Tables!$D$4:$D$28,MATCH($P79,Tables!$B$4:$B$28,0))</f>
        <v>4</v>
      </c>
      <c r="S79" s="2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236</v>
      </c>
      <c r="T79" s="2" t="str">
        <f t="shared" si="15"/>
        <v>00EC</v>
      </c>
      <c r="U79" s="2">
        <f t="shared" si="16"/>
        <v>59</v>
      </c>
      <c r="V79" s="2" t="str">
        <f t="shared" si="17"/>
        <v>03B</v>
      </c>
      <c r="W79" s="2" t="str">
        <f t="shared" si="18"/>
        <v>X</v>
      </c>
      <c r="X79" s="2" t="str">
        <f t="shared" si="19"/>
        <v>X</v>
      </c>
      <c r="Y79" s="2" t="str">
        <f t="shared" si="20"/>
        <v>X</v>
      </c>
      <c r="Z79" s="2" t="str">
        <f t="shared" si="21"/>
        <v>X</v>
      </c>
      <c r="AA79" s="2" t="str">
        <f t="shared" si="22"/>
        <v>(31 downto 24)</v>
      </c>
      <c r="AB79" s="2" t="str">
        <f t="shared" si="23"/>
        <v>(23 downto 16)</v>
      </c>
      <c r="AC79" s="2" t="str">
        <f t="shared" si="24"/>
        <v>(15 downto 8)</v>
      </c>
      <c r="AD79" s="2" t="str">
        <f t="shared" si="25"/>
        <v>(7 downto 0)</v>
      </c>
      <c r="AE79" s="2" t="str">
        <f t="shared" si="26"/>
        <v>(31 downto 24)</v>
      </c>
      <c r="AF79" s="2" t="str">
        <f t="shared" si="27"/>
        <v>(23 downto 16)</v>
      </c>
      <c r="AG79" s="2" t="str">
        <f t="shared" si="28"/>
        <v>(15 downto 8)</v>
      </c>
      <c r="AH79" s="2" t="str">
        <f t="shared" si="29"/>
        <v>(7 downto 0)</v>
      </c>
    </row>
    <row r="80" spans="2:34" x14ac:dyDescent="0.25">
      <c r="B80" s="2" t="s">
        <v>354</v>
      </c>
      <c r="C80" s="2" t="s">
        <v>2792</v>
      </c>
      <c r="D80" s="2" t="s">
        <v>0</v>
      </c>
      <c r="E80" s="2" t="s">
        <v>130</v>
      </c>
      <c r="F80" s="2" t="s">
        <v>355</v>
      </c>
      <c r="G80" s="2" t="s">
        <v>356</v>
      </c>
      <c r="H80" s="2" t="s">
        <v>2784</v>
      </c>
      <c r="I80" s="2" t="s">
        <v>41</v>
      </c>
      <c r="J80" s="2">
        <v>32</v>
      </c>
      <c r="K80" s="2" t="s">
        <v>132</v>
      </c>
      <c r="L80" s="2" t="s">
        <v>40</v>
      </c>
      <c r="M80" s="2" t="s">
        <v>2396</v>
      </c>
      <c r="N80" s="2" t="s">
        <v>2369</v>
      </c>
      <c r="O80" s="2" t="s">
        <v>2825</v>
      </c>
      <c r="P80" s="2" t="s">
        <v>48</v>
      </c>
      <c r="Q80" s="2">
        <f>INDEX(Tables!$C$4:$C$28,MATCH($P80,Tables!$B$4:$B$28,0))</f>
        <v>32</v>
      </c>
      <c r="R80" s="2">
        <f>INDEX(Tables!$D$4:$D$28,MATCH($P80,Tables!$B$4:$B$28,0))</f>
        <v>4</v>
      </c>
      <c r="S80" s="2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240</v>
      </c>
      <c r="T80" s="2" t="str">
        <f t="shared" si="15"/>
        <v>00F0</v>
      </c>
      <c r="U80" s="2">
        <f t="shared" si="16"/>
        <v>60</v>
      </c>
      <c r="V80" s="2" t="str">
        <f t="shared" si="17"/>
        <v>03C</v>
      </c>
      <c r="W80" s="2" t="str">
        <f t="shared" si="18"/>
        <v>X</v>
      </c>
      <c r="X80" s="2" t="str">
        <f t="shared" si="19"/>
        <v>X</v>
      </c>
      <c r="Y80" s="2" t="str">
        <f t="shared" si="20"/>
        <v>X</v>
      </c>
      <c r="Z80" s="2" t="str">
        <f t="shared" si="21"/>
        <v>X</v>
      </c>
      <c r="AA80" s="2" t="str">
        <f t="shared" si="22"/>
        <v>(31 downto 24)</v>
      </c>
      <c r="AB80" s="2" t="str">
        <f t="shared" si="23"/>
        <v>(23 downto 16)</v>
      </c>
      <c r="AC80" s="2" t="str">
        <f t="shared" si="24"/>
        <v>(15 downto 8)</v>
      </c>
      <c r="AD80" s="2" t="str">
        <f t="shared" si="25"/>
        <v>(7 downto 0)</v>
      </c>
      <c r="AE80" s="2" t="str">
        <f t="shared" si="26"/>
        <v>(31 downto 24)</v>
      </c>
      <c r="AF80" s="2" t="str">
        <f t="shared" si="27"/>
        <v>(23 downto 16)</v>
      </c>
      <c r="AG80" s="2" t="str">
        <f t="shared" si="28"/>
        <v>(15 downto 8)</v>
      </c>
      <c r="AH80" s="2" t="str">
        <f t="shared" si="29"/>
        <v>(7 downto 0)</v>
      </c>
    </row>
    <row r="81" spans="2:34" x14ac:dyDescent="0.25">
      <c r="B81" s="2" t="s">
        <v>357</v>
      </c>
      <c r="C81" s="2" t="s">
        <v>2793</v>
      </c>
      <c r="D81" s="2" t="s">
        <v>0</v>
      </c>
      <c r="E81" s="2" t="s">
        <v>130</v>
      </c>
      <c r="F81" s="2" t="s">
        <v>358</v>
      </c>
      <c r="G81" s="2" t="s">
        <v>359</v>
      </c>
      <c r="H81" s="2" t="s">
        <v>2784</v>
      </c>
      <c r="I81" s="2" t="s">
        <v>41</v>
      </c>
      <c r="J81" s="2">
        <v>32</v>
      </c>
      <c r="K81" s="2" t="s">
        <v>132</v>
      </c>
      <c r="L81" s="2" t="s">
        <v>40</v>
      </c>
      <c r="M81" s="2" t="s">
        <v>2396</v>
      </c>
      <c r="N81" s="2" t="s">
        <v>2370</v>
      </c>
      <c r="O81" s="2" t="s">
        <v>2825</v>
      </c>
      <c r="P81" s="2" t="s">
        <v>48</v>
      </c>
      <c r="Q81" s="2">
        <f>INDEX(Tables!$C$4:$C$28,MATCH($P81,Tables!$B$4:$B$28,0))</f>
        <v>32</v>
      </c>
      <c r="R81" s="2">
        <f>INDEX(Tables!$D$4:$D$28,MATCH($P81,Tables!$B$4:$B$28,0))</f>
        <v>4</v>
      </c>
      <c r="S81" s="2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244</v>
      </c>
      <c r="T81" s="2" t="str">
        <f t="shared" si="15"/>
        <v>00F4</v>
      </c>
      <c r="U81" s="2">
        <f t="shared" si="16"/>
        <v>61</v>
      </c>
      <c r="V81" s="2" t="str">
        <f t="shared" si="17"/>
        <v>03D</v>
      </c>
      <c r="W81" s="2" t="str">
        <f t="shared" si="18"/>
        <v>X</v>
      </c>
      <c r="X81" s="2" t="str">
        <f t="shared" si="19"/>
        <v>X</v>
      </c>
      <c r="Y81" s="2" t="str">
        <f t="shared" si="20"/>
        <v>X</v>
      </c>
      <c r="Z81" s="2" t="str">
        <f t="shared" si="21"/>
        <v>X</v>
      </c>
      <c r="AA81" s="2" t="str">
        <f t="shared" si="22"/>
        <v>(31 downto 24)</v>
      </c>
      <c r="AB81" s="2" t="str">
        <f t="shared" si="23"/>
        <v>(23 downto 16)</v>
      </c>
      <c r="AC81" s="2" t="str">
        <f t="shared" si="24"/>
        <v>(15 downto 8)</v>
      </c>
      <c r="AD81" s="2" t="str">
        <f t="shared" si="25"/>
        <v>(7 downto 0)</v>
      </c>
      <c r="AE81" s="2" t="str">
        <f t="shared" si="26"/>
        <v>(31 downto 24)</v>
      </c>
      <c r="AF81" s="2" t="str">
        <f t="shared" si="27"/>
        <v>(23 downto 16)</v>
      </c>
      <c r="AG81" s="2" t="str">
        <f t="shared" si="28"/>
        <v>(15 downto 8)</v>
      </c>
      <c r="AH81" s="2" t="str">
        <f t="shared" si="29"/>
        <v>(7 downto 0)</v>
      </c>
    </row>
    <row r="82" spans="2:34" x14ac:dyDescent="0.25">
      <c r="B82" s="2" t="s">
        <v>360</v>
      </c>
      <c r="C82" s="2" t="s">
        <v>2794</v>
      </c>
      <c r="D82" s="2" t="s">
        <v>0</v>
      </c>
      <c r="E82" s="2" t="s">
        <v>130</v>
      </c>
      <c r="F82" s="2" t="s">
        <v>361</v>
      </c>
      <c r="G82" s="2" t="s">
        <v>362</v>
      </c>
      <c r="H82" s="2" t="s">
        <v>2784</v>
      </c>
      <c r="I82" s="2" t="s">
        <v>41</v>
      </c>
      <c r="J82" s="2">
        <v>32</v>
      </c>
      <c r="K82" s="2" t="s">
        <v>132</v>
      </c>
      <c r="L82" s="2" t="s">
        <v>40</v>
      </c>
      <c r="M82" s="2" t="s">
        <v>2396</v>
      </c>
      <c r="N82" s="2" t="s">
        <v>2371</v>
      </c>
      <c r="O82" s="2" t="s">
        <v>2825</v>
      </c>
      <c r="P82" s="2" t="s">
        <v>48</v>
      </c>
      <c r="Q82" s="2">
        <f>INDEX(Tables!$C$4:$C$28,MATCH($P82,Tables!$B$4:$B$28,0))</f>
        <v>32</v>
      </c>
      <c r="R82" s="2">
        <f>INDEX(Tables!$D$4:$D$28,MATCH($P82,Tables!$B$4:$B$28,0))</f>
        <v>4</v>
      </c>
      <c r="S82" s="2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248</v>
      </c>
      <c r="T82" s="2" t="str">
        <f t="shared" si="15"/>
        <v>00F8</v>
      </c>
      <c r="U82" s="2">
        <f t="shared" si="16"/>
        <v>62</v>
      </c>
      <c r="V82" s="2" t="str">
        <f t="shared" si="17"/>
        <v>03E</v>
      </c>
      <c r="W82" s="2" t="str">
        <f t="shared" si="18"/>
        <v>X</v>
      </c>
      <c r="X82" s="2" t="str">
        <f t="shared" si="19"/>
        <v>X</v>
      </c>
      <c r="Y82" s="2" t="str">
        <f t="shared" si="20"/>
        <v>X</v>
      </c>
      <c r="Z82" s="2" t="str">
        <f t="shared" si="21"/>
        <v>X</v>
      </c>
      <c r="AA82" s="2" t="str">
        <f t="shared" si="22"/>
        <v>(31 downto 24)</v>
      </c>
      <c r="AB82" s="2" t="str">
        <f t="shared" si="23"/>
        <v>(23 downto 16)</v>
      </c>
      <c r="AC82" s="2" t="str">
        <f t="shared" si="24"/>
        <v>(15 downto 8)</v>
      </c>
      <c r="AD82" s="2" t="str">
        <f t="shared" si="25"/>
        <v>(7 downto 0)</v>
      </c>
      <c r="AE82" s="2" t="str">
        <f t="shared" si="26"/>
        <v>(31 downto 24)</v>
      </c>
      <c r="AF82" s="2" t="str">
        <f t="shared" si="27"/>
        <v>(23 downto 16)</v>
      </c>
      <c r="AG82" s="2" t="str">
        <f t="shared" si="28"/>
        <v>(15 downto 8)</v>
      </c>
      <c r="AH82" s="2" t="str">
        <f t="shared" si="29"/>
        <v>(7 downto 0)</v>
      </c>
    </row>
    <row r="83" spans="2:34" x14ac:dyDescent="0.25">
      <c r="B83" s="2" t="s">
        <v>363</v>
      </c>
      <c r="C83" s="2" t="s">
        <v>2795</v>
      </c>
      <c r="D83" s="2" t="s">
        <v>0</v>
      </c>
      <c r="E83" s="2" t="s">
        <v>130</v>
      </c>
      <c r="F83" s="2" t="s">
        <v>364</v>
      </c>
      <c r="G83" s="2" t="s">
        <v>365</v>
      </c>
      <c r="H83" s="2" t="s">
        <v>2784</v>
      </c>
      <c r="I83" s="2" t="s">
        <v>41</v>
      </c>
      <c r="J83" s="2">
        <v>32</v>
      </c>
      <c r="K83" s="2" t="s">
        <v>132</v>
      </c>
      <c r="L83" s="2" t="s">
        <v>40</v>
      </c>
      <c r="M83" s="2" t="s">
        <v>2396</v>
      </c>
      <c r="N83" s="2" t="s">
        <v>2372</v>
      </c>
      <c r="O83" s="2" t="s">
        <v>2825</v>
      </c>
      <c r="P83" s="2" t="s">
        <v>48</v>
      </c>
      <c r="Q83" s="2">
        <f>INDEX(Tables!$C$4:$C$28,MATCH($P83,Tables!$B$4:$B$28,0))</f>
        <v>32</v>
      </c>
      <c r="R83" s="2">
        <f>INDEX(Tables!$D$4:$D$28,MATCH($P83,Tables!$B$4:$B$28,0))</f>
        <v>4</v>
      </c>
      <c r="S83" s="2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252</v>
      </c>
      <c r="T83" s="2" t="str">
        <f t="shared" si="15"/>
        <v>00FC</v>
      </c>
      <c r="U83" s="2">
        <f t="shared" si="16"/>
        <v>63</v>
      </c>
      <c r="V83" s="2" t="str">
        <f t="shared" si="17"/>
        <v>03F</v>
      </c>
      <c r="W83" s="2" t="str">
        <f t="shared" si="18"/>
        <v>X</v>
      </c>
      <c r="X83" s="2" t="str">
        <f t="shared" si="19"/>
        <v>X</v>
      </c>
      <c r="Y83" s="2" t="str">
        <f t="shared" si="20"/>
        <v>X</v>
      </c>
      <c r="Z83" s="2" t="str">
        <f t="shared" si="21"/>
        <v>X</v>
      </c>
      <c r="AA83" s="2" t="str">
        <f t="shared" si="22"/>
        <v>(31 downto 24)</v>
      </c>
      <c r="AB83" s="2" t="str">
        <f t="shared" si="23"/>
        <v>(23 downto 16)</v>
      </c>
      <c r="AC83" s="2" t="str">
        <f t="shared" si="24"/>
        <v>(15 downto 8)</v>
      </c>
      <c r="AD83" s="2" t="str">
        <f t="shared" si="25"/>
        <v>(7 downto 0)</v>
      </c>
      <c r="AE83" s="2" t="str">
        <f t="shared" si="26"/>
        <v>(31 downto 24)</v>
      </c>
      <c r="AF83" s="2" t="str">
        <f t="shared" si="27"/>
        <v>(23 downto 16)</v>
      </c>
      <c r="AG83" s="2" t="str">
        <f t="shared" si="28"/>
        <v>(15 downto 8)</v>
      </c>
      <c r="AH83" s="2" t="str">
        <f t="shared" si="29"/>
        <v>(7 downto 0)</v>
      </c>
    </row>
    <row r="84" spans="2:34" x14ac:dyDescent="0.25">
      <c r="B84" s="2" t="s">
        <v>366</v>
      </c>
      <c r="C84" s="2" t="s">
        <v>2796</v>
      </c>
      <c r="D84" s="2" t="s">
        <v>0</v>
      </c>
      <c r="E84" s="2" t="s">
        <v>130</v>
      </c>
      <c r="F84" s="2" t="s">
        <v>367</v>
      </c>
      <c r="G84" s="2" t="s">
        <v>368</v>
      </c>
      <c r="H84" s="2" t="s">
        <v>2784</v>
      </c>
      <c r="I84" s="2" t="s">
        <v>41</v>
      </c>
      <c r="J84" s="2">
        <v>32</v>
      </c>
      <c r="K84" s="2" t="s">
        <v>132</v>
      </c>
      <c r="L84" s="2" t="s">
        <v>40</v>
      </c>
      <c r="M84" s="2" t="s">
        <v>2396</v>
      </c>
      <c r="N84" s="2" t="s">
        <v>2373</v>
      </c>
      <c r="O84" s="2" t="s">
        <v>2825</v>
      </c>
      <c r="P84" s="2" t="s">
        <v>48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256</v>
      </c>
      <c r="T84" s="2" t="str">
        <f t="shared" si="15"/>
        <v>0100</v>
      </c>
      <c r="U84" s="2">
        <f t="shared" si="16"/>
        <v>64</v>
      </c>
      <c r="V84" s="2" t="str">
        <f t="shared" si="17"/>
        <v>040</v>
      </c>
      <c r="W84" s="2" t="str">
        <f t="shared" si="18"/>
        <v>X</v>
      </c>
      <c r="X84" s="2" t="str">
        <f t="shared" si="19"/>
        <v>X</v>
      </c>
      <c r="Y84" s="2" t="str">
        <f t="shared" si="20"/>
        <v>X</v>
      </c>
      <c r="Z84" s="2" t="str">
        <f t="shared" si="21"/>
        <v>X</v>
      </c>
      <c r="AA84" s="2" t="str">
        <f t="shared" si="22"/>
        <v>(31 downto 24)</v>
      </c>
      <c r="AB84" s="2" t="str">
        <f t="shared" si="23"/>
        <v>(23 downto 16)</v>
      </c>
      <c r="AC84" s="2" t="str">
        <f t="shared" si="24"/>
        <v>(15 downto 8)</v>
      </c>
      <c r="AD84" s="2" t="str">
        <f t="shared" si="25"/>
        <v>(7 downto 0)</v>
      </c>
      <c r="AE84" s="2" t="str">
        <f t="shared" si="26"/>
        <v>(31 downto 24)</v>
      </c>
      <c r="AF84" s="2" t="str">
        <f t="shared" si="27"/>
        <v>(23 downto 16)</v>
      </c>
      <c r="AG84" s="2" t="str">
        <f t="shared" si="28"/>
        <v>(15 downto 8)</v>
      </c>
      <c r="AH84" s="2" t="str">
        <f t="shared" si="29"/>
        <v>(7 downto 0)</v>
      </c>
    </row>
    <row r="85" spans="2:34" x14ac:dyDescent="0.25">
      <c r="B85" s="2" t="s">
        <v>369</v>
      </c>
      <c r="C85" s="2" t="s">
        <v>2797</v>
      </c>
      <c r="D85" s="2" t="s">
        <v>0</v>
      </c>
      <c r="E85" s="2" t="s">
        <v>130</v>
      </c>
      <c r="F85" s="2" t="s">
        <v>370</v>
      </c>
      <c r="G85" s="2" t="s">
        <v>371</v>
      </c>
      <c r="H85" s="2" t="s">
        <v>2784</v>
      </c>
      <c r="I85" s="2" t="s">
        <v>41</v>
      </c>
      <c r="J85" s="2">
        <v>32</v>
      </c>
      <c r="K85" s="2" t="s">
        <v>132</v>
      </c>
      <c r="L85" s="2" t="s">
        <v>40</v>
      </c>
      <c r="M85" s="2" t="s">
        <v>2396</v>
      </c>
      <c r="N85" s="2" t="s">
        <v>2374</v>
      </c>
      <c r="O85" s="2" t="s">
        <v>2825</v>
      </c>
      <c r="P85" s="2" t="s">
        <v>48</v>
      </c>
      <c r="Q85" s="2">
        <f>INDEX(Tables!$C$4:$C$28,MATCH($P85,Tables!$B$4:$B$28,0))</f>
        <v>32</v>
      </c>
      <c r="R85" s="2">
        <f>INDEX(Tables!$D$4:$D$28,MATCH($P85,Tables!$B$4:$B$28,0))</f>
        <v>4</v>
      </c>
      <c r="S85" s="2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260</v>
      </c>
      <c r="T85" s="2" t="str">
        <f t="shared" si="15"/>
        <v>0104</v>
      </c>
      <c r="U85" s="2">
        <f t="shared" si="16"/>
        <v>65</v>
      </c>
      <c r="V85" s="2" t="str">
        <f t="shared" si="17"/>
        <v>041</v>
      </c>
      <c r="W85" s="2" t="str">
        <f t="shared" si="18"/>
        <v>X</v>
      </c>
      <c r="X85" s="2" t="str">
        <f t="shared" si="19"/>
        <v>X</v>
      </c>
      <c r="Y85" s="2" t="str">
        <f t="shared" si="20"/>
        <v>X</v>
      </c>
      <c r="Z85" s="2" t="str">
        <f t="shared" si="21"/>
        <v>X</v>
      </c>
      <c r="AA85" s="2" t="str">
        <f t="shared" si="22"/>
        <v>(31 downto 24)</v>
      </c>
      <c r="AB85" s="2" t="str">
        <f t="shared" si="23"/>
        <v>(23 downto 16)</v>
      </c>
      <c r="AC85" s="2" t="str">
        <f t="shared" si="24"/>
        <v>(15 downto 8)</v>
      </c>
      <c r="AD85" s="2" t="str">
        <f t="shared" si="25"/>
        <v>(7 downto 0)</v>
      </c>
      <c r="AE85" s="2" t="str">
        <f t="shared" si="26"/>
        <v>(31 downto 24)</v>
      </c>
      <c r="AF85" s="2" t="str">
        <f t="shared" si="27"/>
        <v>(23 downto 16)</v>
      </c>
      <c r="AG85" s="2" t="str">
        <f t="shared" si="28"/>
        <v>(15 downto 8)</v>
      </c>
      <c r="AH85" s="2" t="str">
        <f t="shared" si="29"/>
        <v>(7 downto 0)</v>
      </c>
    </row>
    <row r="86" spans="2:34" x14ac:dyDescent="0.25">
      <c r="B86" s="2" t="s">
        <v>372</v>
      </c>
      <c r="C86" s="2" t="s">
        <v>2798</v>
      </c>
      <c r="D86" s="2" t="s">
        <v>0</v>
      </c>
      <c r="E86" s="2" t="s">
        <v>130</v>
      </c>
      <c r="F86" s="2" t="s">
        <v>373</v>
      </c>
      <c r="G86" s="2" t="s">
        <v>374</v>
      </c>
      <c r="H86" s="2" t="s">
        <v>2784</v>
      </c>
      <c r="I86" s="2" t="s">
        <v>41</v>
      </c>
      <c r="J86" s="2">
        <v>32</v>
      </c>
      <c r="K86" s="2" t="s">
        <v>132</v>
      </c>
      <c r="L86" s="2" t="s">
        <v>40</v>
      </c>
      <c r="M86" s="2" t="s">
        <v>2396</v>
      </c>
      <c r="N86" s="2" t="s">
        <v>2375</v>
      </c>
      <c r="O86" s="2" t="s">
        <v>2825</v>
      </c>
      <c r="P86" s="2" t="s">
        <v>48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264</v>
      </c>
      <c r="T86" s="2" t="str">
        <f t="shared" si="15"/>
        <v>0108</v>
      </c>
      <c r="U86" s="2">
        <f t="shared" si="16"/>
        <v>66</v>
      </c>
      <c r="V86" s="2" t="str">
        <f t="shared" si="17"/>
        <v>042</v>
      </c>
      <c r="W86" s="2" t="str">
        <f t="shared" si="18"/>
        <v>X</v>
      </c>
      <c r="X86" s="2" t="str">
        <f t="shared" si="19"/>
        <v>X</v>
      </c>
      <c r="Y86" s="2" t="str">
        <f t="shared" si="20"/>
        <v>X</v>
      </c>
      <c r="Z86" s="2" t="str">
        <f t="shared" si="21"/>
        <v>X</v>
      </c>
      <c r="AA86" s="2" t="str">
        <f t="shared" si="22"/>
        <v>(31 downto 24)</v>
      </c>
      <c r="AB86" s="2" t="str">
        <f t="shared" si="23"/>
        <v>(23 downto 16)</v>
      </c>
      <c r="AC86" s="2" t="str">
        <f t="shared" si="24"/>
        <v>(15 downto 8)</v>
      </c>
      <c r="AD86" s="2" t="str">
        <f t="shared" si="25"/>
        <v>(7 downto 0)</v>
      </c>
      <c r="AE86" s="2" t="str">
        <f t="shared" si="26"/>
        <v>(31 downto 24)</v>
      </c>
      <c r="AF86" s="2" t="str">
        <f t="shared" si="27"/>
        <v>(23 downto 16)</v>
      </c>
      <c r="AG86" s="2" t="str">
        <f t="shared" si="28"/>
        <v>(15 downto 8)</v>
      </c>
      <c r="AH86" s="2" t="str">
        <f t="shared" si="29"/>
        <v>(7 downto 0)</v>
      </c>
    </row>
    <row r="87" spans="2:34" x14ac:dyDescent="0.25">
      <c r="B87" s="2" t="s">
        <v>375</v>
      </c>
      <c r="C87" s="2" t="s">
        <v>2799</v>
      </c>
      <c r="D87" s="2" t="s">
        <v>0</v>
      </c>
      <c r="E87" s="2" t="s">
        <v>130</v>
      </c>
      <c r="F87" s="2" t="s">
        <v>376</v>
      </c>
      <c r="G87" s="2" t="s">
        <v>377</v>
      </c>
      <c r="H87" s="2" t="s">
        <v>2784</v>
      </c>
      <c r="I87" s="2" t="s">
        <v>41</v>
      </c>
      <c r="J87" s="2">
        <v>32</v>
      </c>
      <c r="K87" s="2" t="s">
        <v>132</v>
      </c>
      <c r="L87" s="2" t="s">
        <v>40</v>
      </c>
      <c r="M87" s="2" t="s">
        <v>2396</v>
      </c>
      <c r="N87" s="2" t="s">
        <v>2376</v>
      </c>
      <c r="O87" s="2" t="s">
        <v>2825</v>
      </c>
      <c r="P87" s="2" t="s">
        <v>48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268</v>
      </c>
      <c r="T87" s="2" t="str">
        <f t="shared" si="15"/>
        <v>010C</v>
      </c>
      <c r="U87" s="2">
        <f t="shared" si="16"/>
        <v>67</v>
      </c>
      <c r="V87" s="2" t="str">
        <f t="shared" si="17"/>
        <v>043</v>
      </c>
      <c r="W87" s="2" t="str">
        <f t="shared" si="18"/>
        <v>X</v>
      </c>
      <c r="X87" s="2" t="str">
        <f t="shared" si="19"/>
        <v>X</v>
      </c>
      <c r="Y87" s="2" t="str">
        <f t="shared" si="20"/>
        <v>X</v>
      </c>
      <c r="Z87" s="2" t="str">
        <f t="shared" si="21"/>
        <v>X</v>
      </c>
      <c r="AA87" s="2" t="str">
        <f t="shared" si="22"/>
        <v>(31 downto 24)</v>
      </c>
      <c r="AB87" s="2" t="str">
        <f t="shared" si="23"/>
        <v>(23 downto 16)</v>
      </c>
      <c r="AC87" s="2" t="str">
        <f t="shared" si="24"/>
        <v>(15 downto 8)</v>
      </c>
      <c r="AD87" s="2" t="str">
        <f t="shared" si="25"/>
        <v>(7 downto 0)</v>
      </c>
      <c r="AE87" s="2" t="str">
        <f t="shared" si="26"/>
        <v>(31 downto 24)</v>
      </c>
      <c r="AF87" s="2" t="str">
        <f t="shared" si="27"/>
        <v>(23 downto 16)</v>
      </c>
      <c r="AG87" s="2" t="str">
        <f t="shared" si="28"/>
        <v>(15 downto 8)</v>
      </c>
      <c r="AH87" s="2" t="str">
        <f t="shared" si="29"/>
        <v>(7 downto 0)</v>
      </c>
    </row>
    <row r="88" spans="2:34" x14ac:dyDescent="0.25">
      <c r="B88" s="2" t="s">
        <v>378</v>
      </c>
      <c r="C88" s="2" t="s">
        <v>2800</v>
      </c>
      <c r="D88" s="2" t="s">
        <v>0</v>
      </c>
      <c r="E88" s="2" t="s">
        <v>130</v>
      </c>
      <c r="F88" s="2" t="s">
        <v>379</v>
      </c>
      <c r="G88" s="2" t="s">
        <v>380</v>
      </c>
      <c r="H88" s="2" t="s">
        <v>2784</v>
      </c>
      <c r="I88" s="2" t="s">
        <v>41</v>
      </c>
      <c r="J88" s="2">
        <v>32</v>
      </c>
      <c r="K88" s="2" t="s">
        <v>132</v>
      </c>
      <c r="L88" s="2" t="s">
        <v>40</v>
      </c>
      <c r="M88" s="2" t="s">
        <v>2396</v>
      </c>
      <c r="N88" s="2" t="s">
        <v>2377</v>
      </c>
      <c r="O88" s="2" t="s">
        <v>2825</v>
      </c>
      <c r="P88" s="2" t="s">
        <v>48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272</v>
      </c>
      <c r="T88" s="2" t="str">
        <f t="shared" si="15"/>
        <v>0110</v>
      </c>
      <c r="U88" s="2">
        <f t="shared" si="16"/>
        <v>68</v>
      </c>
      <c r="V88" s="2" t="str">
        <f t="shared" si="17"/>
        <v>044</v>
      </c>
      <c r="W88" s="2" t="str">
        <f t="shared" si="18"/>
        <v>X</v>
      </c>
      <c r="X88" s="2" t="str">
        <f t="shared" si="19"/>
        <v>X</v>
      </c>
      <c r="Y88" s="2" t="str">
        <f t="shared" si="20"/>
        <v>X</v>
      </c>
      <c r="Z88" s="2" t="str">
        <f t="shared" si="21"/>
        <v>X</v>
      </c>
      <c r="AA88" s="2" t="str">
        <f t="shared" si="22"/>
        <v>(31 downto 24)</v>
      </c>
      <c r="AB88" s="2" t="str">
        <f t="shared" si="23"/>
        <v>(23 downto 16)</v>
      </c>
      <c r="AC88" s="2" t="str">
        <f t="shared" si="24"/>
        <v>(15 downto 8)</v>
      </c>
      <c r="AD88" s="2" t="str">
        <f t="shared" si="25"/>
        <v>(7 downto 0)</v>
      </c>
      <c r="AE88" s="2" t="str">
        <f t="shared" si="26"/>
        <v>(31 downto 24)</v>
      </c>
      <c r="AF88" s="2" t="str">
        <f t="shared" si="27"/>
        <v>(23 downto 16)</v>
      </c>
      <c r="AG88" s="2" t="str">
        <f t="shared" si="28"/>
        <v>(15 downto 8)</v>
      </c>
      <c r="AH88" s="2" t="str">
        <f t="shared" si="29"/>
        <v>(7 downto 0)</v>
      </c>
    </row>
    <row r="89" spans="2:34" x14ac:dyDescent="0.25">
      <c r="B89" s="2" t="s">
        <v>381</v>
      </c>
      <c r="C89" s="2" t="s">
        <v>2801</v>
      </c>
      <c r="D89" s="2" t="s">
        <v>0</v>
      </c>
      <c r="E89" s="2" t="s">
        <v>130</v>
      </c>
      <c r="F89" s="2" t="s">
        <v>382</v>
      </c>
      <c r="G89" s="2" t="s">
        <v>383</v>
      </c>
      <c r="H89" s="2" t="s">
        <v>2784</v>
      </c>
      <c r="I89" s="2" t="s">
        <v>41</v>
      </c>
      <c r="J89" s="2">
        <v>32</v>
      </c>
      <c r="K89" s="2" t="s">
        <v>132</v>
      </c>
      <c r="L89" s="2" t="s">
        <v>40</v>
      </c>
      <c r="M89" s="2" t="s">
        <v>2396</v>
      </c>
      <c r="N89" s="2" t="s">
        <v>2378</v>
      </c>
      <c r="O89" s="2" t="s">
        <v>2825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276</v>
      </c>
      <c r="T89" s="2" t="str">
        <f t="shared" si="15"/>
        <v>0114</v>
      </c>
      <c r="U89" s="2">
        <f t="shared" si="16"/>
        <v>69</v>
      </c>
      <c r="V89" s="2" t="str">
        <f t="shared" si="17"/>
        <v>045</v>
      </c>
      <c r="W89" s="2" t="str">
        <f t="shared" si="18"/>
        <v>X</v>
      </c>
      <c r="X89" s="2" t="str">
        <f t="shared" si="19"/>
        <v>X</v>
      </c>
      <c r="Y89" s="2" t="str">
        <f t="shared" si="20"/>
        <v>X</v>
      </c>
      <c r="Z89" s="2" t="str">
        <f t="shared" si="21"/>
        <v>X</v>
      </c>
      <c r="AA89" s="2" t="str">
        <f t="shared" si="22"/>
        <v>(31 downto 24)</v>
      </c>
      <c r="AB89" s="2" t="str">
        <f t="shared" si="23"/>
        <v>(23 downto 16)</v>
      </c>
      <c r="AC89" s="2" t="str">
        <f t="shared" si="24"/>
        <v>(15 downto 8)</v>
      </c>
      <c r="AD89" s="2" t="str">
        <f t="shared" si="25"/>
        <v>(7 downto 0)</v>
      </c>
      <c r="AE89" s="2" t="str">
        <f t="shared" si="26"/>
        <v>(31 downto 24)</v>
      </c>
      <c r="AF89" s="2" t="str">
        <f t="shared" si="27"/>
        <v>(23 downto 16)</v>
      </c>
      <c r="AG89" s="2" t="str">
        <f t="shared" si="28"/>
        <v>(15 downto 8)</v>
      </c>
      <c r="AH89" s="2" t="str">
        <f t="shared" si="29"/>
        <v>(7 downto 0)</v>
      </c>
    </row>
    <row r="90" spans="2:34" x14ac:dyDescent="0.25">
      <c r="B90" s="2" t="s">
        <v>384</v>
      </c>
      <c r="C90" s="2" t="s">
        <v>2802</v>
      </c>
      <c r="D90" s="2" t="s">
        <v>0</v>
      </c>
      <c r="E90" s="2" t="s">
        <v>130</v>
      </c>
      <c r="F90" s="2" t="s">
        <v>385</v>
      </c>
      <c r="G90" s="2" t="s">
        <v>386</v>
      </c>
      <c r="H90" s="2" t="s">
        <v>2784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2396</v>
      </c>
      <c r="N90" s="2" t="s">
        <v>2379</v>
      </c>
      <c r="O90" s="2" t="s">
        <v>2825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280</v>
      </c>
      <c r="T90" s="2" t="str">
        <f t="shared" si="15"/>
        <v>0118</v>
      </c>
      <c r="U90" s="2">
        <f t="shared" si="16"/>
        <v>70</v>
      </c>
      <c r="V90" s="2" t="str">
        <f t="shared" si="17"/>
        <v>046</v>
      </c>
      <c r="W90" s="2" t="str">
        <f t="shared" si="18"/>
        <v>X</v>
      </c>
      <c r="X90" s="2" t="str">
        <f t="shared" si="19"/>
        <v>X</v>
      </c>
      <c r="Y90" s="2" t="str">
        <f t="shared" si="20"/>
        <v>X</v>
      </c>
      <c r="Z90" s="2" t="str">
        <f t="shared" si="21"/>
        <v>X</v>
      </c>
      <c r="AA90" s="2" t="str">
        <f t="shared" si="22"/>
        <v>(31 downto 24)</v>
      </c>
      <c r="AB90" s="2" t="str">
        <f t="shared" si="23"/>
        <v>(23 downto 16)</v>
      </c>
      <c r="AC90" s="2" t="str">
        <f t="shared" si="24"/>
        <v>(15 downto 8)</v>
      </c>
      <c r="AD90" s="2" t="str">
        <f t="shared" si="25"/>
        <v>(7 downto 0)</v>
      </c>
      <c r="AE90" s="2" t="str">
        <f t="shared" si="26"/>
        <v>(31 downto 24)</v>
      </c>
      <c r="AF90" s="2" t="str">
        <f t="shared" si="27"/>
        <v>(23 downto 16)</v>
      </c>
      <c r="AG90" s="2" t="str">
        <f t="shared" si="28"/>
        <v>(15 downto 8)</v>
      </c>
      <c r="AH90" s="2" t="str">
        <f t="shared" si="29"/>
        <v>(7 downto 0)</v>
      </c>
    </row>
    <row r="91" spans="2:34" x14ac:dyDescent="0.25">
      <c r="B91" s="2" t="s">
        <v>387</v>
      </c>
      <c r="C91" s="2" t="s">
        <v>2803</v>
      </c>
      <c r="D91" s="2" t="s">
        <v>0</v>
      </c>
      <c r="E91" s="2" t="s">
        <v>130</v>
      </c>
      <c r="F91" s="2" t="s">
        <v>388</v>
      </c>
      <c r="G91" s="2" t="s">
        <v>389</v>
      </c>
      <c r="H91" s="2" t="s">
        <v>2784</v>
      </c>
      <c r="I91" s="2" t="s">
        <v>41</v>
      </c>
      <c r="J91" s="2">
        <v>32</v>
      </c>
      <c r="K91" s="2" t="s">
        <v>132</v>
      </c>
      <c r="L91" s="2" t="s">
        <v>40</v>
      </c>
      <c r="M91" s="2" t="s">
        <v>2396</v>
      </c>
      <c r="N91" s="2" t="s">
        <v>2380</v>
      </c>
      <c r="O91" s="2" t="s">
        <v>2825</v>
      </c>
      <c r="P91" s="2" t="s">
        <v>48</v>
      </c>
      <c r="Q91" s="2">
        <f>INDEX(Tables!$C$4:$C$28,MATCH($P91,Tables!$B$4:$B$28,0))</f>
        <v>32</v>
      </c>
      <c r="R91" s="2">
        <f>INDEX(Tables!$D$4:$D$28,MATCH($P91,Tables!$B$4:$B$28,0))</f>
        <v>4</v>
      </c>
      <c r="S91" s="2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284</v>
      </c>
      <c r="T91" s="2" t="str">
        <f t="shared" si="15"/>
        <v>011C</v>
      </c>
      <c r="U91" s="2">
        <f t="shared" si="16"/>
        <v>71</v>
      </c>
      <c r="V91" s="2" t="str">
        <f t="shared" si="17"/>
        <v>047</v>
      </c>
      <c r="W91" s="2" t="str">
        <f t="shared" si="18"/>
        <v>X</v>
      </c>
      <c r="X91" s="2" t="str">
        <f t="shared" si="19"/>
        <v>X</v>
      </c>
      <c r="Y91" s="2" t="str">
        <f t="shared" si="20"/>
        <v>X</v>
      </c>
      <c r="Z91" s="2" t="str">
        <f t="shared" si="21"/>
        <v>X</v>
      </c>
      <c r="AA91" s="2" t="str">
        <f t="shared" si="22"/>
        <v>(31 downto 24)</v>
      </c>
      <c r="AB91" s="2" t="str">
        <f t="shared" si="23"/>
        <v>(23 downto 16)</v>
      </c>
      <c r="AC91" s="2" t="str">
        <f t="shared" si="24"/>
        <v>(15 downto 8)</v>
      </c>
      <c r="AD91" s="2" t="str">
        <f t="shared" si="25"/>
        <v>(7 downto 0)</v>
      </c>
      <c r="AE91" s="2" t="str">
        <f t="shared" si="26"/>
        <v>(31 downto 24)</v>
      </c>
      <c r="AF91" s="2" t="str">
        <f t="shared" si="27"/>
        <v>(23 downto 16)</v>
      </c>
      <c r="AG91" s="2" t="str">
        <f t="shared" si="28"/>
        <v>(15 downto 8)</v>
      </c>
      <c r="AH91" s="2" t="str">
        <f t="shared" si="29"/>
        <v>(7 downto 0)</v>
      </c>
    </row>
    <row r="92" spans="2:34" x14ac:dyDescent="0.25">
      <c r="B92" s="2" t="s">
        <v>390</v>
      </c>
      <c r="C92" s="2" t="s">
        <v>2804</v>
      </c>
      <c r="D92" s="2" t="s">
        <v>0</v>
      </c>
      <c r="E92" s="2" t="s">
        <v>130</v>
      </c>
      <c r="F92" s="2" t="s">
        <v>391</v>
      </c>
      <c r="G92" s="2" t="s">
        <v>392</v>
      </c>
      <c r="H92" s="2" t="s">
        <v>2784</v>
      </c>
      <c r="I92" s="2" t="s">
        <v>41</v>
      </c>
      <c r="J92" s="2">
        <v>32</v>
      </c>
      <c r="K92" s="2" t="s">
        <v>132</v>
      </c>
      <c r="L92" s="2" t="s">
        <v>40</v>
      </c>
      <c r="M92" s="2" t="s">
        <v>2396</v>
      </c>
      <c r="N92" s="2" t="s">
        <v>2381</v>
      </c>
      <c r="O92" s="2" t="s">
        <v>2825</v>
      </c>
      <c r="P92" s="2" t="s">
        <v>48</v>
      </c>
      <c r="Q92" s="2">
        <f>INDEX(Tables!$C$4:$C$28,MATCH($P92,Tables!$B$4:$B$28,0))</f>
        <v>32</v>
      </c>
      <c r="R92" s="2">
        <f>INDEX(Tables!$D$4:$D$28,MATCH($P92,Tables!$B$4:$B$28,0))</f>
        <v>4</v>
      </c>
      <c r="S92" s="2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288</v>
      </c>
      <c r="T92" s="2" t="str">
        <f t="shared" si="15"/>
        <v>0120</v>
      </c>
      <c r="U92" s="2">
        <f t="shared" si="16"/>
        <v>72</v>
      </c>
      <c r="V92" s="2" t="str">
        <f t="shared" si="17"/>
        <v>048</v>
      </c>
      <c r="W92" s="2" t="str">
        <f t="shared" si="18"/>
        <v>X</v>
      </c>
      <c r="X92" s="2" t="str">
        <f t="shared" si="19"/>
        <v>X</v>
      </c>
      <c r="Y92" s="2" t="str">
        <f t="shared" si="20"/>
        <v>X</v>
      </c>
      <c r="Z92" s="2" t="str">
        <f t="shared" si="21"/>
        <v>X</v>
      </c>
      <c r="AA92" s="2" t="str">
        <f t="shared" si="22"/>
        <v>(31 downto 24)</v>
      </c>
      <c r="AB92" s="2" t="str">
        <f t="shared" si="23"/>
        <v>(23 downto 16)</v>
      </c>
      <c r="AC92" s="2" t="str">
        <f t="shared" si="24"/>
        <v>(15 downto 8)</v>
      </c>
      <c r="AD92" s="2" t="str">
        <f t="shared" si="25"/>
        <v>(7 downto 0)</v>
      </c>
      <c r="AE92" s="2" t="str">
        <f t="shared" si="26"/>
        <v>(31 downto 24)</v>
      </c>
      <c r="AF92" s="2" t="str">
        <f t="shared" si="27"/>
        <v>(23 downto 16)</v>
      </c>
      <c r="AG92" s="2" t="str">
        <f t="shared" si="28"/>
        <v>(15 downto 8)</v>
      </c>
      <c r="AH92" s="2" t="str">
        <f t="shared" si="29"/>
        <v>(7 downto 0)</v>
      </c>
    </row>
    <row r="93" spans="2:34" x14ac:dyDescent="0.25">
      <c r="B93" s="2" t="s">
        <v>393</v>
      </c>
      <c r="C93" s="2" t="s">
        <v>2805</v>
      </c>
      <c r="D93" s="2" t="s">
        <v>0</v>
      </c>
      <c r="E93" s="2" t="s">
        <v>130</v>
      </c>
      <c r="F93" s="2" t="s">
        <v>394</v>
      </c>
      <c r="G93" s="2" t="s">
        <v>395</v>
      </c>
      <c r="H93" s="2" t="s">
        <v>2784</v>
      </c>
      <c r="I93" s="2" t="s">
        <v>41</v>
      </c>
      <c r="J93" s="2">
        <v>32</v>
      </c>
      <c r="K93" s="2" t="s">
        <v>132</v>
      </c>
      <c r="L93" s="2" t="s">
        <v>40</v>
      </c>
      <c r="M93" s="2" t="s">
        <v>2396</v>
      </c>
      <c r="N93" s="2" t="s">
        <v>2382</v>
      </c>
      <c r="O93" s="2" t="s">
        <v>2825</v>
      </c>
      <c r="P93" s="2" t="s">
        <v>48</v>
      </c>
      <c r="Q93" s="2">
        <f>INDEX(Tables!$C$4:$C$28,MATCH($P93,Tables!$B$4:$B$28,0))</f>
        <v>32</v>
      </c>
      <c r="R93" s="2">
        <f>INDEX(Tables!$D$4:$D$28,MATCH($P93,Tables!$B$4:$B$28,0))</f>
        <v>4</v>
      </c>
      <c r="S93" s="2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292</v>
      </c>
      <c r="T93" s="2" t="str">
        <f t="shared" si="15"/>
        <v>0124</v>
      </c>
      <c r="U93" s="2">
        <f t="shared" si="16"/>
        <v>73</v>
      </c>
      <c r="V93" s="2" t="str">
        <f t="shared" si="17"/>
        <v>049</v>
      </c>
      <c r="W93" s="2" t="str">
        <f t="shared" si="18"/>
        <v>X</v>
      </c>
      <c r="X93" s="2" t="str">
        <f t="shared" si="19"/>
        <v>X</v>
      </c>
      <c r="Y93" s="2" t="str">
        <f t="shared" si="20"/>
        <v>X</v>
      </c>
      <c r="Z93" s="2" t="str">
        <f t="shared" si="21"/>
        <v>X</v>
      </c>
      <c r="AA93" s="2" t="str">
        <f t="shared" si="22"/>
        <v>(31 downto 24)</v>
      </c>
      <c r="AB93" s="2" t="str">
        <f t="shared" si="23"/>
        <v>(23 downto 16)</v>
      </c>
      <c r="AC93" s="2" t="str">
        <f t="shared" si="24"/>
        <v>(15 downto 8)</v>
      </c>
      <c r="AD93" s="2" t="str">
        <f t="shared" si="25"/>
        <v>(7 downto 0)</v>
      </c>
      <c r="AE93" s="2" t="str">
        <f t="shared" si="26"/>
        <v>(31 downto 24)</v>
      </c>
      <c r="AF93" s="2" t="str">
        <f t="shared" si="27"/>
        <v>(23 downto 16)</v>
      </c>
      <c r="AG93" s="2" t="str">
        <f t="shared" si="28"/>
        <v>(15 downto 8)</v>
      </c>
      <c r="AH93" s="2" t="str">
        <f t="shared" si="29"/>
        <v>(7 downto 0)</v>
      </c>
    </row>
    <row r="94" spans="2:34" x14ac:dyDescent="0.25">
      <c r="B94" s="2" t="s">
        <v>396</v>
      </c>
      <c r="C94" s="2" t="s">
        <v>2806</v>
      </c>
      <c r="D94" s="2" t="s">
        <v>0</v>
      </c>
      <c r="E94" s="2" t="s">
        <v>130</v>
      </c>
      <c r="F94" s="2" t="s">
        <v>397</v>
      </c>
      <c r="G94" s="2" t="s">
        <v>398</v>
      </c>
      <c r="H94" s="2" t="s">
        <v>2784</v>
      </c>
      <c r="I94" s="2" t="s">
        <v>41</v>
      </c>
      <c r="J94" s="2">
        <v>32</v>
      </c>
      <c r="K94" s="2" t="s">
        <v>132</v>
      </c>
      <c r="L94" s="2" t="s">
        <v>40</v>
      </c>
      <c r="M94" s="2" t="s">
        <v>2396</v>
      </c>
      <c r="N94" s="2" t="s">
        <v>2383</v>
      </c>
      <c r="O94" s="2" t="s">
        <v>2825</v>
      </c>
      <c r="P94" s="2" t="s">
        <v>48</v>
      </c>
      <c r="Q94" s="2">
        <f>INDEX(Tables!$C$4:$C$28,MATCH($P94,Tables!$B$4:$B$28,0))</f>
        <v>32</v>
      </c>
      <c r="R94" s="2">
        <f>INDEX(Tables!$D$4:$D$28,MATCH($P94,Tables!$B$4:$B$28,0))</f>
        <v>4</v>
      </c>
      <c r="S94" s="2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296</v>
      </c>
      <c r="T94" s="2" t="str">
        <f t="shared" si="15"/>
        <v>0128</v>
      </c>
      <c r="U94" s="2">
        <f t="shared" si="16"/>
        <v>74</v>
      </c>
      <c r="V94" s="2" t="str">
        <f t="shared" si="17"/>
        <v>04A</v>
      </c>
      <c r="W94" s="2" t="str">
        <f t="shared" si="18"/>
        <v>X</v>
      </c>
      <c r="X94" s="2" t="str">
        <f t="shared" si="19"/>
        <v>X</v>
      </c>
      <c r="Y94" s="2" t="str">
        <f t="shared" si="20"/>
        <v>X</v>
      </c>
      <c r="Z94" s="2" t="str">
        <f t="shared" si="21"/>
        <v>X</v>
      </c>
      <c r="AA94" s="2" t="str">
        <f t="shared" si="22"/>
        <v>(31 downto 24)</v>
      </c>
      <c r="AB94" s="2" t="str">
        <f t="shared" si="23"/>
        <v>(23 downto 16)</v>
      </c>
      <c r="AC94" s="2" t="str">
        <f t="shared" si="24"/>
        <v>(15 downto 8)</v>
      </c>
      <c r="AD94" s="2" t="str">
        <f t="shared" si="25"/>
        <v>(7 downto 0)</v>
      </c>
      <c r="AE94" s="2" t="str">
        <f t="shared" si="26"/>
        <v>(31 downto 24)</v>
      </c>
      <c r="AF94" s="2" t="str">
        <f t="shared" si="27"/>
        <v>(23 downto 16)</v>
      </c>
      <c r="AG94" s="2" t="str">
        <f t="shared" si="28"/>
        <v>(15 downto 8)</v>
      </c>
      <c r="AH94" s="2" t="str">
        <f t="shared" si="29"/>
        <v>(7 downto 0)</v>
      </c>
    </row>
    <row r="95" spans="2:34" x14ac:dyDescent="0.25">
      <c r="B95" s="2" t="s">
        <v>399</v>
      </c>
      <c r="C95" s="2" t="s">
        <v>2807</v>
      </c>
      <c r="D95" s="2" t="s">
        <v>0</v>
      </c>
      <c r="E95" s="2" t="s">
        <v>130</v>
      </c>
      <c r="F95" s="2" t="s">
        <v>400</v>
      </c>
      <c r="G95" s="2" t="s">
        <v>401</v>
      </c>
      <c r="H95" s="2" t="s">
        <v>2784</v>
      </c>
      <c r="I95" s="2" t="s">
        <v>41</v>
      </c>
      <c r="J95" s="2">
        <v>32</v>
      </c>
      <c r="K95" s="2" t="s">
        <v>132</v>
      </c>
      <c r="L95" s="2" t="s">
        <v>40</v>
      </c>
      <c r="M95" s="2" t="s">
        <v>2396</v>
      </c>
      <c r="N95" s="2" t="s">
        <v>2384</v>
      </c>
      <c r="O95" s="2" t="s">
        <v>2825</v>
      </c>
      <c r="P95" s="2" t="s">
        <v>48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300</v>
      </c>
      <c r="T95" s="2" t="str">
        <f t="shared" si="15"/>
        <v>012C</v>
      </c>
      <c r="U95" s="2">
        <f t="shared" si="16"/>
        <v>75</v>
      </c>
      <c r="V95" s="2" t="str">
        <f t="shared" si="17"/>
        <v>04B</v>
      </c>
      <c r="W95" s="2" t="str">
        <f t="shared" si="18"/>
        <v>X</v>
      </c>
      <c r="X95" s="2" t="str">
        <f t="shared" si="19"/>
        <v>X</v>
      </c>
      <c r="Y95" s="2" t="str">
        <f t="shared" si="20"/>
        <v>X</v>
      </c>
      <c r="Z95" s="2" t="str">
        <f t="shared" si="21"/>
        <v>X</v>
      </c>
      <c r="AA95" s="2" t="str">
        <f t="shared" si="22"/>
        <v>(31 downto 24)</v>
      </c>
      <c r="AB95" s="2" t="str">
        <f t="shared" si="23"/>
        <v>(23 downto 16)</v>
      </c>
      <c r="AC95" s="2" t="str">
        <f t="shared" si="24"/>
        <v>(15 downto 8)</v>
      </c>
      <c r="AD95" s="2" t="str">
        <f t="shared" si="25"/>
        <v>(7 downto 0)</v>
      </c>
      <c r="AE95" s="2" t="str">
        <f t="shared" si="26"/>
        <v>(31 downto 24)</v>
      </c>
      <c r="AF95" s="2" t="str">
        <f t="shared" si="27"/>
        <v>(23 downto 16)</v>
      </c>
      <c r="AG95" s="2" t="str">
        <f t="shared" si="28"/>
        <v>(15 downto 8)</v>
      </c>
      <c r="AH95" s="2" t="str">
        <f t="shared" si="29"/>
        <v>(7 downto 0)</v>
      </c>
    </row>
    <row r="96" spans="2:34" x14ac:dyDescent="0.25">
      <c r="B96" s="2" t="s">
        <v>402</v>
      </c>
      <c r="C96" s="2" t="s">
        <v>2808</v>
      </c>
      <c r="D96" s="2" t="s">
        <v>2715</v>
      </c>
      <c r="E96" s="2" t="s">
        <v>2716</v>
      </c>
      <c r="F96" s="2" t="s">
        <v>403</v>
      </c>
      <c r="G96" s="2" t="s">
        <v>2717</v>
      </c>
      <c r="H96" s="2" t="s">
        <v>2784</v>
      </c>
      <c r="I96" s="2" t="s">
        <v>41</v>
      </c>
      <c r="J96" s="2">
        <v>6</v>
      </c>
      <c r="K96" s="2" t="s">
        <v>132</v>
      </c>
      <c r="L96" s="2" t="s">
        <v>40</v>
      </c>
      <c r="M96" s="2" t="s">
        <v>2396</v>
      </c>
      <c r="N96" s="2" t="s">
        <v>2385</v>
      </c>
      <c r="O96" s="2" t="s">
        <v>2819</v>
      </c>
      <c r="P96" s="2" t="s">
        <v>47</v>
      </c>
      <c r="Q96" s="2">
        <f>INDEX(Tables!$C$4:$C$28,MATCH($P96,Tables!$B$4:$B$28,0))</f>
        <v>8</v>
      </c>
      <c r="R96" s="2">
        <f>INDEX(Tables!$D$4:$D$28,MATCH($P96,Tables!$B$4:$B$28,0))</f>
        <v>1</v>
      </c>
      <c r="S96" s="2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304</v>
      </c>
      <c r="T96" s="2" t="str">
        <f t="shared" si="15"/>
        <v>0130</v>
      </c>
      <c r="U96" s="2">
        <f t="shared" si="16"/>
        <v>76</v>
      </c>
      <c r="V96" s="2" t="str">
        <f t="shared" si="17"/>
        <v>04C</v>
      </c>
      <c r="W96" s="2" t="str">
        <f t="shared" si="18"/>
        <v/>
      </c>
      <c r="X96" s="2" t="str">
        <f t="shared" si="19"/>
        <v/>
      </c>
      <c r="Y96" s="2" t="str">
        <f t="shared" si="20"/>
        <v/>
      </c>
      <c r="Z96" s="2" t="str">
        <f t="shared" si="21"/>
        <v>X</v>
      </c>
      <c r="AA96" s="2" t="str">
        <f t="shared" si="22"/>
        <v/>
      </c>
      <c r="AB96" s="2" t="str">
        <f t="shared" si="23"/>
        <v/>
      </c>
      <c r="AC96" s="2" t="str">
        <f t="shared" si="24"/>
        <v/>
      </c>
      <c r="AD96" s="2" t="str">
        <f t="shared" si="25"/>
        <v>(5 downto 0)</v>
      </c>
      <c r="AE96" s="2" t="str">
        <f t="shared" si="26"/>
        <v/>
      </c>
      <c r="AF96" s="2" t="str">
        <f t="shared" si="27"/>
        <v/>
      </c>
      <c r="AG96" s="2" t="str">
        <f t="shared" si="28"/>
        <v/>
      </c>
      <c r="AH96" s="2" t="str">
        <f t="shared" si="29"/>
        <v/>
      </c>
    </row>
    <row r="97" spans="2:34" x14ac:dyDescent="0.25">
      <c r="B97" s="2" t="s">
        <v>402</v>
      </c>
      <c r="C97" s="2" t="s">
        <v>2809</v>
      </c>
      <c r="D97" s="2" t="s">
        <v>2715</v>
      </c>
      <c r="E97" s="2" t="s">
        <v>2716</v>
      </c>
      <c r="F97" s="2" t="s">
        <v>403</v>
      </c>
      <c r="G97" s="2" t="s">
        <v>2717</v>
      </c>
      <c r="H97" s="2" t="s">
        <v>2786</v>
      </c>
      <c r="I97" s="2" t="s">
        <v>41</v>
      </c>
      <c r="J97" s="2">
        <v>24</v>
      </c>
      <c r="K97" s="2" t="s">
        <v>132</v>
      </c>
      <c r="L97" s="2" t="s">
        <v>40</v>
      </c>
      <c r="M97" s="2" t="s">
        <v>2396</v>
      </c>
      <c r="N97" s="2" t="s">
        <v>2385</v>
      </c>
      <c r="O97" s="2" t="s">
        <v>2826</v>
      </c>
      <c r="P97" s="2" t="s">
        <v>48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308</v>
      </c>
      <c r="T97" s="2" t="str">
        <f t="shared" si="15"/>
        <v>0134</v>
      </c>
      <c r="U97" s="2">
        <f t="shared" si="16"/>
        <v>77</v>
      </c>
      <c r="V97" s="2" t="str">
        <f t="shared" si="17"/>
        <v>04D</v>
      </c>
      <c r="W97" s="2" t="str">
        <f t="shared" si="18"/>
        <v/>
      </c>
      <c r="X97" s="2" t="str">
        <f t="shared" si="19"/>
        <v>X</v>
      </c>
      <c r="Y97" s="2" t="str">
        <f t="shared" si="20"/>
        <v>X</v>
      </c>
      <c r="Z97" s="2" t="str">
        <f t="shared" si="21"/>
        <v>X</v>
      </c>
      <c r="AA97" s="2" t="str">
        <f t="shared" si="22"/>
        <v/>
      </c>
      <c r="AB97" s="2" t="str">
        <f t="shared" si="23"/>
        <v>(23 downto 16)</v>
      </c>
      <c r="AC97" s="2" t="str">
        <f t="shared" si="24"/>
        <v>(15 downto 8)</v>
      </c>
      <c r="AD97" s="2" t="str">
        <f t="shared" si="25"/>
        <v>(7 downto 0)</v>
      </c>
      <c r="AE97" s="2" t="str">
        <f t="shared" si="26"/>
        <v/>
      </c>
      <c r="AF97" s="2" t="str">
        <f t="shared" si="27"/>
        <v>(23 downto 16)</v>
      </c>
      <c r="AG97" s="2" t="str">
        <f t="shared" si="28"/>
        <v>(15 downto 8)</v>
      </c>
      <c r="AH97" s="2" t="str">
        <f t="shared" si="29"/>
        <v>(7 downto 0)</v>
      </c>
    </row>
    <row r="98" spans="2:34" x14ac:dyDescent="0.25">
      <c r="B98" s="2" t="s">
        <v>404</v>
      </c>
      <c r="C98" s="2" t="s">
        <v>2810</v>
      </c>
      <c r="D98" s="2" t="s">
        <v>2715</v>
      </c>
      <c r="E98" s="2" t="s">
        <v>2716</v>
      </c>
      <c r="F98" s="2" t="s">
        <v>405</v>
      </c>
      <c r="G98" s="2" t="s">
        <v>2718</v>
      </c>
      <c r="H98" s="2" t="s">
        <v>2784</v>
      </c>
      <c r="I98" s="2" t="s">
        <v>41</v>
      </c>
      <c r="J98" s="2">
        <v>16</v>
      </c>
      <c r="K98" s="2" t="s">
        <v>132</v>
      </c>
      <c r="L98" s="2" t="s">
        <v>40</v>
      </c>
      <c r="M98" s="2" t="s">
        <v>2396</v>
      </c>
      <c r="N98" s="2" t="s">
        <v>2386</v>
      </c>
      <c r="O98" s="2" t="s">
        <v>2823</v>
      </c>
      <c r="P98" s="2" t="s">
        <v>49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312</v>
      </c>
      <c r="T98" s="2" t="str">
        <f t="shared" si="15"/>
        <v>0138</v>
      </c>
      <c r="U98" s="2">
        <f t="shared" si="16"/>
        <v>78</v>
      </c>
      <c r="V98" s="2" t="str">
        <f t="shared" si="17"/>
        <v>04E</v>
      </c>
      <c r="W98" s="2" t="str">
        <f t="shared" si="18"/>
        <v/>
      </c>
      <c r="X98" s="2" t="str">
        <f t="shared" si="19"/>
        <v/>
      </c>
      <c r="Y98" s="2" t="str">
        <f t="shared" si="20"/>
        <v>X</v>
      </c>
      <c r="Z98" s="2" t="str">
        <f t="shared" si="21"/>
        <v>X</v>
      </c>
      <c r="AA98" s="2" t="str">
        <f t="shared" si="22"/>
        <v/>
      </c>
      <c r="AB98" s="2" t="str">
        <f t="shared" si="23"/>
        <v/>
      </c>
      <c r="AC98" s="2" t="str">
        <f t="shared" si="24"/>
        <v>(15 downto 8)</v>
      </c>
      <c r="AD98" s="2" t="str">
        <f t="shared" si="25"/>
        <v>(7 downto 0)</v>
      </c>
      <c r="AE98" s="2" t="str">
        <f t="shared" si="26"/>
        <v/>
      </c>
      <c r="AF98" s="2" t="str">
        <f t="shared" si="27"/>
        <v/>
      </c>
      <c r="AG98" s="2" t="str">
        <f t="shared" si="28"/>
        <v>(15 downto 8)</v>
      </c>
      <c r="AH98" s="2" t="str">
        <f t="shared" si="29"/>
        <v>(7 downto 0)</v>
      </c>
    </row>
    <row r="99" spans="2:34" x14ac:dyDescent="0.25">
      <c r="B99" s="2" t="s">
        <v>404</v>
      </c>
      <c r="C99" s="2" t="s">
        <v>2811</v>
      </c>
      <c r="D99" s="2" t="s">
        <v>2715</v>
      </c>
      <c r="E99" s="2" t="s">
        <v>2716</v>
      </c>
      <c r="F99" s="2" t="s">
        <v>405</v>
      </c>
      <c r="G99" s="2" t="s">
        <v>2718</v>
      </c>
      <c r="H99" s="2" t="s">
        <v>2786</v>
      </c>
      <c r="I99" s="2" t="s">
        <v>41</v>
      </c>
      <c r="J99" s="2">
        <v>4</v>
      </c>
      <c r="K99" s="2" t="s">
        <v>132</v>
      </c>
      <c r="L99" s="2" t="s">
        <v>40</v>
      </c>
      <c r="M99" s="2" t="s">
        <v>2396</v>
      </c>
      <c r="N99" s="2" t="s">
        <v>2386</v>
      </c>
      <c r="O99" s="2" t="s">
        <v>2820</v>
      </c>
      <c r="P99" s="2" t="s">
        <v>47</v>
      </c>
      <c r="Q99" s="2">
        <f>INDEX(Tables!$C$4:$C$28,MATCH($P99,Tables!$B$4:$B$28,0))</f>
        <v>8</v>
      </c>
      <c r="R99" s="2">
        <f>INDEX(Tables!$D$4:$D$28,MATCH($P99,Tables!$B$4:$B$28,0))</f>
        <v>1</v>
      </c>
      <c r="S99" s="2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314</v>
      </c>
      <c r="T99" s="2" t="str">
        <f t="shared" si="15"/>
        <v>013A</v>
      </c>
      <c r="U99" s="2">
        <f t="shared" si="16"/>
        <v>78</v>
      </c>
      <c r="V99" s="2" t="str">
        <f t="shared" si="17"/>
        <v>04E</v>
      </c>
      <c r="W99" s="2" t="str">
        <f t="shared" si="18"/>
        <v/>
      </c>
      <c r="X99" s="2" t="str">
        <f t="shared" si="19"/>
        <v>X</v>
      </c>
      <c r="Y99" s="2" t="str">
        <f t="shared" si="20"/>
        <v/>
      </c>
      <c r="Z99" s="2" t="str">
        <f t="shared" si="21"/>
        <v/>
      </c>
      <c r="AA99" s="2" t="str">
        <f t="shared" si="22"/>
        <v/>
      </c>
      <c r="AB99" s="2" t="str">
        <f t="shared" si="23"/>
        <v>(19 downto 16)</v>
      </c>
      <c r="AC99" s="2" t="str">
        <f t="shared" si="24"/>
        <v/>
      </c>
      <c r="AD99" s="2" t="str">
        <f t="shared" si="25"/>
        <v/>
      </c>
      <c r="AE99" s="2" t="str">
        <f t="shared" si="26"/>
        <v/>
      </c>
      <c r="AF99" s="2" t="str">
        <f t="shared" si="27"/>
        <v/>
      </c>
      <c r="AG99" s="2" t="str">
        <f t="shared" si="28"/>
        <v/>
      </c>
      <c r="AH99" s="2" t="str">
        <f t="shared" si="29"/>
        <v/>
      </c>
    </row>
    <row r="100" spans="2:34" x14ac:dyDescent="0.25">
      <c r="B100" s="2" t="s">
        <v>404</v>
      </c>
      <c r="C100" s="2" t="s">
        <v>2812</v>
      </c>
      <c r="D100" s="2" t="s">
        <v>2715</v>
      </c>
      <c r="E100" s="2" t="s">
        <v>2716</v>
      </c>
      <c r="F100" s="2" t="s">
        <v>405</v>
      </c>
      <c r="G100" s="2" t="s">
        <v>2718</v>
      </c>
      <c r="H100" s="2" t="s">
        <v>2813</v>
      </c>
      <c r="I100" s="2" t="s">
        <v>41</v>
      </c>
      <c r="J100" s="2">
        <v>9</v>
      </c>
      <c r="K100" s="2" t="s">
        <v>132</v>
      </c>
      <c r="L100" s="2" t="s">
        <v>40</v>
      </c>
      <c r="M100" s="2" t="s">
        <v>2396</v>
      </c>
      <c r="N100" s="2" t="s">
        <v>2386</v>
      </c>
      <c r="O100" s="2" t="s">
        <v>2824</v>
      </c>
      <c r="P100" s="2" t="s">
        <v>49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316</v>
      </c>
      <c r="T100" s="2" t="str">
        <f t="shared" si="15"/>
        <v>013C</v>
      </c>
      <c r="U100" s="2">
        <f t="shared" si="16"/>
        <v>79</v>
      </c>
      <c r="V100" s="2" t="str">
        <f t="shared" si="17"/>
        <v>04F</v>
      </c>
      <c r="W100" s="2" t="str">
        <f t="shared" si="18"/>
        <v/>
      </c>
      <c r="X100" s="2" t="str">
        <f t="shared" si="19"/>
        <v/>
      </c>
      <c r="Y100" s="2" t="str">
        <f t="shared" si="20"/>
        <v>X</v>
      </c>
      <c r="Z100" s="2" t="str">
        <f t="shared" si="21"/>
        <v>X</v>
      </c>
      <c r="AA100" s="2" t="str">
        <f t="shared" si="22"/>
        <v/>
      </c>
      <c r="AB100" s="2" t="str">
        <f t="shared" si="23"/>
        <v/>
      </c>
      <c r="AC100" s="2" t="str">
        <f t="shared" si="24"/>
        <v>(8)</v>
      </c>
      <c r="AD100" s="2" t="str">
        <f t="shared" si="25"/>
        <v>(7 downto 0)</v>
      </c>
      <c r="AE100" s="2" t="str">
        <f t="shared" si="26"/>
        <v/>
      </c>
      <c r="AF100" s="2" t="str">
        <f t="shared" si="27"/>
        <v/>
      </c>
      <c r="AG100" s="2" t="str">
        <f t="shared" si="28"/>
        <v>(8)</v>
      </c>
      <c r="AH100" s="2" t="str">
        <f t="shared" si="29"/>
        <v>(7 downto 0)</v>
      </c>
    </row>
    <row r="101" spans="2:34" x14ac:dyDescent="0.25">
      <c r="B101" s="2" t="s">
        <v>406</v>
      </c>
      <c r="C101" s="2" t="s">
        <v>2814</v>
      </c>
      <c r="D101" s="2" t="s">
        <v>2715</v>
      </c>
      <c r="E101" s="2" t="s">
        <v>2716</v>
      </c>
      <c r="F101" s="2" t="s">
        <v>407</v>
      </c>
      <c r="G101" s="2" t="s">
        <v>2719</v>
      </c>
      <c r="H101" s="2" t="s">
        <v>2784</v>
      </c>
      <c r="I101" s="2" t="s">
        <v>41</v>
      </c>
      <c r="J101" s="2">
        <v>8</v>
      </c>
      <c r="K101" s="2" t="s">
        <v>132</v>
      </c>
      <c r="L101" s="2" t="s">
        <v>40</v>
      </c>
      <c r="M101" s="2" t="s">
        <v>2396</v>
      </c>
      <c r="N101" s="2" t="s">
        <v>2387</v>
      </c>
      <c r="O101" s="2" t="s">
        <v>2818</v>
      </c>
      <c r="P101" s="2" t="s">
        <v>47</v>
      </c>
      <c r="Q101" s="2">
        <f>INDEX(Tables!$C$4:$C$28,MATCH($P101,Tables!$B$4:$B$28,0))</f>
        <v>8</v>
      </c>
      <c r="R101" s="2">
        <f>INDEX(Tables!$D$4:$D$28,MATCH($P101,Tables!$B$4:$B$28,0))</f>
        <v>1</v>
      </c>
      <c r="S101" s="2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320</v>
      </c>
      <c r="T101" s="2" t="str">
        <f t="shared" si="15"/>
        <v>0140</v>
      </c>
      <c r="U101" s="2">
        <f t="shared" si="16"/>
        <v>80</v>
      </c>
      <c r="V101" s="2" t="str">
        <f t="shared" si="17"/>
        <v>050</v>
      </c>
      <c r="W101" s="2" t="str">
        <f t="shared" si="18"/>
        <v/>
      </c>
      <c r="X101" s="2" t="str">
        <f t="shared" si="19"/>
        <v/>
      </c>
      <c r="Y101" s="2" t="str">
        <f t="shared" si="20"/>
        <v/>
      </c>
      <c r="Z101" s="2" t="str">
        <f t="shared" si="21"/>
        <v>X</v>
      </c>
      <c r="AA101" s="2" t="str">
        <f t="shared" si="22"/>
        <v/>
      </c>
      <c r="AB101" s="2" t="str">
        <f t="shared" si="23"/>
        <v/>
      </c>
      <c r="AC101" s="2" t="str">
        <f t="shared" si="24"/>
        <v/>
      </c>
      <c r="AD101" s="2" t="str">
        <f t="shared" si="25"/>
        <v>(7 downto 0)</v>
      </c>
      <c r="AE101" s="2" t="str">
        <f t="shared" si="26"/>
        <v/>
      </c>
      <c r="AF101" s="2" t="str">
        <f t="shared" si="27"/>
        <v/>
      </c>
      <c r="AG101" s="2" t="str">
        <f t="shared" si="28"/>
        <v/>
      </c>
      <c r="AH101" s="2" t="str">
        <f t="shared" si="29"/>
        <v/>
      </c>
    </row>
    <row r="102" spans="2:34" x14ac:dyDescent="0.25">
      <c r="B102" s="2" t="s">
        <v>408</v>
      </c>
      <c r="C102" s="2" t="s">
        <v>2808</v>
      </c>
      <c r="D102" s="2" t="s">
        <v>2715</v>
      </c>
      <c r="E102" s="2" t="s">
        <v>2716</v>
      </c>
      <c r="F102" s="2" t="s">
        <v>409</v>
      </c>
      <c r="G102" s="2" t="s">
        <v>2720</v>
      </c>
      <c r="H102" s="2" t="s">
        <v>2784</v>
      </c>
      <c r="I102" s="2" t="s">
        <v>41</v>
      </c>
      <c r="J102" s="2">
        <v>6</v>
      </c>
      <c r="K102" s="2" t="s">
        <v>132</v>
      </c>
      <c r="L102" s="2" t="s">
        <v>40</v>
      </c>
      <c r="M102" s="2" t="s">
        <v>2396</v>
      </c>
      <c r="N102" s="2" t="s">
        <v>2388</v>
      </c>
      <c r="O102" s="2" t="s">
        <v>2819</v>
      </c>
      <c r="P102" s="2" t="s">
        <v>47</v>
      </c>
      <c r="Q102" s="2">
        <f>INDEX(Tables!$C$4:$C$28,MATCH($P102,Tables!$B$4:$B$28,0))</f>
        <v>8</v>
      </c>
      <c r="R102" s="2">
        <f>INDEX(Tables!$D$4:$D$28,MATCH($P102,Tables!$B$4:$B$28,0))</f>
        <v>1</v>
      </c>
      <c r="S102" s="2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324</v>
      </c>
      <c r="T102" s="2" t="str">
        <f t="shared" si="15"/>
        <v>0144</v>
      </c>
      <c r="U102" s="2">
        <f t="shared" si="16"/>
        <v>81</v>
      </c>
      <c r="V102" s="2" t="str">
        <f t="shared" si="17"/>
        <v>051</v>
      </c>
      <c r="W102" s="2" t="str">
        <f t="shared" si="18"/>
        <v/>
      </c>
      <c r="X102" s="2" t="str">
        <f t="shared" si="19"/>
        <v/>
      </c>
      <c r="Y102" s="2" t="str">
        <f t="shared" si="20"/>
        <v/>
      </c>
      <c r="Z102" s="2" t="str">
        <f t="shared" si="21"/>
        <v>X</v>
      </c>
      <c r="AA102" s="2" t="str">
        <f t="shared" si="22"/>
        <v/>
      </c>
      <c r="AB102" s="2" t="str">
        <f t="shared" si="23"/>
        <v/>
      </c>
      <c r="AC102" s="2" t="str">
        <f t="shared" si="24"/>
        <v/>
      </c>
      <c r="AD102" s="2" t="str">
        <f t="shared" si="25"/>
        <v>(5 downto 0)</v>
      </c>
      <c r="AE102" s="2" t="str">
        <f t="shared" si="26"/>
        <v/>
      </c>
      <c r="AF102" s="2" t="str">
        <f t="shared" si="27"/>
        <v/>
      </c>
      <c r="AG102" s="2" t="str">
        <f t="shared" si="28"/>
        <v/>
      </c>
      <c r="AH102" s="2" t="str">
        <f t="shared" si="29"/>
        <v/>
      </c>
    </row>
    <row r="103" spans="2:34" x14ac:dyDescent="0.25">
      <c r="B103" s="2" t="s">
        <v>408</v>
      </c>
      <c r="C103" s="2" t="s">
        <v>2809</v>
      </c>
      <c r="D103" s="2" t="s">
        <v>2715</v>
      </c>
      <c r="E103" s="2" t="s">
        <v>2716</v>
      </c>
      <c r="F103" s="2" t="s">
        <v>409</v>
      </c>
      <c r="G103" s="2" t="s">
        <v>2720</v>
      </c>
      <c r="H103" s="2" t="s">
        <v>2786</v>
      </c>
      <c r="I103" s="2" t="s">
        <v>41</v>
      </c>
      <c r="J103" s="2">
        <v>24</v>
      </c>
      <c r="K103" s="2" t="s">
        <v>132</v>
      </c>
      <c r="L103" s="2" t="s">
        <v>40</v>
      </c>
      <c r="M103" s="2" t="s">
        <v>2396</v>
      </c>
      <c r="N103" s="2" t="s">
        <v>2388</v>
      </c>
      <c r="O103" s="2" t="s">
        <v>2826</v>
      </c>
      <c r="P103" s="2" t="s">
        <v>48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328</v>
      </c>
      <c r="T103" s="2" t="str">
        <f t="shared" si="15"/>
        <v>0148</v>
      </c>
      <c r="U103" s="2">
        <f t="shared" si="16"/>
        <v>82</v>
      </c>
      <c r="V103" s="2" t="str">
        <f t="shared" si="17"/>
        <v>052</v>
      </c>
      <c r="W103" s="2" t="str">
        <f t="shared" si="18"/>
        <v/>
      </c>
      <c r="X103" s="2" t="str">
        <f t="shared" si="19"/>
        <v>X</v>
      </c>
      <c r="Y103" s="2" t="str">
        <f t="shared" si="20"/>
        <v>X</v>
      </c>
      <c r="Z103" s="2" t="str">
        <f t="shared" si="21"/>
        <v>X</v>
      </c>
      <c r="AA103" s="2" t="str">
        <f t="shared" si="22"/>
        <v/>
      </c>
      <c r="AB103" s="2" t="str">
        <f t="shared" si="23"/>
        <v>(23 downto 16)</v>
      </c>
      <c r="AC103" s="2" t="str">
        <f t="shared" si="24"/>
        <v>(15 downto 8)</v>
      </c>
      <c r="AD103" s="2" t="str">
        <f t="shared" si="25"/>
        <v>(7 downto 0)</v>
      </c>
      <c r="AE103" s="2" t="str">
        <f t="shared" si="26"/>
        <v/>
      </c>
      <c r="AF103" s="2" t="str">
        <f t="shared" si="27"/>
        <v>(23 downto 16)</v>
      </c>
      <c r="AG103" s="2" t="str">
        <f t="shared" si="28"/>
        <v>(15 downto 8)</v>
      </c>
      <c r="AH103" s="2" t="str">
        <f t="shared" si="29"/>
        <v>(7 downto 0)</v>
      </c>
    </row>
    <row r="104" spans="2:34" x14ac:dyDescent="0.25">
      <c r="B104" s="2" t="s">
        <v>410</v>
      </c>
      <c r="C104" s="2" t="s">
        <v>2810</v>
      </c>
      <c r="D104" s="2" t="s">
        <v>2715</v>
      </c>
      <c r="E104" s="2" t="s">
        <v>2716</v>
      </c>
      <c r="F104" s="2" t="s">
        <v>411</v>
      </c>
      <c r="G104" s="2" t="s">
        <v>2721</v>
      </c>
      <c r="H104" s="2" t="s">
        <v>2784</v>
      </c>
      <c r="I104" s="2" t="s">
        <v>41</v>
      </c>
      <c r="J104" s="2">
        <v>16</v>
      </c>
      <c r="K104" s="2" t="s">
        <v>132</v>
      </c>
      <c r="L104" s="2" t="s">
        <v>40</v>
      </c>
      <c r="M104" s="2" t="s">
        <v>2396</v>
      </c>
      <c r="N104" s="2" t="s">
        <v>2389</v>
      </c>
      <c r="O104" s="2" t="s">
        <v>2823</v>
      </c>
      <c r="P104" s="2" t="s">
        <v>49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332</v>
      </c>
      <c r="T104" s="2" t="str">
        <f t="shared" si="15"/>
        <v>014C</v>
      </c>
      <c r="U104" s="2">
        <f t="shared" si="16"/>
        <v>83</v>
      </c>
      <c r="V104" s="2" t="str">
        <f t="shared" si="17"/>
        <v>053</v>
      </c>
      <c r="W104" s="2" t="str">
        <f t="shared" si="18"/>
        <v/>
      </c>
      <c r="X104" s="2" t="str">
        <f t="shared" si="19"/>
        <v/>
      </c>
      <c r="Y104" s="2" t="str">
        <f t="shared" si="20"/>
        <v>X</v>
      </c>
      <c r="Z104" s="2" t="str">
        <f t="shared" si="21"/>
        <v>X</v>
      </c>
      <c r="AA104" s="2" t="str">
        <f t="shared" si="22"/>
        <v/>
      </c>
      <c r="AB104" s="2" t="str">
        <f t="shared" si="23"/>
        <v/>
      </c>
      <c r="AC104" s="2" t="str">
        <f t="shared" si="24"/>
        <v>(15 downto 8)</v>
      </c>
      <c r="AD104" s="2" t="str">
        <f t="shared" si="25"/>
        <v>(7 downto 0)</v>
      </c>
      <c r="AE104" s="2" t="str">
        <f t="shared" si="26"/>
        <v/>
      </c>
      <c r="AF104" s="2" t="str">
        <f t="shared" si="27"/>
        <v/>
      </c>
      <c r="AG104" s="2" t="str">
        <f t="shared" si="28"/>
        <v>(15 downto 8)</v>
      </c>
      <c r="AH104" s="2" t="str">
        <f t="shared" si="29"/>
        <v>(7 downto 0)</v>
      </c>
    </row>
    <row r="105" spans="2:34" x14ac:dyDescent="0.25">
      <c r="B105" s="2" t="s">
        <v>410</v>
      </c>
      <c r="C105" s="2" t="s">
        <v>2811</v>
      </c>
      <c r="D105" s="2" t="s">
        <v>2715</v>
      </c>
      <c r="E105" s="2" t="s">
        <v>2716</v>
      </c>
      <c r="F105" s="2" t="s">
        <v>411</v>
      </c>
      <c r="G105" s="2" t="s">
        <v>2721</v>
      </c>
      <c r="H105" s="2" t="s">
        <v>2786</v>
      </c>
      <c r="I105" s="2" t="s">
        <v>41</v>
      </c>
      <c r="J105" s="2">
        <v>4</v>
      </c>
      <c r="K105" s="2" t="s">
        <v>132</v>
      </c>
      <c r="L105" s="2" t="s">
        <v>40</v>
      </c>
      <c r="M105" s="2" t="s">
        <v>2396</v>
      </c>
      <c r="N105" s="2" t="s">
        <v>2389</v>
      </c>
      <c r="O105" s="2" t="s">
        <v>2820</v>
      </c>
      <c r="P105" s="2" t="s">
        <v>47</v>
      </c>
      <c r="Q105" s="2">
        <f>INDEX(Tables!$C$4:$C$28,MATCH($P105,Tables!$B$4:$B$28,0))</f>
        <v>8</v>
      </c>
      <c r="R105" s="2">
        <f>INDEX(Tables!$D$4:$D$28,MATCH($P105,Tables!$B$4:$B$28,0))</f>
        <v>1</v>
      </c>
      <c r="S105" s="2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334</v>
      </c>
      <c r="T105" s="2" t="str">
        <f t="shared" si="15"/>
        <v>014E</v>
      </c>
      <c r="U105" s="2">
        <f t="shared" si="16"/>
        <v>83</v>
      </c>
      <c r="V105" s="2" t="str">
        <f t="shared" si="17"/>
        <v>053</v>
      </c>
      <c r="W105" s="2" t="str">
        <f t="shared" si="18"/>
        <v/>
      </c>
      <c r="X105" s="2" t="str">
        <f t="shared" si="19"/>
        <v>X</v>
      </c>
      <c r="Y105" s="2" t="str">
        <f t="shared" si="20"/>
        <v/>
      </c>
      <c r="Z105" s="2" t="str">
        <f t="shared" si="21"/>
        <v/>
      </c>
      <c r="AA105" s="2" t="str">
        <f t="shared" si="22"/>
        <v/>
      </c>
      <c r="AB105" s="2" t="str">
        <f t="shared" si="23"/>
        <v>(19 downto 16)</v>
      </c>
      <c r="AC105" s="2" t="str">
        <f t="shared" si="24"/>
        <v/>
      </c>
      <c r="AD105" s="2" t="str">
        <f t="shared" si="25"/>
        <v/>
      </c>
      <c r="AE105" s="2" t="str">
        <f t="shared" si="26"/>
        <v/>
      </c>
      <c r="AF105" s="2" t="str">
        <f t="shared" si="27"/>
        <v/>
      </c>
      <c r="AG105" s="2" t="str">
        <f t="shared" si="28"/>
        <v/>
      </c>
      <c r="AH105" s="2" t="str">
        <f t="shared" si="29"/>
        <v/>
      </c>
    </row>
    <row r="106" spans="2:34" x14ac:dyDescent="0.25">
      <c r="B106" s="2" t="s">
        <v>410</v>
      </c>
      <c r="C106" s="2" t="s">
        <v>2812</v>
      </c>
      <c r="D106" s="2" t="s">
        <v>2715</v>
      </c>
      <c r="E106" s="2" t="s">
        <v>2716</v>
      </c>
      <c r="F106" s="2" t="s">
        <v>411</v>
      </c>
      <c r="G106" s="2" t="s">
        <v>2721</v>
      </c>
      <c r="H106" s="2" t="s">
        <v>2813</v>
      </c>
      <c r="I106" s="2" t="s">
        <v>41</v>
      </c>
      <c r="J106" s="2">
        <v>9</v>
      </c>
      <c r="K106" s="2" t="s">
        <v>132</v>
      </c>
      <c r="L106" s="2" t="s">
        <v>40</v>
      </c>
      <c r="M106" s="2" t="s">
        <v>2396</v>
      </c>
      <c r="N106" s="2" t="s">
        <v>2389</v>
      </c>
      <c r="O106" s="2" t="s">
        <v>2824</v>
      </c>
      <c r="P106" s="2" t="s">
        <v>49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336</v>
      </c>
      <c r="T106" s="2" t="str">
        <f t="shared" si="15"/>
        <v>0150</v>
      </c>
      <c r="U106" s="2">
        <f t="shared" si="16"/>
        <v>84</v>
      </c>
      <c r="V106" s="2" t="str">
        <f t="shared" si="17"/>
        <v>054</v>
      </c>
      <c r="W106" s="2" t="str">
        <f t="shared" si="18"/>
        <v/>
      </c>
      <c r="X106" s="2" t="str">
        <f t="shared" si="19"/>
        <v/>
      </c>
      <c r="Y106" s="2" t="str">
        <f t="shared" si="20"/>
        <v>X</v>
      </c>
      <c r="Z106" s="2" t="str">
        <f t="shared" si="21"/>
        <v>X</v>
      </c>
      <c r="AA106" s="2" t="str">
        <f t="shared" si="22"/>
        <v/>
      </c>
      <c r="AB106" s="2" t="str">
        <f t="shared" si="23"/>
        <v/>
      </c>
      <c r="AC106" s="2" t="str">
        <f t="shared" si="24"/>
        <v>(8)</v>
      </c>
      <c r="AD106" s="2" t="str">
        <f t="shared" si="25"/>
        <v>(7 downto 0)</v>
      </c>
      <c r="AE106" s="2" t="str">
        <f t="shared" si="26"/>
        <v/>
      </c>
      <c r="AF106" s="2" t="str">
        <f t="shared" si="27"/>
        <v/>
      </c>
      <c r="AG106" s="2" t="str">
        <f t="shared" si="28"/>
        <v>(8)</v>
      </c>
      <c r="AH106" s="2" t="str">
        <f t="shared" si="29"/>
        <v>(7 downto 0)</v>
      </c>
    </row>
    <row r="107" spans="2:34" x14ac:dyDescent="0.25">
      <c r="B107" s="2" t="s">
        <v>412</v>
      </c>
      <c r="C107" s="2" t="s">
        <v>2814</v>
      </c>
      <c r="D107" s="2" t="s">
        <v>2715</v>
      </c>
      <c r="E107" s="2" t="s">
        <v>2716</v>
      </c>
      <c r="F107" s="2" t="s">
        <v>413</v>
      </c>
      <c r="G107" s="2" t="s">
        <v>2722</v>
      </c>
      <c r="H107" s="2" t="s">
        <v>2784</v>
      </c>
      <c r="I107" s="2" t="s">
        <v>41</v>
      </c>
      <c r="J107" s="2">
        <v>8</v>
      </c>
      <c r="K107" s="2" t="s">
        <v>132</v>
      </c>
      <c r="L107" s="2" t="s">
        <v>40</v>
      </c>
      <c r="M107" s="2" t="s">
        <v>2396</v>
      </c>
      <c r="N107" s="2" t="s">
        <v>2390</v>
      </c>
      <c r="O107" s="2" t="s">
        <v>2818</v>
      </c>
      <c r="P107" s="2" t="s">
        <v>47</v>
      </c>
      <c r="Q107" s="2">
        <f>INDEX(Tables!$C$4:$C$28,MATCH($P107,Tables!$B$4:$B$28,0))</f>
        <v>8</v>
      </c>
      <c r="R107" s="2">
        <f>INDEX(Tables!$D$4:$D$28,MATCH($P107,Tables!$B$4:$B$28,0))</f>
        <v>1</v>
      </c>
      <c r="S107" s="2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340</v>
      </c>
      <c r="T107" s="2" t="str">
        <f t="shared" si="15"/>
        <v>0154</v>
      </c>
      <c r="U107" s="2">
        <f t="shared" si="16"/>
        <v>85</v>
      </c>
      <c r="V107" s="2" t="str">
        <f t="shared" si="17"/>
        <v>055</v>
      </c>
      <c r="W107" s="2" t="str">
        <f t="shared" si="18"/>
        <v/>
      </c>
      <c r="X107" s="2" t="str">
        <f t="shared" si="19"/>
        <v/>
      </c>
      <c r="Y107" s="2" t="str">
        <f t="shared" si="20"/>
        <v/>
      </c>
      <c r="Z107" s="2" t="str">
        <f t="shared" si="21"/>
        <v>X</v>
      </c>
      <c r="AA107" s="2" t="str">
        <f t="shared" si="22"/>
        <v/>
      </c>
      <c r="AB107" s="2" t="str">
        <f t="shared" si="23"/>
        <v/>
      </c>
      <c r="AC107" s="2" t="str">
        <f t="shared" si="24"/>
        <v/>
      </c>
      <c r="AD107" s="2" t="str">
        <f t="shared" si="25"/>
        <v>(7 downto 0)</v>
      </c>
      <c r="AE107" s="2" t="str">
        <f t="shared" si="26"/>
        <v/>
      </c>
      <c r="AF107" s="2" t="str">
        <f t="shared" si="27"/>
        <v/>
      </c>
      <c r="AG107" s="2" t="str">
        <f t="shared" si="28"/>
        <v/>
      </c>
      <c r="AH107" s="2" t="str">
        <f t="shared" si="29"/>
        <v/>
      </c>
    </row>
    <row r="108" spans="2:34" x14ac:dyDescent="0.25">
      <c r="B108" s="2" t="s">
        <v>414</v>
      </c>
      <c r="C108" s="2" t="s">
        <v>2815</v>
      </c>
      <c r="D108" s="2" t="s">
        <v>0</v>
      </c>
      <c r="E108" s="2" t="s">
        <v>130</v>
      </c>
      <c r="F108" s="2" t="s">
        <v>415</v>
      </c>
      <c r="G108" s="2" t="s">
        <v>416</v>
      </c>
      <c r="H108" s="2" t="s">
        <v>2784</v>
      </c>
      <c r="I108" s="2" t="s">
        <v>41</v>
      </c>
      <c r="J108" s="2">
        <v>16</v>
      </c>
      <c r="K108" s="2" t="s">
        <v>132</v>
      </c>
      <c r="L108" s="2" t="s">
        <v>40</v>
      </c>
      <c r="M108" s="2" t="s">
        <v>2396</v>
      </c>
      <c r="N108" s="2" t="s">
        <v>2391</v>
      </c>
      <c r="O108" s="2" t="s">
        <v>2821</v>
      </c>
      <c r="P108" s="2" t="s">
        <v>49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342</v>
      </c>
      <c r="T108" s="2" t="str">
        <f t="shared" si="15"/>
        <v>0156</v>
      </c>
      <c r="U108" s="2">
        <f t="shared" si="16"/>
        <v>85</v>
      </c>
      <c r="V108" s="2" t="str">
        <f t="shared" si="17"/>
        <v>055</v>
      </c>
      <c r="W108" s="2" t="str">
        <f t="shared" si="18"/>
        <v>X</v>
      </c>
      <c r="X108" s="2" t="str">
        <f t="shared" si="19"/>
        <v>X</v>
      </c>
      <c r="Y108" s="2" t="str">
        <f t="shared" si="20"/>
        <v/>
      </c>
      <c r="Z108" s="2" t="str">
        <f t="shared" si="21"/>
        <v/>
      </c>
      <c r="AA108" s="2" t="str">
        <f t="shared" si="22"/>
        <v>(31 downto 24)</v>
      </c>
      <c r="AB108" s="2" t="str">
        <f t="shared" si="23"/>
        <v>(23 downto 16)</v>
      </c>
      <c r="AC108" s="2" t="str">
        <f t="shared" si="24"/>
        <v/>
      </c>
      <c r="AD108" s="2" t="str">
        <f t="shared" si="25"/>
        <v/>
      </c>
      <c r="AE108" s="2" t="str">
        <f t="shared" si="26"/>
        <v>(15 downto 8)</v>
      </c>
      <c r="AF108" s="2" t="str">
        <f t="shared" si="27"/>
        <v>(7 downto 0)</v>
      </c>
      <c r="AG108" s="2" t="str">
        <f t="shared" si="28"/>
        <v/>
      </c>
      <c r="AH108" s="2" t="str">
        <f t="shared" si="29"/>
        <v/>
      </c>
    </row>
    <row r="109" spans="2:34" x14ac:dyDescent="0.25">
      <c r="B109" s="2" t="s">
        <v>417</v>
      </c>
      <c r="C109" s="2" t="s">
        <v>2816</v>
      </c>
      <c r="D109" s="2" t="s">
        <v>0</v>
      </c>
      <c r="E109" s="2" t="s">
        <v>130</v>
      </c>
      <c r="F109" s="2" t="s">
        <v>418</v>
      </c>
      <c r="G109" s="2" t="s">
        <v>419</v>
      </c>
      <c r="H109" s="2" t="s">
        <v>2784</v>
      </c>
      <c r="I109" s="2" t="s">
        <v>41</v>
      </c>
      <c r="J109" s="2">
        <v>32</v>
      </c>
      <c r="K109" s="2" t="s">
        <v>132</v>
      </c>
      <c r="L109" s="2" t="s">
        <v>40</v>
      </c>
      <c r="M109" s="2" t="s">
        <v>2396</v>
      </c>
      <c r="N109" s="2" t="s">
        <v>2392</v>
      </c>
      <c r="O109" s="2" t="s">
        <v>2825</v>
      </c>
      <c r="P109" s="2" t="s">
        <v>48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344</v>
      </c>
      <c r="T109" s="2" t="str">
        <f t="shared" si="15"/>
        <v>0158</v>
      </c>
      <c r="U109" s="2">
        <f t="shared" si="16"/>
        <v>86</v>
      </c>
      <c r="V109" s="2" t="str">
        <f t="shared" si="17"/>
        <v>056</v>
      </c>
      <c r="W109" s="2" t="str">
        <f t="shared" si="18"/>
        <v>X</v>
      </c>
      <c r="X109" s="2" t="str">
        <f t="shared" si="19"/>
        <v>X</v>
      </c>
      <c r="Y109" s="2" t="str">
        <f t="shared" si="20"/>
        <v>X</v>
      </c>
      <c r="Z109" s="2" t="str">
        <f t="shared" si="21"/>
        <v>X</v>
      </c>
      <c r="AA109" s="2" t="str">
        <f t="shared" si="22"/>
        <v>(31 downto 24)</v>
      </c>
      <c r="AB109" s="2" t="str">
        <f t="shared" si="23"/>
        <v>(23 downto 16)</v>
      </c>
      <c r="AC109" s="2" t="str">
        <f t="shared" si="24"/>
        <v>(15 downto 8)</v>
      </c>
      <c r="AD109" s="2" t="str">
        <f t="shared" si="25"/>
        <v>(7 downto 0)</v>
      </c>
      <c r="AE109" s="2" t="str">
        <f t="shared" si="26"/>
        <v>(31 downto 24)</v>
      </c>
      <c r="AF109" s="2" t="str">
        <f t="shared" si="27"/>
        <v>(23 downto 16)</v>
      </c>
      <c r="AG109" s="2" t="str">
        <f t="shared" si="28"/>
        <v>(15 downto 8)</v>
      </c>
      <c r="AH109" s="2" t="str">
        <f t="shared" si="29"/>
        <v>(7 downto 0)</v>
      </c>
    </row>
    <row r="110" spans="2:34" x14ac:dyDescent="0.25">
      <c r="B110" s="2" t="s">
        <v>420</v>
      </c>
      <c r="C110" s="2" t="s">
        <v>2817</v>
      </c>
      <c r="D110" s="2" t="s">
        <v>0</v>
      </c>
      <c r="E110" s="2" t="s">
        <v>130</v>
      </c>
      <c r="F110" s="2" t="s">
        <v>421</v>
      </c>
      <c r="G110" s="2" t="s">
        <v>422</v>
      </c>
      <c r="H110" s="2" t="s">
        <v>2784</v>
      </c>
      <c r="I110" s="2" t="s">
        <v>41</v>
      </c>
      <c r="J110" s="2">
        <v>32</v>
      </c>
      <c r="K110" s="2" t="s">
        <v>132</v>
      </c>
      <c r="L110" s="2" t="s">
        <v>40</v>
      </c>
      <c r="M110" s="2" t="s">
        <v>2396</v>
      </c>
      <c r="N110" s="2" t="s">
        <v>2393</v>
      </c>
      <c r="O110" s="2" t="s">
        <v>2825</v>
      </c>
      <c r="P110" s="2" t="s">
        <v>48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348</v>
      </c>
      <c r="T110" s="2" t="str">
        <f t="shared" si="15"/>
        <v>015C</v>
      </c>
      <c r="U110" s="2">
        <f t="shared" si="16"/>
        <v>87</v>
      </c>
      <c r="V110" s="2" t="str">
        <f t="shared" si="17"/>
        <v>057</v>
      </c>
      <c r="W110" s="2" t="str">
        <f t="shared" si="18"/>
        <v>X</v>
      </c>
      <c r="X110" s="2" t="str">
        <f t="shared" si="19"/>
        <v>X</v>
      </c>
      <c r="Y110" s="2" t="str">
        <f t="shared" si="20"/>
        <v>X</v>
      </c>
      <c r="Z110" s="2" t="str">
        <f t="shared" si="21"/>
        <v>X</v>
      </c>
      <c r="AA110" s="2" t="str">
        <f t="shared" si="22"/>
        <v>(31 downto 24)</v>
      </c>
      <c r="AB110" s="2" t="str">
        <f t="shared" si="23"/>
        <v>(23 downto 16)</v>
      </c>
      <c r="AC110" s="2" t="str">
        <f t="shared" si="24"/>
        <v>(15 downto 8)</v>
      </c>
      <c r="AD110" s="2" t="str">
        <f t="shared" si="25"/>
        <v>(7 downto 0)</v>
      </c>
      <c r="AE110" s="2" t="str">
        <f t="shared" si="26"/>
        <v>(31 downto 24)</v>
      </c>
      <c r="AF110" s="2" t="str">
        <f t="shared" si="27"/>
        <v>(23 downto 16)</v>
      </c>
      <c r="AG110" s="2" t="str">
        <f t="shared" si="28"/>
        <v>(15 downto 8)</v>
      </c>
      <c r="AH110" s="2" t="str">
        <f t="shared" si="29"/>
        <v>(7 downto 0)</v>
      </c>
    </row>
  </sheetData>
  <autoFilter ref="B3:AH110" xr:uid="{5048BD3A-30B2-44ED-8167-D68E25A5F1C7}"/>
  <sortState xmlns:xlrd2="http://schemas.microsoft.com/office/spreadsheetml/2017/richdata2" ref="B5:AH31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6" t="s">
        <v>50</v>
      </c>
      <c r="C2" s="26"/>
      <c r="D2" s="26"/>
      <c r="F2" s="26" t="s">
        <v>91</v>
      </c>
      <c r="G2" s="26"/>
      <c r="H2" s="9"/>
      <c r="I2" s="26" t="s">
        <v>85</v>
      </c>
      <c r="J2" s="26"/>
      <c r="K2" s="9"/>
      <c r="L2" s="26" t="s">
        <v>123</v>
      </c>
      <c r="M2" s="26"/>
      <c r="N2" s="26"/>
      <c r="O2" s="26"/>
      <c r="P2" s="26"/>
      <c r="Q2" s="26"/>
    </row>
    <row r="3" spans="2:17" x14ac:dyDescent="0.25">
      <c r="B3" s="4" t="s">
        <v>51</v>
      </c>
      <c r="C3" s="4" t="s">
        <v>52</v>
      </c>
      <c r="D3" s="4" t="s">
        <v>53</v>
      </c>
      <c r="F3" s="8" t="s">
        <v>51</v>
      </c>
      <c r="G3" s="8" t="s">
        <v>92</v>
      </c>
      <c r="H3" s="8"/>
      <c r="I3" s="7" t="s">
        <v>86</v>
      </c>
      <c r="J3" s="7" t="s">
        <v>87</v>
      </c>
      <c r="K3" s="12"/>
      <c r="L3" s="2" t="s">
        <v>40</v>
      </c>
      <c r="M3" s="2" t="s">
        <v>40</v>
      </c>
      <c r="N3" s="26" t="s">
        <v>124</v>
      </c>
      <c r="O3" s="26"/>
      <c r="P3" s="26"/>
      <c r="Q3" s="26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8" t="s">
        <v>122</v>
      </c>
      <c r="M5" s="2">
        <v>0</v>
      </c>
      <c r="N5" s="14">
        <v>0</v>
      </c>
      <c r="O5" s="15">
        <v>0</v>
      </c>
      <c r="P5" s="15">
        <v>0</v>
      </c>
      <c r="Q5" s="16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8"/>
      <c r="M6" s="2">
        <v>1</v>
      </c>
      <c r="N6" s="17">
        <v>0</v>
      </c>
      <c r="O6" s="18">
        <v>1</v>
      </c>
      <c r="P6" s="18">
        <v>3</v>
      </c>
      <c r="Q6" s="19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8"/>
      <c r="M7" s="2">
        <v>2</v>
      </c>
      <c r="N7" s="17">
        <v>0</v>
      </c>
      <c r="O7" s="18">
        <v>0</v>
      </c>
      <c r="P7" s="18">
        <v>2</v>
      </c>
      <c r="Q7" s="19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8"/>
      <c r="M8" s="2">
        <v>3</v>
      </c>
      <c r="N8" s="20">
        <v>0</v>
      </c>
      <c r="O8" s="21">
        <v>1</v>
      </c>
      <c r="P8" s="21">
        <v>1</v>
      </c>
      <c r="Q8" s="22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3" t="s">
        <v>112</v>
      </c>
      <c r="H2" s="1" t="s">
        <v>103</v>
      </c>
      <c r="I2" s="1"/>
    </row>
    <row r="3" spans="2:9" x14ac:dyDescent="0.25">
      <c r="B3" s="2" t="s">
        <v>423</v>
      </c>
      <c r="H3" t="s">
        <v>114</v>
      </c>
    </row>
    <row r="5" spans="2:9" x14ac:dyDescent="0.25">
      <c r="B5" s="13" t="s">
        <v>113</v>
      </c>
      <c r="H5" t="s">
        <v>115</v>
      </c>
    </row>
    <row r="6" spans="2:9" x14ac:dyDescent="0.25">
      <c r="B6" s="2" t="s">
        <v>424</v>
      </c>
      <c r="H6" t="s">
        <v>2285</v>
      </c>
    </row>
    <row r="7" spans="2:9" x14ac:dyDescent="0.25">
      <c r="H7" t="s">
        <v>2827</v>
      </c>
    </row>
    <row r="8" spans="2:9" x14ac:dyDescent="0.25">
      <c r="B8" s="13" t="s">
        <v>111</v>
      </c>
    </row>
    <row r="9" spans="2:9" x14ac:dyDescent="0.25">
      <c r="B9" s="2">
        <v>512</v>
      </c>
      <c r="H9" t="s">
        <v>104</v>
      </c>
    </row>
    <row r="11" spans="2:9" x14ac:dyDescent="0.25">
      <c r="B11" s="11"/>
      <c r="H11" t="s">
        <v>628</v>
      </c>
    </row>
    <row r="12" spans="2:9" x14ac:dyDescent="0.25">
      <c r="H12" t="s">
        <v>2723</v>
      </c>
    </row>
    <row r="13" spans="2:9" x14ac:dyDescent="0.25">
      <c r="H13" t="s">
        <v>2828</v>
      </c>
    </row>
    <row r="14" spans="2:9" x14ac:dyDescent="0.25">
      <c r="B14" s="11"/>
      <c r="H14" t="s">
        <v>2829</v>
      </c>
    </row>
    <row r="15" spans="2:9" x14ac:dyDescent="0.25">
      <c r="H15" t="s">
        <v>2724</v>
      </c>
    </row>
    <row r="17" spans="2:8" x14ac:dyDescent="0.25">
      <c r="B17" s="11"/>
      <c r="H17" t="s">
        <v>629</v>
      </c>
    </row>
    <row r="18" spans="2:8" x14ac:dyDescent="0.25">
      <c r="H18" t="s">
        <v>2725</v>
      </c>
    </row>
    <row r="19" spans="2:8" x14ac:dyDescent="0.25">
      <c r="H19" t="s">
        <v>2830</v>
      </c>
    </row>
    <row r="20" spans="2:8" x14ac:dyDescent="0.25">
      <c r="B20" s="11"/>
      <c r="H20" t="s">
        <v>2831</v>
      </c>
    </row>
    <row r="21" spans="2:8" x14ac:dyDescent="0.25">
      <c r="H21" t="s">
        <v>2832</v>
      </c>
    </row>
    <row r="22" spans="2:8" x14ac:dyDescent="0.25">
      <c r="H22" t="s">
        <v>2726</v>
      </c>
    </row>
    <row r="24" spans="2:8" x14ac:dyDescent="0.25">
      <c r="H24" t="s">
        <v>630</v>
      </c>
    </row>
    <row r="25" spans="2:8" x14ac:dyDescent="0.25">
      <c r="H25" t="s">
        <v>2727</v>
      </c>
    </row>
    <row r="26" spans="2:8" x14ac:dyDescent="0.25">
      <c r="H26" t="s">
        <v>2983</v>
      </c>
    </row>
    <row r="27" spans="2:8" x14ac:dyDescent="0.25">
      <c r="H27" t="s">
        <v>2728</v>
      </c>
    </row>
    <row r="29" spans="2:8" x14ac:dyDescent="0.25">
      <c r="H29" t="s">
        <v>631</v>
      </c>
    </row>
    <row r="30" spans="2:8" x14ac:dyDescent="0.25">
      <c r="H30" t="s">
        <v>2729</v>
      </c>
    </row>
    <row r="31" spans="2:8" x14ac:dyDescent="0.25">
      <c r="H31" t="s">
        <v>2828</v>
      </c>
    </row>
    <row r="32" spans="2:8" x14ac:dyDescent="0.25">
      <c r="H32" t="s">
        <v>2829</v>
      </c>
    </row>
    <row r="33" spans="8:8" x14ac:dyDescent="0.25">
      <c r="H33" t="s">
        <v>2730</v>
      </c>
    </row>
    <row r="35" spans="8:8" x14ac:dyDescent="0.25">
      <c r="H35" t="s">
        <v>632</v>
      </c>
    </row>
    <row r="36" spans="8:8" x14ac:dyDescent="0.25">
      <c r="H36" t="s">
        <v>2731</v>
      </c>
    </row>
    <row r="37" spans="8:8" x14ac:dyDescent="0.25">
      <c r="H37" t="s">
        <v>2830</v>
      </c>
    </row>
    <row r="38" spans="8:8" x14ac:dyDescent="0.25">
      <c r="H38" t="s">
        <v>2831</v>
      </c>
    </row>
    <row r="39" spans="8:8" x14ac:dyDescent="0.25">
      <c r="H39" t="s">
        <v>2832</v>
      </c>
    </row>
    <row r="40" spans="8:8" x14ac:dyDescent="0.25">
      <c r="H40" t="s">
        <v>2732</v>
      </c>
    </row>
    <row r="42" spans="8:8" x14ac:dyDescent="0.25">
      <c r="H42" t="s">
        <v>633</v>
      </c>
    </row>
    <row r="43" spans="8:8" x14ac:dyDescent="0.25">
      <c r="H43" t="s">
        <v>2733</v>
      </c>
    </row>
    <row r="44" spans="8:8" x14ac:dyDescent="0.25">
      <c r="H44" t="s">
        <v>2983</v>
      </c>
    </row>
    <row r="45" spans="8:8" x14ac:dyDescent="0.25">
      <c r="H45" t="s">
        <v>2734</v>
      </c>
    </row>
    <row r="47" spans="8:8" x14ac:dyDescent="0.25">
      <c r="H47" t="s">
        <v>425</v>
      </c>
    </row>
    <row r="48" spans="8:8" x14ac:dyDescent="0.25">
      <c r="H48" t="s">
        <v>426</v>
      </c>
    </row>
    <row r="49" spans="8:8" x14ac:dyDescent="0.25">
      <c r="H49" t="s">
        <v>2984</v>
      </c>
    </row>
    <row r="50" spans="8:8" x14ac:dyDescent="0.25">
      <c r="H50" t="s">
        <v>429</v>
      </c>
    </row>
    <row r="52" spans="8:8" x14ac:dyDescent="0.25">
      <c r="H52" t="s">
        <v>430</v>
      </c>
    </row>
    <row r="53" spans="8:8" x14ac:dyDescent="0.25">
      <c r="H53" t="s">
        <v>431</v>
      </c>
    </row>
    <row r="54" spans="8:8" x14ac:dyDescent="0.25">
      <c r="H54" t="s">
        <v>432</v>
      </c>
    </row>
    <row r="55" spans="8:8" x14ac:dyDescent="0.25">
      <c r="H55" t="s">
        <v>433</v>
      </c>
    </row>
    <row r="57" spans="8:8" x14ac:dyDescent="0.25">
      <c r="H57" t="s">
        <v>434</v>
      </c>
    </row>
    <row r="58" spans="8:8" x14ac:dyDescent="0.25">
      <c r="H58" t="s">
        <v>435</v>
      </c>
    </row>
    <row r="59" spans="8:8" x14ac:dyDescent="0.25">
      <c r="H59" t="s">
        <v>436</v>
      </c>
    </row>
    <row r="60" spans="8:8" x14ac:dyDescent="0.25">
      <c r="H60" t="s">
        <v>437</v>
      </c>
    </row>
    <row r="61" spans="8:8" x14ac:dyDescent="0.25">
      <c r="H61" t="s">
        <v>438</v>
      </c>
    </row>
    <row r="62" spans="8:8" x14ac:dyDescent="0.25">
      <c r="H62" t="s">
        <v>439</v>
      </c>
    </row>
    <row r="63" spans="8:8" x14ac:dyDescent="0.25">
      <c r="H63" t="s">
        <v>440</v>
      </c>
    </row>
    <row r="65" spans="8:8" x14ac:dyDescent="0.25">
      <c r="H65" t="s">
        <v>441</v>
      </c>
    </row>
    <row r="66" spans="8:8" x14ac:dyDescent="0.25">
      <c r="H66" t="s">
        <v>442</v>
      </c>
    </row>
    <row r="67" spans="8:8" x14ac:dyDescent="0.25">
      <c r="H67" t="s">
        <v>2985</v>
      </c>
    </row>
    <row r="68" spans="8:8" x14ac:dyDescent="0.25">
      <c r="H68" t="s">
        <v>443</v>
      </c>
    </row>
    <row r="70" spans="8:8" x14ac:dyDescent="0.25">
      <c r="H70" t="s">
        <v>444</v>
      </c>
    </row>
    <row r="71" spans="8:8" x14ac:dyDescent="0.25">
      <c r="H71" t="s">
        <v>445</v>
      </c>
    </row>
    <row r="72" spans="8:8" x14ac:dyDescent="0.25">
      <c r="H72" t="s">
        <v>438</v>
      </c>
    </row>
    <row r="73" spans="8:8" x14ac:dyDescent="0.25">
      <c r="H73" t="s">
        <v>446</v>
      </c>
    </row>
    <row r="74" spans="8:8" x14ac:dyDescent="0.25">
      <c r="H74" t="s">
        <v>447</v>
      </c>
    </row>
    <row r="75" spans="8:8" x14ac:dyDescent="0.25">
      <c r="H75" t="s">
        <v>448</v>
      </c>
    </row>
    <row r="76" spans="8:8" x14ac:dyDescent="0.25">
      <c r="H76" t="s">
        <v>2986</v>
      </c>
    </row>
    <row r="77" spans="8:8" x14ac:dyDescent="0.25">
      <c r="H77" t="s">
        <v>449</v>
      </c>
    </row>
    <row r="79" spans="8:8" x14ac:dyDescent="0.25">
      <c r="H79" t="s">
        <v>450</v>
      </c>
    </row>
    <row r="80" spans="8:8" x14ac:dyDescent="0.25">
      <c r="H80" t="s">
        <v>451</v>
      </c>
    </row>
    <row r="81" spans="8:8" x14ac:dyDescent="0.25">
      <c r="H81" t="s">
        <v>2987</v>
      </c>
    </row>
    <row r="82" spans="8:8" x14ac:dyDescent="0.25">
      <c r="H82" t="s">
        <v>452</v>
      </c>
    </row>
    <row r="84" spans="8:8" x14ac:dyDescent="0.25">
      <c r="H84" t="s">
        <v>453</v>
      </c>
    </row>
    <row r="85" spans="8:8" x14ac:dyDescent="0.25">
      <c r="H85" t="s">
        <v>454</v>
      </c>
    </row>
    <row r="86" spans="8:8" x14ac:dyDescent="0.25">
      <c r="H86" t="s">
        <v>2988</v>
      </c>
    </row>
    <row r="87" spans="8:8" x14ac:dyDescent="0.25">
      <c r="H87" t="s">
        <v>455</v>
      </c>
    </row>
    <row r="89" spans="8:8" x14ac:dyDescent="0.25">
      <c r="H89" t="s">
        <v>456</v>
      </c>
    </row>
    <row r="90" spans="8:8" x14ac:dyDescent="0.25">
      <c r="H90" t="s">
        <v>457</v>
      </c>
    </row>
    <row r="91" spans="8:8" x14ac:dyDescent="0.25">
      <c r="H91" t="s">
        <v>458</v>
      </c>
    </row>
    <row r="92" spans="8:8" x14ac:dyDescent="0.25">
      <c r="H92" t="s">
        <v>459</v>
      </c>
    </row>
    <row r="93" spans="8:8" x14ac:dyDescent="0.25">
      <c r="H93" t="s">
        <v>460</v>
      </c>
    </row>
    <row r="94" spans="8:8" x14ac:dyDescent="0.25">
      <c r="H94" t="s">
        <v>461</v>
      </c>
    </row>
    <row r="95" spans="8:8" x14ac:dyDescent="0.25">
      <c r="H95" t="s">
        <v>462</v>
      </c>
    </row>
    <row r="97" spans="8:8" x14ac:dyDescent="0.25">
      <c r="H97" t="s">
        <v>463</v>
      </c>
    </row>
    <row r="98" spans="8:8" x14ac:dyDescent="0.25">
      <c r="H98" t="s">
        <v>464</v>
      </c>
    </row>
    <row r="99" spans="8:8" x14ac:dyDescent="0.25">
      <c r="H99" t="s">
        <v>465</v>
      </c>
    </row>
    <row r="100" spans="8:8" x14ac:dyDescent="0.25">
      <c r="H100" t="s">
        <v>466</v>
      </c>
    </row>
    <row r="101" spans="8:8" x14ac:dyDescent="0.25">
      <c r="H101" t="s">
        <v>467</v>
      </c>
    </row>
    <row r="102" spans="8:8" x14ac:dyDescent="0.25">
      <c r="H102" t="s">
        <v>468</v>
      </c>
    </row>
    <row r="103" spans="8:8" x14ac:dyDescent="0.25">
      <c r="H103" t="s">
        <v>469</v>
      </c>
    </row>
    <row r="105" spans="8:8" x14ac:dyDescent="0.25">
      <c r="H105" t="s">
        <v>470</v>
      </c>
    </row>
    <row r="106" spans="8:8" x14ac:dyDescent="0.25">
      <c r="H106" t="s">
        <v>471</v>
      </c>
    </row>
    <row r="107" spans="8:8" x14ac:dyDescent="0.25">
      <c r="H107" t="s">
        <v>472</v>
      </c>
    </row>
    <row r="108" spans="8:8" x14ac:dyDescent="0.25">
      <c r="H108" t="s">
        <v>473</v>
      </c>
    </row>
    <row r="109" spans="8:8" x14ac:dyDescent="0.25">
      <c r="H109" t="s">
        <v>474</v>
      </c>
    </row>
    <row r="111" spans="8:8" x14ac:dyDescent="0.25">
      <c r="H111" t="s">
        <v>475</v>
      </c>
    </row>
    <row r="112" spans="8:8" x14ac:dyDescent="0.25">
      <c r="H112" t="s">
        <v>476</v>
      </c>
    </row>
    <row r="113" spans="8:8" x14ac:dyDescent="0.25">
      <c r="H113" t="s">
        <v>143</v>
      </c>
    </row>
    <row r="114" spans="8:8" x14ac:dyDescent="0.25">
      <c r="H114" t="s">
        <v>477</v>
      </c>
    </row>
    <row r="116" spans="8:8" x14ac:dyDescent="0.25">
      <c r="H116" t="s">
        <v>478</v>
      </c>
    </row>
    <row r="117" spans="8:8" x14ac:dyDescent="0.25">
      <c r="H117" t="s">
        <v>479</v>
      </c>
    </row>
    <row r="118" spans="8:8" x14ac:dyDescent="0.25">
      <c r="H118" t="s">
        <v>2989</v>
      </c>
    </row>
    <row r="119" spans="8:8" x14ac:dyDescent="0.25">
      <c r="H119" t="s">
        <v>480</v>
      </c>
    </row>
    <row r="121" spans="8:8" x14ac:dyDescent="0.25">
      <c r="H121" t="s">
        <v>481</v>
      </c>
    </row>
    <row r="122" spans="8:8" x14ac:dyDescent="0.25">
      <c r="H122" t="s">
        <v>482</v>
      </c>
    </row>
    <row r="123" spans="8:8" x14ac:dyDescent="0.25">
      <c r="H123" t="s">
        <v>2990</v>
      </c>
    </row>
    <row r="124" spans="8:8" x14ac:dyDescent="0.25">
      <c r="H124" t="s">
        <v>484</v>
      </c>
    </row>
    <row r="126" spans="8:8" x14ac:dyDescent="0.25">
      <c r="H126" t="s">
        <v>485</v>
      </c>
    </row>
    <row r="127" spans="8:8" x14ac:dyDescent="0.25">
      <c r="H127" t="s">
        <v>486</v>
      </c>
    </row>
    <row r="128" spans="8:8" x14ac:dyDescent="0.25">
      <c r="H128" t="s">
        <v>2991</v>
      </c>
    </row>
    <row r="129" spans="8:8" x14ac:dyDescent="0.25">
      <c r="H129" t="s">
        <v>487</v>
      </c>
    </row>
    <row r="131" spans="8:8" x14ac:dyDescent="0.25">
      <c r="H131" t="s">
        <v>488</v>
      </c>
    </row>
    <row r="132" spans="8:8" x14ac:dyDescent="0.25">
      <c r="H132" t="s">
        <v>489</v>
      </c>
    </row>
    <row r="133" spans="8:8" x14ac:dyDescent="0.25">
      <c r="H133" t="s">
        <v>2992</v>
      </c>
    </row>
    <row r="134" spans="8:8" x14ac:dyDescent="0.25">
      <c r="H134" t="s">
        <v>490</v>
      </c>
    </row>
    <row r="136" spans="8:8" x14ac:dyDescent="0.25">
      <c r="H136" t="s">
        <v>491</v>
      </c>
    </row>
    <row r="137" spans="8:8" x14ac:dyDescent="0.25">
      <c r="H137" t="s">
        <v>492</v>
      </c>
    </row>
    <row r="138" spans="8:8" x14ac:dyDescent="0.25">
      <c r="H138" t="s">
        <v>2990</v>
      </c>
    </row>
    <row r="139" spans="8:8" x14ac:dyDescent="0.25">
      <c r="H139" t="s">
        <v>493</v>
      </c>
    </row>
    <row r="141" spans="8:8" x14ac:dyDescent="0.25">
      <c r="H141" t="s">
        <v>494</v>
      </c>
    </row>
    <row r="142" spans="8:8" x14ac:dyDescent="0.25">
      <c r="H142" t="s">
        <v>495</v>
      </c>
    </row>
    <row r="143" spans="8:8" x14ac:dyDescent="0.25">
      <c r="H143" t="s">
        <v>2991</v>
      </c>
    </row>
    <row r="144" spans="8:8" x14ac:dyDescent="0.25">
      <c r="H144" t="s">
        <v>496</v>
      </c>
    </row>
    <row r="146" spans="8:8" x14ac:dyDescent="0.25">
      <c r="H146" t="s">
        <v>497</v>
      </c>
    </row>
    <row r="147" spans="8:8" x14ac:dyDescent="0.25">
      <c r="H147" t="s">
        <v>498</v>
      </c>
    </row>
    <row r="148" spans="8:8" x14ac:dyDescent="0.25">
      <c r="H148" t="s">
        <v>2992</v>
      </c>
    </row>
    <row r="149" spans="8:8" x14ac:dyDescent="0.25">
      <c r="H149" t="s">
        <v>499</v>
      </c>
    </row>
    <row r="151" spans="8:8" x14ac:dyDescent="0.25">
      <c r="H151" t="s">
        <v>500</v>
      </c>
    </row>
    <row r="152" spans="8:8" x14ac:dyDescent="0.25">
      <c r="H152" t="s">
        <v>501</v>
      </c>
    </row>
    <row r="153" spans="8:8" x14ac:dyDescent="0.25">
      <c r="H153" t="s">
        <v>143</v>
      </c>
    </row>
    <row r="154" spans="8:8" x14ac:dyDescent="0.25">
      <c r="H154" t="s">
        <v>502</v>
      </c>
    </row>
    <row r="156" spans="8:8" x14ac:dyDescent="0.25">
      <c r="H156" t="s">
        <v>503</v>
      </c>
    </row>
    <row r="157" spans="8:8" x14ac:dyDescent="0.25">
      <c r="H157" t="s">
        <v>504</v>
      </c>
    </row>
    <row r="158" spans="8:8" x14ac:dyDescent="0.25">
      <c r="H158" t="s">
        <v>143</v>
      </c>
    </row>
    <row r="159" spans="8:8" x14ac:dyDescent="0.25">
      <c r="H159" t="s">
        <v>505</v>
      </c>
    </row>
    <row r="161" spans="8:8" x14ac:dyDescent="0.25">
      <c r="H161" t="s">
        <v>506</v>
      </c>
    </row>
    <row r="162" spans="8:8" x14ac:dyDescent="0.25">
      <c r="H162" t="s">
        <v>507</v>
      </c>
    </row>
    <row r="163" spans="8:8" x14ac:dyDescent="0.25">
      <c r="H163" t="s">
        <v>2993</v>
      </c>
    </row>
    <row r="164" spans="8:8" x14ac:dyDescent="0.25">
      <c r="H164" t="s">
        <v>508</v>
      </c>
    </row>
    <row r="166" spans="8:8" x14ac:dyDescent="0.25">
      <c r="H166" t="s">
        <v>509</v>
      </c>
    </row>
    <row r="167" spans="8:8" x14ac:dyDescent="0.25">
      <c r="H167" t="s">
        <v>510</v>
      </c>
    </row>
    <row r="168" spans="8:8" x14ac:dyDescent="0.25">
      <c r="H168" t="s">
        <v>511</v>
      </c>
    </row>
    <row r="169" spans="8:8" x14ac:dyDescent="0.25">
      <c r="H169" t="s">
        <v>483</v>
      </c>
    </row>
    <row r="170" spans="8:8" x14ac:dyDescent="0.25">
      <c r="H170" t="s">
        <v>512</v>
      </c>
    </row>
    <row r="171" spans="8:8" x14ac:dyDescent="0.25">
      <c r="H171" t="s">
        <v>513</v>
      </c>
    </row>
    <row r="172" spans="8:8" x14ac:dyDescent="0.25">
      <c r="H172" t="s">
        <v>428</v>
      </c>
    </row>
    <row r="173" spans="8:8" x14ac:dyDescent="0.25">
      <c r="H173" t="s">
        <v>514</v>
      </c>
    </row>
    <row r="174" spans="8:8" x14ac:dyDescent="0.25">
      <c r="H174" t="s">
        <v>515</v>
      </c>
    </row>
    <row r="176" spans="8:8" x14ac:dyDescent="0.25">
      <c r="H176" t="s">
        <v>516</v>
      </c>
    </row>
    <row r="177" spans="8:8" x14ac:dyDescent="0.25">
      <c r="H177" t="s">
        <v>517</v>
      </c>
    </row>
    <row r="178" spans="8:8" x14ac:dyDescent="0.25">
      <c r="H178" t="s">
        <v>518</v>
      </c>
    </row>
    <row r="179" spans="8:8" x14ac:dyDescent="0.25">
      <c r="H179" t="s">
        <v>519</v>
      </c>
    </row>
    <row r="180" spans="8:8" x14ac:dyDescent="0.25">
      <c r="H180" t="s">
        <v>520</v>
      </c>
    </row>
    <row r="181" spans="8:8" x14ac:dyDescent="0.25">
      <c r="H181" t="s">
        <v>521</v>
      </c>
    </row>
    <row r="182" spans="8:8" x14ac:dyDescent="0.25">
      <c r="H182" t="s">
        <v>522</v>
      </c>
    </row>
    <row r="184" spans="8:8" x14ac:dyDescent="0.25">
      <c r="H184" t="s">
        <v>523</v>
      </c>
    </row>
    <row r="185" spans="8:8" x14ac:dyDescent="0.25">
      <c r="H185" t="s">
        <v>524</v>
      </c>
    </row>
    <row r="186" spans="8:8" x14ac:dyDescent="0.25">
      <c r="H186" t="s">
        <v>525</v>
      </c>
    </row>
    <row r="187" spans="8:8" x14ac:dyDescent="0.25">
      <c r="H187" t="s">
        <v>526</v>
      </c>
    </row>
    <row r="188" spans="8:8" x14ac:dyDescent="0.25">
      <c r="H188" t="s">
        <v>519</v>
      </c>
    </row>
    <row r="189" spans="8:8" x14ac:dyDescent="0.25">
      <c r="H189" t="s">
        <v>527</v>
      </c>
    </row>
    <row r="190" spans="8:8" x14ac:dyDescent="0.25">
      <c r="H190" t="s">
        <v>528</v>
      </c>
    </row>
    <row r="192" spans="8:8" x14ac:dyDescent="0.25">
      <c r="H192" t="s">
        <v>529</v>
      </c>
    </row>
    <row r="193" spans="8:8" x14ac:dyDescent="0.25">
      <c r="H193" t="s">
        <v>530</v>
      </c>
    </row>
    <row r="194" spans="8:8" x14ac:dyDescent="0.25">
      <c r="H194" t="s">
        <v>427</v>
      </c>
    </row>
    <row r="195" spans="8:8" x14ac:dyDescent="0.25">
      <c r="H195" t="s">
        <v>531</v>
      </c>
    </row>
    <row r="196" spans="8:8" x14ac:dyDescent="0.25">
      <c r="H196" t="s">
        <v>532</v>
      </c>
    </row>
    <row r="197" spans="8:8" x14ac:dyDescent="0.25">
      <c r="H197" t="s">
        <v>533</v>
      </c>
    </row>
    <row r="198" spans="8:8" x14ac:dyDescent="0.25">
      <c r="H198" t="s">
        <v>534</v>
      </c>
    </row>
    <row r="200" spans="8:8" x14ac:dyDescent="0.25">
      <c r="H200" t="s">
        <v>535</v>
      </c>
    </row>
    <row r="201" spans="8:8" x14ac:dyDescent="0.25">
      <c r="H201" t="s">
        <v>536</v>
      </c>
    </row>
    <row r="202" spans="8:8" x14ac:dyDescent="0.25">
      <c r="H202" t="s">
        <v>2994</v>
      </c>
    </row>
    <row r="203" spans="8:8" x14ac:dyDescent="0.25">
      <c r="H203" t="s">
        <v>537</v>
      </c>
    </row>
    <row r="205" spans="8:8" x14ac:dyDescent="0.25">
      <c r="H205" t="s">
        <v>538</v>
      </c>
    </row>
    <row r="206" spans="8:8" x14ac:dyDescent="0.25">
      <c r="H206" t="s">
        <v>539</v>
      </c>
    </row>
    <row r="207" spans="8:8" x14ac:dyDescent="0.25">
      <c r="H207" t="s">
        <v>2995</v>
      </c>
    </row>
    <row r="208" spans="8:8" x14ac:dyDescent="0.25">
      <c r="H208" t="s">
        <v>540</v>
      </c>
    </row>
    <row r="210" spans="8:8" x14ac:dyDescent="0.25">
      <c r="H210" t="s">
        <v>541</v>
      </c>
    </row>
    <row r="211" spans="8:8" x14ac:dyDescent="0.25">
      <c r="H211" t="s">
        <v>542</v>
      </c>
    </row>
    <row r="212" spans="8:8" x14ac:dyDescent="0.25">
      <c r="H212" t="s">
        <v>2996</v>
      </c>
    </row>
    <row r="213" spans="8:8" x14ac:dyDescent="0.25">
      <c r="H213" t="s">
        <v>543</v>
      </c>
    </row>
    <row r="215" spans="8:8" x14ac:dyDescent="0.25">
      <c r="H215" t="s">
        <v>544</v>
      </c>
    </row>
    <row r="216" spans="8:8" x14ac:dyDescent="0.25">
      <c r="H216" t="s">
        <v>545</v>
      </c>
    </row>
    <row r="217" spans="8:8" x14ac:dyDescent="0.25">
      <c r="H217" t="s">
        <v>2997</v>
      </c>
    </row>
    <row r="218" spans="8:8" x14ac:dyDescent="0.25">
      <c r="H218" t="s">
        <v>546</v>
      </c>
    </row>
    <row r="220" spans="8:8" x14ac:dyDescent="0.25">
      <c r="H220" t="s">
        <v>547</v>
      </c>
    </row>
    <row r="221" spans="8:8" x14ac:dyDescent="0.25">
      <c r="H221" t="s">
        <v>548</v>
      </c>
    </row>
    <row r="222" spans="8:8" x14ac:dyDescent="0.25">
      <c r="H222" t="s">
        <v>2998</v>
      </c>
    </row>
    <row r="223" spans="8:8" x14ac:dyDescent="0.25">
      <c r="H223" t="s">
        <v>549</v>
      </c>
    </row>
    <row r="225" spans="8:8" x14ac:dyDescent="0.25">
      <c r="H225" t="s">
        <v>550</v>
      </c>
    </row>
    <row r="226" spans="8:8" x14ac:dyDescent="0.25">
      <c r="H226" t="s">
        <v>551</v>
      </c>
    </row>
    <row r="227" spans="8:8" x14ac:dyDescent="0.25">
      <c r="H227" t="s">
        <v>2999</v>
      </c>
    </row>
    <row r="228" spans="8:8" x14ac:dyDescent="0.25">
      <c r="H228" t="s">
        <v>552</v>
      </c>
    </row>
    <row r="230" spans="8:8" x14ac:dyDescent="0.25">
      <c r="H230" t="s">
        <v>553</v>
      </c>
    </row>
    <row r="231" spans="8:8" x14ac:dyDescent="0.25">
      <c r="H231" t="s">
        <v>554</v>
      </c>
    </row>
    <row r="232" spans="8:8" x14ac:dyDescent="0.25">
      <c r="H232" t="s">
        <v>143</v>
      </c>
    </row>
    <row r="233" spans="8:8" x14ac:dyDescent="0.25">
      <c r="H233" t="s">
        <v>555</v>
      </c>
    </row>
    <row r="235" spans="8:8" x14ac:dyDescent="0.25">
      <c r="H235" t="s">
        <v>556</v>
      </c>
    </row>
    <row r="236" spans="8:8" x14ac:dyDescent="0.25">
      <c r="H236" t="s">
        <v>557</v>
      </c>
    </row>
    <row r="237" spans="8:8" x14ac:dyDescent="0.25">
      <c r="H237" t="s">
        <v>143</v>
      </c>
    </row>
    <row r="238" spans="8:8" x14ac:dyDescent="0.25">
      <c r="H238" t="s">
        <v>558</v>
      </c>
    </row>
    <row r="240" spans="8:8" x14ac:dyDescent="0.25">
      <c r="H240" t="s">
        <v>559</v>
      </c>
    </row>
    <row r="241" spans="8:8" x14ac:dyDescent="0.25">
      <c r="H241" t="s">
        <v>560</v>
      </c>
    </row>
    <row r="242" spans="8:8" x14ac:dyDescent="0.25">
      <c r="H242" t="s">
        <v>427</v>
      </c>
    </row>
    <row r="243" spans="8:8" x14ac:dyDescent="0.25">
      <c r="H243" t="s">
        <v>561</v>
      </c>
    </row>
    <row r="244" spans="8:8" x14ac:dyDescent="0.25">
      <c r="H244" t="s">
        <v>562</v>
      </c>
    </row>
    <row r="245" spans="8:8" x14ac:dyDescent="0.25">
      <c r="H245" t="s">
        <v>428</v>
      </c>
    </row>
    <row r="246" spans="8:8" x14ac:dyDescent="0.25">
      <c r="H246" t="s">
        <v>563</v>
      </c>
    </row>
    <row r="247" spans="8:8" x14ac:dyDescent="0.25">
      <c r="H247" t="s">
        <v>564</v>
      </c>
    </row>
    <row r="249" spans="8:8" x14ac:dyDescent="0.25">
      <c r="H249" t="s">
        <v>565</v>
      </c>
    </row>
    <row r="250" spans="8:8" x14ac:dyDescent="0.25">
      <c r="H250" t="s">
        <v>566</v>
      </c>
    </row>
    <row r="251" spans="8:8" x14ac:dyDescent="0.25">
      <c r="H251" t="s">
        <v>3000</v>
      </c>
    </row>
    <row r="252" spans="8:8" x14ac:dyDescent="0.25">
      <c r="H252" t="s">
        <v>567</v>
      </c>
    </row>
    <row r="254" spans="8:8" x14ac:dyDescent="0.25">
      <c r="H254" t="s">
        <v>568</v>
      </c>
    </row>
    <row r="255" spans="8:8" x14ac:dyDescent="0.25">
      <c r="H255" t="s">
        <v>569</v>
      </c>
    </row>
    <row r="256" spans="8:8" x14ac:dyDescent="0.25">
      <c r="H256" t="s">
        <v>3001</v>
      </c>
    </row>
    <row r="257" spans="8:8" x14ac:dyDescent="0.25">
      <c r="H257" t="s">
        <v>570</v>
      </c>
    </row>
    <row r="259" spans="8:8" x14ac:dyDescent="0.25">
      <c r="H259" t="s">
        <v>571</v>
      </c>
    </row>
    <row r="260" spans="8:8" x14ac:dyDescent="0.25">
      <c r="H260" t="s">
        <v>572</v>
      </c>
    </row>
    <row r="261" spans="8:8" x14ac:dyDescent="0.25">
      <c r="H261" t="s">
        <v>3002</v>
      </c>
    </row>
    <row r="262" spans="8:8" x14ac:dyDescent="0.25">
      <c r="H262" t="s">
        <v>573</v>
      </c>
    </row>
    <row r="264" spans="8:8" x14ac:dyDescent="0.25">
      <c r="H264" t="s">
        <v>574</v>
      </c>
    </row>
    <row r="265" spans="8:8" x14ac:dyDescent="0.25">
      <c r="H265" t="s">
        <v>575</v>
      </c>
    </row>
    <row r="266" spans="8:8" x14ac:dyDescent="0.25">
      <c r="H266" t="s">
        <v>3003</v>
      </c>
    </row>
    <row r="267" spans="8:8" x14ac:dyDescent="0.25">
      <c r="H267" t="s">
        <v>576</v>
      </c>
    </row>
    <row r="269" spans="8:8" x14ac:dyDescent="0.25">
      <c r="H269" t="s">
        <v>577</v>
      </c>
    </row>
    <row r="270" spans="8:8" x14ac:dyDescent="0.25">
      <c r="H270" t="s">
        <v>578</v>
      </c>
    </row>
    <row r="271" spans="8:8" x14ac:dyDescent="0.25">
      <c r="H271" t="s">
        <v>3004</v>
      </c>
    </row>
    <row r="272" spans="8:8" x14ac:dyDescent="0.25">
      <c r="H272" t="s">
        <v>579</v>
      </c>
    </row>
    <row r="274" spans="8:8" x14ac:dyDescent="0.25">
      <c r="H274" t="s">
        <v>580</v>
      </c>
    </row>
    <row r="275" spans="8:8" x14ac:dyDescent="0.25">
      <c r="H275" t="s">
        <v>581</v>
      </c>
    </row>
    <row r="276" spans="8:8" x14ac:dyDescent="0.25">
      <c r="H276" t="s">
        <v>3005</v>
      </c>
    </row>
    <row r="277" spans="8:8" x14ac:dyDescent="0.25">
      <c r="H277" t="s">
        <v>582</v>
      </c>
    </row>
    <row r="279" spans="8:8" x14ac:dyDescent="0.25">
      <c r="H279" t="s">
        <v>583</v>
      </c>
    </row>
    <row r="280" spans="8:8" x14ac:dyDescent="0.25">
      <c r="H280" t="s">
        <v>584</v>
      </c>
    </row>
    <row r="281" spans="8:8" x14ac:dyDescent="0.25">
      <c r="H281" t="s">
        <v>3006</v>
      </c>
    </row>
    <row r="282" spans="8:8" x14ac:dyDescent="0.25">
      <c r="H282" t="s">
        <v>585</v>
      </c>
    </row>
    <row r="284" spans="8:8" x14ac:dyDescent="0.25">
      <c r="H284" t="s">
        <v>586</v>
      </c>
    </row>
    <row r="285" spans="8:8" x14ac:dyDescent="0.25">
      <c r="H285" t="s">
        <v>587</v>
      </c>
    </row>
    <row r="286" spans="8:8" x14ac:dyDescent="0.25">
      <c r="H286" t="s">
        <v>3007</v>
      </c>
    </row>
    <row r="287" spans="8:8" x14ac:dyDescent="0.25">
      <c r="H287" t="s">
        <v>588</v>
      </c>
    </row>
    <row r="289" spans="8:8" x14ac:dyDescent="0.25">
      <c r="H289" t="s">
        <v>589</v>
      </c>
    </row>
    <row r="290" spans="8:8" x14ac:dyDescent="0.25">
      <c r="H290" t="s">
        <v>590</v>
      </c>
    </row>
    <row r="291" spans="8:8" x14ac:dyDescent="0.25">
      <c r="H291" t="s">
        <v>3008</v>
      </c>
    </row>
    <row r="292" spans="8:8" x14ac:dyDescent="0.25">
      <c r="H292" t="s">
        <v>591</v>
      </c>
    </row>
    <row r="294" spans="8:8" x14ac:dyDescent="0.25">
      <c r="H294" t="s">
        <v>592</v>
      </c>
    </row>
    <row r="295" spans="8:8" x14ac:dyDescent="0.25">
      <c r="H295" t="s">
        <v>593</v>
      </c>
    </row>
    <row r="296" spans="8:8" x14ac:dyDescent="0.25">
      <c r="H296" t="s">
        <v>3009</v>
      </c>
    </row>
    <row r="297" spans="8:8" x14ac:dyDescent="0.25">
      <c r="H297" t="s">
        <v>594</v>
      </c>
    </row>
    <row r="299" spans="8:8" x14ac:dyDescent="0.25">
      <c r="H299" t="s">
        <v>595</v>
      </c>
    </row>
    <row r="300" spans="8:8" x14ac:dyDescent="0.25">
      <c r="H300" t="s">
        <v>596</v>
      </c>
    </row>
    <row r="301" spans="8:8" x14ac:dyDescent="0.25">
      <c r="H301" t="s">
        <v>3010</v>
      </c>
    </row>
    <row r="302" spans="8:8" x14ac:dyDescent="0.25">
      <c r="H302" t="s">
        <v>597</v>
      </c>
    </row>
    <row r="304" spans="8:8" x14ac:dyDescent="0.25">
      <c r="H304" t="s">
        <v>598</v>
      </c>
    </row>
    <row r="305" spans="8:8" x14ac:dyDescent="0.25">
      <c r="H305" t="s">
        <v>599</v>
      </c>
    </row>
    <row r="306" spans="8:8" x14ac:dyDescent="0.25">
      <c r="H306" t="s">
        <v>3011</v>
      </c>
    </row>
    <row r="307" spans="8:8" x14ac:dyDescent="0.25">
      <c r="H307" t="s">
        <v>600</v>
      </c>
    </row>
    <row r="309" spans="8:8" x14ac:dyDescent="0.25">
      <c r="H309" t="s">
        <v>601</v>
      </c>
    </row>
    <row r="310" spans="8:8" x14ac:dyDescent="0.25">
      <c r="H310" t="s">
        <v>602</v>
      </c>
    </row>
    <row r="311" spans="8:8" x14ac:dyDescent="0.25">
      <c r="H311" t="s">
        <v>3012</v>
      </c>
    </row>
    <row r="312" spans="8:8" x14ac:dyDescent="0.25">
      <c r="H312" t="s">
        <v>603</v>
      </c>
    </row>
    <row r="314" spans="8:8" x14ac:dyDescent="0.25">
      <c r="H314" t="s">
        <v>604</v>
      </c>
    </row>
    <row r="315" spans="8:8" x14ac:dyDescent="0.25">
      <c r="H315" t="s">
        <v>605</v>
      </c>
    </row>
    <row r="316" spans="8:8" x14ac:dyDescent="0.25">
      <c r="H316" t="s">
        <v>3013</v>
      </c>
    </row>
    <row r="317" spans="8:8" x14ac:dyDescent="0.25">
      <c r="H317" t="s">
        <v>606</v>
      </c>
    </row>
    <row r="319" spans="8:8" x14ac:dyDescent="0.25">
      <c r="H319" t="s">
        <v>607</v>
      </c>
    </row>
    <row r="320" spans="8:8" x14ac:dyDescent="0.25">
      <c r="H320" t="s">
        <v>608</v>
      </c>
    </row>
    <row r="321" spans="8:8" x14ac:dyDescent="0.25">
      <c r="H321" t="s">
        <v>3014</v>
      </c>
    </row>
    <row r="322" spans="8:8" x14ac:dyDescent="0.25">
      <c r="H322" t="s">
        <v>609</v>
      </c>
    </row>
    <row r="324" spans="8:8" x14ac:dyDescent="0.25">
      <c r="H324" t="s">
        <v>610</v>
      </c>
    </row>
    <row r="325" spans="8:8" x14ac:dyDescent="0.25">
      <c r="H325" t="s">
        <v>611</v>
      </c>
    </row>
    <row r="326" spans="8:8" x14ac:dyDescent="0.25">
      <c r="H326" t="s">
        <v>3015</v>
      </c>
    </row>
    <row r="327" spans="8:8" x14ac:dyDescent="0.25">
      <c r="H327" t="s">
        <v>612</v>
      </c>
    </row>
    <row r="329" spans="8:8" x14ac:dyDescent="0.25">
      <c r="H329" t="s">
        <v>613</v>
      </c>
    </row>
    <row r="330" spans="8:8" x14ac:dyDescent="0.25">
      <c r="H330" t="s">
        <v>614</v>
      </c>
    </row>
    <row r="331" spans="8:8" x14ac:dyDescent="0.25">
      <c r="H331" t="s">
        <v>3016</v>
      </c>
    </row>
    <row r="332" spans="8:8" x14ac:dyDescent="0.25">
      <c r="H332" t="s">
        <v>615</v>
      </c>
    </row>
    <row r="334" spans="8:8" x14ac:dyDescent="0.25">
      <c r="H334" t="s">
        <v>616</v>
      </c>
    </row>
    <row r="335" spans="8:8" x14ac:dyDescent="0.25">
      <c r="H335" t="s">
        <v>617</v>
      </c>
    </row>
    <row r="336" spans="8:8" x14ac:dyDescent="0.25">
      <c r="H336" t="s">
        <v>3017</v>
      </c>
    </row>
    <row r="337" spans="8:8" x14ac:dyDescent="0.25">
      <c r="H337" t="s">
        <v>618</v>
      </c>
    </row>
    <row r="339" spans="8:8" x14ac:dyDescent="0.25">
      <c r="H339" t="s">
        <v>619</v>
      </c>
    </row>
    <row r="340" spans="8:8" x14ac:dyDescent="0.25">
      <c r="H340" t="s">
        <v>620</v>
      </c>
    </row>
    <row r="341" spans="8:8" x14ac:dyDescent="0.25">
      <c r="H341" t="s">
        <v>3018</v>
      </c>
    </row>
    <row r="342" spans="8:8" x14ac:dyDescent="0.25">
      <c r="H342" t="s">
        <v>621</v>
      </c>
    </row>
    <row r="344" spans="8:8" x14ac:dyDescent="0.25">
      <c r="H344" t="s">
        <v>622</v>
      </c>
    </row>
    <row r="345" spans="8:8" x14ac:dyDescent="0.25">
      <c r="H345" t="s">
        <v>623</v>
      </c>
    </row>
    <row r="346" spans="8:8" x14ac:dyDescent="0.25">
      <c r="H346" t="s">
        <v>3019</v>
      </c>
    </row>
    <row r="347" spans="8:8" x14ac:dyDescent="0.25">
      <c r="H347" t="s">
        <v>624</v>
      </c>
    </row>
    <row r="349" spans="8:8" x14ac:dyDescent="0.25">
      <c r="H349" t="s">
        <v>625</v>
      </c>
    </row>
    <row r="350" spans="8:8" x14ac:dyDescent="0.25">
      <c r="H350" t="s">
        <v>626</v>
      </c>
    </row>
    <row r="351" spans="8:8" x14ac:dyDescent="0.25">
      <c r="H351" t="s">
        <v>3020</v>
      </c>
    </row>
    <row r="352" spans="8:8" x14ac:dyDescent="0.25">
      <c r="H352" t="s">
        <v>627</v>
      </c>
    </row>
    <row r="354" spans="8:8" x14ac:dyDescent="0.25">
      <c r="H354" t="s">
        <v>634</v>
      </c>
    </row>
    <row r="355" spans="8:8" x14ac:dyDescent="0.25">
      <c r="H355" t="s">
        <v>635</v>
      </c>
    </row>
    <row r="356" spans="8:8" x14ac:dyDescent="0.25">
      <c r="H356" t="s">
        <v>636</v>
      </c>
    </row>
    <row r="357" spans="8:8" x14ac:dyDescent="0.25">
      <c r="H357" t="s">
        <v>2833</v>
      </c>
    </row>
    <row r="358" spans="8:8" x14ac:dyDescent="0.25">
      <c r="H358" t="s">
        <v>2834</v>
      </c>
    </row>
    <row r="359" spans="8:8" x14ac:dyDescent="0.25">
      <c r="H359" t="s">
        <v>637</v>
      </c>
    </row>
    <row r="361" spans="8:8" x14ac:dyDescent="0.25">
      <c r="H361" t="s">
        <v>638</v>
      </c>
    </row>
    <row r="362" spans="8:8" x14ac:dyDescent="0.25">
      <c r="H362" t="s">
        <v>639</v>
      </c>
    </row>
    <row r="363" spans="8:8" x14ac:dyDescent="0.25">
      <c r="H363" t="s">
        <v>3021</v>
      </c>
    </row>
    <row r="364" spans="8:8" x14ac:dyDescent="0.25">
      <c r="H364" t="s">
        <v>640</v>
      </c>
    </row>
    <row r="366" spans="8:8" x14ac:dyDescent="0.25">
      <c r="H366" t="s">
        <v>641</v>
      </c>
    </row>
    <row r="367" spans="8:8" x14ac:dyDescent="0.25">
      <c r="H367" t="s">
        <v>642</v>
      </c>
    </row>
    <row r="368" spans="8:8" x14ac:dyDescent="0.25">
      <c r="H368" t="s">
        <v>3022</v>
      </c>
    </row>
    <row r="369" spans="8:8" x14ac:dyDescent="0.25">
      <c r="H369" t="s">
        <v>643</v>
      </c>
    </row>
    <row r="371" spans="8:8" x14ac:dyDescent="0.25">
      <c r="H371" t="s">
        <v>644</v>
      </c>
    </row>
    <row r="372" spans="8:8" x14ac:dyDescent="0.25">
      <c r="H372" t="s">
        <v>645</v>
      </c>
    </row>
    <row r="373" spans="8:8" x14ac:dyDescent="0.25">
      <c r="H373" t="s">
        <v>646</v>
      </c>
    </row>
    <row r="374" spans="8:8" x14ac:dyDescent="0.25">
      <c r="H374" t="s">
        <v>647</v>
      </c>
    </row>
    <row r="376" spans="8:8" x14ac:dyDescent="0.25">
      <c r="H376" t="s">
        <v>648</v>
      </c>
    </row>
    <row r="377" spans="8:8" x14ac:dyDescent="0.25">
      <c r="H377" t="s">
        <v>649</v>
      </c>
    </row>
    <row r="378" spans="8:8" x14ac:dyDescent="0.25">
      <c r="H378" t="s">
        <v>650</v>
      </c>
    </row>
    <row r="379" spans="8:8" x14ac:dyDescent="0.25">
      <c r="H379" t="s">
        <v>651</v>
      </c>
    </row>
    <row r="381" spans="8:8" x14ac:dyDescent="0.25">
      <c r="H381" t="s">
        <v>652</v>
      </c>
    </row>
    <row r="382" spans="8:8" x14ac:dyDescent="0.25">
      <c r="H382" t="s">
        <v>653</v>
      </c>
    </row>
    <row r="383" spans="8:8" x14ac:dyDescent="0.25">
      <c r="H383" t="s">
        <v>3023</v>
      </c>
    </row>
    <row r="384" spans="8:8" x14ac:dyDescent="0.25">
      <c r="H384" t="s">
        <v>654</v>
      </c>
    </row>
    <row r="386" spans="8:8" x14ac:dyDescent="0.25">
      <c r="H386" t="s">
        <v>105</v>
      </c>
    </row>
    <row r="388" spans="8:8" x14ac:dyDescent="0.25">
      <c r="H388" t="s">
        <v>106</v>
      </c>
    </row>
    <row r="389" spans="8:8" x14ac:dyDescent="0.25">
      <c r="H389" t="s">
        <v>133</v>
      </c>
    </row>
    <row r="390" spans="8:8" x14ac:dyDescent="0.25">
      <c r="H390" t="s">
        <v>655</v>
      </c>
    </row>
    <row r="391" spans="8:8" x14ac:dyDescent="0.25">
      <c r="H391" t="s">
        <v>656</v>
      </c>
    </row>
    <row r="392" spans="8:8" x14ac:dyDescent="0.25">
      <c r="H392" t="s">
        <v>657</v>
      </c>
    </row>
    <row r="393" spans="8:8" x14ac:dyDescent="0.25">
      <c r="H393" t="s">
        <v>658</v>
      </c>
    </row>
    <row r="394" spans="8:8" x14ac:dyDescent="0.25">
      <c r="H394" t="s">
        <v>659</v>
      </c>
    </row>
    <row r="395" spans="8:8" x14ac:dyDescent="0.25">
      <c r="H395" t="s">
        <v>660</v>
      </c>
    </row>
    <row r="396" spans="8:8" x14ac:dyDescent="0.25">
      <c r="H396" t="s">
        <v>661</v>
      </c>
    </row>
    <row r="397" spans="8:8" x14ac:dyDescent="0.25">
      <c r="H397" t="s">
        <v>662</v>
      </c>
    </row>
    <row r="398" spans="8:8" x14ac:dyDescent="0.25">
      <c r="H398" t="s">
        <v>663</v>
      </c>
    </row>
    <row r="399" spans="8:8" x14ac:dyDescent="0.25">
      <c r="H399" t="s">
        <v>664</v>
      </c>
    </row>
    <row r="400" spans="8:8" x14ac:dyDescent="0.25">
      <c r="H400" t="s">
        <v>665</v>
      </c>
    </row>
    <row r="401" spans="8:8" x14ac:dyDescent="0.25">
      <c r="H401" t="s">
        <v>666</v>
      </c>
    </row>
    <row r="402" spans="8:8" x14ac:dyDescent="0.25">
      <c r="H402" t="s">
        <v>667</v>
      </c>
    </row>
    <row r="403" spans="8:8" x14ac:dyDescent="0.25">
      <c r="H403" t="s">
        <v>668</v>
      </c>
    </row>
    <row r="404" spans="8:8" x14ac:dyDescent="0.25">
      <c r="H404" t="s">
        <v>669</v>
      </c>
    </row>
    <row r="405" spans="8:8" x14ac:dyDescent="0.25">
      <c r="H405" t="s">
        <v>670</v>
      </c>
    </row>
    <row r="406" spans="8:8" x14ac:dyDescent="0.25">
      <c r="H406" t="s">
        <v>671</v>
      </c>
    </row>
    <row r="407" spans="8:8" x14ac:dyDescent="0.25">
      <c r="H407" t="s">
        <v>672</v>
      </c>
    </row>
    <row r="408" spans="8:8" x14ac:dyDescent="0.25">
      <c r="H408" t="s">
        <v>673</v>
      </c>
    </row>
    <row r="409" spans="8:8" x14ac:dyDescent="0.25">
      <c r="H409" t="s">
        <v>674</v>
      </c>
    </row>
    <row r="410" spans="8:8" x14ac:dyDescent="0.25">
      <c r="H410" t="s">
        <v>675</v>
      </c>
    </row>
    <row r="411" spans="8:8" x14ac:dyDescent="0.25">
      <c r="H411" t="s">
        <v>676</v>
      </c>
    </row>
    <row r="412" spans="8:8" x14ac:dyDescent="0.25">
      <c r="H412" t="s">
        <v>677</v>
      </c>
    </row>
    <row r="413" spans="8:8" x14ac:dyDescent="0.25">
      <c r="H413" t="s">
        <v>678</v>
      </c>
    </row>
    <row r="414" spans="8:8" x14ac:dyDescent="0.25">
      <c r="H414" t="s">
        <v>679</v>
      </c>
    </row>
    <row r="415" spans="8:8" x14ac:dyDescent="0.25">
      <c r="H415" t="s">
        <v>680</v>
      </c>
    </row>
    <row r="416" spans="8:8" x14ac:dyDescent="0.25">
      <c r="H416" t="s">
        <v>681</v>
      </c>
    </row>
    <row r="417" spans="8:8" x14ac:dyDescent="0.25">
      <c r="H417" t="s">
        <v>682</v>
      </c>
    </row>
    <row r="418" spans="8:8" x14ac:dyDescent="0.25">
      <c r="H418" t="s">
        <v>683</v>
      </c>
    </row>
    <row r="419" spans="8:8" x14ac:dyDescent="0.25">
      <c r="H419" t="s">
        <v>684</v>
      </c>
    </row>
    <row r="420" spans="8:8" x14ac:dyDescent="0.25">
      <c r="H420" t="s">
        <v>685</v>
      </c>
    </row>
    <row r="421" spans="8:8" x14ac:dyDescent="0.25">
      <c r="H421" t="s">
        <v>686</v>
      </c>
    </row>
    <row r="422" spans="8:8" x14ac:dyDescent="0.25">
      <c r="H422" t="s">
        <v>687</v>
      </c>
    </row>
    <row r="423" spans="8:8" x14ac:dyDescent="0.25">
      <c r="H423" t="s">
        <v>688</v>
      </c>
    </row>
    <row r="424" spans="8:8" x14ac:dyDescent="0.25">
      <c r="H424" t="s">
        <v>689</v>
      </c>
    </row>
    <row r="425" spans="8:8" x14ac:dyDescent="0.25">
      <c r="H425" t="s">
        <v>690</v>
      </c>
    </row>
    <row r="426" spans="8:8" x14ac:dyDescent="0.25">
      <c r="H426" t="s">
        <v>691</v>
      </c>
    </row>
    <row r="427" spans="8:8" x14ac:dyDescent="0.25">
      <c r="H427" t="s">
        <v>692</v>
      </c>
    </row>
    <row r="428" spans="8:8" x14ac:dyDescent="0.25">
      <c r="H428" t="s">
        <v>693</v>
      </c>
    </row>
    <row r="429" spans="8:8" x14ac:dyDescent="0.25">
      <c r="H429" t="s">
        <v>694</v>
      </c>
    </row>
    <row r="430" spans="8:8" x14ac:dyDescent="0.25">
      <c r="H430" t="s">
        <v>695</v>
      </c>
    </row>
    <row r="431" spans="8:8" x14ac:dyDescent="0.25">
      <c r="H431" t="s">
        <v>696</v>
      </c>
    </row>
    <row r="432" spans="8:8" x14ac:dyDescent="0.25">
      <c r="H432" t="s">
        <v>697</v>
      </c>
    </row>
    <row r="433" spans="8:8" x14ac:dyDescent="0.25">
      <c r="H433" t="s">
        <v>698</v>
      </c>
    </row>
    <row r="434" spans="8:8" x14ac:dyDescent="0.25">
      <c r="H434" t="s">
        <v>699</v>
      </c>
    </row>
    <row r="435" spans="8:8" x14ac:dyDescent="0.25">
      <c r="H435" t="s">
        <v>700</v>
      </c>
    </row>
    <row r="436" spans="8:8" x14ac:dyDescent="0.25">
      <c r="H436" t="s">
        <v>701</v>
      </c>
    </row>
    <row r="437" spans="8:8" x14ac:dyDescent="0.25">
      <c r="H437" t="s">
        <v>702</v>
      </c>
    </row>
    <row r="438" spans="8:8" x14ac:dyDescent="0.25">
      <c r="H438" t="s">
        <v>703</v>
      </c>
    </row>
    <row r="439" spans="8:8" x14ac:dyDescent="0.25">
      <c r="H439" t="s">
        <v>704</v>
      </c>
    </row>
    <row r="440" spans="8:8" x14ac:dyDescent="0.25">
      <c r="H440" t="s">
        <v>705</v>
      </c>
    </row>
    <row r="441" spans="8:8" x14ac:dyDescent="0.25">
      <c r="H441" t="s">
        <v>706</v>
      </c>
    </row>
    <row r="442" spans="8:8" x14ac:dyDescent="0.25">
      <c r="H442" t="s">
        <v>707</v>
      </c>
    </row>
    <row r="443" spans="8:8" x14ac:dyDescent="0.25">
      <c r="H443" t="s">
        <v>708</v>
      </c>
    </row>
    <row r="444" spans="8:8" x14ac:dyDescent="0.25">
      <c r="H444" t="s">
        <v>709</v>
      </c>
    </row>
    <row r="445" spans="8:8" x14ac:dyDescent="0.25">
      <c r="H445" t="s">
        <v>710</v>
      </c>
    </row>
    <row r="446" spans="8:8" x14ac:dyDescent="0.25">
      <c r="H446" t="s">
        <v>711</v>
      </c>
    </row>
    <row r="447" spans="8:8" x14ac:dyDescent="0.25">
      <c r="H447" t="s">
        <v>712</v>
      </c>
    </row>
    <row r="448" spans="8:8" x14ac:dyDescent="0.25">
      <c r="H448" t="s">
        <v>713</v>
      </c>
    </row>
    <row r="449" spans="8:8" x14ac:dyDescent="0.25">
      <c r="H449" t="s">
        <v>714</v>
      </c>
    </row>
    <row r="450" spans="8:8" x14ac:dyDescent="0.25">
      <c r="H450" t="s">
        <v>715</v>
      </c>
    </row>
    <row r="451" spans="8:8" x14ac:dyDescent="0.25">
      <c r="H451" t="s">
        <v>134</v>
      </c>
    </row>
    <row r="453" spans="8:8" x14ac:dyDescent="0.25">
      <c r="H453" t="s">
        <v>2735</v>
      </c>
    </row>
    <row r="454" spans="8:8" x14ac:dyDescent="0.25">
      <c r="H454" t="s">
        <v>2736</v>
      </c>
    </row>
    <row r="455" spans="8:8" x14ac:dyDescent="0.25">
      <c r="H455" t="s">
        <v>2737</v>
      </c>
    </row>
    <row r="456" spans="8:8" x14ac:dyDescent="0.25">
      <c r="H456" t="s">
        <v>2738</v>
      </c>
    </row>
    <row r="457" spans="8:8" x14ac:dyDescent="0.25">
      <c r="H457" t="s">
        <v>2739</v>
      </c>
    </row>
    <row r="458" spans="8:8" x14ac:dyDescent="0.25">
      <c r="H458" t="s">
        <v>2740</v>
      </c>
    </row>
    <row r="459" spans="8:8" x14ac:dyDescent="0.25">
      <c r="H459" t="s">
        <v>2741</v>
      </c>
    </row>
    <row r="460" spans="8:8" x14ac:dyDescent="0.25">
      <c r="H460" t="s">
        <v>2742</v>
      </c>
    </row>
    <row r="461" spans="8:8" x14ac:dyDescent="0.25">
      <c r="H461" t="s">
        <v>2743</v>
      </c>
    </row>
    <row r="462" spans="8:8" x14ac:dyDescent="0.25">
      <c r="H462" s="6" t="s">
        <v>84</v>
      </c>
    </row>
    <row r="516" spans="9:9" x14ac:dyDescent="0.25">
      <c r="I516" s="6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716</v>
      </c>
    </row>
    <row r="8" spans="2:8" x14ac:dyDescent="0.25">
      <c r="B8" s="1" t="s">
        <v>19</v>
      </c>
      <c r="H8" t="s">
        <v>2835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2836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  <c r="H12" t="s">
        <v>718</v>
      </c>
    </row>
    <row r="13" spans="2:8" x14ac:dyDescent="0.25">
      <c r="H13" t="s">
        <v>136</v>
      </c>
    </row>
    <row r="14" spans="2:8" x14ac:dyDescent="0.25">
      <c r="B14" s="1" t="s">
        <v>13</v>
      </c>
      <c r="H14" t="s">
        <v>2712</v>
      </c>
    </row>
    <row r="15" spans="2:8" x14ac:dyDescent="0.25">
      <c r="B15" t="s">
        <v>15</v>
      </c>
      <c r="H15" t="s">
        <v>30</v>
      </c>
    </row>
    <row r="17" spans="2:8" x14ac:dyDescent="0.25">
      <c r="B17" s="1" t="s">
        <v>20</v>
      </c>
      <c r="H17" t="s">
        <v>717</v>
      </c>
    </row>
    <row r="18" spans="2:8" x14ac:dyDescent="0.25">
      <c r="B18" t="s">
        <v>127</v>
      </c>
      <c r="H18" t="s">
        <v>720</v>
      </c>
    </row>
    <row r="19" spans="2:8" x14ac:dyDescent="0.25">
      <c r="H19" t="s">
        <v>135</v>
      </c>
    </row>
    <row r="20" spans="2:8" x14ac:dyDescent="0.25">
      <c r="B20" s="1" t="s">
        <v>21</v>
      </c>
      <c r="H20" t="s">
        <v>721</v>
      </c>
    </row>
    <row r="21" spans="2:8" x14ac:dyDescent="0.25">
      <c r="B21" t="s">
        <v>128</v>
      </c>
      <c r="H21" t="s">
        <v>30</v>
      </c>
    </row>
    <row r="23" spans="2:8" x14ac:dyDescent="0.25">
      <c r="H23" t="s">
        <v>719</v>
      </c>
    </row>
    <row r="24" spans="2:8" x14ac:dyDescent="0.25">
      <c r="H24" t="s">
        <v>723</v>
      </c>
    </row>
    <row r="25" spans="2:8" x14ac:dyDescent="0.25">
      <c r="H25" t="s">
        <v>135</v>
      </c>
    </row>
    <row r="26" spans="2:8" x14ac:dyDescent="0.25">
      <c r="H26" t="s">
        <v>724</v>
      </c>
    </row>
    <row r="27" spans="2:8" x14ac:dyDescent="0.25">
      <c r="H27" t="s">
        <v>30</v>
      </c>
    </row>
    <row r="29" spans="2:8" x14ac:dyDescent="0.25">
      <c r="H29" t="s">
        <v>722</v>
      </c>
    </row>
    <row r="30" spans="2:8" x14ac:dyDescent="0.25">
      <c r="H30" t="s">
        <v>2837</v>
      </c>
    </row>
    <row r="31" spans="2:8" x14ac:dyDescent="0.25">
      <c r="H31" t="s">
        <v>135</v>
      </c>
    </row>
    <row r="32" spans="2:8" x14ac:dyDescent="0.25">
      <c r="H32" t="s">
        <v>3024</v>
      </c>
    </row>
    <row r="33" spans="8:8" x14ac:dyDescent="0.25">
      <c r="H33" t="s">
        <v>30</v>
      </c>
    </row>
    <row r="34" spans="8:8" x14ac:dyDescent="0.25">
      <c r="H34" t="s">
        <v>136</v>
      </c>
    </row>
    <row r="35" spans="8:8" x14ac:dyDescent="0.25">
      <c r="H35" t="s">
        <v>3025</v>
      </c>
    </row>
    <row r="36" spans="8:8" x14ac:dyDescent="0.25">
      <c r="H36" t="s">
        <v>30</v>
      </c>
    </row>
    <row r="37" spans="8:8" x14ac:dyDescent="0.25">
      <c r="H37" t="s">
        <v>137</v>
      </c>
    </row>
    <row r="38" spans="8:8" x14ac:dyDescent="0.25">
      <c r="H38" t="s">
        <v>3026</v>
      </c>
    </row>
    <row r="39" spans="8:8" x14ac:dyDescent="0.25">
      <c r="H39" t="s">
        <v>30</v>
      </c>
    </row>
    <row r="41" spans="8:8" x14ac:dyDescent="0.25">
      <c r="H41" t="s">
        <v>725</v>
      </c>
    </row>
    <row r="42" spans="8:8" x14ac:dyDescent="0.25">
      <c r="H42" t="s">
        <v>2838</v>
      </c>
    </row>
    <row r="43" spans="8:8" x14ac:dyDescent="0.25">
      <c r="H43" t="s">
        <v>135</v>
      </c>
    </row>
    <row r="44" spans="8:8" x14ac:dyDescent="0.25">
      <c r="H44" t="s">
        <v>3027</v>
      </c>
    </row>
    <row r="45" spans="8:8" x14ac:dyDescent="0.25">
      <c r="H45" t="s">
        <v>30</v>
      </c>
    </row>
    <row r="46" spans="8:8" x14ac:dyDescent="0.25">
      <c r="H46" t="s">
        <v>136</v>
      </c>
    </row>
    <row r="47" spans="8:8" x14ac:dyDescent="0.25">
      <c r="H47" t="s">
        <v>3028</v>
      </c>
    </row>
    <row r="48" spans="8:8" x14ac:dyDescent="0.25">
      <c r="H48" t="s">
        <v>30</v>
      </c>
    </row>
    <row r="49" spans="8:8" x14ac:dyDescent="0.25">
      <c r="H49" t="s">
        <v>137</v>
      </c>
    </row>
    <row r="50" spans="8:8" x14ac:dyDescent="0.25">
      <c r="H50" t="s">
        <v>3029</v>
      </c>
    </row>
    <row r="51" spans="8:8" x14ac:dyDescent="0.25">
      <c r="H51" t="s">
        <v>30</v>
      </c>
    </row>
    <row r="52" spans="8:8" x14ac:dyDescent="0.25">
      <c r="H52" t="s">
        <v>138</v>
      </c>
    </row>
    <row r="53" spans="8:8" x14ac:dyDescent="0.25">
      <c r="H53" t="s">
        <v>3030</v>
      </c>
    </row>
    <row r="54" spans="8:8" x14ac:dyDescent="0.25">
      <c r="H54" t="s">
        <v>30</v>
      </c>
    </row>
    <row r="56" spans="8:8" x14ac:dyDescent="0.25">
      <c r="H56" t="s">
        <v>726</v>
      </c>
    </row>
    <row r="57" spans="8:8" x14ac:dyDescent="0.25">
      <c r="H57" t="s">
        <v>739</v>
      </c>
    </row>
    <row r="58" spans="8:8" x14ac:dyDescent="0.25">
      <c r="H58" t="s">
        <v>135</v>
      </c>
    </row>
    <row r="59" spans="8:8" x14ac:dyDescent="0.25">
      <c r="H59" t="s">
        <v>740</v>
      </c>
    </row>
    <row r="60" spans="8:8" x14ac:dyDescent="0.25">
      <c r="H60" t="s">
        <v>30</v>
      </c>
    </row>
    <row r="61" spans="8:8" x14ac:dyDescent="0.25">
      <c r="H61" t="s">
        <v>136</v>
      </c>
    </row>
    <row r="62" spans="8:8" x14ac:dyDescent="0.25">
      <c r="H62" t="s">
        <v>741</v>
      </c>
    </row>
    <row r="63" spans="8:8" x14ac:dyDescent="0.25">
      <c r="H63" t="s">
        <v>30</v>
      </c>
    </row>
    <row r="64" spans="8:8" x14ac:dyDescent="0.25">
      <c r="H64" t="s">
        <v>137</v>
      </c>
    </row>
    <row r="65" spans="8:8" x14ac:dyDescent="0.25">
      <c r="H65" t="s">
        <v>742</v>
      </c>
    </row>
    <row r="66" spans="8:8" x14ac:dyDescent="0.25">
      <c r="H66" t="s">
        <v>30</v>
      </c>
    </row>
    <row r="67" spans="8:8" x14ac:dyDescent="0.25">
      <c r="H67" t="s">
        <v>138</v>
      </c>
    </row>
    <row r="68" spans="8:8" x14ac:dyDescent="0.25">
      <c r="H68" t="s">
        <v>743</v>
      </c>
    </row>
    <row r="69" spans="8:8" x14ac:dyDescent="0.25">
      <c r="H69" t="s">
        <v>30</v>
      </c>
    </row>
    <row r="71" spans="8:8" x14ac:dyDescent="0.25">
      <c r="H71" t="s">
        <v>727</v>
      </c>
    </row>
    <row r="72" spans="8:8" x14ac:dyDescent="0.25">
      <c r="H72" t="s">
        <v>2839</v>
      </c>
    </row>
    <row r="73" spans="8:8" x14ac:dyDescent="0.25">
      <c r="H73" t="s">
        <v>135</v>
      </c>
    </row>
    <row r="74" spans="8:8" x14ac:dyDescent="0.25">
      <c r="H74" t="s">
        <v>3031</v>
      </c>
    </row>
    <row r="75" spans="8:8" x14ac:dyDescent="0.25">
      <c r="H75" t="s">
        <v>30</v>
      </c>
    </row>
    <row r="76" spans="8:8" x14ac:dyDescent="0.25">
      <c r="H76" t="s">
        <v>136</v>
      </c>
    </row>
    <row r="77" spans="8:8" x14ac:dyDescent="0.25">
      <c r="H77" t="s">
        <v>3032</v>
      </c>
    </row>
    <row r="78" spans="8:8" x14ac:dyDescent="0.25">
      <c r="H78" t="s">
        <v>30</v>
      </c>
    </row>
    <row r="79" spans="8:8" x14ac:dyDescent="0.25">
      <c r="H79" t="s">
        <v>137</v>
      </c>
    </row>
    <row r="80" spans="8:8" x14ac:dyDescent="0.25">
      <c r="H80" t="s">
        <v>3033</v>
      </c>
    </row>
    <row r="81" spans="8:8" x14ac:dyDescent="0.25">
      <c r="H81" t="s">
        <v>30</v>
      </c>
    </row>
    <row r="82" spans="8:8" x14ac:dyDescent="0.25">
      <c r="H82" t="s">
        <v>138</v>
      </c>
    </row>
    <row r="83" spans="8:8" x14ac:dyDescent="0.25">
      <c r="H83" t="s">
        <v>3034</v>
      </c>
    </row>
    <row r="84" spans="8:8" x14ac:dyDescent="0.25">
      <c r="H84" t="s">
        <v>30</v>
      </c>
    </row>
    <row r="86" spans="8:8" x14ac:dyDescent="0.25">
      <c r="H86" t="s">
        <v>728</v>
      </c>
    </row>
    <row r="87" spans="8:8" x14ac:dyDescent="0.25">
      <c r="H87" t="s">
        <v>768</v>
      </c>
    </row>
    <row r="88" spans="8:8" x14ac:dyDescent="0.25">
      <c r="H88" t="s">
        <v>135</v>
      </c>
    </row>
    <row r="89" spans="8:8" x14ac:dyDescent="0.25">
      <c r="H89" t="s">
        <v>2744</v>
      </c>
    </row>
    <row r="90" spans="8:8" x14ac:dyDescent="0.25">
      <c r="H90" t="s">
        <v>30</v>
      </c>
    </row>
    <row r="91" spans="8:8" x14ac:dyDescent="0.25">
      <c r="H91" t="s">
        <v>769</v>
      </c>
    </row>
    <row r="92" spans="8:8" x14ac:dyDescent="0.25">
      <c r="H92" t="s">
        <v>137</v>
      </c>
    </row>
    <row r="93" spans="8:8" x14ac:dyDescent="0.25">
      <c r="H93" t="s">
        <v>770</v>
      </c>
    </row>
    <row r="94" spans="8:8" x14ac:dyDescent="0.25">
      <c r="H94" t="s">
        <v>30</v>
      </c>
    </row>
    <row r="95" spans="8:8" x14ac:dyDescent="0.25">
      <c r="H95" t="s">
        <v>138</v>
      </c>
    </row>
    <row r="96" spans="8:8" x14ac:dyDescent="0.25">
      <c r="H96" t="s">
        <v>771</v>
      </c>
    </row>
    <row r="97" spans="8:8" x14ac:dyDescent="0.25">
      <c r="H97" t="s">
        <v>30</v>
      </c>
    </row>
    <row r="99" spans="8:8" x14ac:dyDescent="0.25">
      <c r="H99" t="s">
        <v>729</v>
      </c>
    </row>
    <row r="100" spans="8:8" x14ac:dyDescent="0.25">
      <c r="H100" t="s">
        <v>773</v>
      </c>
    </row>
    <row r="101" spans="8:8" x14ac:dyDescent="0.25">
      <c r="H101" t="s">
        <v>135</v>
      </c>
    </row>
    <row r="102" spans="8:8" x14ac:dyDescent="0.25">
      <c r="H102" t="s">
        <v>774</v>
      </c>
    </row>
    <row r="103" spans="8:8" x14ac:dyDescent="0.25">
      <c r="H103" t="s">
        <v>30</v>
      </c>
    </row>
    <row r="104" spans="8:8" x14ac:dyDescent="0.25">
      <c r="H104" t="s">
        <v>775</v>
      </c>
    </row>
    <row r="105" spans="8:8" x14ac:dyDescent="0.25">
      <c r="H105" t="s">
        <v>137</v>
      </c>
    </row>
    <row r="106" spans="8:8" x14ac:dyDescent="0.25">
      <c r="H106" t="s">
        <v>776</v>
      </c>
    </row>
    <row r="107" spans="8:8" x14ac:dyDescent="0.25">
      <c r="H107" t="s">
        <v>30</v>
      </c>
    </row>
    <row r="108" spans="8:8" x14ac:dyDescent="0.25">
      <c r="H108" t="s">
        <v>138</v>
      </c>
    </row>
    <row r="109" spans="8:8" x14ac:dyDescent="0.25">
      <c r="H109" t="s">
        <v>777</v>
      </c>
    </row>
    <row r="110" spans="8:8" x14ac:dyDescent="0.25">
      <c r="H110" t="s">
        <v>30</v>
      </c>
    </row>
    <row r="112" spans="8:8" x14ac:dyDescent="0.25">
      <c r="H112" t="s">
        <v>730</v>
      </c>
    </row>
    <row r="113" spans="8:8" x14ac:dyDescent="0.25">
      <c r="H113" t="s">
        <v>2840</v>
      </c>
    </row>
    <row r="114" spans="8:8" x14ac:dyDescent="0.25">
      <c r="H114" t="s">
        <v>135</v>
      </c>
    </row>
    <row r="115" spans="8:8" x14ac:dyDescent="0.25">
      <c r="H115" t="s">
        <v>3035</v>
      </c>
    </row>
    <row r="116" spans="8:8" x14ac:dyDescent="0.25">
      <c r="H116" t="s">
        <v>30</v>
      </c>
    </row>
    <row r="117" spans="8:8" x14ac:dyDescent="0.25">
      <c r="H117" t="s">
        <v>136</v>
      </c>
    </row>
    <row r="118" spans="8:8" x14ac:dyDescent="0.25">
      <c r="H118" t="s">
        <v>3036</v>
      </c>
    </row>
    <row r="119" spans="8:8" x14ac:dyDescent="0.25">
      <c r="H119" t="s">
        <v>30</v>
      </c>
    </row>
    <row r="120" spans="8:8" x14ac:dyDescent="0.25">
      <c r="H120" t="s">
        <v>137</v>
      </c>
    </row>
    <row r="121" spans="8:8" x14ac:dyDescent="0.25">
      <c r="H121" t="s">
        <v>3037</v>
      </c>
    </row>
    <row r="122" spans="8:8" x14ac:dyDescent="0.25">
      <c r="H122" t="s">
        <v>30</v>
      </c>
    </row>
    <row r="123" spans="8:8" x14ac:dyDescent="0.25">
      <c r="H123" t="s">
        <v>138</v>
      </c>
    </row>
    <row r="124" spans="8:8" x14ac:dyDescent="0.25">
      <c r="H124" t="s">
        <v>3038</v>
      </c>
    </row>
    <row r="125" spans="8:8" x14ac:dyDescent="0.25">
      <c r="H125" t="s">
        <v>30</v>
      </c>
    </row>
    <row r="127" spans="8:8" x14ac:dyDescent="0.25">
      <c r="H127" t="s">
        <v>731</v>
      </c>
    </row>
    <row r="128" spans="8:8" x14ac:dyDescent="0.25">
      <c r="H128" t="s">
        <v>2841</v>
      </c>
    </row>
    <row r="129" spans="8:8" x14ac:dyDescent="0.25">
      <c r="H129" t="s">
        <v>135</v>
      </c>
    </row>
    <row r="130" spans="8:8" x14ac:dyDescent="0.25">
      <c r="H130" t="s">
        <v>3039</v>
      </c>
    </row>
    <row r="131" spans="8:8" x14ac:dyDescent="0.25">
      <c r="H131" t="s">
        <v>30</v>
      </c>
    </row>
    <row r="132" spans="8:8" x14ac:dyDescent="0.25">
      <c r="H132" t="s">
        <v>136</v>
      </c>
    </row>
    <row r="133" spans="8:8" x14ac:dyDescent="0.25">
      <c r="H133" t="s">
        <v>3040</v>
      </c>
    </row>
    <row r="134" spans="8:8" x14ac:dyDescent="0.25">
      <c r="H134" t="s">
        <v>30</v>
      </c>
    </row>
    <row r="135" spans="8:8" x14ac:dyDescent="0.25">
      <c r="H135" t="s">
        <v>137</v>
      </c>
    </row>
    <row r="136" spans="8:8" x14ac:dyDescent="0.25">
      <c r="H136" t="s">
        <v>3041</v>
      </c>
    </row>
    <row r="137" spans="8:8" x14ac:dyDescent="0.25">
      <c r="H137" t="s">
        <v>30</v>
      </c>
    </row>
    <row r="138" spans="8:8" x14ac:dyDescent="0.25">
      <c r="H138" t="s">
        <v>138</v>
      </c>
    </row>
    <row r="139" spans="8:8" x14ac:dyDescent="0.25">
      <c r="H139" t="s">
        <v>3042</v>
      </c>
    </row>
    <row r="140" spans="8:8" x14ac:dyDescent="0.25">
      <c r="H140" t="s">
        <v>30</v>
      </c>
    </row>
    <row r="142" spans="8:8" x14ac:dyDescent="0.25">
      <c r="H142" t="s">
        <v>732</v>
      </c>
    </row>
    <row r="143" spans="8:8" x14ac:dyDescent="0.25">
      <c r="H143" t="s">
        <v>2842</v>
      </c>
    </row>
    <row r="144" spans="8:8" x14ac:dyDescent="0.25">
      <c r="H144" t="s">
        <v>135</v>
      </c>
    </row>
    <row r="145" spans="8:8" x14ac:dyDescent="0.25">
      <c r="H145" t="s">
        <v>3043</v>
      </c>
    </row>
    <row r="146" spans="8:8" x14ac:dyDescent="0.25">
      <c r="H146" t="s">
        <v>30</v>
      </c>
    </row>
    <row r="147" spans="8:8" x14ac:dyDescent="0.25">
      <c r="H147" t="s">
        <v>136</v>
      </c>
    </row>
    <row r="148" spans="8:8" x14ac:dyDescent="0.25">
      <c r="H148" t="s">
        <v>3044</v>
      </c>
    </row>
    <row r="149" spans="8:8" x14ac:dyDescent="0.25">
      <c r="H149" t="s">
        <v>30</v>
      </c>
    </row>
    <row r="150" spans="8:8" x14ac:dyDescent="0.25">
      <c r="H150" t="s">
        <v>137</v>
      </c>
    </row>
    <row r="151" spans="8:8" x14ac:dyDescent="0.25">
      <c r="H151" t="s">
        <v>3045</v>
      </c>
    </row>
    <row r="152" spans="8:8" x14ac:dyDescent="0.25">
      <c r="H152" t="s">
        <v>30</v>
      </c>
    </row>
    <row r="153" spans="8:8" x14ac:dyDescent="0.25">
      <c r="H153" t="s">
        <v>138</v>
      </c>
    </row>
    <row r="154" spans="8:8" x14ac:dyDescent="0.25">
      <c r="H154" t="s">
        <v>3046</v>
      </c>
    </row>
    <row r="155" spans="8:8" x14ac:dyDescent="0.25">
      <c r="H155" t="s">
        <v>30</v>
      </c>
    </row>
    <row r="157" spans="8:8" x14ac:dyDescent="0.25">
      <c r="H157" t="s">
        <v>733</v>
      </c>
    </row>
    <row r="158" spans="8:8" x14ac:dyDescent="0.25">
      <c r="H158" t="s">
        <v>789</v>
      </c>
    </row>
    <row r="159" spans="8:8" x14ac:dyDescent="0.25">
      <c r="H159" t="s">
        <v>135</v>
      </c>
    </row>
    <row r="160" spans="8:8" x14ac:dyDescent="0.25">
      <c r="H160" t="s">
        <v>790</v>
      </c>
    </row>
    <row r="161" spans="8:8" x14ac:dyDescent="0.25">
      <c r="H161" t="s">
        <v>30</v>
      </c>
    </row>
    <row r="162" spans="8:8" x14ac:dyDescent="0.25">
      <c r="H162" t="s">
        <v>136</v>
      </c>
    </row>
    <row r="163" spans="8:8" x14ac:dyDescent="0.25">
      <c r="H163" t="s">
        <v>791</v>
      </c>
    </row>
    <row r="164" spans="8:8" x14ac:dyDescent="0.25">
      <c r="H164" t="s">
        <v>30</v>
      </c>
    </row>
    <row r="165" spans="8:8" x14ac:dyDescent="0.25">
      <c r="H165" t="s">
        <v>137</v>
      </c>
    </row>
    <row r="166" spans="8:8" x14ac:dyDescent="0.25">
      <c r="H166" t="s">
        <v>792</v>
      </c>
    </row>
    <row r="167" spans="8:8" x14ac:dyDescent="0.25">
      <c r="H167" t="s">
        <v>30</v>
      </c>
    </row>
    <row r="168" spans="8:8" x14ac:dyDescent="0.25">
      <c r="H168" t="s">
        <v>138</v>
      </c>
    </row>
    <row r="169" spans="8:8" x14ac:dyDescent="0.25">
      <c r="H169" t="s">
        <v>793</v>
      </c>
    </row>
    <row r="170" spans="8:8" x14ac:dyDescent="0.25">
      <c r="H170" t="s">
        <v>30</v>
      </c>
    </row>
    <row r="172" spans="8:8" x14ac:dyDescent="0.25">
      <c r="H172" t="s">
        <v>734</v>
      </c>
    </row>
    <row r="173" spans="8:8" x14ac:dyDescent="0.25">
      <c r="H173" t="s">
        <v>795</v>
      </c>
    </row>
    <row r="174" spans="8:8" x14ac:dyDescent="0.25">
      <c r="H174" t="s">
        <v>135</v>
      </c>
    </row>
    <row r="175" spans="8:8" x14ac:dyDescent="0.25">
      <c r="H175" t="s">
        <v>796</v>
      </c>
    </row>
    <row r="176" spans="8:8" x14ac:dyDescent="0.25">
      <c r="H176" t="s">
        <v>30</v>
      </c>
    </row>
    <row r="177" spans="8:8" x14ac:dyDescent="0.25">
      <c r="H177" t="s">
        <v>797</v>
      </c>
    </row>
    <row r="178" spans="8:8" x14ac:dyDescent="0.25">
      <c r="H178" t="s">
        <v>136</v>
      </c>
    </row>
    <row r="179" spans="8:8" x14ac:dyDescent="0.25">
      <c r="H179" t="s">
        <v>798</v>
      </c>
    </row>
    <row r="180" spans="8:8" x14ac:dyDescent="0.25">
      <c r="H180" t="s">
        <v>30</v>
      </c>
    </row>
    <row r="181" spans="8:8" x14ac:dyDescent="0.25">
      <c r="H181" t="s">
        <v>799</v>
      </c>
    </row>
    <row r="182" spans="8:8" x14ac:dyDescent="0.25">
      <c r="H182" t="s">
        <v>137</v>
      </c>
    </row>
    <row r="183" spans="8:8" x14ac:dyDescent="0.25">
      <c r="H183" t="s">
        <v>800</v>
      </c>
    </row>
    <row r="184" spans="8:8" x14ac:dyDescent="0.25">
      <c r="H184" t="s">
        <v>30</v>
      </c>
    </row>
    <row r="185" spans="8:8" x14ac:dyDescent="0.25">
      <c r="H185" t="s">
        <v>801</v>
      </c>
    </row>
    <row r="186" spans="8:8" x14ac:dyDescent="0.25">
      <c r="H186" t="s">
        <v>138</v>
      </c>
    </row>
    <row r="187" spans="8:8" x14ac:dyDescent="0.25">
      <c r="H187" t="s">
        <v>802</v>
      </c>
    </row>
    <row r="188" spans="8:8" x14ac:dyDescent="0.25">
      <c r="H188" t="s">
        <v>30</v>
      </c>
    </row>
    <row r="190" spans="8:8" x14ac:dyDescent="0.25">
      <c r="H190" t="s">
        <v>735</v>
      </c>
    </row>
    <row r="191" spans="8:8" x14ac:dyDescent="0.25">
      <c r="H191" t="s">
        <v>804</v>
      </c>
    </row>
    <row r="192" spans="8:8" x14ac:dyDescent="0.25">
      <c r="H192" t="s">
        <v>135</v>
      </c>
    </row>
    <row r="193" spans="8:8" x14ac:dyDescent="0.25">
      <c r="H193" t="s">
        <v>805</v>
      </c>
    </row>
    <row r="194" spans="8:8" x14ac:dyDescent="0.25">
      <c r="H194" t="s">
        <v>30</v>
      </c>
    </row>
    <row r="195" spans="8:8" x14ac:dyDescent="0.25">
      <c r="H195" t="s">
        <v>806</v>
      </c>
    </row>
    <row r="196" spans="8:8" x14ac:dyDescent="0.25">
      <c r="H196" t="s">
        <v>136</v>
      </c>
    </row>
    <row r="197" spans="8:8" x14ac:dyDescent="0.25">
      <c r="H197" t="s">
        <v>807</v>
      </c>
    </row>
    <row r="198" spans="8:8" x14ac:dyDescent="0.25">
      <c r="H198" t="s">
        <v>30</v>
      </c>
    </row>
    <row r="199" spans="8:8" x14ac:dyDescent="0.25">
      <c r="H199" t="s">
        <v>808</v>
      </c>
    </row>
    <row r="200" spans="8:8" x14ac:dyDescent="0.25">
      <c r="H200" t="s">
        <v>137</v>
      </c>
    </row>
    <row r="201" spans="8:8" x14ac:dyDescent="0.25">
      <c r="H201" t="s">
        <v>809</v>
      </c>
    </row>
    <row r="202" spans="8:8" x14ac:dyDescent="0.25">
      <c r="H202" t="s">
        <v>30</v>
      </c>
    </row>
    <row r="203" spans="8:8" x14ac:dyDescent="0.25">
      <c r="H203" t="s">
        <v>810</v>
      </c>
    </row>
    <row r="204" spans="8:8" x14ac:dyDescent="0.25">
      <c r="H204" t="s">
        <v>138</v>
      </c>
    </row>
    <row r="205" spans="8:8" x14ac:dyDescent="0.25">
      <c r="H205" t="s">
        <v>811</v>
      </c>
    </row>
    <row r="206" spans="8:8" x14ac:dyDescent="0.25">
      <c r="H206" t="s">
        <v>30</v>
      </c>
    </row>
    <row r="208" spans="8:8" x14ac:dyDescent="0.25">
      <c r="H208" t="s">
        <v>736</v>
      </c>
    </row>
    <row r="209" spans="8:8" x14ac:dyDescent="0.25">
      <c r="H209" t="s">
        <v>813</v>
      </c>
    </row>
    <row r="210" spans="8:8" x14ac:dyDescent="0.25">
      <c r="H210" t="s">
        <v>135</v>
      </c>
    </row>
    <row r="211" spans="8:8" x14ac:dyDescent="0.25">
      <c r="H211" t="s">
        <v>814</v>
      </c>
    </row>
    <row r="212" spans="8:8" x14ac:dyDescent="0.25">
      <c r="H212" t="s">
        <v>30</v>
      </c>
    </row>
    <row r="213" spans="8:8" x14ac:dyDescent="0.25">
      <c r="H213" t="s">
        <v>815</v>
      </c>
    </row>
    <row r="214" spans="8:8" x14ac:dyDescent="0.25">
      <c r="H214" t="s">
        <v>136</v>
      </c>
    </row>
    <row r="215" spans="8:8" x14ac:dyDescent="0.25">
      <c r="H215" t="s">
        <v>816</v>
      </c>
    </row>
    <row r="216" spans="8:8" x14ac:dyDescent="0.25">
      <c r="H216" t="s">
        <v>30</v>
      </c>
    </row>
    <row r="218" spans="8:8" x14ac:dyDescent="0.25">
      <c r="H218" t="s">
        <v>737</v>
      </c>
    </row>
    <row r="219" spans="8:8" x14ac:dyDescent="0.25">
      <c r="H219" t="s">
        <v>2843</v>
      </c>
    </row>
    <row r="220" spans="8:8" x14ac:dyDescent="0.25">
      <c r="H220" t="s">
        <v>135</v>
      </c>
    </row>
    <row r="221" spans="8:8" x14ac:dyDescent="0.25">
      <c r="H221" t="s">
        <v>3047</v>
      </c>
    </row>
    <row r="222" spans="8:8" x14ac:dyDescent="0.25">
      <c r="H222" t="s">
        <v>30</v>
      </c>
    </row>
    <row r="223" spans="8:8" x14ac:dyDescent="0.25">
      <c r="H223" t="s">
        <v>136</v>
      </c>
    </row>
    <row r="224" spans="8:8" x14ac:dyDescent="0.25">
      <c r="H224" t="s">
        <v>3048</v>
      </c>
    </row>
    <row r="225" spans="8:8" x14ac:dyDescent="0.25">
      <c r="H225" t="s">
        <v>30</v>
      </c>
    </row>
    <row r="226" spans="8:8" x14ac:dyDescent="0.25">
      <c r="H226" t="s">
        <v>137</v>
      </c>
    </row>
    <row r="227" spans="8:8" x14ac:dyDescent="0.25">
      <c r="H227" t="s">
        <v>3049</v>
      </c>
    </row>
    <row r="228" spans="8:8" x14ac:dyDescent="0.25">
      <c r="H228" t="s">
        <v>30</v>
      </c>
    </row>
    <row r="229" spans="8:8" x14ac:dyDescent="0.25">
      <c r="H229" t="s">
        <v>138</v>
      </c>
    </row>
    <row r="230" spans="8:8" x14ac:dyDescent="0.25">
      <c r="H230" t="s">
        <v>3050</v>
      </c>
    </row>
    <row r="231" spans="8:8" x14ac:dyDescent="0.25">
      <c r="H231" t="s">
        <v>30</v>
      </c>
    </row>
    <row r="233" spans="8:8" x14ac:dyDescent="0.25">
      <c r="H233" t="s">
        <v>738</v>
      </c>
    </row>
    <row r="234" spans="8:8" x14ac:dyDescent="0.25">
      <c r="H234" t="s">
        <v>2844</v>
      </c>
    </row>
    <row r="235" spans="8:8" x14ac:dyDescent="0.25">
      <c r="H235" t="s">
        <v>135</v>
      </c>
    </row>
    <row r="236" spans="8:8" x14ac:dyDescent="0.25">
      <c r="H236" t="s">
        <v>3051</v>
      </c>
    </row>
    <row r="237" spans="8:8" x14ac:dyDescent="0.25">
      <c r="H237" t="s">
        <v>30</v>
      </c>
    </row>
    <row r="238" spans="8:8" x14ac:dyDescent="0.25">
      <c r="H238" t="s">
        <v>136</v>
      </c>
    </row>
    <row r="239" spans="8:8" x14ac:dyDescent="0.25">
      <c r="H239" t="s">
        <v>3052</v>
      </c>
    </row>
    <row r="240" spans="8:8" x14ac:dyDescent="0.25">
      <c r="H240" t="s">
        <v>30</v>
      </c>
    </row>
    <row r="241" spans="8:8" x14ac:dyDescent="0.25">
      <c r="H241" t="s">
        <v>137</v>
      </c>
    </row>
    <row r="242" spans="8:8" x14ac:dyDescent="0.25">
      <c r="H242" t="s">
        <v>3053</v>
      </c>
    </row>
    <row r="243" spans="8:8" x14ac:dyDescent="0.25">
      <c r="H243" t="s">
        <v>30</v>
      </c>
    </row>
    <row r="244" spans="8:8" x14ac:dyDescent="0.25">
      <c r="H244" t="s">
        <v>138</v>
      </c>
    </row>
    <row r="245" spans="8:8" x14ac:dyDescent="0.25">
      <c r="H245" t="s">
        <v>3054</v>
      </c>
    </row>
    <row r="246" spans="8:8" x14ac:dyDescent="0.25">
      <c r="H246" t="s">
        <v>30</v>
      </c>
    </row>
    <row r="248" spans="8:8" x14ac:dyDescent="0.25">
      <c r="H248" t="s">
        <v>744</v>
      </c>
    </row>
    <row r="249" spans="8:8" x14ac:dyDescent="0.25">
      <c r="H249" t="s">
        <v>2845</v>
      </c>
    </row>
    <row r="250" spans="8:8" x14ac:dyDescent="0.25">
      <c r="H250" t="s">
        <v>135</v>
      </c>
    </row>
    <row r="251" spans="8:8" x14ac:dyDescent="0.25">
      <c r="H251" t="s">
        <v>3055</v>
      </c>
    </row>
    <row r="252" spans="8:8" x14ac:dyDescent="0.25">
      <c r="H252" t="s">
        <v>30</v>
      </c>
    </row>
    <row r="253" spans="8:8" x14ac:dyDescent="0.25">
      <c r="H253" t="s">
        <v>136</v>
      </c>
    </row>
    <row r="254" spans="8:8" x14ac:dyDescent="0.25">
      <c r="H254" t="s">
        <v>3056</v>
      </c>
    </row>
    <row r="255" spans="8:8" x14ac:dyDescent="0.25">
      <c r="H255" t="s">
        <v>30</v>
      </c>
    </row>
    <row r="256" spans="8:8" x14ac:dyDescent="0.25">
      <c r="H256" t="s">
        <v>137</v>
      </c>
    </row>
    <row r="257" spans="8:8" x14ac:dyDescent="0.25">
      <c r="H257" t="s">
        <v>3057</v>
      </c>
    </row>
    <row r="258" spans="8:8" x14ac:dyDescent="0.25">
      <c r="H258" t="s">
        <v>30</v>
      </c>
    </row>
    <row r="259" spans="8:8" x14ac:dyDescent="0.25">
      <c r="H259" t="s">
        <v>138</v>
      </c>
    </row>
    <row r="260" spans="8:8" x14ac:dyDescent="0.25">
      <c r="H260" t="s">
        <v>3058</v>
      </c>
    </row>
    <row r="261" spans="8:8" x14ac:dyDescent="0.25">
      <c r="H261" t="s">
        <v>30</v>
      </c>
    </row>
    <row r="263" spans="8:8" x14ac:dyDescent="0.25">
      <c r="H263" t="s">
        <v>745</v>
      </c>
    </row>
    <row r="264" spans="8:8" x14ac:dyDescent="0.25">
      <c r="H264" t="s">
        <v>2846</v>
      </c>
    </row>
    <row r="265" spans="8:8" x14ac:dyDescent="0.25">
      <c r="H265" t="s">
        <v>135</v>
      </c>
    </row>
    <row r="266" spans="8:8" x14ac:dyDescent="0.25">
      <c r="H266" t="s">
        <v>3059</v>
      </c>
    </row>
    <row r="267" spans="8:8" x14ac:dyDescent="0.25">
      <c r="H267" t="s">
        <v>30</v>
      </c>
    </row>
    <row r="268" spans="8:8" x14ac:dyDescent="0.25">
      <c r="H268" t="s">
        <v>136</v>
      </c>
    </row>
    <row r="269" spans="8:8" x14ac:dyDescent="0.25">
      <c r="H269" t="s">
        <v>3060</v>
      </c>
    </row>
    <row r="270" spans="8:8" x14ac:dyDescent="0.25">
      <c r="H270" t="s">
        <v>30</v>
      </c>
    </row>
    <row r="271" spans="8:8" x14ac:dyDescent="0.25">
      <c r="H271" t="s">
        <v>137</v>
      </c>
    </row>
    <row r="272" spans="8:8" x14ac:dyDescent="0.25">
      <c r="H272" t="s">
        <v>3061</v>
      </c>
    </row>
    <row r="273" spans="8:8" x14ac:dyDescent="0.25">
      <c r="H273" t="s">
        <v>30</v>
      </c>
    </row>
    <row r="274" spans="8:8" x14ac:dyDescent="0.25">
      <c r="H274" t="s">
        <v>138</v>
      </c>
    </row>
    <row r="275" spans="8:8" x14ac:dyDescent="0.25">
      <c r="H275" t="s">
        <v>3062</v>
      </c>
    </row>
    <row r="276" spans="8:8" x14ac:dyDescent="0.25">
      <c r="H276" t="s">
        <v>30</v>
      </c>
    </row>
    <row r="278" spans="8:8" x14ac:dyDescent="0.25">
      <c r="H278" t="s">
        <v>746</v>
      </c>
    </row>
    <row r="279" spans="8:8" x14ac:dyDescent="0.25">
      <c r="H279" t="s">
        <v>2847</v>
      </c>
    </row>
    <row r="280" spans="8:8" x14ac:dyDescent="0.25">
      <c r="H280" t="s">
        <v>135</v>
      </c>
    </row>
    <row r="281" spans="8:8" x14ac:dyDescent="0.25">
      <c r="H281" t="s">
        <v>3063</v>
      </c>
    </row>
    <row r="282" spans="8:8" x14ac:dyDescent="0.25">
      <c r="H282" t="s">
        <v>30</v>
      </c>
    </row>
    <row r="283" spans="8:8" x14ac:dyDescent="0.25">
      <c r="H283" t="s">
        <v>136</v>
      </c>
    </row>
    <row r="284" spans="8:8" x14ac:dyDescent="0.25">
      <c r="H284" t="s">
        <v>3064</v>
      </c>
    </row>
    <row r="285" spans="8:8" x14ac:dyDescent="0.25">
      <c r="H285" t="s">
        <v>30</v>
      </c>
    </row>
    <row r="286" spans="8:8" x14ac:dyDescent="0.25">
      <c r="H286" t="s">
        <v>137</v>
      </c>
    </row>
    <row r="287" spans="8:8" x14ac:dyDescent="0.25">
      <c r="H287" t="s">
        <v>3065</v>
      </c>
    </row>
    <row r="288" spans="8:8" x14ac:dyDescent="0.25">
      <c r="H288" t="s">
        <v>30</v>
      </c>
    </row>
    <row r="289" spans="8:8" x14ac:dyDescent="0.25">
      <c r="H289" t="s">
        <v>138</v>
      </c>
    </row>
    <row r="290" spans="8:8" x14ac:dyDescent="0.25">
      <c r="H290" t="s">
        <v>3066</v>
      </c>
    </row>
    <row r="291" spans="8:8" x14ac:dyDescent="0.25">
      <c r="H291" t="s">
        <v>30</v>
      </c>
    </row>
    <row r="293" spans="8:8" x14ac:dyDescent="0.25">
      <c r="H293" t="s">
        <v>747</v>
      </c>
    </row>
    <row r="294" spans="8:8" x14ac:dyDescent="0.25">
      <c r="H294" t="s">
        <v>2848</v>
      </c>
    </row>
    <row r="295" spans="8:8" x14ac:dyDescent="0.25">
      <c r="H295" t="s">
        <v>135</v>
      </c>
    </row>
    <row r="296" spans="8:8" x14ac:dyDescent="0.25">
      <c r="H296" t="s">
        <v>3067</v>
      </c>
    </row>
    <row r="297" spans="8:8" x14ac:dyDescent="0.25">
      <c r="H297" t="s">
        <v>30</v>
      </c>
    </row>
    <row r="298" spans="8:8" x14ac:dyDescent="0.25">
      <c r="H298" t="s">
        <v>136</v>
      </c>
    </row>
    <row r="299" spans="8:8" x14ac:dyDescent="0.25">
      <c r="H299" t="s">
        <v>3068</v>
      </c>
    </row>
    <row r="300" spans="8:8" x14ac:dyDescent="0.25">
      <c r="H300" t="s">
        <v>30</v>
      </c>
    </row>
    <row r="301" spans="8:8" x14ac:dyDescent="0.25">
      <c r="H301" t="s">
        <v>137</v>
      </c>
    </row>
    <row r="302" spans="8:8" x14ac:dyDescent="0.25">
      <c r="H302" t="s">
        <v>3069</v>
      </c>
    </row>
    <row r="303" spans="8:8" x14ac:dyDescent="0.25">
      <c r="H303" t="s">
        <v>30</v>
      </c>
    </row>
    <row r="304" spans="8:8" x14ac:dyDescent="0.25">
      <c r="H304" t="s">
        <v>138</v>
      </c>
    </row>
    <row r="305" spans="8:8" x14ac:dyDescent="0.25">
      <c r="H305" t="s">
        <v>3070</v>
      </c>
    </row>
    <row r="306" spans="8:8" x14ac:dyDescent="0.25">
      <c r="H306" t="s">
        <v>30</v>
      </c>
    </row>
    <row r="308" spans="8:8" x14ac:dyDescent="0.25">
      <c r="H308" t="s">
        <v>748</v>
      </c>
    </row>
    <row r="309" spans="8:8" x14ac:dyDescent="0.25">
      <c r="H309" t="s">
        <v>848</v>
      </c>
    </row>
    <row r="310" spans="8:8" x14ac:dyDescent="0.25">
      <c r="H310" t="s">
        <v>135</v>
      </c>
    </row>
    <row r="311" spans="8:8" x14ac:dyDescent="0.25">
      <c r="H311" t="s">
        <v>849</v>
      </c>
    </row>
    <row r="312" spans="8:8" x14ac:dyDescent="0.25">
      <c r="H312" t="s">
        <v>30</v>
      </c>
    </row>
    <row r="313" spans="8:8" x14ac:dyDescent="0.25">
      <c r="H313" t="s">
        <v>136</v>
      </c>
    </row>
    <row r="314" spans="8:8" x14ac:dyDescent="0.25">
      <c r="H314" t="s">
        <v>850</v>
      </c>
    </row>
    <row r="315" spans="8:8" x14ac:dyDescent="0.25">
      <c r="H315" t="s">
        <v>30</v>
      </c>
    </row>
    <row r="316" spans="8:8" x14ac:dyDescent="0.25">
      <c r="H316" t="s">
        <v>137</v>
      </c>
    </row>
    <row r="317" spans="8:8" x14ac:dyDescent="0.25">
      <c r="H317" t="s">
        <v>851</v>
      </c>
    </row>
    <row r="318" spans="8:8" x14ac:dyDescent="0.25">
      <c r="H318" t="s">
        <v>30</v>
      </c>
    </row>
    <row r="319" spans="8:8" x14ac:dyDescent="0.25">
      <c r="H319" t="s">
        <v>138</v>
      </c>
    </row>
    <row r="320" spans="8:8" x14ac:dyDescent="0.25">
      <c r="H320" t="s">
        <v>852</v>
      </c>
    </row>
    <row r="321" spans="8:8" x14ac:dyDescent="0.25">
      <c r="H321" t="s">
        <v>30</v>
      </c>
    </row>
    <row r="323" spans="8:8" x14ac:dyDescent="0.25">
      <c r="H323" t="s">
        <v>749</v>
      </c>
    </row>
    <row r="324" spans="8:8" x14ac:dyDescent="0.25">
      <c r="H324" t="s">
        <v>853</v>
      </c>
    </row>
    <row r="325" spans="8:8" x14ac:dyDescent="0.25">
      <c r="H325" t="s">
        <v>135</v>
      </c>
    </row>
    <row r="326" spans="8:8" x14ac:dyDescent="0.25">
      <c r="H326" t="s">
        <v>854</v>
      </c>
    </row>
    <row r="327" spans="8:8" x14ac:dyDescent="0.25">
      <c r="H327" t="s">
        <v>30</v>
      </c>
    </row>
    <row r="328" spans="8:8" x14ac:dyDescent="0.25">
      <c r="H328" t="s">
        <v>136</v>
      </c>
    </row>
    <row r="329" spans="8:8" x14ac:dyDescent="0.25">
      <c r="H329" t="s">
        <v>855</v>
      </c>
    </row>
    <row r="330" spans="8:8" x14ac:dyDescent="0.25">
      <c r="H330" t="s">
        <v>30</v>
      </c>
    </row>
    <row r="331" spans="8:8" x14ac:dyDescent="0.25">
      <c r="H331" t="s">
        <v>137</v>
      </c>
    </row>
    <row r="332" spans="8:8" x14ac:dyDescent="0.25">
      <c r="H332" t="s">
        <v>856</v>
      </c>
    </row>
    <row r="333" spans="8:8" x14ac:dyDescent="0.25">
      <c r="H333" t="s">
        <v>30</v>
      </c>
    </row>
    <row r="334" spans="8:8" x14ac:dyDescent="0.25">
      <c r="H334" t="s">
        <v>138</v>
      </c>
    </row>
    <row r="335" spans="8:8" x14ac:dyDescent="0.25">
      <c r="H335" t="s">
        <v>857</v>
      </c>
    </row>
    <row r="336" spans="8:8" x14ac:dyDescent="0.25">
      <c r="H336" t="s">
        <v>30</v>
      </c>
    </row>
    <row r="338" spans="8:8" x14ac:dyDescent="0.25">
      <c r="H338" t="s">
        <v>750</v>
      </c>
    </row>
    <row r="339" spans="8:8" x14ac:dyDescent="0.25">
      <c r="H339" t="s">
        <v>2849</v>
      </c>
    </row>
    <row r="340" spans="8:8" x14ac:dyDescent="0.25">
      <c r="H340" t="s">
        <v>135</v>
      </c>
    </row>
    <row r="341" spans="8:8" x14ac:dyDescent="0.25">
      <c r="H341" t="s">
        <v>3071</v>
      </c>
    </row>
    <row r="342" spans="8:8" x14ac:dyDescent="0.25">
      <c r="H342" t="s">
        <v>30</v>
      </c>
    </row>
    <row r="343" spans="8:8" x14ac:dyDescent="0.25">
      <c r="H343" t="s">
        <v>136</v>
      </c>
    </row>
    <row r="344" spans="8:8" x14ac:dyDescent="0.25">
      <c r="H344" t="s">
        <v>3072</v>
      </c>
    </row>
    <row r="345" spans="8:8" x14ac:dyDescent="0.25">
      <c r="H345" t="s">
        <v>30</v>
      </c>
    </row>
    <row r="346" spans="8:8" x14ac:dyDescent="0.25">
      <c r="H346" t="s">
        <v>137</v>
      </c>
    </row>
    <row r="347" spans="8:8" x14ac:dyDescent="0.25">
      <c r="H347" t="s">
        <v>3073</v>
      </c>
    </row>
    <row r="348" spans="8:8" x14ac:dyDescent="0.25">
      <c r="H348" t="s">
        <v>30</v>
      </c>
    </row>
    <row r="349" spans="8:8" x14ac:dyDescent="0.25">
      <c r="H349" t="s">
        <v>138</v>
      </c>
    </row>
    <row r="350" spans="8:8" x14ac:dyDescent="0.25">
      <c r="H350" t="s">
        <v>3074</v>
      </c>
    </row>
    <row r="351" spans="8:8" x14ac:dyDescent="0.25">
      <c r="H351" t="s">
        <v>30</v>
      </c>
    </row>
    <row r="353" spans="8:8" x14ac:dyDescent="0.25">
      <c r="H353" t="s">
        <v>751</v>
      </c>
    </row>
    <row r="354" spans="8:8" x14ac:dyDescent="0.25">
      <c r="H354" t="s">
        <v>2850</v>
      </c>
    </row>
    <row r="355" spans="8:8" x14ac:dyDescent="0.25">
      <c r="H355" t="s">
        <v>135</v>
      </c>
    </row>
    <row r="356" spans="8:8" x14ac:dyDescent="0.25">
      <c r="H356" t="s">
        <v>3075</v>
      </c>
    </row>
    <row r="357" spans="8:8" x14ac:dyDescent="0.25">
      <c r="H357" t="s">
        <v>30</v>
      </c>
    </row>
    <row r="358" spans="8:8" x14ac:dyDescent="0.25">
      <c r="H358" t="s">
        <v>136</v>
      </c>
    </row>
    <row r="359" spans="8:8" x14ac:dyDescent="0.25">
      <c r="H359" t="s">
        <v>3076</v>
      </c>
    </row>
    <row r="360" spans="8:8" x14ac:dyDescent="0.25">
      <c r="H360" t="s">
        <v>30</v>
      </c>
    </row>
    <row r="361" spans="8:8" x14ac:dyDescent="0.25">
      <c r="H361" t="s">
        <v>137</v>
      </c>
    </row>
    <row r="362" spans="8:8" x14ac:dyDescent="0.25">
      <c r="H362" t="s">
        <v>3077</v>
      </c>
    </row>
    <row r="363" spans="8:8" x14ac:dyDescent="0.25">
      <c r="H363" t="s">
        <v>30</v>
      </c>
    </row>
    <row r="364" spans="8:8" x14ac:dyDescent="0.25">
      <c r="H364" t="s">
        <v>138</v>
      </c>
    </row>
    <row r="365" spans="8:8" x14ac:dyDescent="0.25">
      <c r="H365" t="s">
        <v>3078</v>
      </c>
    </row>
    <row r="366" spans="8:8" x14ac:dyDescent="0.25">
      <c r="H366" t="s">
        <v>30</v>
      </c>
    </row>
    <row r="368" spans="8:8" x14ac:dyDescent="0.25">
      <c r="H368" t="s">
        <v>752</v>
      </c>
    </row>
    <row r="369" spans="8:8" x14ac:dyDescent="0.25">
      <c r="H369" t="s">
        <v>2851</v>
      </c>
    </row>
    <row r="370" spans="8:8" x14ac:dyDescent="0.25">
      <c r="H370" t="s">
        <v>135</v>
      </c>
    </row>
    <row r="371" spans="8:8" x14ac:dyDescent="0.25">
      <c r="H371" t="s">
        <v>3079</v>
      </c>
    </row>
    <row r="372" spans="8:8" x14ac:dyDescent="0.25">
      <c r="H372" t="s">
        <v>30</v>
      </c>
    </row>
    <row r="373" spans="8:8" x14ac:dyDescent="0.25">
      <c r="H373" t="s">
        <v>136</v>
      </c>
    </row>
    <row r="374" spans="8:8" x14ac:dyDescent="0.25">
      <c r="H374" t="s">
        <v>3080</v>
      </c>
    </row>
    <row r="375" spans="8:8" x14ac:dyDescent="0.25">
      <c r="H375" t="s">
        <v>30</v>
      </c>
    </row>
    <row r="376" spans="8:8" x14ac:dyDescent="0.25">
      <c r="H376" t="s">
        <v>137</v>
      </c>
    </row>
    <row r="377" spans="8:8" x14ac:dyDescent="0.25">
      <c r="H377" t="s">
        <v>3081</v>
      </c>
    </row>
    <row r="378" spans="8:8" x14ac:dyDescent="0.25">
      <c r="H378" t="s">
        <v>30</v>
      </c>
    </row>
    <row r="379" spans="8:8" x14ac:dyDescent="0.25">
      <c r="H379" t="s">
        <v>138</v>
      </c>
    </row>
    <row r="380" spans="8:8" x14ac:dyDescent="0.25">
      <c r="H380" t="s">
        <v>3082</v>
      </c>
    </row>
    <row r="381" spans="8:8" x14ac:dyDescent="0.25">
      <c r="H381" t="s">
        <v>30</v>
      </c>
    </row>
    <row r="383" spans="8:8" x14ac:dyDescent="0.25">
      <c r="H383" t="s">
        <v>753</v>
      </c>
    </row>
    <row r="384" spans="8:8" x14ac:dyDescent="0.25">
      <c r="H384" t="s">
        <v>2852</v>
      </c>
    </row>
    <row r="385" spans="8:8" x14ac:dyDescent="0.25">
      <c r="H385" t="s">
        <v>135</v>
      </c>
    </row>
    <row r="386" spans="8:8" x14ac:dyDescent="0.25">
      <c r="H386" t="s">
        <v>3083</v>
      </c>
    </row>
    <row r="387" spans="8:8" x14ac:dyDescent="0.25">
      <c r="H387" t="s">
        <v>30</v>
      </c>
    </row>
    <row r="388" spans="8:8" x14ac:dyDescent="0.25">
      <c r="H388" t="s">
        <v>136</v>
      </c>
    </row>
    <row r="389" spans="8:8" x14ac:dyDescent="0.25">
      <c r="H389" t="s">
        <v>3084</v>
      </c>
    </row>
    <row r="390" spans="8:8" x14ac:dyDescent="0.25">
      <c r="H390" t="s">
        <v>30</v>
      </c>
    </row>
    <row r="391" spans="8:8" x14ac:dyDescent="0.25">
      <c r="H391" t="s">
        <v>137</v>
      </c>
    </row>
    <row r="392" spans="8:8" x14ac:dyDescent="0.25">
      <c r="H392" t="s">
        <v>3085</v>
      </c>
    </row>
    <row r="393" spans="8:8" x14ac:dyDescent="0.25">
      <c r="H393" t="s">
        <v>30</v>
      </c>
    </row>
    <row r="394" spans="8:8" x14ac:dyDescent="0.25">
      <c r="H394" t="s">
        <v>138</v>
      </c>
    </row>
    <row r="395" spans="8:8" x14ac:dyDescent="0.25">
      <c r="H395" t="s">
        <v>3086</v>
      </c>
    </row>
    <row r="396" spans="8:8" x14ac:dyDescent="0.25">
      <c r="H396" t="s">
        <v>30</v>
      </c>
    </row>
    <row r="398" spans="8:8" x14ac:dyDescent="0.25">
      <c r="H398" t="s">
        <v>754</v>
      </c>
    </row>
    <row r="399" spans="8:8" x14ac:dyDescent="0.25">
      <c r="H399" t="s">
        <v>2853</v>
      </c>
    </row>
    <row r="400" spans="8:8" x14ac:dyDescent="0.25">
      <c r="H400" t="s">
        <v>135</v>
      </c>
    </row>
    <row r="401" spans="8:8" x14ac:dyDescent="0.25">
      <c r="H401" t="s">
        <v>3087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3088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3089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3090</v>
      </c>
    </row>
    <row r="411" spans="8:8" x14ac:dyDescent="0.25">
      <c r="H411" t="s">
        <v>30</v>
      </c>
    </row>
    <row r="413" spans="8:8" x14ac:dyDescent="0.25">
      <c r="H413" t="s">
        <v>755</v>
      </c>
    </row>
    <row r="414" spans="8:8" x14ac:dyDescent="0.25">
      <c r="H414" t="s">
        <v>2854</v>
      </c>
    </row>
    <row r="415" spans="8:8" x14ac:dyDescent="0.25">
      <c r="H415" t="s">
        <v>135</v>
      </c>
    </row>
    <row r="416" spans="8:8" x14ac:dyDescent="0.25">
      <c r="H416" t="s">
        <v>3091</v>
      </c>
    </row>
    <row r="417" spans="8:8" x14ac:dyDescent="0.25">
      <c r="H417" t="s">
        <v>30</v>
      </c>
    </row>
    <row r="418" spans="8:8" x14ac:dyDescent="0.25">
      <c r="H418" t="s">
        <v>136</v>
      </c>
    </row>
    <row r="419" spans="8:8" x14ac:dyDescent="0.25">
      <c r="H419" t="s">
        <v>3092</v>
      </c>
    </row>
    <row r="420" spans="8:8" x14ac:dyDescent="0.25">
      <c r="H420" t="s">
        <v>30</v>
      </c>
    </row>
    <row r="421" spans="8:8" x14ac:dyDescent="0.25">
      <c r="H421" t="s">
        <v>137</v>
      </c>
    </row>
    <row r="422" spans="8:8" x14ac:dyDescent="0.25">
      <c r="H422" t="s">
        <v>3093</v>
      </c>
    </row>
    <row r="423" spans="8:8" x14ac:dyDescent="0.25">
      <c r="H423" t="s">
        <v>30</v>
      </c>
    </row>
    <row r="424" spans="8:8" x14ac:dyDescent="0.25">
      <c r="H424" t="s">
        <v>138</v>
      </c>
    </row>
    <row r="425" spans="8:8" x14ac:dyDescent="0.25">
      <c r="H425" t="s">
        <v>3094</v>
      </c>
    </row>
    <row r="426" spans="8:8" x14ac:dyDescent="0.25">
      <c r="H426" t="s">
        <v>30</v>
      </c>
    </row>
    <row r="428" spans="8:8" x14ac:dyDescent="0.25">
      <c r="H428" t="s">
        <v>756</v>
      </c>
    </row>
    <row r="429" spans="8:8" x14ac:dyDescent="0.25">
      <c r="H429" t="s">
        <v>858</v>
      </c>
    </row>
    <row r="430" spans="8:8" x14ac:dyDescent="0.25">
      <c r="H430" t="s">
        <v>135</v>
      </c>
    </row>
    <row r="431" spans="8:8" x14ac:dyDescent="0.25">
      <c r="H431" t="s">
        <v>859</v>
      </c>
    </row>
    <row r="432" spans="8:8" x14ac:dyDescent="0.25">
      <c r="H432" t="s">
        <v>30</v>
      </c>
    </row>
    <row r="433" spans="8:8" x14ac:dyDescent="0.25">
      <c r="H433" t="s">
        <v>136</v>
      </c>
    </row>
    <row r="434" spans="8:8" x14ac:dyDescent="0.25">
      <c r="H434" t="s">
        <v>860</v>
      </c>
    </row>
    <row r="435" spans="8:8" x14ac:dyDescent="0.25">
      <c r="H435" t="s">
        <v>30</v>
      </c>
    </row>
    <row r="436" spans="8:8" x14ac:dyDescent="0.25">
      <c r="H436" t="s">
        <v>137</v>
      </c>
    </row>
    <row r="437" spans="8:8" x14ac:dyDescent="0.25">
      <c r="H437" t="s">
        <v>861</v>
      </c>
    </row>
    <row r="438" spans="8:8" x14ac:dyDescent="0.25">
      <c r="H438" t="s">
        <v>30</v>
      </c>
    </row>
    <row r="439" spans="8:8" x14ac:dyDescent="0.25">
      <c r="H439" t="s">
        <v>138</v>
      </c>
    </row>
    <row r="440" spans="8:8" x14ac:dyDescent="0.25">
      <c r="H440" t="s">
        <v>862</v>
      </c>
    </row>
    <row r="441" spans="8:8" x14ac:dyDescent="0.25">
      <c r="H441" t="s">
        <v>30</v>
      </c>
    </row>
    <row r="443" spans="8:8" x14ac:dyDescent="0.25">
      <c r="H443" t="s">
        <v>757</v>
      </c>
    </row>
    <row r="444" spans="8:8" x14ac:dyDescent="0.25">
      <c r="H444" t="s">
        <v>863</v>
      </c>
    </row>
    <row r="445" spans="8:8" x14ac:dyDescent="0.25">
      <c r="H445" t="s">
        <v>135</v>
      </c>
    </row>
    <row r="446" spans="8:8" x14ac:dyDescent="0.25">
      <c r="H446" t="s">
        <v>864</v>
      </c>
    </row>
    <row r="447" spans="8:8" x14ac:dyDescent="0.25">
      <c r="H447" t="s">
        <v>30</v>
      </c>
    </row>
    <row r="448" spans="8:8" x14ac:dyDescent="0.25">
      <c r="H448" t="s">
        <v>136</v>
      </c>
    </row>
    <row r="449" spans="8:8" x14ac:dyDescent="0.25">
      <c r="H449" t="s">
        <v>865</v>
      </c>
    </row>
    <row r="450" spans="8:8" x14ac:dyDescent="0.25">
      <c r="H450" t="s">
        <v>30</v>
      </c>
    </row>
    <row r="451" spans="8:8" x14ac:dyDescent="0.25">
      <c r="H451" t="s">
        <v>137</v>
      </c>
    </row>
    <row r="452" spans="8:8" x14ac:dyDescent="0.25">
      <c r="H452" t="s">
        <v>866</v>
      </c>
    </row>
    <row r="453" spans="8:8" x14ac:dyDescent="0.25">
      <c r="H453" t="s">
        <v>30</v>
      </c>
    </row>
    <row r="454" spans="8:8" x14ac:dyDescent="0.25">
      <c r="H454" t="s">
        <v>138</v>
      </c>
    </row>
    <row r="455" spans="8:8" x14ac:dyDescent="0.25">
      <c r="H455" t="s">
        <v>867</v>
      </c>
    </row>
    <row r="456" spans="8:8" x14ac:dyDescent="0.25">
      <c r="H456" t="s">
        <v>30</v>
      </c>
    </row>
    <row r="458" spans="8:8" x14ac:dyDescent="0.25">
      <c r="H458" t="s">
        <v>758</v>
      </c>
    </row>
    <row r="459" spans="8:8" x14ac:dyDescent="0.25">
      <c r="H459" t="s">
        <v>868</v>
      </c>
    </row>
    <row r="460" spans="8:8" x14ac:dyDescent="0.25">
      <c r="H460" t="s">
        <v>135</v>
      </c>
    </row>
    <row r="461" spans="8:8" x14ac:dyDescent="0.25">
      <c r="H461" t="s">
        <v>869</v>
      </c>
    </row>
    <row r="462" spans="8:8" x14ac:dyDescent="0.25">
      <c r="H462" t="s">
        <v>30</v>
      </c>
    </row>
    <row r="463" spans="8:8" x14ac:dyDescent="0.25">
      <c r="H463" t="s">
        <v>870</v>
      </c>
    </row>
    <row r="464" spans="8:8" x14ac:dyDescent="0.25">
      <c r="H464" t="s">
        <v>137</v>
      </c>
    </row>
    <row r="465" spans="8:8" x14ac:dyDescent="0.25">
      <c r="H465" t="s">
        <v>871</v>
      </c>
    </row>
    <row r="466" spans="8:8" x14ac:dyDescent="0.25">
      <c r="H466" t="s">
        <v>30</v>
      </c>
    </row>
    <row r="467" spans="8:8" x14ac:dyDescent="0.25">
      <c r="H467" t="s">
        <v>138</v>
      </c>
    </row>
    <row r="468" spans="8:8" x14ac:dyDescent="0.25">
      <c r="H468" t="s">
        <v>872</v>
      </c>
    </row>
    <row r="469" spans="8:8" x14ac:dyDescent="0.25">
      <c r="H469" t="s">
        <v>30</v>
      </c>
    </row>
    <row r="471" spans="8:8" x14ac:dyDescent="0.25">
      <c r="H471" t="s">
        <v>759</v>
      </c>
    </row>
    <row r="472" spans="8:8" x14ac:dyDescent="0.25">
      <c r="H472" t="s">
        <v>873</v>
      </c>
    </row>
    <row r="473" spans="8:8" x14ac:dyDescent="0.25">
      <c r="H473" t="s">
        <v>135</v>
      </c>
    </row>
    <row r="474" spans="8:8" x14ac:dyDescent="0.25">
      <c r="H474" t="s">
        <v>874</v>
      </c>
    </row>
    <row r="475" spans="8:8" x14ac:dyDescent="0.25">
      <c r="H475" t="s">
        <v>30</v>
      </c>
    </row>
    <row r="477" spans="8:8" x14ac:dyDescent="0.25">
      <c r="H477" t="s">
        <v>760</v>
      </c>
    </row>
    <row r="478" spans="8:8" x14ac:dyDescent="0.25">
      <c r="H478" t="s">
        <v>875</v>
      </c>
    </row>
    <row r="479" spans="8:8" x14ac:dyDescent="0.25">
      <c r="H479" t="s">
        <v>135</v>
      </c>
    </row>
    <row r="480" spans="8:8" x14ac:dyDescent="0.25">
      <c r="H480" t="s">
        <v>876</v>
      </c>
    </row>
    <row r="481" spans="8:8" x14ac:dyDescent="0.25">
      <c r="H481" t="s">
        <v>30</v>
      </c>
    </row>
    <row r="483" spans="8:8" x14ac:dyDescent="0.25">
      <c r="H483" t="s">
        <v>761</v>
      </c>
    </row>
    <row r="484" spans="8:8" x14ac:dyDescent="0.25">
      <c r="H484" t="s">
        <v>877</v>
      </c>
    </row>
    <row r="485" spans="8:8" x14ac:dyDescent="0.25">
      <c r="H485" t="s">
        <v>135</v>
      </c>
    </row>
    <row r="486" spans="8:8" x14ac:dyDescent="0.25">
      <c r="H486" t="s">
        <v>878</v>
      </c>
    </row>
    <row r="487" spans="8:8" x14ac:dyDescent="0.25">
      <c r="H487" t="s">
        <v>30</v>
      </c>
    </row>
    <row r="488" spans="8:8" x14ac:dyDescent="0.25">
      <c r="H488" t="s">
        <v>136</v>
      </c>
    </row>
    <row r="489" spans="8:8" x14ac:dyDescent="0.25">
      <c r="H489" t="s">
        <v>879</v>
      </c>
    </row>
    <row r="490" spans="8:8" x14ac:dyDescent="0.25">
      <c r="H490" t="s">
        <v>30</v>
      </c>
    </row>
    <row r="492" spans="8:8" x14ac:dyDescent="0.25">
      <c r="H492" t="s">
        <v>762</v>
      </c>
    </row>
    <row r="493" spans="8:8" x14ac:dyDescent="0.25">
      <c r="H493" t="s">
        <v>880</v>
      </c>
    </row>
    <row r="494" spans="8:8" x14ac:dyDescent="0.25">
      <c r="H494" t="s">
        <v>135</v>
      </c>
    </row>
    <row r="495" spans="8:8" x14ac:dyDescent="0.25">
      <c r="H495" t="s">
        <v>881</v>
      </c>
    </row>
    <row r="496" spans="8:8" x14ac:dyDescent="0.25">
      <c r="H496" t="s">
        <v>30</v>
      </c>
    </row>
    <row r="498" spans="8:8" x14ac:dyDescent="0.25">
      <c r="H498" t="s">
        <v>763</v>
      </c>
    </row>
    <row r="499" spans="8:8" x14ac:dyDescent="0.25">
      <c r="H499" t="s">
        <v>882</v>
      </c>
    </row>
    <row r="500" spans="8:8" x14ac:dyDescent="0.25">
      <c r="H500" t="s">
        <v>135</v>
      </c>
    </row>
    <row r="501" spans="8:8" x14ac:dyDescent="0.25">
      <c r="H501" t="s">
        <v>883</v>
      </c>
    </row>
    <row r="502" spans="8:8" x14ac:dyDescent="0.25">
      <c r="H502" t="s">
        <v>30</v>
      </c>
    </row>
    <row r="504" spans="8:8" x14ac:dyDescent="0.25">
      <c r="H504" t="s">
        <v>764</v>
      </c>
    </row>
    <row r="505" spans="8:8" x14ac:dyDescent="0.25">
      <c r="H505" t="s">
        <v>884</v>
      </c>
    </row>
    <row r="506" spans="8:8" x14ac:dyDescent="0.25">
      <c r="H506" t="s">
        <v>135</v>
      </c>
    </row>
    <row r="507" spans="8:8" x14ac:dyDescent="0.25">
      <c r="H507" t="s">
        <v>885</v>
      </c>
    </row>
    <row r="508" spans="8:8" x14ac:dyDescent="0.25">
      <c r="H508" t="s">
        <v>30</v>
      </c>
    </row>
    <row r="509" spans="8:8" x14ac:dyDescent="0.25">
      <c r="H509" t="s">
        <v>136</v>
      </c>
    </row>
    <row r="510" spans="8:8" x14ac:dyDescent="0.25">
      <c r="H510" t="s">
        <v>886</v>
      </c>
    </row>
    <row r="511" spans="8:8" x14ac:dyDescent="0.25">
      <c r="H511" t="s">
        <v>30</v>
      </c>
    </row>
    <row r="513" spans="8:8" x14ac:dyDescent="0.25">
      <c r="H513" t="s">
        <v>765</v>
      </c>
    </row>
    <row r="514" spans="8:8" x14ac:dyDescent="0.25">
      <c r="H514" t="s">
        <v>887</v>
      </c>
    </row>
    <row r="515" spans="8:8" x14ac:dyDescent="0.25">
      <c r="H515" t="s">
        <v>135</v>
      </c>
    </row>
    <row r="516" spans="8:8" x14ac:dyDescent="0.25">
      <c r="H516" t="s">
        <v>888</v>
      </c>
    </row>
    <row r="517" spans="8:8" x14ac:dyDescent="0.25">
      <c r="H517" t="s">
        <v>30</v>
      </c>
    </row>
    <row r="519" spans="8:8" x14ac:dyDescent="0.25">
      <c r="H519" t="s">
        <v>766</v>
      </c>
    </row>
    <row r="520" spans="8:8" x14ac:dyDescent="0.25">
      <c r="H520" t="s">
        <v>889</v>
      </c>
    </row>
    <row r="521" spans="8:8" x14ac:dyDescent="0.25">
      <c r="H521" t="s">
        <v>135</v>
      </c>
    </row>
    <row r="522" spans="8:8" x14ac:dyDescent="0.25">
      <c r="H522" t="s">
        <v>890</v>
      </c>
    </row>
    <row r="523" spans="8:8" x14ac:dyDescent="0.25">
      <c r="H523" t="s">
        <v>30</v>
      </c>
    </row>
    <row r="525" spans="8:8" x14ac:dyDescent="0.25">
      <c r="H525" t="s">
        <v>767</v>
      </c>
    </row>
    <row r="526" spans="8:8" x14ac:dyDescent="0.25">
      <c r="H526" t="s">
        <v>891</v>
      </c>
    </row>
    <row r="527" spans="8:8" x14ac:dyDescent="0.25">
      <c r="H527" t="s">
        <v>135</v>
      </c>
    </row>
    <row r="528" spans="8:8" x14ac:dyDescent="0.25">
      <c r="H528" t="s">
        <v>892</v>
      </c>
    </row>
    <row r="529" spans="8:8" x14ac:dyDescent="0.25">
      <c r="H529" t="s">
        <v>30</v>
      </c>
    </row>
    <row r="530" spans="8:8" x14ac:dyDescent="0.25">
      <c r="H530" t="s">
        <v>136</v>
      </c>
    </row>
    <row r="531" spans="8:8" x14ac:dyDescent="0.25">
      <c r="H531" t="s">
        <v>893</v>
      </c>
    </row>
    <row r="532" spans="8:8" x14ac:dyDescent="0.25">
      <c r="H532" t="s">
        <v>30</v>
      </c>
    </row>
    <row r="534" spans="8:8" x14ac:dyDescent="0.25">
      <c r="H534" t="s">
        <v>772</v>
      </c>
    </row>
    <row r="535" spans="8:8" x14ac:dyDescent="0.25">
      <c r="H535" t="s">
        <v>894</v>
      </c>
    </row>
    <row r="536" spans="8:8" x14ac:dyDescent="0.25">
      <c r="H536" t="s">
        <v>135</v>
      </c>
    </row>
    <row r="537" spans="8:8" x14ac:dyDescent="0.25">
      <c r="H537" t="s">
        <v>895</v>
      </c>
    </row>
    <row r="538" spans="8:8" x14ac:dyDescent="0.25">
      <c r="H538" t="s">
        <v>30</v>
      </c>
    </row>
    <row r="540" spans="8:8" x14ac:dyDescent="0.25">
      <c r="H540" t="s">
        <v>778</v>
      </c>
    </row>
    <row r="541" spans="8:8" x14ac:dyDescent="0.25">
      <c r="H541" t="s">
        <v>896</v>
      </c>
    </row>
    <row r="542" spans="8:8" x14ac:dyDescent="0.25">
      <c r="H542" t="s">
        <v>135</v>
      </c>
    </row>
    <row r="543" spans="8:8" x14ac:dyDescent="0.25">
      <c r="H543" t="s">
        <v>897</v>
      </c>
    </row>
    <row r="544" spans="8:8" x14ac:dyDescent="0.25">
      <c r="H544" t="s">
        <v>30</v>
      </c>
    </row>
    <row r="546" spans="8:8" x14ac:dyDescent="0.25">
      <c r="H546" t="s">
        <v>779</v>
      </c>
    </row>
    <row r="547" spans="8:8" x14ac:dyDescent="0.25">
      <c r="H547" t="s">
        <v>898</v>
      </c>
    </row>
    <row r="548" spans="8:8" x14ac:dyDescent="0.25">
      <c r="H548" t="s">
        <v>135</v>
      </c>
    </row>
    <row r="549" spans="8:8" x14ac:dyDescent="0.25">
      <c r="H549" t="s">
        <v>899</v>
      </c>
    </row>
    <row r="550" spans="8:8" x14ac:dyDescent="0.25">
      <c r="H550" t="s">
        <v>30</v>
      </c>
    </row>
    <row r="551" spans="8:8" x14ac:dyDescent="0.25">
      <c r="H551" t="s">
        <v>136</v>
      </c>
    </row>
    <row r="552" spans="8:8" x14ac:dyDescent="0.25">
      <c r="H552" t="s">
        <v>900</v>
      </c>
    </row>
    <row r="553" spans="8:8" x14ac:dyDescent="0.25">
      <c r="H553" t="s">
        <v>30</v>
      </c>
    </row>
    <row r="554" spans="8:8" x14ac:dyDescent="0.25">
      <c r="H554" t="s">
        <v>901</v>
      </c>
    </row>
    <row r="555" spans="8:8" x14ac:dyDescent="0.25">
      <c r="H555" t="s">
        <v>137</v>
      </c>
    </row>
    <row r="556" spans="8:8" x14ac:dyDescent="0.25">
      <c r="H556" t="s">
        <v>902</v>
      </c>
    </row>
    <row r="557" spans="8:8" x14ac:dyDescent="0.25">
      <c r="H557" t="s">
        <v>30</v>
      </c>
    </row>
    <row r="558" spans="8:8" x14ac:dyDescent="0.25">
      <c r="H558" t="s">
        <v>138</v>
      </c>
    </row>
    <row r="559" spans="8:8" x14ac:dyDescent="0.25">
      <c r="H559" t="s">
        <v>903</v>
      </c>
    </row>
    <row r="560" spans="8:8" x14ac:dyDescent="0.25">
      <c r="H560" t="s">
        <v>30</v>
      </c>
    </row>
    <row r="562" spans="8:8" x14ac:dyDescent="0.25">
      <c r="H562" t="s">
        <v>780</v>
      </c>
    </row>
    <row r="563" spans="8:8" x14ac:dyDescent="0.25">
      <c r="H563" t="s">
        <v>904</v>
      </c>
    </row>
    <row r="564" spans="8:8" x14ac:dyDescent="0.25">
      <c r="H564" t="s">
        <v>135</v>
      </c>
    </row>
    <row r="565" spans="8:8" x14ac:dyDescent="0.25">
      <c r="H565" t="s">
        <v>905</v>
      </c>
    </row>
    <row r="566" spans="8:8" x14ac:dyDescent="0.25">
      <c r="H566" t="s">
        <v>30</v>
      </c>
    </row>
    <row r="567" spans="8:8" x14ac:dyDescent="0.25">
      <c r="H567" t="s">
        <v>136</v>
      </c>
    </row>
    <row r="568" spans="8:8" x14ac:dyDescent="0.25">
      <c r="H568" t="s">
        <v>906</v>
      </c>
    </row>
    <row r="569" spans="8:8" x14ac:dyDescent="0.25">
      <c r="H569" t="s">
        <v>30</v>
      </c>
    </row>
    <row r="571" spans="8:8" x14ac:dyDescent="0.25">
      <c r="H571" t="s">
        <v>781</v>
      </c>
    </row>
    <row r="572" spans="8:8" x14ac:dyDescent="0.25">
      <c r="H572" t="s">
        <v>907</v>
      </c>
    </row>
    <row r="573" spans="8:8" x14ac:dyDescent="0.25">
      <c r="H573" t="s">
        <v>135</v>
      </c>
    </row>
    <row r="574" spans="8:8" x14ac:dyDescent="0.25">
      <c r="H574" t="s">
        <v>908</v>
      </c>
    </row>
    <row r="575" spans="8:8" x14ac:dyDescent="0.25">
      <c r="H575" t="s">
        <v>30</v>
      </c>
    </row>
    <row r="577" spans="8:8" x14ac:dyDescent="0.25">
      <c r="H577" t="s">
        <v>782</v>
      </c>
    </row>
    <row r="578" spans="8:8" x14ac:dyDescent="0.25">
      <c r="H578" t="s">
        <v>909</v>
      </c>
    </row>
    <row r="579" spans="8:8" x14ac:dyDescent="0.25">
      <c r="H579" t="s">
        <v>135</v>
      </c>
    </row>
    <row r="580" spans="8:8" x14ac:dyDescent="0.25">
      <c r="H580" t="s">
        <v>910</v>
      </c>
    </row>
    <row r="581" spans="8:8" x14ac:dyDescent="0.25">
      <c r="H581" t="s">
        <v>30</v>
      </c>
    </row>
    <row r="583" spans="8:8" x14ac:dyDescent="0.25">
      <c r="H583" t="s">
        <v>783</v>
      </c>
    </row>
    <row r="584" spans="8:8" x14ac:dyDescent="0.25">
      <c r="H584" t="s">
        <v>911</v>
      </c>
    </row>
    <row r="585" spans="8:8" x14ac:dyDescent="0.25">
      <c r="H585" t="s">
        <v>135</v>
      </c>
    </row>
    <row r="586" spans="8:8" x14ac:dyDescent="0.25">
      <c r="H586" t="s">
        <v>912</v>
      </c>
    </row>
    <row r="587" spans="8:8" x14ac:dyDescent="0.25">
      <c r="H587" t="s">
        <v>30</v>
      </c>
    </row>
    <row r="588" spans="8:8" x14ac:dyDescent="0.25">
      <c r="H588" t="s">
        <v>136</v>
      </c>
    </row>
    <row r="589" spans="8:8" x14ac:dyDescent="0.25">
      <c r="H589" t="s">
        <v>913</v>
      </c>
    </row>
    <row r="590" spans="8:8" x14ac:dyDescent="0.25">
      <c r="H590" t="s">
        <v>30</v>
      </c>
    </row>
    <row r="592" spans="8:8" x14ac:dyDescent="0.25">
      <c r="H592" t="s">
        <v>784</v>
      </c>
    </row>
    <row r="593" spans="8:8" x14ac:dyDescent="0.25">
      <c r="H593" t="s">
        <v>914</v>
      </c>
    </row>
    <row r="594" spans="8:8" x14ac:dyDescent="0.25">
      <c r="H594" t="s">
        <v>135</v>
      </c>
    </row>
    <row r="595" spans="8:8" x14ac:dyDescent="0.25">
      <c r="H595" t="s">
        <v>2745</v>
      </c>
    </row>
    <row r="596" spans="8:8" x14ac:dyDescent="0.25">
      <c r="H596" t="s">
        <v>30</v>
      </c>
    </row>
    <row r="597" spans="8:8" x14ac:dyDescent="0.25">
      <c r="H597" t="s">
        <v>915</v>
      </c>
    </row>
    <row r="598" spans="8:8" x14ac:dyDescent="0.25">
      <c r="H598" t="s">
        <v>137</v>
      </c>
    </row>
    <row r="599" spans="8:8" x14ac:dyDescent="0.25">
      <c r="H599" t="s">
        <v>2746</v>
      </c>
    </row>
    <row r="600" spans="8:8" x14ac:dyDescent="0.25">
      <c r="H600" t="s">
        <v>30</v>
      </c>
    </row>
    <row r="601" spans="8:8" x14ac:dyDescent="0.25">
      <c r="H601" t="s">
        <v>138</v>
      </c>
    </row>
    <row r="602" spans="8:8" x14ac:dyDescent="0.25">
      <c r="H602" t="s">
        <v>2747</v>
      </c>
    </row>
    <row r="603" spans="8:8" x14ac:dyDescent="0.25">
      <c r="H603" t="s">
        <v>30</v>
      </c>
    </row>
    <row r="605" spans="8:8" x14ac:dyDescent="0.25">
      <c r="H605" t="s">
        <v>785</v>
      </c>
    </row>
    <row r="606" spans="8:8" x14ac:dyDescent="0.25">
      <c r="H606" t="s">
        <v>916</v>
      </c>
    </row>
    <row r="607" spans="8:8" x14ac:dyDescent="0.25">
      <c r="H607" t="s">
        <v>135</v>
      </c>
    </row>
    <row r="608" spans="8:8" x14ac:dyDescent="0.25">
      <c r="H608" t="s">
        <v>2748</v>
      </c>
    </row>
    <row r="609" spans="8:8" x14ac:dyDescent="0.25">
      <c r="H609" t="s">
        <v>30</v>
      </c>
    </row>
    <row r="610" spans="8:8" x14ac:dyDescent="0.25">
      <c r="H610" t="s">
        <v>917</v>
      </c>
    </row>
    <row r="611" spans="8:8" x14ac:dyDescent="0.25">
      <c r="H611" t="s">
        <v>137</v>
      </c>
    </row>
    <row r="612" spans="8:8" x14ac:dyDescent="0.25">
      <c r="H612" t="s">
        <v>2749</v>
      </c>
    </row>
    <row r="613" spans="8:8" x14ac:dyDescent="0.25">
      <c r="H613" t="s">
        <v>30</v>
      </c>
    </row>
    <row r="614" spans="8:8" x14ac:dyDescent="0.25">
      <c r="H614" t="s">
        <v>138</v>
      </c>
    </row>
    <row r="615" spans="8:8" x14ac:dyDescent="0.25">
      <c r="H615" t="s">
        <v>2750</v>
      </c>
    </row>
    <row r="616" spans="8:8" x14ac:dyDescent="0.25">
      <c r="H616" t="s">
        <v>30</v>
      </c>
    </row>
    <row r="618" spans="8:8" x14ac:dyDescent="0.25">
      <c r="H618" t="s">
        <v>786</v>
      </c>
    </row>
    <row r="619" spans="8:8" x14ac:dyDescent="0.25">
      <c r="H619" t="s">
        <v>2855</v>
      </c>
    </row>
    <row r="620" spans="8:8" x14ac:dyDescent="0.25">
      <c r="H620" t="s">
        <v>135</v>
      </c>
    </row>
    <row r="621" spans="8:8" x14ac:dyDescent="0.25">
      <c r="H621" t="s">
        <v>3095</v>
      </c>
    </row>
    <row r="622" spans="8:8" x14ac:dyDescent="0.25">
      <c r="H622" t="s">
        <v>30</v>
      </c>
    </row>
    <row r="623" spans="8:8" x14ac:dyDescent="0.25">
      <c r="H623" t="s">
        <v>136</v>
      </c>
    </row>
    <row r="624" spans="8:8" x14ac:dyDescent="0.25">
      <c r="H624" t="s">
        <v>3096</v>
      </c>
    </row>
    <row r="625" spans="8:8" x14ac:dyDescent="0.25">
      <c r="H625" t="s">
        <v>30</v>
      </c>
    </row>
    <row r="626" spans="8:8" x14ac:dyDescent="0.25">
      <c r="H626" t="s">
        <v>137</v>
      </c>
    </row>
    <row r="627" spans="8:8" x14ac:dyDescent="0.25">
      <c r="H627" t="s">
        <v>3097</v>
      </c>
    </row>
    <row r="628" spans="8:8" x14ac:dyDescent="0.25">
      <c r="H628" t="s">
        <v>30</v>
      </c>
    </row>
    <row r="629" spans="8:8" x14ac:dyDescent="0.25">
      <c r="H629" t="s">
        <v>138</v>
      </c>
    </row>
    <row r="630" spans="8:8" x14ac:dyDescent="0.25">
      <c r="H630" t="s">
        <v>3098</v>
      </c>
    </row>
    <row r="631" spans="8:8" x14ac:dyDescent="0.25">
      <c r="H631" t="s">
        <v>30</v>
      </c>
    </row>
    <row r="633" spans="8:8" x14ac:dyDescent="0.25">
      <c r="H633" t="s">
        <v>787</v>
      </c>
    </row>
    <row r="634" spans="8:8" x14ac:dyDescent="0.25">
      <c r="H634" t="s">
        <v>954</v>
      </c>
    </row>
    <row r="635" spans="8:8" x14ac:dyDescent="0.25">
      <c r="H635" t="s">
        <v>135</v>
      </c>
    </row>
    <row r="636" spans="8:8" x14ac:dyDescent="0.25">
      <c r="H636" t="s">
        <v>955</v>
      </c>
    </row>
    <row r="637" spans="8:8" x14ac:dyDescent="0.25">
      <c r="H637" t="s">
        <v>30</v>
      </c>
    </row>
    <row r="638" spans="8:8" x14ac:dyDescent="0.25">
      <c r="H638" t="s">
        <v>2856</v>
      </c>
    </row>
    <row r="639" spans="8:8" x14ac:dyDescent="0.25">
      <c r="H639" t="s">
        <v>136</v>
      </c>
    </row>
    <row r="640" spans="8:8" x14ac:dyDescent="0.25">
      <c r="H640" t="s">
        <v>3195</v>
      </c>
    </row>
    <row r="641" spans="8:8" x14ac:dyDescent="0.25">
      <c r="H641" t="s">
        <v>30</v>
      </c>
    </row>
    <row r="642" spans="8:8" x14ac:dyDescent="0.25">
      <c r="H642" t="s">
        <v>2857</v>
      </c>
    </row>
    <row r="643" spans="8:8" x14ac:dyDescent="0.25">
      <c r="H643" t="s">
        <v>137</v>
      </c>
    </row>
    <row r="644" spans="8:8" x14ac:dyDescent="0.25">
      <c r="H644" t="s">
        <v>3196</v>
      </c>
    </row>
    <row r="645" spans="8:8" x14ac:dyDescent="0.25">
      <c r="H645" t="s">
        <v>30</v>
      </c>
    </row>
    <row r="646" spans="8:8" x14ac:dyDescent="0.25">
      <c r="H646" t="s">
        <v>138</v>
      </c>
    </row>
    <row r="647" spans="8:8" x14ac:dyDescent="0.25">
      <c r="H647" t="s">
        <v>3197</v>
      </c>
    </row>
    <row r="648" spans="8:8" x14ac:dyDescent="0.25">
      <c r="H648" t="s">
        <v>30</v>
      </c>
    </row>
    <row r="650" spans="8:8" x14ac:dyDescent="0.25">
      <c r="H650" t="s">
        <v>788</v>
      </c>
    </row>
    <row r="651" spans="8:8" x14ac:dyDescent="0.25">
      <c r="H651" t="s">
        <v>999</v>
      </c>
    </row>
    <row r="652" spans="8:8" x14ac:dyDescent="0.25">
      <c r="H652" t="s">
        <v>135</v>
      </c>
    </row>
    <row r="653" spans="8:8" x14ac:dyDescent="0.25">
      <c r="H653" t="s">
        <v>1000</v>
      </c>
    </row>
    <row r="654" spans="8:8" x14ac:dyDescent="0.25">
      <c r="H654" t="s">
        <v>30</v>
      </c>
    </row>
    <row r="655" spans="8:8" x14ac:dyDescent="0.25">
      <c r="H655" t="s">
        <v>136</v>
      </c>
    </row>
    <row r="656" spans="8:8" x14ac:dyDescent="0.25">
      <c r="H656" t="s">
        <v>1001</v>
      </c>
    </row>
    <row r="657" spans="8:8" x14ac:dyDescent="0.25">
      <c r="H657" t="s">
        <v>30</v>
      </c>
    </row>
    <row r="658" spans="8:8" x14ac:dyDescent="0.25">
      <c r="H658" t="s">
        <v>137</v>
      </c>
    </row>
    <row r="659" spans="8:8" x14ac:dyDescent="0.25">
      <c r="H659" t="s">
        <v>1002</v>
      </c>
    </row>
    <row r="660" spans="8:8" x14ac:dyDescent="0.25">
      <c r="H660" t="s">
        <v>30</v>
      </c>
    </row>
    <row r="661" spans="8:8" x14ac:dyDescent="0.25">
      <c r="H661" t="s">
        <v>138</v>
      </c>
    </row>
    <row r="662" spans="8:8" x14ac:dyDescent="0.25">
      <c r="H662" t="s">
        <v>1003</v>
      </c>
    </row>
    <row r="663" spans="8:8" x14ac:dyDescent="0.25">
      <c r="H663" t="s">
        <v>30</v>
      </c>
    </row>
    <row r="665" spans="8:8" x14ac:dyDescent="0.25">
      <c r="H665" t="s">
        <v>794</v>
      </c>
    </row>
    <row r="666" spans="8:8" x14ac:dyDescent="0.25">
      <c r="H666" t="s">
        <v>1005</v>
      </c>
    </row>
    <row r="667" spans="8:8" x14ac:dyDescent="0.25">
      <c r="H667" t="s">
        <v>135</v>
      </c>
    </row>
    <row r="668" spans="8:8" x14ac:dyDescent="0.25">
      <c r="H668" t="s">
        <v>1006</v>
      </c>
    </row>
    <row r="669" spans="8:8" x14ac:dyDescent="0.25">
      <c r="H669" t="s">
        <v>30</v>
      </c>
    </row>
    <row r="670" spans="8:8" x14ac:dyDescent="0.25">
      <c r="H670" t="s">
        <v>136</v>
      </c>
    </row>
    <row r="671" spans="8:8" x14ac:dyDescent="0.25">
      <c r="H671" t="s">
        <v>1007</v>
      </c>
    </row>
    <row r="672" spans="8:8" x14ac:dyDescent="0.25">
      <c r="H672" t="s">
        <v>30</v>
      </c>
    </row>
    <row r="673" spans="8:8" x14ac:dyDescent="0.25">
      <c r="H673" t="s">
        <v>137</v>
      </c>
    </row>
    <row r="674" spans="8:8" x14ac:dyDescent="0.25">
      <c r="H674" t="s">
        <v>1008</v>
      </c>
    </row>
    <row r="675" spans="8:8" x14ac:dyDescent="0.25">
      <c r="H675" t="s">
        <v>30</v>
      </c>
    </row>
    <row r="676" spans="8:8" x14ac:dyDescent="0.25">
      <c r="H676" t="s">
        <v>138</v>
      </c>
    </row>
    <row r="677" spans="8:8" x14ac:dyDescent="0.25">
      <c r="H677" t="s">
        <v>1009</v>
      </c>
    </row>
    <row r="678" spans="8:8" x14ac:dyDescent="0.25">
      <c r="H678" t="s">
        <v>30</v>
      </c>
    </row>
    <row r="680" spans="8:8" x14ac:dyDescent="0.25">
      <c r="H680" t="s">
        <v>803</v>
      </c>
    </row>
    <row r="681" spans="8:8" x14ac:dyDescent="0.25">
      <c r="H681" t="s">
        <v>2858</v>
      </c>
    </row>
    <row r="682" spans="8:8" x14ac:dyDescent="0.25">
      <c r="H682" t="s">
        <v>135</v>
      </c>
    </row>
    <row r="683" spans="8:8" x14ac:dyDescent="0.25">
      <c r="H683" t="s">
        <v>3198</v>
      </c>
    </row>
    <row r="684" spans="8:8" x14ac:dyDescent="0.25">
      <c r="H684" t="s">
        <v>30</v>
      </c>
    </row>
    <row r="685" spans="8:8" x14ac:dyDescent="0.25">
      <c r="H685" t="s">
        <v>136</v>
      </c>
    </row>
    <row r="686" spans="8:8" x14ac:dyDescent="0.25">
      <c r="H686" t="s">
        <v>3199</v>
      </c>
    </row>
    <row r="687" spans="8:8" x14ac:dyDescent="0.25">
      <c r="H687" t="s">
        <v>30</v>
      </c>
    </row>
    <row r="688" spans="8:8" x14ac:dyDescent="0.25">
      <c r="H688" t="s">
        <v>137</v>
      </c>
    </row>
    <row r="689" spans="8:8" x14ac:dyDescent="0.25">
      <c r="H689" t="s">
        <v>3200</v>
      </c>
    </row>
    <row r="690" spans="8:8" x14ac:dyDescent="0.25">
      <c r="H690" t="s">
        <v>30</v>
      </c>
    </row>
    <row r="691" spans="8:8" x14ac:dyDescent="0.25">
      <c r="H691" t="s">
        <v>138</v>
      </c>
    </row>
    <row r="692" spans="8:8" x14ac:dyDescent="0.25">
      <c r="H692" t="s">
        <v>3201</v>
      </c>
    </row>
    <row r="693" spans="8:8" x14ac:dyDescent="0.25">
      <c r="H693" t="s">
        <v>30</v>
      </c>
    </row>
    <row r="695" spans="8:8" x14ac:dyDescent="0.25">
      <c r="H695" t="s">
        <v>812</v>
      </c>
    </row>
    <row r="696" spans="8:8" x14ac:dyDescent="0.25">
      <c r="H696" t="s">
        <v>2859</v>
      </c>
    </row>
    <row r="697" spans="8:8" x14ac:dyDescent="0.25">
      <c r="H697" t="s">
        <v>135</v>
      </c>
    </row>
    <row r="698" spans="8:8" x14ac:dyDescent="0.25">
      <c r="H698" t="s">
        <v>3202</v>
      </c>
    </row>
    <row r="699" spans="8:8" x14ac:dyDescent="0.25">
      <c r="H699" t="s">
        <v>30</v>
      </c>
    </row>
    <row r="700" spans="8:8" x14ac:dyDescent="0.25">
      <c r="H700" t="s">
        <v>136</v>
      </c>
    </row>
    <row r="701" spans="8:8" x14ac:dyDescent="0.25">
      <c r="H701" t="s">
        <v>3203</v>
      </c>
    </row>
    <row r="702" spans="8:8" x14ac:dyDescent="0.25">
      <c r="H702" t="s">
        <v>30</v>
      </c>
    </row>
    <row r="703" spans="8:8" x14ac:dyDescent="0.25">
      <c r="H703" t="s">
        <v>137</v>
      </c>
    </row>
    <row r="704" spans="8:8" x14ac:dyDescent="0.25">
      <c r="H704" t="s">
        <v>3204</v>
      </c>
    </row>
    <row r="705" spans="8:8" x14ac:dyDescent="0.25">
      <c r="H705" t="s">
        <v>30</v>
      </c>
    </row>
    <row r="706" spans="8:8" x14ac:dyDescent="0.25">
      <c r="H706" t="s">
        <v>138</v>
      </c>
    </row>
    <row r="707" spans="8:8" x14ac:dyDescent="0.25">
      <c r="H707" t="s">
        <v>3205</v>
      </c>
    </row>
    <row r="708" spans="8:8" x14ac:dyDescent="0.25">
      <c r="H708" t="s">
        <v>30</v>
      </c>
    </row>
    <row r="710" spans="8:8" x14ac:dyDescent="0.25">
      <c r="H710" t="s">
        <v>817</v>
      </c>
    </row>
    <row r="711" spans="8:8" x14ac:dyDescent="0.25">
      <c r="H711" t="s">
        <v>2860</v>
      </c>
    </row>
    <row r="712" spans="8:8" x14ac:dyDescent="0.25">
      <c r="H712" t="s">
        <v>135</v>
      </c>
    </row>
    <row r="713" spans="8:8" x14ac:dyDescent="0.25">
      <c r="H713" t="s">
        <v>3206</v>
      </c>
    </row>
    <row r="714" spans="8:8" x14ac:dyDescent="0.25">
      <c r="H714" t="s">
        <v>30</v>
      </c>
    </row>
    <row r="715" spans="8:8" x14ac:dyDescent="0.25">
      <c r="H715" t="s">
        <v>136</v>
      </c>
    </row>
    <row r="716" spans="8:8" x14ac:dyDescent="0.25">
      <c r="H716" t="s">
        <v>3207</v>
      </c>
    </row>
    <row r="717" spans="8:8" x14ac:dyDescent="0.25">
      <c r="H717" t="s">
        <v>30</v>
      </c>
    </row>
    <row r="718" spans="8:8" x14ac:dyDescent="0.25">
      <c r="H718" t="s">
        <v>137</v>
      </c>
    </row>
    <row r="719" spans="8:8" x14ac:dyDescent="0.25">
      <c r="H719" t="s">
        <v>3208</v>
      </c>
    </row>
    <row r="720" spans="8:8" x14ac:dyDescent="0.25">
      <c r="H720" t="s">
        <v>30</v>
      </c>
    </row>
    <row r="721" spans="8:8" x14ac:dyDescent="0.25">
      <c r="H721" t="s">
        <v>138</v>
      </c>
    </row>
    <row r="722" spans="8:8" x14ac:dyDescent="0.25">
      <c r="H722" t="s">
        <v>3209</v>
      </c>
    </row>
    <row r="723" spans="8:8" x14ac:dyDescent="0.25">
      <c r="H723" t="s">
        <v>30</v>
      </c>
    </row>
    <row r="725" spans="8:8" x14ac:dyDescent="0.25">
      <c r="H725" t="s">
        <v>818</v>
      </c>
    </row>
    <row r="726" spans="8:8" x14ac:dyDescent="0.25">
      <c r="H726" t="s">
        <v>2861</v>
      </c>
    </row>
    <row r="727" spans="8:8" x14ac:dyDescent="0.25">
      <c r="H727" t="s">
        <v>135</v>
      </c>
    </row>
    <row r="728" spans="8:8" x14ac:dyDescent="0.25">
      <c r="H728" t="s">
        <v>3210</v>
      </c>
    </row>
    <row r="729" spans="8:8" x14ac:dyDescent="0.25">
      <c r="H729" t="s">
        <v>30</v>
      </c>
    </row>
    <row r="730" spans="8:8" x14ac:dyDescent="0.25">
      <c r="H730" t="s">
        <v>136</v>
      </c>
    </row>
    <row r="731" spans="8:8" x14ac:dyDescent="0.25">
      <c r="H731" t="s">
        <v>3211</v>
      </c>
    </row>
    <row r="732" spans="8:8" x14ac:dyDescent="0.25">
      <c r="H732" t="s">
        <v>30</v>
      </c>
    </row>
    <row r="733" spans="8:8" x14ac:dyDescent="0.25">
      <c r="H733" t="s">
        <v>137</v>
      </c>
    </row>
    <row r="734" spans="8:8" x14ac:dyDescent="0.25">
      <c r="H734" t="s">
        <v>3212</v>
      </c>
    </row>
    <row r="735" spans="8:8" x14ac:dyDescent="0.25">
      <c r="H735" t="s">
        <v>30</v>
      </c>
    </row>
    <row r="736" spans="8:8" x14ac:dyDescent="0.25">
      <c r="H736" t="s">
        <v>138</v>
      </c>
    </row>
    <row r="737" spans="8:8" x14ac:dyDescent="0.25">
      <c r="H737" t="s">
        <v>3213</v>
      </c>
    </row>
    <row r="738" spans="8:8" x14ac:dyDescent="0.25">
      <c r="H738" t="s">
        <v>30</v>
      </c>
    </row>
    <row r="740" spans="8:8" x14ac:dyDescent="0.25">
      <c r="H740" t="s">
        <v>819</v>
      </c>
    </row>
    <row r="741" spans="8:8" x14ac:dyDescent="0.25">
      <c r="H741" t="s">
        <v>2862</v>
      </c>
    </row>
    <row r="742" spans="8:8" x14ac:dyDescent="0.25">
      <c r="H742" t="s">
        <v>135</v>
      </c>
    </row>
    <row r="743" spans="8:8" x14ac:dyDescent="0.25">
      <c r="H743" t="s">
        <v>3214</v>
      </c>
    </row>
    <row r="744" spans="8:8" x14ac:dyDescent="0.25">
      <c r="H744" t="s">
        <v>30</v>
      </c>
    </row>
    <row r="745" spans="8:8" x14ac:dyDescent="0.25">
      <c r="H745" t="s">
        <v>136</v>
      </c>
    </row>
    <row r="746" spans="8:8" x14ac:dyDescent="0.25">
      <c r="H746" t="s">
        <v>3215</v>
      </c>
    </row>
    <row r="747" spans="8:8" x14ac:dyDescent="0.25">
      <c r="H747" t="s">
        <v>30</v>
      </c>
    </row>
    <row r="748" spans="8:8" x14ac:dyDescent="0.25">
      <c r="H748" t="s">
        <v>137</v>
      </c>
    </row>
    <row r="749" spans="8:8" x14ac:dyDescent="0.25">
      <c r="H749" t="s">
        <v>3216</v>
      </c>
    </row>
    <row r="750" spans="8:8" x14ac:dyDescent="0.25">
      <c r="H750" t="s">
        <v>30</v>
      </c>
    </row>
    <row r="751" spans="8:8" x14ac:dyDescent="0.25">
      <c r="H751" t="s">
        <v>138</v>
      </c>
    </row>
    <row r="752" spans="8:8" x14ac:dyDescent="0.25">
      <c r="H752" t="s">
        <v>3217</v>
      </c>
    </row>
    <row r="753" spans="8:8" x14ac:dyDescent="0.25">
      <c r="H753" t="s">
        <v>30</v>
      </c>
    </row>
    <row r="755" spans="8:8" x14ac:dyDescent="0.25">
      <c r="H755" t="s">
        <v>820</v>
      </c>
    </row>
    <row r="756" spans="8:8" x14ac:dyDescent="0.25">
      <c r="H756" t="s">
        <v>2863</v>
      </c>
    </row>
    <row r="757" spans="8:8" x14ac:dyDescent="0.25">
      <c r="H757" t="s">
        <v>135</v>
      </c>
    </row>
    <row r="758" spans="8:8" x14ac:dyDescent="0.25">
      <c r="H758" t="s">
        <v>3218</v>
      </c>
    </row>
    <row r="759" spans="8:8" x14ac:dyDescent="0.25">
      <c r="H759" t="s">
        <v>30</v>
      </c>
    </row>
    <row r="760" spans="8:8" x14ac:dyDescent="0.25">
      <c r="H760" t="s">
        <v>136</v>
      </c>
    </row>
    <row r="761" spans="8:8" x14ac:dyDescent="0.25">
      <c r="H761" t="s">
        <v>3219</v>
      </c>
    </row>
    <row r="762" spans="8:8" x14ac:dyDescent="0.25">
      <c r="H762" t="s">
        <v>30</v>
      </c>
    </row>
    <row r="763" spans="8:8" x14ac:dyDescent="0.25">
      <c r="H763" t="s">
        <v>137</v>
      </c>
    </row>
    <row r="764" spans="8:8" x14ac:dyDescent="0.25">
      <c r="H764" t="s">
        <v>3220</v>
      </c>
    </row>
    <row r="765" spans="8:8" x14ac:dyDescent="0.25">
      <c r="H765" t="s">
        <v>30</v>
      </c>
    </row>
    <row r="766" spans="8:8" x14ac:dyDescent="0.25">
      <c r="H766" t="s">
        <v>138</v>
      </c>
    </row>
    <row r="767" spans="8:8" x14ac:dyDescent="0.25">
      <c r="H767" t="s">
        <v>3221</v>
      </c>
    </row>
    <row r="768" spans="8:8" x14ac:dyDescent="0.25">
      <c r="H768" t="s">
        <v>30</v>
      </c>
    </row>
    <row r="770" spans="8:8" x14ac:dyDescent="0.25">
      <c r="H770" t="s">
        <v>821</v>
      </c>
    </row>
    <row r="771" spans="8:8" x14ac:dyDescent="0.25">
      <c r="H771" t="s">
        <v>2864</v>
      </c>
    </row>
    <row r="772" spans="8:8" x14ac:dyDescent="0.25">
      <c r="H772" t="s">
        <v>135</v>
      </c>
    </row>
    <row r="773" spans="8:8" x14ac:dyDescent="0.25">
      <c r="H773" t="s">
        <v>3222</v>
      </c>
    </row>
    <row r="774" spans="8:8" x14ac:dyDescent="0.25">
      <c r="H774" t="s">
        <v>30</v>
      </c>
    </row>
    <row r="775" spans="8:8" x14ac:dyDescent="0.25">
      <c r="H775" t="s">
        <v>136</v>
      </c>
    </row>
    <row r="776" spans="8:8" x14ac:dyDescent="0.25">
      <c r="H776" t="s">
        <v>3223</v>
      </c>
    </row>
    <row r="777" spans="8:8" x14ac:dyDescent="0.25">
      <c r="H777" t="s">
        <v>30</v>
      </c>
    </row>
    <row r="778" spans="8:8" x14ac:dyDescent="0.25">
      <c r="H778" t="s">
        <v>137</v>
      </c>
    </row>
    <row r="779" spans="8:8" x14ac:dyDescent="0.25">
      <c r="H779" t="s">
        <v>3224</v>
      </c>
    </row>
    <row r="780" spans="8:8" x14ac:dyDescent="0.25">
      <c r="H780" t="s">
        <v>30</v>
      </c>
    </row>
    <row r="781" spans="8:8" x14ac:dyDescent="0.25">
      <c r="H781" t="s">
        <v>138</v>
      </c>
    </row>
    <row r="782" spans="8:8" x14ac:dyDescent="0.25">
      <c r="H782" t="s">
        <v>3225</v>
      </c>
    </row>
    <row r="783" spans="8:8" x14ac:dyDescent="0.25">
      <c r="H783" t="s">
        <v>30</v>
      </c>
    </row>
    <row r="785" spans="8:8" x14ac:dyDescent="0.25">
      <c r="H785" t="s">
        <v>822</v>
      </c>
    </row>
    <row r="786" spans="8:8" x14ac:dyDescent="0.25">
      <c r="H786" t="s">
        <v>2865</v>
      </c>
    </row>
    <row r="787" spans="8:8" x14ac:dyDescent="0.25">
      <c r="H787" t="s">
        <v>135</v>
      </c>
    </row>
    <row r="788" spans="8:8" x14ac:dyDescent="0.25">
      <c r="H788" t="s">
        <v>3226</v>
      </c>
    </row>
    <row r="789" spans="8:8" x14ac:dyDescent="0.25">
      <c r="H789" t="s">
        <v>30</v>
      </c>
    </row>
    <row r="790" spans="8:8" x14ac:dyDescent="0.25">
      <c r="H790" t="s">
        <v>136</v>
      </c>
    </row>
    <row r="791" spans="8:8" x14ac:dyDescent="0.25">
      <c r="H791" t="s">
        <v>3227</v>
      </c>
    </row>
    <row r="792" spans="8:8" x14ac:dyDescent="0.25">
      <c r="H792" t="s">
        <v>30</v>
      </c>
    </row>
    <row r="793" spans="8:8" x14ac:dyDescent="0.25">
      <c r="H793" t="s">
        <v>137</v>
      </c>
    </row>
    <row r="794" spans="8:8" x14ac:dyDescent="0.25">
      <c r="H794" t="s">
        <v>3228</v>
      </c>
    </row>
    <row r="795" spans="8:8" x14ac:dyDescent="0.25">
      <c r="H795" t="s">
        <v>30</v>
      </c>
    </row>
    <row r="796" spans="8:8" x14ac:dyDescent="0.25">
      <c r="H796" t="s">
        <v>138</v>
      </c>
    </row>
    <row r="797" spans="8:8" x14ac:dyDescent="0.25">
      <c r="H797" t="s">
        <v>3229</v>
      </c>
    </row>
    <row r="798" spans="8:8" x14ac:dyDescent="0.25">
      <c r="H798" t="s">
        <v>30</v>
      </c>
    </row>
    <row r="800" spans="8:8" x14ac:dyDescent="0.25">
      <c r="H800" t="s">
        <v>823</v>
      </c>
    </row>
    <row r="801" spans="8:8" x14ac:dyDescent="0.25">
      <c r="H801" t="s">
        <v>2866</v>
      </c>
    </row>
    <row r="802" spans="8:8" x14ac:dyDescent="0.25">
      <c r="H802" t="s">
        <v>135</v>
      </c>
    </row>
    <row r="803" spans="8:8" x14ac:dyDescent="0.25">
      <c r="H803" t="s">
        <v>3230</v>
      </c>
    </row>
    <row r="804" spans="8:8" x14ac:dyDescent="0.25">
      <c r="H804" t="s">
        <v>30</v>
      </c>
    </row>
    <row r="805" spans="8:8" x14ac:dyDescent="0.25">
      <c r="H805" t="s">
        <v>136</v>
      </c>
    </row>
    <row r="806" spans="8:8" x14ac:dyDescent="0.25">
      <c r="H806" t="s">
        <v>3231</v>
      </c>
    </row>
    <row r="807" spans="8:8" x14ac:dyDescent="0.25">
      <c r="H807" t="s">
        <v>30</v>
      </c>
    </row>
    <row r="808" spans="8:8" x14ac:dyDescent="0.25">
      <c r="H808" t="s">
        <v>137</v>
      </c>
    </row>
    <row r="809" spans="8:8" x14ac:dyDescent="0.25">
      <c r="H809" t="s">
        <v>3232</v>
      </c>
    </row>
    <row r="810" spans="8:8" x14ac:dyDescent="0.25">
      <c r="H810" t="s">
        <v>30</v>
      </c>
    </row>
    <row r="811" spans="8:8" x14ac:dyDescent="0.25">
      <c r="H811" t="s">
        <v>138</v>
      </c>
    </row>
    <row r="812" spans="8:8" x14ac:dyDescent="0.25">
      <c r="H812" t="s">
        <v>3233</v>
      </c>
    </row>
    <row r="813" spans="8:8" x14ac:dyDescent="0.25">
      <c r="H813" t="s">
        <v>30</v>
      </c>
    </row>
    <row r="815" spans="8:8" x14ac:dyDescent="0.25">
      <c r="H815" t="s">
        <v>824</v>
      </c>
    </row>
    <row r="816" spans="8:8" x14ac:dyDescent="0.25">
      <c r="H816" t="s">
        <v>2867</v>
      </c>
    </row>
    <row r="817" spans="8:8" x14ac:dyDescent="0.25">
      <c r="H817" t="s">
        <v>135</v>
      </c>
    </row>
    <row r="818" spans="8:8" x14ac:dyDescent="0.25">
      <c r="H818" t="s">
        <v>3234</v>
      </c>
    </row>
    <row r="819" spans="8:8" x14ac:dyDescent="0.25">
      <c r="H819" t="s">
        <v>30</v>
      </c>
    </row>
    <row r="820" spans="8:8" x14ac:dyDescent="0.25">
      <c r="H820" t="s">
        <v>136</v>
      </c>
    </row>
    <row r="821" spans="8:8" x14ac:dyDescent="0.25">
      <c r="H821" t="s">
        <v>3235</v>
      </c>
    </row>
    <row r="822" spans="8:8" x14ac:dyDescent="0.25">
      <c r="H822" t="s">
        <v>30</v>
      </c>
    </row>
    <row r="823" spans="8:8" x14ac:dyDescent="0.25">
      <c r="H823" t="s">
        <v>137</v>
      </c>
    </row>
    <row r="824" spans="8:8" x14ac:dyDescent="0.25">
      <c r="H824" t="s">
        <v>3236</v>
      </c>
    </row>
    <row r="825" spans="8:8" x14ac:dyDescent="0.25">
      <c r="H825" t="s">
        <v>30</v>
      </c>
    </row>
    <row r="826" spans="8:8" x14ac:dyDescent="0.25">
      <c r="H826" t="s">
        <v>138</v>
      </c>
    </row>
    <row r="827" spans="8:8" x14ac:dyDescent="0.25">
      <c r="H827" t="s">
        <v>3237</v>
      </c>
    </row>
    <row r="828" spans="8:8" x14ac:dyDescent="0.25">
      <c r="H828" t="s">
        <v>30</v>
      </c>
    </row>
    <row r="830" spans="8:8" x14ac:dyDescent="0.25">
      <c r="H830" t="s">
        <v>825</v>
      </c>
    </row>
    <row r="831" spans="8:8" x14ac:dyDescent="0.25">
      <c r="H831" t="s">
        <v>2868</v>
      </c>
    </row>
    <row r="832" spans="8:8" x14ac:dyDescent="0.25">
      <c r="H832" t="s">
        <v>135</v>
      </c>
    </row>
    <row r="833" spans="8:8" x14ac:dyDescent="0.25">
      <c r="H833" t="s">
        <v>3238</v>
      </c>
    </row>
    <row r="834" spans="8:8" x14ac:dyDescent="0.25">
      <c r="H834" t="s">
        <v>30</v>
      </c>
    </row>
    <row r="835" spans="8:8" x14ac:dyDescent="0.25">
      <c r="H835" t="s">
        <v>136</v>
      </c>
    </row>
    <row r="836" spans="8:8" x14ac:dyDescent="0.25">
      <c r="H836" t="s">
        <v>3239</v>
      </c>
    </row>
    <row r="837" spans="8:8" x14ac:dyDescent="0.25">
      <c r="H837" t="s">
        <v>30</v>
      </c>
    </row>
    <row r="838" spans="8:8" x14ac:dyDescent="0.25">
      <c r="H838" t="s">
        <v>137</v>
      </c>
    </row>
    <row r="839" spans="8:8" x14ac:dyDescent="0.25">
      <c r="H839" t="s">
        <v>3240</v>
      </c>
    </row>
    <row r="840" spans="8:8" x14ac:dyDescent="0.25">
      <c r="H840" t="s">
        <v>30</v>
      </c>
    </row>
    <row r="841" spans="8:8" x14ac:dyDescent="0.25">
      <c r="H841" t="s">
        <v>138</v>
      </c>
    </row>
    <row r="842" spans="8:8" x14ac:dyDescent="0.25">
      <c r="H842" t="s">
        <v>3241</v>
      </c>
    </row>
    <row r="843" spans="8:8" x14ac:dyDescent="0.25">
      <c r="H843" t="s">
        <v>30</v>
      </c>
    </row>
    <row r="845" spans="8:8" x14ac:dyDescent="0.25">
      <c r="H845" t="s">
        <v>826</v>
      </c>
    </row>
    <row r="846" spans="8:8" x14ac:dyDescent="0.25">
      <c r="H846" t="s">
        <v>2869</v>
      </c>
    </row>
    <row r="847" spans="8:8" x14ac:dyDescent="0.25">
      <c r="H847" t="s">
        <v>135</v>
      </c>
    </row>
    <row r="848" spans="8:8" x14ac:dyDescent="0.25">
      <c r="H848" t="s">
        <v>3242</v>
      </c>
    </row>
    <row r="849" spans="8:8" x14ac:dyDescent="0.25">
      <c r="H849" t="s">
        <v>30</v>
      </c>
    </row>
    <row r="850" spans="8:8" x14ac:dyDescent="0.25">
      <c r="H850" t="s">
        <v>136</v>
      </c>
    </row>
    <row r="851" spans="8:8" x14ac:dyDescent="0.25">
      <c r="H851" t="s">
        <v>3243</v>
      </c>
    </row>
    <row r="852" spans="8:8" x14ac:dyDescent="0.25">
      <c r="H852" t="s">
        <v>30</v>
      </c>
    </row>
    <row r="853" spans="8:8" x14ac:dyDescent="0.25">
      <c r="H853" t="s">
        <v>137</v>
      </c>
    </row>
    <row r="854" spans="8:8" x14ac:dyDescent="0.25">
      <c r="H854" t="s">
        <v>3244</v>
      </c>
    </row>
    <row r="855" spans="8:8" x14ac:dyDescent="0.25">
      <c r="H855" t="s">
        <v>30</v>
      </c>
    </row>
    <row r="856" spans="8:8" x14ac:dyDescent="0.25">
      <c r="H856" t="s">
        <v>138</v>
      </c>
    </row>
    <row r="857" spans="8:8" x14ac:dyDescent="0.25">
      <c r="H857" t="s">
        <v>3245</v>
      </c>
    </row>
    <row r="858" spans="8:8" x14ac:dyDescent="0.25">
      <c r="H858" t="s">
        <v>30</v>
      </c>
    </row>
    <row r="860" spans="8:8" x14ac:dyDescent="0.25">
      <c r="H860" t="s">
        <v>827</v>
      </c>
    </row>
    <row r="861" spans="8:8" x14ac:dyDescent="0.25">
      <c r="H861" t="s">
        <v>2870</v>
      </c>
    </row>
    <row r="862" spans="8:8" x14ac:dyDescent="0.25">
      <c r="H862" t="s">
        <v>135</v>
      </c>
    </row>
    <row r="863" spans="8:8" x14ac:dyDescent="0.25">
      <c r="H863" t="s">
        <v>3246</v>
      </c>
    </row>
    <row r="864" spans="8:8" x14ac:dyDescent="0.25">
      <c r="H864" t="s">
        <v>30</v>
      </c>
    </row>
    <row r="865" spans="8:8" x14ac:dyDescent="0.25">
      <c r="H865" t="s">
        <v>136</v>
      </c>
    </row>
    <row r="866" spans="8:8" x14ac:dyDescent="0.25">
      <c r="H866" t="s">
        <v>3247</v>
      </c>
    </row>
    <row r="867" spans="8:8" x14ac:dyDescent="0.25">
      <c r="H867" t="s">
        <v>30</v>
      </c>
    </row>
    <row r="868" spans="8:8" x14ac:dyDescent="0.25">
      <c r="H868" t="s">
        <v>137</v>
      </c>
    </row>
    <row r="869" spans="8:8" x14ac:dyDescent="0.25">
      <c r="H869" t="s">
        <v>3248</v>
      </c>
    </row>
    <row r="870" spans="8:8" x14ac:dyDescent="0.25">
      <c r="H870" t="s">
        <v>30</v>
      </c>
    </row>
    <row r="871" spans="8:8" x14ac:dyDescent="0.25">
      <c r="H871" t="s">
        <v>138</v>
      </c>
    </row>
    <row r="872" spans="8:8" x14ac:dyDescent="0.25">
      <c r="H872" t="s">
        <v>3249</v>
      </c>
    </row>
    <row r="873" spans="8:8" x14ac:dyDescent="0.25">
      <c r="H873" t="s">
        <v>30</v>
      </c>
    </row>
    <row r="875" spans="8:8" x14ac:dyDescent="0.25">
      <c r="H875" t="s">
        <v>828</v>
      </c>
    </row>
    <row r="876" spans="8:8" x14ac:dyDescent="0.25">
      <c r="H876" t="s">
        <v>2871</v>
      </c>
    </row>
    <row r="877" spans="8:8" x14ac:dyDescent="0.25">
      <c r="H877" t="s">
        <v>135</v>
      </c>
    </row>
    <row r="878" spans="8:8" x14ac:dyDescent="0.25">
      <c r="H878" t="s">
        <v>3250</v>
      </c>
    </row>
    <row r="879" spans="8:8" x14ac:dyDescent="0.25">
      <c r="H879" t="s">
        <v>30</v>
      </c>
    </row>
    <row r="880" spans="8:8" x14ac:dyDescent="0.25">
      <c r="H880" t="s">
        <v>136</v>
      </c>
    </row>
    <row r="881" spans="8:8" x14ac:dyDescent="0.25">
      <c r="H881" t="s">
        <v>3251</v>
      </c>
    </row>
    <row r="882" spans="8:8" x14ac:dyDescent="0.25">
      <c r="H882" t="s">
        <v>30</v>
      </c>
    </row>
    <row r="883" spans="8:8" x14ac:dyDescent="0.25">
      <c r="H883" t="s">
        <v>137</v>
      </c>
    </row>
    <row r="884" spans="8:8" x14ac:dyDescent="0.25">
      <c r="H884" t="s">
        <v>3252</v>
      </c>
    </row>
    <row r="885" spans="8:8" x14ac:dyDescent="0.25">
      <c r="H885" t="s">
        <v>30</v>
      </c>
    </row>
    <row r="886" spans="8:8" x14ac:dyDescent="0.25">
      <c r="H886" t="s">
        <v>138</v>
      </c>
    </row>
    <row r="887" spans="8:8" x14ac:dyDescent="0.25">
      <c r="H887" t="s">
        <v>3253</v>
      </c>
    </row>
    <row r="888" spans="8:8" x14ac:dyDescent="0.25">
      <c r="H888" t="s">
        <v>30</v>
      </c>
    </row>
    <row r="890" spans="8:8" x14ac:dyDescent="0.25">
      <c r="H890" t="s">
        <v>829</v>
      </c>
    </row>
    <row r="891" spans="8:8" x14ac:dyDescent="0.25">
      <c r="H891" t="s">
        <v>2872</v>
      </c>
    </row>
    <row r="892" spans="8:8" x14ac:dyDescent="0.25">
      <c r="H892" t="s">
        <v>135</v>
      </c>
    </row>
    <row r="893" spans="8:8" x14ac:dyDescent="0.25">
      <c r="H893" t="s">
        <v>3254</v>
      </c>
    </row>
    <row r="894" spans="8:8" x14ac:dyDescent="0.25">
      <c r="H894" t="s">
        <v>30</v>
      </c>
    </row>
    <row r="895" spans="8:8" x14ac:dyDescent="0.25">
      <c r="H895" t="s">
        <v>136</v>
      </c>
    </row>
    <row r="896" spans="8:8" x14ac:dyDescent="0.25">
      <c r="H896" t="s">
        <v>3255</v>
      </c>
    </row>
    <row r="897" spans="8:8" x14ac:dyDescent="0.25">
      <c r="H897" t="s">
        <v>30</v>
      </c>
    </row>
    <row r="898" spans="8:8" x14ac:dyDescent="0.25">
      <c r="H898" t="s">
        <v>137</v>
      </c>
    </row>
    <row r="899" spans="8:8" x14ac:dyDescent="0.25">
      <c r="H899" t="s">
        <v>3256</v>
      </c>
    </row>
    <row r="900" spans="8:8" x14ac:dyDescent="0.25">
      <c r="H900" t="s">
        <v>30</v>
      </c>
    </row>
    <row r="901" spans="8:8" x14ac:dyDescent="0.25">
      <c r="H901" t="s">
        <v>138</v>
      </c>
    </row>
    <row r="902" spans="8:8" x14ac:dyDescent="0.25">
      <c r="H902" t="s">
        <v>3257</v>
      </c>
    </row>
    <row r="903" spans="8:8" x14ac:dyDescent="0.25">
      <c r="H903" t="s">
        <v>30</v>
      </c>
    </row>
    <row r="905" spans="8:8" x14ac:dyDescent="0.25">
      <c r="H905" t="s">
        <v>830</v>
      </c>
    </row>
    <row r="906" spans="8:8" x14ac:dyDescent="0.25">
      <c r="H906" t="s">
        <v>2873</v>
      </c>
    </row>
    <row r="907" spans="8:8" x14ac:dyDescent="0.25">
      <c r="H907" t="s">
        <v>135</v>
      </c>
    </row>
    <row r="908" spans="8:8" x14ac:dyDescent="0.25">
      <c r="H908" t="s">
        <v>3258</v>
      </c>
    </row>
    <row r="909" spans="8:8" x14ac:dyDescent="0.25">
      <c r="H909" t="s">
        <v>30</v>
      </c>
    </row>
    <row r="910" spans="8:8" x14ac:dyDescent="0.25">
      <c r="H910" t="s">
        <v>136</v>
      </c>
    </row>
    <row r="911" spans="8:8" x14ac:dyDescent="0.25">
      <c r="H911" t="s">
        <v>3259</v>
      </c>
    </row>
    <row r="912" spans="8:8" x14ac:dyDescent="0.25">
      <c r="H912" t="s">
        <v>30</v>
      </c>
    </row>
    <row r="913" spans="8:8" x14ac:dyDescent="0.25">
      <c r="H913" t="s">
        <v>137</v>
      </c>
    </row>
    <row r="914" spans="8:8" x14ac:dyDescent="0.25">
      <c r="H914" t="s">
        <v>3260</v>
      </c>
    </row>
    <row r="915" spans="8:8" x14ac:dyDescent="0.25">
      <c r="H915" t="s">
        <v>30</v>
      </c>
    </row>
    <row r="916" spans="8:8" x14ac:dyDescent="0.25">
      <c r="H916" t="s">
        <v>138</v>
      </c>
    </row>
    <row r="917" spans="8:8" x14ac:dyDescent="0.25">
      <c r="H917" t="s">
        <v>3261</v>
      </c>
    </row>
    <row r="918" spans="8:8" x14ac:dyDescent="0.25">
      <c r="H918" t="s">
        <v>30</v>
      </c>
    </row>
    <row r="920" spans="8:8" x14ac:dyDescent="0.25">
      <c r="H920" t="s">
        <v>831</v>
      </c>
    </row>
    <row r="921" spans="8:8" x14ac:dyDescent="0.25">
      <c r="H921" t="s">
        <v>2874</v>
      </c>
    </row>
    <row r="922" spans="8:8" x14ac:dyDescent="0.25">
      <c r="H922" t="s">
        <v>135</v>
      </c>
    </row>
    <row r="923" spans="8:8" x14ac:dyDescent="0.25">
      <c r="H923" t="s">
        <v>3262</v>
      </c>
    </row>
    <row r="924" spans="8:8" x14ac:dyDescent="0.25">
      <c r="H924" t="s">
        <v>30</v>
      </c>
    </row>
    <row r="925" spans="8:8" x14ac:dyDescent="0.25">
      <c r="H925" t="s">
        <v>136</v>
      </c>
    </row>
    <row r="926" spans="8:8" x14ac:dyDescent="0.25">
      <c r="H926" t="s">
        <v>3263</v>
      </c>
    </row>
    <row r="927" spans="8:8" x14ac:dyDescent="0.25">
      <c r="H927" t="s">
        <v>30</v>
      </c>
    </row>
    <row r="928" spans="8:8" x14ac:dyDescent="0.25">
      <c r="H928" t="s">
        <v>137</v>
      </c>
    </row>
    <row r="929" spans="8:8" x14ac:dyDescent="0.25">
      <c r="H929" t="s">
        <v>3264</v>
      </c>
    </row>
    <row r="930" spans="8:8" x14ac:dyDescent="0.25">
      <c r="H930" t="s">
        <v>30</v>
      </c>
    </row>
    <row r="931" spans="8:8" x14ac:dyDescent="0.25">
      <c r="H931" t="s">
        <v>138</v>
      </c>
    </row>
    <row r="932" spans="8:8" x14ac:dyDescent="0.25">
      <c r="H932" t="s">
        <v>3265</v>
      </c>
    </row>
    <row r="933" spans="8:8" x14ac:dyDescent="0.25">
      <c r="H933" t="s">
        <v>30</v>
      </c>
    </row>
    <row r="935" spans="8:8" x14ac:dyDescent="0.25">
      <c r="H935" t="s">
        <v>832</v>
      </c>
    </row>
    <row r="936" spans="8:8" x14ac:dyDescent="0.25">
      <c r="H936" t="s">
        <v>2875</v>
      </c>
    </row>
    <row r="937" spans="8:8" x14ac:dyDescent="0.25">
      <c r="H937" t="s">
        <v>135</v>
      </c>
    </row>
    <row r="938" spans="8:8" x14ac:dyDescent="0.25">
      <c r="H938" t="s">
        <v>3266</v>
      </c>
    </row>
    <row r="939" spans="8:8" x14ac:dyDescent="0.25">
      <c r="H939" t="s">
        <v>30</v>
      </c>
    </row>
    <row r="940" spans="8:8" x14ac:dyDescent="0.25">
      <c r="H940" t="s">
        <v>136</v>
      </c>
    </row>
    <row r="941" spans="8:8" x14ac:dyDescent="0.25">
      <c r="H941" t="s">
        <v>3267</v>
      </c>
    </row>
    <row r="942" spans="8:8" x14ac:dyDescent="0.25">
      <c r="H942" t="s">
        <v>30</v>
      </c>
    </row>
    <row r="943" spans="8:8" x14ac:dyDescent="0.25">
      <c r="H943" t="s">
        <v>137</v>
      </c>
    </row>
    <row r="944" spans="8:8" x14ac:dyDescent="0.25">
      <c r="H944" t="s">
        <v>3268</v>
      </c>
    </row>
    <row r="945" spans="8:8" x14ac:dyDescent="0.25">
      <c r="H945" t="s">
        <v>30</v>
      </c>
    </row>
    <row r="946" spans="8:8" x14ac:dyDescent="0.25">
      <c r="H946" t="s">
        <v>138</v>
      </c>
    </row>
    <row r="947" spans="8:8" x14ac:dyDescent="0.25">
      <c r="H947" t="s">
        <v>3269</v>
      </c>
    </row>
    <row r="948" spans="8:8" x14ac:dyDescent="0.25">
      <c r="H948" t="s">
        <v>30</v>
      </c>
    </row>
    <row r="950" spans="8:8" x14ac:dyDescent="0.25">
      <c r="H950" t="s">
        <v>833</v>
      </c>
    </row>
    <row r="951" spans="8:8" x14ac:dyDescent="0.25">
      <c r="H951" t="s">
        <v>2876</v>
      </c>
    </row>
    <row r="952" spans="8:8" x14ac:dyDescent="0.25">
      <c r="H952" t="s">
        <v>135</v>
      </c>
    </row>
    <row r="953" spans="8:8" x14ac:dyDescent="0.25">
      <c r="H953" t="s">
        <v>3270</v>
      </c>
    </row>
    <row r="954" spans="8:8" x14ac:dyDescent="0.25">
      <c r="H954" t="s">
        <v>30</v>
      </c>
    </row>
    <row r="955" spans="8:8" x14ac:dyDescent="0.25">
      <c r="H955" t="s">
        <v>136</v>
      </c>
    </row>
    <row r="956" spans="8:8" x14ac:dyDescent="0.25">
      <c r="H956" t="s">
        <v>3271</v>
      </c>
    </row>
    <row r="957" spans="8:8" x14ac:dyDescent="0.25">
      <c r="H957" t="s">
        <v>30</v>
      </c>
    </row>
    <row r="958" spans="8:8" x14ac:dyDescent="0.25">
      <c r="H958" t="s">
        <v>137</v>
      </c>
    </row>
    <row r="959" spans="8:8" x14ac:dyDescent="0.25">
      <c r="H959" t="s">
        <v>3272</v>
      </c>
    </row>
    <row r="960" spans="8:8" x14ac:dyDescent="0.25">
      <c r="H960" t="s">
        <v>30</v>
      </c>
    </row>
    <row r="961" spans="8:8" x14ac:dyDescent="0.25">
      <c r="H961" t="s">
        <v>138</v>
      </c>
    </row>
    <row r="962" spans="8:8" x14ac:dyDescent="0.25">
      <c r="H962" t="s">
        <v>3273</v>
      </c>
    </row>
    <row r="963" spans="8:8" x14ac:dyDescent="0.25">
      <c r="H963" t="s">
        <v>30</v>
      </c>
    </row>
    <row r="965" spans="8:8" x14ac:dyDescent="0.25">
      <c r="H965" t="s">
        <v>834</v>
      </c>
    </row>
    <row r="966" spans="8:8" x14ac:dyDescent="0.25">
      <c r="H966" t="s">
        <v>2877</v>
      </c>
    </row>
    <row r="967" spans="8:8" x14ac:dyDescent="0.25">
      <c r="H967" t="s">
        <v>135</v>
      </c>
    </row>
    <row r="968" spans="8:8" x14ac:dyDescent="0.25">
      <c r="H968" t="s">
        <v>3274</v>
      </c>
    </row>
    <row r="969" spans="8:8" x14ac:dyDescent="0.25">
      <c r="H969" t="s">
        <v>30</v>
      </c>
    </row>
    <row r="970" spans="8:8" x14ac:dyDescent="0.25">
      <c r="H970" t="s">
        <v>136</v>
      </c>
    </row>
    <row r="971" spans="8:8" x14ac:dyDescent="0.25">
      <c r="H971" t="s">
        <v>3275</v>
      </c>
    </row>
    <row r="972" spans="8:8" x14ac:dyDescent="0.25">
      <c r="H972" t="s">
        <v>30</v>
      </c>
    </row>
    <row r="973" spans="8:8" x14ac:dyDescent="0.25">
      <c r="H973" t="s">
        <v>137</v>
      </c>
    </row>
    <row r="974" spans="8:8" x14ac:dyDescent="0.25">
      <c r="H974" t="s">
        <v>3276</v>
      </c>
    </row>
    <row r="975" spans="8:8" x14ac:dyDescent="0.25">
      <c r="H975" t="s">
        <v>30</v>
      </c>
    </row>
    <row r="976" spans="8:8" x14ac:dyDescent="0.25">
      <c r="H976" t="s">
        <v>138</v>
      </c>
    </row>
    <row r="977" spans="8:8" x14ac:dyDescent="0.25">
      <c r="H977" t="s">
        <v>3277</v>
      </c>
    </row>
    <row r="978" spans="8:8" x14ac:dyDescent="0.25">
      <c r="H978" t="s">
        <v>30</v>
      </c>
    </row>
    <row r="980" spans="8:8" x14ac:dyDescent="0.25">
      <c r="H980" t="s">
        <v>835</v>
      </c>
    </row>
    <row r="981" spans="8:8" x14ac:dyDescent="0.25">
      <c r="H981" t="s">
        <v>2878</v>
      </c>
    </row>
    <row r="982" spans="8:8" x14ac:dyDescent="0.25">
      <c r="H982" t="s">
        <v>135</v>
      </c>
    </row>
    <row r="983" spans="8:8" x14ac:dyDescent="0.25">
      <c r="H983" t="s">
        <v>3278</v>
      </c>
    </row>
    <row r="984" spans="8:8" x14ac:dyDescent="0.25">
      <c r="H984" t="s">
        <v>30</v>
      </c>
    </row>
    <row r="985" spans="8:8" x14ac:dyDescent="0.25">
      <c r="H985" t="s">
        <v>136</v>
      </c>
    </row>
    <row r="986" spans="8:8" x14ac:dyDescent="0.25">
      <c r="H986" t="s">
        <v>3279</v>
      </c>
    </row>
    <row r="987" spans="8:8" x14ac:dyDescent="0.25">
      <c r="H987" t="s">
        <v>30</v>
      </c>
    </row>
    <row r="988" spans="8:8" x14ac:dyDescent="0.25">
      <c r="H988" t="s">
        <v>137</v>
      </c>
    </row>
    <row r="989" spans="8:8" x14ac:dyDescent="0.25">
      <c r="H989" t="s">
        <v>3280</v>
      </c>
    </row>
    <row r="990" spans="8:8" x14ac:dyDescent="0.25">
      <c r="H990" t="s">
        <v>30</v>
      </c>
    </row>
    <row r="991" spans="8:8" x14ac:dyDescent="0.25">
      <c r="H991" t="s">
        <v>138</v>
      </c>
    </row>
    <row r="992" spans="8:8" x14ac:dyDescent="0.25">
      <c r="H992" t="s">
        <v>3281</v>
      </c>
    </row>
    <row r="993" spans="8:8" x14ac:dyDescent="0.25">
      <c r="H993" t="s">
        <v>30</v>
      </c>
    </row>
    <row r="995" spans="8:8" x14ac:dyDescent="0.25">
      <c r="H995" t="s">
        <v>836</v>
      </c>
    </row>
    <row r="996" spans="8:8" x14ac:dyDescent="0.25">
      <c r="H996" t="s">
        <v>2879</v>
      </c>
    </row>
    <row r="997" spans="8:8" x14ac:dyDescent="0.25">
      <c r="H997" t="s">
        <v>135</v>
      </c>
    </row>
    <row r="998" spans="8:8" x14ac:dyDescent="0.25">
      <c r="H998" t="s">
        <v>2880</v>
      </c>
    </row>
    <row r="999" spans="8:8" x14ac:dyDescent="0.25">
      <c r="H999" t="s">
        <v>30</v>
      </c>
    </row>
    <row r="1001" spans="8:8" x14ac:dyDescent="0.25">
      <c r="H1001" t="s">
        <v>837</v>
      </c>
    </row>
    <row r="1002" spans="8:8" x14ac:dyDescent="0.25">
      <c r="H1002" t="s">
        <v>2881</v>
      </c>
    </row>
    <row r="1003" spans="8:8" x14ac:dyDescent="0.25">
      <c r="H1003" t="s">
        <v>135</v>
      </c>
    </row>
    <row r="1004" spans="8:8" x14ac:dyDescent="0.25">
      <c r="H1004" t="s">
        <v>2882</v>
      </c>
    </row>
    <row r="1005" spans="8:8" x14ac:dyDescent="0.25">
      <c r="H1005" t="s">
        <v>30</v>
      </c>
    </row>
    <row r="1006" spans="8:8" x14ac:dyDescent="0.25">
      <c r="H1006" t="s">
        <v>136</v>
      </c>
    </row>
    <row r="1007" spans="8:8" x14ac:dyDescent="0.25">
      <c r="H1007" t="s">
        <v>2883</v>
      </c>
    </row>
    <row r="1008" spans="8:8" x14ac:dyDescent="0.25">
      <c r="H1008" t="s">
        <v>30</v>
      </c>
    </row>
    <row r="1009" spans="8:8" x14ac:dyDescent="0.25">
      <c r="H1009" t="s">
        <v>137</v>
      </c>
    </row>
    <row r="1010" spans="8:8" x14ac:dyDescent="0.25">
      <c r="H1010" t="s">
        <v>2884</v>
      </c>
    </row>
    <row r="1011" spans="8:8" x14ac:dyDescent="0.25">
      <c r="H1011" t="s">
        <v>30</v>
      </c>
    </row>
    <row r="1013" spans="8:8" x14ac:dyDescent="0.25">
      <c r="H1013" t="s">
        <v>838</v>
      </c>
    </row>
    <row r="1014" spans="8:8" x14ac:dyDescent="0.25">
      <c r="H1014" t="s">
        <v>2885</v>
      </c>
    </row>
    <row r="1015" spans="8:8" x14ac:dyDescent="0.25">
      <c r="H1015" t="s">
        <v>135</v>
      </c>
    </row>
    <row r="1016" spans="8:8" x14ac:dyDescent="0.25">
      <c r="H1016" t="s">
        <v>2886</v>
      </c>
    </row>
    <row r="1017" spans="8:8" x14ac:dyDescent="0.25">
      <c r="H1017" t="s">
        <v>30</v>
      </c>
    </row>
    <row r="1018" spans="8:8" x14ac:dyDescent="0.25">
      <c r="H1018" t="s">
        <v>136</v>
      </c>
    </row>
    <row r="1019" spans="8:8" x14ac:dyDescent="0.25">
      <c r="H1019" t="s">
        <v>2887</v>
      </c>
    </row>
    <row r="1020" spans="8:8" x14ac:dyDescent="0.25">
      <c r="H1020" t="s">
        <v>30</v>
      </c>
    </row>
    <row r="1021" spans="8:8" x14ac:dyDescent="0.25">
      <c r="H1021" t="s">
        <v>2888</v>
      </c>
    </row>
    <row r="1022" spans="8:8" x14ac:dyDescent="0.25">
      <c r="H1022" t="s">
        <v>137</v>
      </c>
    </row>
    <row r="1023" spans="8:8" x14ac:dyDescent="0.25">
      <c r="H1023" t="s">
        <v>2889</v>
      </c>
    </row>
    <row r="1024" spans="8:8" x14ac:dyDescent="0.25">
      <c r="H1024" t="s">
        <v>30</v>
      </c>
    </row>
    <row r="1026" spans="8:8" x14ac:dyDescent="0.25">
      <c r="H1026" t="s">
        <v>839</v>
      </c>
    </row>
    <row r="1027" spans="8:8" x14ac:dyDescent="0.25">
      <c r="H1027" t="s">
        <v>2890</v>
      </c>
    </row>
    <row r="1028" spans="8:8" x14ac:dyDescent="0.25">
      <c r="H1028" t="s">
        <v>135</v>
      </c>
    </row>
    <row r="1029" spans="8:8" x14ac:dyDescent="0.25">
      <c r="H1029" t="s">
        <v>2891</v>
      </c>
    </row>
    <row r="1030" spans="8:8" x14ac:dyDescent="0.25">
      <c r="H1030" t="s">
        <v>30</v>
      </c>
    </row>
    <row r="1031" spans="8:8" x14ac:dyDescent="0.25">
      <c r="H1031" t="s">
        <v>136</v>
      </c>
    </row>
    <row r="1032" spans="8:8" x14ac:dyDescent="0.25">
      <c r="H1032" t="s">
        <v>2892</v>
      </c>
    </row>
    <row r="1033" spans="8:8" x14ac:dyDescent="0.25">
      <c r="H1033" t="s">
        <v>30</v>
      </c>
    </row>
    <row r="1035" spans="8:8" x14ac:dyDescent="0.25">
      <c r="H1035" t="s">
        <v>840</v>
      </c>
    </row>
    <row r="1036" spans="8:8" x14ac:dyDescent="0.25">
      <c r="H1036" t="s">
        <v>2893</v>
      </c>
    </row>
    <row r="1037" spans="8:8" x14ac:dyDescent="0.25">
      <c r="H1037" t="s">
        <v>135</v>
      </c>
    </row>
    <row r="1038" spans="8:8" x14ac:dyDescent="0.25">
      <c r="H1038" t="s">
        <v>3099</v>
      </c>
    </row>
    <row r="1039" spans="8:8" x14ac:dyDescent="0.25">
      <c r="H1039" t="s">
        <v>30</v>
      </c>
    </row>
    <row r="1041" spans="8:8" x14ac:dyDescent="0.25">
      <c r="H1041" t="s">
        <v>841</v>
      </c>
    </row>
    <row r="1042" spans="8:8" x14ac:dyDescent="0.25">
      <c r="H1042" t="s">
        <v>2894</v>
      </c>
    </row>
    <row r="1043" spans="8:8" x14ac:dyDescent="0.25">
      <c r="H1043" t="s">
        <v>135</v>
      </c>
    </row>
    <row r="1044" spans="8:8" x14ac:dyDescent="0.25">
      <c r="H1044" t="s">
        <v>2895</v>
      </c>
    </row>
    <row r="1045" spans="8:8" x14ac:dyDescent="0.25">
      <c r="H1045" t="s">
        <v>30</v>
      </c>
    </row>
    <row r="1047" spans="8:8" x14ac:dyDescent="0.25">
      <c r="H1047" t="s">
        <v>842</v>
      </c>
    </row>
    <row r="1048" spans="8:8" x14ac:dyDescent="0.25">
      <c r="H1048" t="s">
        <v>2896</v>
      </c>
    </row>
    <row r="1049" spans="8:8" x14ac:dyDescent="0.25">
      <c r="H1049" t="s">
        <v>135</v>
      </c>
    </row>
    <row r="1050" spans="8:8" x14ac:dyDescent="0.25">
      <c r="H1050" t="s">
        <v>2897</v>
      </c>
    </row>
    <row r="1051" spans="8:8" x14ac:dyDescent="0.25">
      <c r="H1051" t="s">
        <v>30</v>
      </c>
    </row>
    <row r="1052" spans="8:8" x14ac:dyDescent="0.25">
      <c r="H1052" t="s">
        <v>136</v>
      </c>
    </row>
    <row r="1053" spans="8:8" x14ac:dyDescent="0.25">
      <c r="H1053" t="s">
        <v>2898</v>
      </c>
    </row>
    <row r="1054" spans="8:8" x14ac:dyDescent="0.25">
      <c r="H1054" t="s">
        <v>30</v>
      </c>
    </row>
    <row r="1055" spans="8:8" x14ac:dyDescent="0.25">
      <c r="H1055" t="s">
        <v>137</v>
      </c>
    </row>
    <row r="1056" spans="8:8" x14ac:dyDescent="0.25">
      <c r="H1056" t="s">
        <v>2899</v>
      </c>
    </row>
    <row r="1057" spans="8:8" x14ac:dyDescent="0.25">
      <c r="H1057" t="s">
        <v>30</v>
      </c>
    </row>
    <row r="1059" spans="8:8" x14ac:dyDescent="0.25">
      <c r="H1059" t="s">
        <v>843</v>
      </c>
    </row>
    <row r="1060" spans="8:8" x14ac:dyDescent="0.25">
      <c r="H1060" t="s">
        <v>2900</v>
      </c>
    </row>
    <row r="1061" spans="8:8" x14ac:dyDescent="0.25">
      <c r="H1061" t="s">
        <v>135</v>
      </c>
    </row>
    <row r="1062" spans="8:8" x14ac:dyDescent="0.25">
      <c r="H1062" t="s">
        <v>2901</v>
      </c>
    </row>
    <row r="1063" spans="8:8" x14ac:dyDescent="0.25">
      <c r="H1063" t="s">
        <v>30</v>
      </c>
    </row>
    <row r="1064" spans="8:8" x14ac:dyDescent="0.25">
      <c r="H1064" t="s">
        <v>136</v>
      </c>
    </row>
    <row r="1065" spans="8:8" x14ac:dyDescent="0.25">
      <c r="H1065" t="s">
        <v>2902</v>
      </c>
    </row>
    <row r="1066" spans="8:8" x14ac:dyDescent="0.25">
      <c r="H1066" t="s">
        <v>30</v>
      </c>
    </row>
    <row r="1067" spans="8:8" x14ac:dyDescent="0.25">
      <c r="H1067" t="s">
        <v>2903</v>
      </c>
    </row>
    <row r="1068" spans="8:8" x14ac:dyDescent="0.25">
      <c r="H1068" t="s">
        <v>137</v>
      </c>
    </row>
    <row r="1069" spans="8:8" x14ac:dyDescent="0.25">
      <c r="H1069" t="s">
        <v>2904</v>
      </c>
    </row>
    <row r="1070" spans="8:8" x14ac:dyDescent="0.25">
      <c r="H1070" t="s">
        <v>30</v>
      </c>
    </row>
    <row r="1072" spans="8:8" x14ac:dyDescent="0.25">
      <c r="H1072" t="s">
        <v>844</v>
      </c>
    </row>
    <row r="1073" spans="8:8" x14ac:dyDescent="0.25">
      <c r="H1073" t="s">
        <v>2905</v>
      </c>
    </row>
    <row r="1074" spans="8:8" x14ac:dyDescent="0.25">
      <c r="H1074" t="s">
        <v>135</v>
      </c>
    </row>
    <row r="1075" spans="8:8" x14ac:dyDescent="0.25">
      <c r="H1075" t="s">
        <v>2906</v>
      </c>
    </row>
    <row r="1076" spans="8:8" x14ac:dyDescent="0.25">
      <c r="H1076" t="s">
        <v>30</v>
      </c>
    </row>
    <row r="1077" spans="8:8" x14ac:dyDescent="0.25">
      <c r="H1077" t="s">
        <v>136</v>
      </c>
    </row>
    <row r="1078" spans="8:8" x14ac:dyDescent="0.25">
      <c r="H1078" t="s">
        <v>2907</v>
      </c>
    </row>
    <row r="1079" spans="8:8" x14ac:dyDescent="0.25">
      <c r="H1079" t="s">
        <v>30</v>
      </c>
    </row>
    <row r="1081" spans="8:8" x14ac:dyDescent="0.25">
      <c r="H1081" t="s">
        <v>845</v>
      </c>
    </row>
    <row r="1082" spans="8:8" x14ac:dyDescent="0.25">
      <c r="H1082" t="s">
        <v>2908</v>
      </c>
    </row>
    <row r="1083" spans="8:8" x14ac:dyDescent="0.25">
      <c r="H1083" t="s">
        <v>135</v>
      </c>
    </row>
    <row r="1084" spans="8:8" x14ac:dyDescent="0.25">
      <c r="H1084" t="s">
        <v>3100</v>
      </c>
    </row>
    <row r="1085" spans="8:8" x14ac:dyDescent="0.25">
      <c r="H1085" t="s">
        <v>30</v>
      </c>
    </row>
    <row r="1086" spans="8:8" x14ac:dyDescent="0.25">
      <c r="H1086" t="s">
        <v>2909</v>
      </c>
    </row>
    <row r="1087" spans="8:8" x14ac:dyDescent="0.25">
      <c r="H1087" t="s">
        <v>137</v>
      </c>
    </row>
    <row r="1088" spans="8:8" x14ac:dyDescent="0.25">
      <c r="H1088" t="s">
        <v>3282</v>
      </c>
    </row>
    <row r="1089" spans="8:8" x14ac:dyDescent="0.25">
      <c r="H1089" t="s">
        <v>30</v>
      </c>
    </row>
    <row r="1090" spans="8:8" x14ac:dyDescent="0.25">
      <c r="H1090" t="s">
        <v>138</v>
      </c>
    </row>
    <row r="1091" spans="8:8" x14ac:dyDescent="0.25">
      <c r="H1091" t="s">
        <v>3283</v>
      </c>
    </row>
    <row r="1092" spans="8:8" x14ac:dyDescent="0.25">
      <c r="H1092" t="s">
        <v>30</v>
      </c>
    </row>
    <row r="1094" spans="8:8" x14ac:dyDescent="0.25">
      <c r="H1094" t="s">
        <v>846</v>
      </c>
    </row>
    <row r="1095" spans="8:8" x14ac:dyDescent="0.25">
      <c r="H1095" t="s">
        <v>2910</v>
      </c>
    </row>
    <row r="1096" spans="8:8" x14ac:dyDescent="0.25">
      <c r="H1096" t="s">
        <v>135</v>
      </c>
    </row>
    <row r="1097" spans="8:8" x14ac:dyDescent="0.25">
      <c r="H1097" t="s">
        <v>3284</v>
      </c>
    </row>
    <row r="1098" spans="8:8" x14ac:dyDescent="0.25">
      <c r="H1098" t="s">
        <v>30</v>
      </c>
    </row>
    <row r="1099" spans="8:8" x14ac:dyDescent="0.25">
      <c r="H1099" t="s">
        <v>136</v>
      </c>
    </row>
    <row r="1100" spans="8:8" x14ac:dyDescent="0.25">
      <c r="H1100" t="s">
        <v>3285</v>
      </c>
    </row>
    <row r="1101" spans="8:8" x14ac:dyDescent="0.25">
      <c r="H1101" t="s">
        <v>30</v>
      </c>
    </row>
    <row r="1102" spans="8:8" x14ac:dyDescent="0.25">
      <c r="H1102" t="s">
        <v>137</v>
      </c>
    </row>
    <row r="1103" spans="8:8" x14ac:dyDescent="0.25">
      <c r="H1103" t="s">
        <v>3286</v>
      </c>
    </row>
    <row r="1104" spans="8:8" x14ac:dyDescent="0.25">
      <c r="H1104" t="s">
        <v>30</v>
      </c>
    </row>
    <row r="1105" spans="8:8" x14ac:dyDescent="0.25">
      <c r="H1105" t="s">
        <v>138</v>
      </c>
    </row>
    <row r="1106" spans="8:8" x14ac:dyDescent="0.25">
      <c r="H1106" t="s">
        <v>3287</v>
      </c>
    </row>
    <row r="1107" spans="8:8" x14ac:dyDescent="0.25">
      <c r="H1107" t="s">
        <v>30</v>
      </c>
    </row>
    <row r="1109" spans="8:8" x14ac:dyDescent="0.25">
      <c r="H1109" t="s">
        <v>847</v>
      </c>
    </row>
    <row r="1110" spans="8:8" x14ac:dyDescent="0.25">
      <c r="H1110" t="s">
        <v>2911</v>
      </c>
    </row>
    <row r="1111" spans="8:8" x14ac:dyDescent="0.25">
      <c r="H1111" t="s">
        <v>135</v>
      </c>
    </row>
    <row r="1112" spans="8:8" x14ac:dyDescent="0.25">
      <c r="H1112" t="s">
        <v>3288</v>
      </c>
    </row>
    <row r="1113" spans="8:8" x14ac:dyDescent="0.25">
      <c r="H1113" t="s">
        <v>30</v>
      </c>
    </row>
    <row r="1114" spans="8:8" x14ac:dyDescent="0.25">
      <c r="H1114" t="s">
        <v>136</v>
      </c>
    </row>
    <row r="1115" spans="8:8" x14ac:dyDescent="0.25">
      <c r="H1115" t="s">
        <v>3289</v>
      </c>
    </row>
    <row r="1116" spans="8:8" x14ac:dyDescent="0.25">
      <c r="H1116" t="s">
        <v>30</v>
      </c>
    </row>
    <row r="1117" spans="8:8" x14ac:dyDescent="0.25">
      <c r="H1117" t="s">
        <v>137</v>
      </c>
    </row>
    <row r="1118" spans="8:8" x14ac:dyDescent="0.25">
      <c r="H1118" t="s">
        <v>3290</v>
      </c>
    </row>
    <row r="1119" spans="8:8" x14ac:dyDescent="0.25">
      <c r="H1119" t="s">
        <v>30</v>
      </c>
    </row>
    <row r="1120" spans="8:8" x14ac:dyDescent="0.25">
      <c r="H1120" t="s">
        <v>138</v>
      </c>
    </row>
    <row r="1121" spans="8:8" x14ac:dyDescent="0.25">
      <c r="H1121" t="s">
        <v>3291</v>
      </c>
    </row>
    <row r="1122" spans="8:8" x14ac:dyDescent="0.25">
      <c r="H1122" t="s">
        <v>30</v>
      </c>
    </row>
    <row r="1124" spans="8:8" x14ac:dyDescent="0.25">
      <c r="H1124" t="s">
        <v>28</v>
      </c>
    </row>
    <row r="1125" spans="8:8" x14ac:dyDescent="0.25">
      <c r="H1125" t="s">
        <v>119</v>
      </c>
    </row>
    <row r="1126" spans="8:8" x14ac:dyDescent="0.25">
      <c r="H1126" t="s">
        <v>139</v>
      </c>
    </row>
    <row r="1128" spans="8:8" x14ac:dyDescent="0.25">
      <c r="H1128" t="s">
        <v>29</v>
      </c>
    </row>
    <row r="1129" spans="8:8" x14ac:dyDescent="0.25">
      <c r="H1129" s="6" t="s">
        <v>84</v>
      </c>
    </row>
    <row r="16388" spans="8:8" x14ac:dyDescent="0.25">
      <c r="H16388" t="s">
        <v>918</v>
      </c>
    </row>
    <row r="16389" spans="8:8" x14ac:dyDescent="0.25">
      <c r="H16389" t="s">
        <v>135</v>
      </c>
    </row>
    <row r="16390" spans="8:8" x14ac:dyDescent="0.25">
      <c r="H16390" t="s">
        <v>919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920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921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922</v>
      </c>
    </row>
    <row r="16400" spans="8:8" x14ac:dyDescent="0.25">
      <c r="H16400" t="s">
        <v>30</v>
      </c>
    </row>
    <row r="16402" spans="8:8" x14ac:dyDescent="0.25">
      <c r="H16402" t="s">
        <v>923</v>
      </c>
    </row>
    <row r="16403" spans="8:8" x14ac:dyDescent="0.25">
      <c r="H16403" t="s">
        <v>924</v>
      </c>
    </row>
    <row r="16404" spans="8:8" x14ac:dyDescent="0.25">
      <c r="H16404" t="s">
        <v>135</v>
      </c>
    </row>
    <row r="16405" spans="8:8" x14ac:dyDescent="0.25">
      <c r="H16405" t="s">
        <v>925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926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927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928</v>
      </c>
    </row>
    <row r="16415" spans="8:8" x14ac:dyDescent="0.25">
      <c r="H16415" t="s">
        <v>30</v>
      </c>
    </row>
    <row r="16417" spans="8:8" x14ac:dyDescent="0.25">
      <c r="H16417" t="s">
        <v>929</v>
      </c>
    </row>
    <row r="16418" spans="8:8" x14ac:dyDescent="0.25">
      <c r="H16418" t="s">
        <v>930</v>
      </c>
    </row>
    <row r="16419" spans="8:8" x14ac:dyDescent="0.25">
      <c r="H16419" t="s">
        <v>135</v>
      </c>
    </row>
    <row r="16420" spans="8:8" x14ac:dyDescent="0.25">
      <c r="H16420" t="s">
        <v>931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932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933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934</v>
      </c>
    </row>
    <row r="16430" spans="8:8" x14ac:dyDescent="0.25">
      <c r="H16430" t="s">
        <v>30</v>
      </c>
    </row>
    <row r="16432" spans="8:8" x14ac:dyDescent="0.25">
      <c r="H16432" t="s">
        <v>935</v>
      </c>
    </row>
    <row r="16433" spans="8:8" x14ac:dyDescent="0.25">
      <c r="H16433" t="s">
        <v>936</v>
      </c>
    </row>
    <row r="16434" spans="8:8" x14ac:dyDescent="0.25">
      <c r="H16434" t="s">
        <v>135</v>
      </c>
    </row>
    <row r="16435" spans="8:8" x14ac:dyDescent="0.25">
      <c r="H16435" t="s">
        <v>937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938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939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940</v>
      </c>
    </row>
    <row r="16445" spans="8:8" x14ac:dyDescent="0.25">
      <c r="H16445" t="s">
        <v>30</v>
      </c>
    </row>
    <row r="16447" spans="8:8" x14ac:dyDescent="0.25">
      <c r="H16447" t="s">
        <v>941</v>
      </c>
    </row>
    <row r="16448" spans="8:8" x14ac:dyDescent="0.25">
      <c r="H16448" t="s">
        <v>942</v>
      </c>
    </row>
    <row r="16449" spans="8:8" x14ac:dyDescent="0.25">
      <c r="H16449" t="s">
        <v>135</v>
      </c>
    </row>
    <row r="16450" spans="8:8" x14ac:dyDescent="0.25">
      <c r="H16450" t="s">
        <v>943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944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945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946</v>
      </c>
    </row>
    <row r="16460" spans="8:8" x14ac:dyDescent="0.25">
      <c r="H16460" t="s">
        <v>30</v>
      </c>
    </row>
    <row r="16462" spans="8:8" x14ac:dyDescent="0.25">
      <c r="H16462" t="s">
        <v>947</v>
      </c>
    </row>
    <row r="16463" spans="8:8" x14ac:dyDescent="0.25">
      <c r="H16463" t="s">
        <v>948</v>
      </c>
    </row>
    <row r="16464" spans="8:8" x14ac:dyDescent="0.25">
      <c r="H16464" t="s">
        <v>135</v>
      </c>
    </row>
    <row r="16465" spans="8:8" x14ac:dyDescent="0.25">
      <c r="H16465" t="s">
        <v>949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950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951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952</v>
      </c>
    </row>
    <row r="16475" spans="8:8" x14ac:dyDescent="0.25">
      <c r="H16475" t="s">
        <v>30</v>
      </c>
    </row>
    <row r="16477" spans="8:8" x14ac:dyDescent="0.25">
      <c r="H16477" t="s">
        <v>953</v>
      </c>
    </row>
    <row r="16478" spans="8:8" x14ac:dyDescent="0.25">
      <c r="H16478" t="s">
        <v>954</v>
      </c>
    </row>
    <row r="16479" spans="8:8" x14ac:dyDescent="0.25">
      <c r="H16479" t="s">
        <v>135</v>
      </c>
    </row>
    <row r="16480" spans="8:8" x14ac:dyDescent="0.25">
      <c r="H16480" t="s">
        <v>955</v>
      </c>
    </row>
    <row r="16481" spans="8:8" x14ac:dyDescent="0.25">
      <c r="H16481" t="s">
        <v>30</v>
      </c>
    </row>
    <row r="16483" spans="8:8" x14ac:dyDescent="0.25">
      <c r="H16483" t="s">
        <v>956</v>
      </c>
    </row>
    <row r="16484" spans="8:8" x14ac:dyDescent="0.25">
      <c r="H16484" t="s">
        <v>957</v>
      </c>
    </row>
    <row r="16485" spans="8:8" x14ac:dyDescent="0.25">
      <c r="H16485" t="s">
        <v>135</v>
      </c>
    </row>
    <row r="16486" spans="8:8" x14ac:dyDescent="0.25">
      <c r="H16486" t="s">
        <v>958</v>
      </c>
    </row>
    <row r="16487" spans="8:8" x14ac:dyDescent="0.25">
      <c r="H16487" t="s">
        <v>30</v>
      </c>
    </row>
    <row r="16489" spans="8:8" x14ac:dyDescent="0.25">
      <c r="H16489" t="s">
        <v>959</v>
      </c>
    </row>
    <row r="16490" spans="8:8" x14ac:dyDescent="0.25">
      <c r="H16490" t="s">
        <v>960</v>
      </c>
    </row>
    <row r="16491" spans="8:8" x14ac:dyDescent="0.25">
      <c r="H16491" t="s">
        <v>135</v>
      </c>
    </row>
    <row r="16492" spans="8:8" x14ac:dyDescent="0.25">
      <c r="H16492" t="s">
        <v>961</v>
      </c>
    </row>
    <row r="16493" spans="8:8" x14ac:dyDescent="0.25">
      <c r="H16493" t="s">
        <v>30</v>
      </c>
    </row>
    <row r="16495" spans="8:8" x14ac:dyDescent="0.25">
      <c r="H16495" t="s">
        <v>962</v>
      </c>
    </row>
    <row r="16496" spans="8:8" x14ac:dyDescent="0.25">
      <c r="H16496" t="s">
        <v>963</v>
      </c>
    </row>
    <row r="16497" spans="8:8" x14ac:dyDescent="0.25">
      <c r="H16497" t="s">
        <v>135</v>
      </c>
    </row>
    <row r="16498" spans="8:8" x14ac:dyDescent="0.25">
      <c r="H16498" t="s">
        <v>964</v>
      </c>
    </row>
    <row r="16499" spans="8:8" x14ac:dyDescent="0.25">
      <c r="H16499" t="s">
        <v>30</v>
      </c>
    </row>
    <row r="16501" spans="8:8" x14ac:dyDescent="0.25">
      <c r="H16501" t="s">
        <v>965</v>
      </c>
    </row>
    <row r="16502" spans="8:8" x14ac:dyDescent="0.25">
      <c r="H16502" t="s">
        <v>966</v>
      </c>
    </row>
    <row r="16503" spans="8:8" x14ac:dyDescent="0.25">
      <c r="H16503" t="s">
        <v>135</v>
      </c>
    </row>
    <row r="16504" spans="8:8" x14ac:dyDescent="0.25">
      <c r="H16504" t="s">
        <v>967</v>
      </c>
    </row>
    <row r="16505" spans="8:8" x14ac:dyDescent="0.25">
      <c r="H16505" t="s">
        <v>30</v>
      </c>
    </row>
    <row r="16507" spans="8:8" x14ac:dyDescent="0.25">
      <c r="H16507" t="s">
        <v>968</v>
      </c>
    </row>
    <row r="16508" spans="8:8" x14ac:dyDescent="0.25">
      <c r="H16508" t="s">
        <v>969</v>
      </c>
    </row>
    <row r="16509" spans="8:8" x14ac:dyDescent="0.25">
      <c r="H16509" t="s">
        <v>135</v>
      </c>
    </row>
    <row r="16510" spans="8:8" x14ac:dyDescent="0.25">
      <c r="H16510" t="s">
        <v>970</v>
      </c>
    </row>
    <row r="16511" spans="8:8" x14ac:dyDescent="0.25">
      <c r="H16511" t="s">
        <v>30</v>
      </c>
    </row>
    <row r="16513" spans="8:8" x14ac:dyDescent="0.25">
      <c r="H16513" t="s">
        <v>971</v>
      </c>
    </row>
    <row r="16514" spans="8:8" x14ac:dyDescent="0.25">
      <c r="H16514" t="s">
        <v>972</v>
      </c>
    </row>
    <row r="16515" spans="8:8" x14ac:dyDescent="0.25">
      <c r="H16515" t="s">
        <v>135</v>
      </c>
    </row>
    <row r="16516" spans="8:8" x14ac:dyDescent="0.25">
      <c r="H16516" t="s">
        <v>973</v>
      </c>
    </row>
    <row r="16517" spans="8:8" x14ac:dyDescent="0.25">
      <c r="H16517" t="s">
        <v>30</v>
      </c>
    </row>
    <row r="16519" spans="8:8" x14ac:dyDescent="0.25">
      <c r="H16519" t="s">
        <v>974</v>
      </c>
    </row>
    <row r="16520" spans="8:8" x14ac:dyDescent="0.25">
      <c r="H16520" t="s">
        <v>975</v>
      </c>
    </row>
    <row r="16521" spans="8:8" x14ac:dyDescent="0.25">
      <c r="H16521" t="s">
        <v>135</v>
      </c>
    </row>
    <row r="16522" spans="8:8" x14ac:dyDescent="0.25">
      <c r="H16522" t="s">
        <v>976</v>
      </c>
    </row>
    <row r="16523" spans="8:8" x14ac:dyDescent="0.25">
      <c r="H16523" t="s">
        <v>30</v>
      </c>
    </row>
    <row r="16525" spans="8:8" x14ac:dyDescent="0.25">
      <c r="H16525" t="s">
        <v>977</v>
      </c>
    </row>
    <row r="16526" spans="8:8" x14ac:dyDescent="0.25">
      <c r="H16526" t="s">
        <v>978</v>
      </c>
    </row>
    <row r="16527" spans="8:8" x14ac:dyDescent="0.25">
      <c r="H16527" t="s">
        <v>135</v>
      </c>
    </row>
    <row r="16528" spans="8:8" x14ac:dyDescent="0.25">
      <c r="H16528" t="s">
        <v>979</v>
      </c>
    </row>
    <row r="16529" spans="8:8" x14ac:dyDescent="0.25">
      <c r="H16529" t="s">
        <v>30</v>
      </c>
    </row>
    <row r="16531" spans="8:8" x14ac:dyDescent="0.25">
      <c r="H16531" t="s">
        <v>980</v>
      </c>
    </row>
    <row r="16532" spans="8:8" x14ac:dyDescent="0.25">
      <c r="H16532" t="s">
        <v>981</v>
      </c>
    </row>
    <row r="16533" spans="8:8" x14ac:dyDescent="0.25">
      <c r="H16533" t="s">
        <v>135</v>
      </c>
    </row>
    <row r="16534" spans="8:8" x14ac:dyDescent="0.25">
      <c r="H16534" t="s">
        <v>982</v>
      </c>
    </row>
    <row r="16535" spans="8:8" x14ac:dyDescent="0.25">
      <c r="H16535" t="s">
        <v>30</v>
      </c>
    </row>
    <row r="16537" spans="8:8" x14ac:dyDescent="0.25">
      <c r="H16537" t="s">
        <v>983</v>
      </c>
    </row>
    <row r="16538" spans="8:8" x14ac:dyDescent="0.25">
      <c r="H16538" t="s">
        <v>984</v>
      </c>
    </row>
    <row r="16539" spans="8:8" x14ac:dyDescent="0.25">
      <c r="H16539" t="s">
        <v>135</v>
      </c>
    </row>
    <row r="16540" spans="8:8" x14ac:dyDescent="0.25">
      <c r="H16540" t="s">
        <v>985</v>
      </c>
    </row>
    <row r="16541" spans="8:8" x14ac:dyDescent="0.25">
      <c r="H16541" t="s">
        <v>30</v>
      </c>
    </row>
    <row r="16543" spans="8:8" x14ac:dyDescent="0.25">
      <c r="H16543" t="s">
        <v>986</v>
      </c>
    </row>
    <row r="16544" spans="8:8" x14ac:dyDescent="0.25">
      <c r="H16544" t="s">
        <v>987</v>
      </c>
    </row>
    <row r="16545" spans="8:8" x14ac:dyDescent="0.25">
      <c r="H16545" t="s">
        <v>135</v>
      </c>
    </row>
    <row r="16546" spans="8:8" x14ac:dyDescent="0.25">
      <c r="H16546" t="s">
        <v>988</v>
      </c>
    </row>
    <row r="16547" spans="8:8" x14ac:dyDescent="0.25">
      <c r="H16547" t="s">
        <v>30</v>
      </c>
    </row>
    <row r="16549" spans="8:8" x14ac:dyDescent="0.25">
      <c r="H16549" t="s">
        <v>989</v>
      </c>
    </row>
    <row r="16550" spans="8:8" x14ac:dyDescent="0.25">
      <c r="H16550" t="s">
        <v>990</v>
      </c>
    </row>
    <row r="16551" spans="8:8" x14ac:dyDescent="0.25">
      <c r="H16551" t="s">
        <v>135</v>
      </c>
    </row>
    <row r="16552" spans="8:8" x14ac:dyDescent="0.25">
      <c r="H16552" t="s">
        <v>991</v>
      </c>
    </row>
    <row r="16553" spans="8:8" x14ac:dyDescent="0.25">
      <c r="H16553" t="s">
        <v>30</v>
      </c>
    </row>
    <row r="16555" spans="8:8" x14ac:dyDescent="0.25">
      <c r="H16555" t="s">
        <v>992</v>
      </c>
    </row>
    <row r="16556" spans="8:8" x14ac:dyDescent="0.25">
      <c r="H16556" t="s">
        <v>993</v>
      </c>
    </row>
    <row r="16557" spans="8:8" x14ac:dyDescent="0.25">
      <c r="H16557" t="s">
        <v>135</v>
      </c>
    </row>
    <row r="16558" spans="8:8" x14ac:dyDescent="0.25">
      <c r="H16558" t="s">
        <v>994</v>
      </c>
    </row>
    <row r="16559" spans="8:8" x14ac:dyDescent="0.25">
      <c r="H16559" t="s">
        <v>30</v>
      </c>
    </row>
    <row r="16561" spans="8:8" x14ac:dyDescent="0.25">
      <c r="H16561" t="s">
        <v>995</v>
      </c>
    </row>
    <row r="16562" spans="8:8" x14ac:dyDescent="0.25">
      <c r="H16562" t="s">
        <v>996</v>
      </c>
    </row>
    <row r="16563" spans="8:8" x14ac:dyDescent="0.25">
      <c r="H16563" t="s">
        <v>135</v>
      </c>
    </row>
    <row r="16564" spans="8:8" x14ac:dyDescent="0.25">
      <c r="H16564" t="s">
        <v>997</v>
      </c>
    </row>
    <row r="16565" spans="8:8" x14ac:dyDescent="0.25">
      <c r="H16565" t="s">
        <v>30</v>
      </c>
    </row>
    <row r="16567" spans="8:8" x14ac:dyDescent="0.25">
      <c r="H16567" t="s">
        <v>998</v>
      </c>
    </row>
    <row r="16568" spans="8:8" x14ac:dyDescent="0.25">
      <c r="H16568" t="s">
        <v>999</v>
      </c>
    </row>
    <row r="16569" spans="8:8" x14ac:dyDescent="0.25">
      <c r="H16569" t="s">
        <v>135</v>
      </c>
    </row>
    <row r="16570" spans="8:8" x14ac:dyDescent="0.25">
      <c r="H16570" t="s">
        <v>1000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1001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1002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1003</v>
      </c>
    </row>
    <row r="16580" spans="8:8" x14ac:dyDescent="0.25">
      <c r="H16580" t="s">
        <v>30</v>
      </c>
    </row>
    <row r="16582" spans="8:8" x14ac:dyDescent="0.25">
      <c r="H16582" t="s">
        <v>1004</v>
      </c>
    </row>
    <row r="16583" spans="8:8" x14ac:dyDescent="0.25">
      <c r="H16583" t="s">
        <v>1005</v>
      </c>
    </row>
    <row r="16584" spans="8:8" x14ac:dyDescent="0.25">
      <c r="H16584" t="s">
        <v>135</v>
      </c>
    </row>
    <row r="16585" spans="8:8" x14ac:dyDescent="0.25">
      <c r="H16585" t="s">
        <v>1006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1007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1008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1009</v>
      </c>
    </row>
    <row r="16595" spans="8:8" x14ac:dyDescent="0.25">
      <c r="H16595" t="s">
        <v>30</v>
      </c>
    </row>
    <row r="16597" spans="8:8" x14ac:dyDescent="0.25">
      <c r="H16597" t="s">
        <v>1010</v>
      </c>
    </row>
    <row r="16598" spans="8:8" x14ac:dyDescent="0.25">
      <c r="H16598" t="s">
        <v>1011</v>
      </c>
    </row>
    <row r="16599" spans="8:8" x14ac:dyDescent="0.25">
      <c r="H16599" t="s">
        <v>135</v>
      </c>
    </row>
    <row r="16600" spans="8:8" x14ac:dyDescent="0.25">
      <c r="H16600" t="s">
        <v>2242</v>
      </c>
    </row>
    <row r="16601" spans="8:8" x14ac:dyDescent="0.25">
      <c r="H16601" t="s">
        <v>30</v>
      </c>
    </row>
    <row r="16603" spans="8:8" x14ac:dyDescent="0.25">
      <c r="H16603" t="s">
        <v>1012</v>
      </c>
    </row>
    <row r="16604" spans="8:8" x14ac:dyDescent="0.25">
      <c r="H16604" t="s">
        <v>1013</v>
      </c>
    </row>
    <row r="16605" spans="8:8" x14ac:dyDescent="0.25">
      <c r="H16605" t="s">
        <v>135</v>
      </c>
    </row>
    <row r="16606" spans="8:8" x14ac:dyDescent="0.25">
      <c r="H16606" t="s">
        <v>1014</v>
      </c>
    </row>
    <row r="16607" spans="8:8" x14ac:dyDescent="0.25">
      <c r="H16607" t="s">
        <v>30</v>
      </c>
    </row>
    <row r="16609" spans="8:8" x14ac:dyDescent="0.25">
      <c r="H16609" t="s">
        <v>1015</v>
      </c>
    </row>
    <row r="16610" spans="8:8" x14ac:dyDescent="0.25">
      <c r="H16610" t="s">
        <v>1016</v>
      </c>
    </row>
    <row r="16611" spans="8:8" x14ac:dyDescent="0.25">
      <c r="H16611" t="s">
        <v>135</v>
      </c>
    </row>
    <row r="16612" spans="8:8" x14ac:dyDescent="0.25">
      <c r="H16612" t="s">
        <v>1017</v>
      </c>
    </row>
    <row r="16613" spans="8:8" x14ac:dyDescent="0.25">
      <c r="H16613" t="s">
        <v>30</v>
      </c>
    </row>
    <row r="16615" spans="8:8" x14ac:dyDescent="0.25">
      <c r="H16615" t="s">
        <v>1018</v>
      </c>
    </row>
    <row r="16616" spans="8:8" x14ac:dyDescent="0.25">
      <c r="H16616" t="s">
        <v>1019</v>
      </c>
    </row>
    <row r="16617" spans="8:8" x14ac:dyDescent="0.25">
      <c r="H16617" t="s">
        <v>135</v>
      </c>
    </row>
    <row r="16618" spans="8:8" x14ac:dyDescent="0.25">
      <c r="H16618" t="s">
        <v>1020</v>
      </c>
    </row>
    <row r="16619" spans="8:8" x14ac:dyDescent="0.25">
      <c r="H16619" t="s">
        <v>30</v>
      </c>
    </row>
    <row r="16621" spans="8:8" x14ac:dyDescent="0.25">
      <c r="H16621" t="s">
        <v>1021</v>
      </c>
    </row>
    <row r="16622" spans="8:8" x14ac:dyDescent="0.25">
      <c r="H16622" t="s">
        <v>1022</v>
      </c>
    </row>
    <row r="16623" spans="8:8" x14ac:dyDescent="0.25">
      <c r="H16623" t="s">
        <v>135</v>
      </c>
    </row>
    <row r="16624" spans="8:8" x14ac:dyDescent="0.25">
      <c r="H16624" t="s">
        <v>1023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1024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1025</v>
      </c>
    </row>
    <row r="16631" spans="8:8" x14ac:dyDescent="0.25">
      <c r="H16631" t="s">
        <v>30</v>
      </c>
    </row>
    <row r="16633" spans="8:8" x14ac:dyDescent="0.25">
      <c r="H16633" t="s">
        <v>1026</v>
      </c>
    </row>
    <row r="16634" spans="8:8" x14ac:dyDescent="0.25">
      <c r="H16634" t="s">
        <v>1027</v>
      </c>
    </row>
    <row r="16635" spans="8:8" x14ac:dyDescent="0.25">
      <c r="H16635" t="s">
        <v>135</v>
      </c>
    </row>
    <row r="16636" spans="8:8" x14ac:dyDescent="0.25">
      <c r="H16636" t="s">
        <v>2243</v>
      </c>
    </row>
    <row r="16637" spans="8:8" x14ac:dyDescent="0.25">
      <c r="H16637" t="s">
        <v>30</v>
      </c>
    </row>
    <row r="16639" spans="8:8" x14ac:dyDescent="0.25">
      <c r="H16639" t="s">
        <v>1028</v>
      </c>
    </row>
    <row r="16640" spans="8:8" x14ac:dyDescent="0.25">
      <c r="H16640" t="s">
        <v>1029</v>
      </c>
    </row>
    <row r="16641" spans="8:8" x14ac:dyDescent="0.25">
      <c r="H16641" t="s">
        <v>135</v>
      </c>
    </row>
    <row r="16642" spans="8:8" x14ac:dyDescent="0.25">
      <c r="H16642" t="s">
        <v>1030</v>
      </c>
    </row>
    <row r="16643" spans="8:8" x14ac:dyDescent="0.25">
      <c r="H16643" t="s">
        <v>30</v>
      </c>
    </row>
    <row r="16645" spans="8:8" x14ac:dyDescent="0.25">
      <c r="H16645" t="s">
        <v>1031</v>
      </c>
    </row>
    <row r="16646" spans="8:8" x14ac:dyDescent="0.25">
      <c r="H16646" t="s">
        <v>1032</v>
      </c>
    </row>
    <row r="16647" spans="8:8" x14ac:dyDescent="0.25">
      <c r="H16647" t="s">
        <v>135</v>
      </c>
    </row>
    <row r="16648" spans="8:8" x14ac:dyDescent="0.25">
      <c r="H16648" t="s">
        <v>1033</v>
      </c>
    </row>
    <row r="16649" spans="8:8" x14ac:dyDescent="0.25">
      <c r="H16649" t="s">
        <v>30</v>
      </c>
    </row>
    <row r="16651" spans="8:8" x14ac:dyDescent="0.25">
      <c r="H16651" t="s">
        <v>1034</v>
      </c>
    </row>
    <row r="16652" spans="8:8" x14ac:dyDescent="0.25">
      <c r="H16652" t="s">
        <v>1035</v>
      </c>
    </row>
    <row r="16653" spans="8:8" x14ac:dyDescent="0.25">
      <c r="H16653" t="s">
        <v>135</v>
      </c>
    </row>
    <row r="16654" spans="8:8" x14ac:dyDescent="0.25">
      <c r="H16654" t="s">
        <v>1036</v>
      </c>
    </row>
    <row r="16655" spans="8:8" x14ac:dyDescent="0.25">
      <c r="H16655" t="s">
        <v>30</v>
      </c>
    </row>
    <row r="16657" spans="8:8" x14ac:dyDescent="0.25">
      <c r="H16657" t="s">
        <v>1037</v>
      </c>
    </row>
    <row r="16658" spans="8:8" x14ac:dyDescent="0.25">
      <c r="H16658" t="s">
        <v>1038</v>
      </c>
    </row>
    <row r="16659" spans="8:8" x14ac:dyDescent="0.25">
      <c r="H16659" t="s">
        <v>135</v>
      </c>
    </row>
    <row r="16660" spans="8:8" x14ac:dyDescent="0.25">
      <c r="H16660" t="s">
        <v>1039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1040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1041</v>
      </c>
    </row>
    <row r="16667" spans="8:8" x14ac:dyDescent="0.25">
      <c r="H16667" t="s">
        <v>30</v>
      </c>
    </row>
    <row r="16669" spans="8:8" x14ac:dyDescent="0.25">
      <c r="H16669" t="s">
        <v>1042</v>
      </c>
    </row>
    <row r="16670" spans="8:8" x14ac:dyDescent="0.25">
      <c r="H16670" t="s">
        <v>1043</v>
      </c>
    </row>
    <row r="16671" spans="8:8" x14ac:dyDescent="0.25">
      <c r="H16671" t="s">
        <v>135</v>
      </c>
    </row>
    <row r="16672" spans="8:8" x14ac:dyDescent="0.25">
      <c r="H16672" t="s">
        <v>2244</v>
      </c>
    </row>
    <row r="16673" spans="8:8" x14ac:dyDescent="0.25">
      <c r="H16673" t="s">
        <v>30</v>
      </c>
    </row>
    <row r="16675" spans="8:8" x14ac:dyDescent="0.25">
      <c r="H16675" t="s">
        <v>1044</v>
      </c>
    </row>
    <row r="16676" spans="8:8" x14ac:dyDescent="0.25">
      <c r="H16676" t="s">
        <v>1045</v>
      </c>
    </row>
    <row r="16677" spans="8:8" x14ac:dyDescent="0.25">
      <c r="H16677" t="s">
        <v>135</v>
      </c>
    </row>
    <row r="16678" spans="8:8" x14ac:dyDescent="0.25">
      <c r="H16678" t="s">
        <v>1046</v>
      </c>
    </row>
    <row r="16679" spans="8:8" x14ac:dyDescent="0.25">
      <c r="H16679" t="s">
        <v>30</v>
      </c>
    </row>
    <row r="16681" spans="8:8" x14ac:dyDescent="0.25">
      <c r="H16681" t="s">
        <v>1047</v>
      </c>
    </row>
    <row r="16682" spans="8:8" x14ac:dyDescent="0.25">
      <c r="H16682" t="s">
        <v>1048</v>
      </c>
    </row>
    <row r="16683" spans="8:8" x14ac:dyDescent="0.25">
      <c r="H16683" t="s">
        <v>135</v>
      </c>
    </row>
    <row r="16684" spans="8:8" x14ac:dyDescent="0.25">
      <c r="H16684" t="s">
        <v>1049</v>
      </c>
    </row>
    <row r="16685" spans="8:8" x14ac:dyDescent="0.25">
      <c r="H16685" t="s">
        <v>30</v>
      </c>
    </row>
    <row r="16687" spans="8:8" x14ac:dyDescent="0.25">
      <c r="H16687" t="s">
        <v>1050</v>
      </c>
    </row>
    <row r="16688" spans="8:8" x14ac:dyDescent="0.25">
      <c r="H16688" t="s">
        <v>1051</v>
      </c>
    </row>
    <row r="16689" spans="8:8" x14ac:dyDescent="0.25">
      <c r="H16689" t="s">
        <v>135</v>
      </c>
    </row>
    <row r="16690" spans="8:8" x14ac:dyDescent="0.25">
      <c r="H16690" t="s">
        <v>1052</v>
      </c>
    </row>
    <row r="16691" spans="8:8" x14ac:dyDescent="0.25">
      <c r="H16691" t="s">
        <v>30</v>
      </c>
    </row>
    <row r="16693" spans="8:8" x14ac:dyDescent="0.25">
      <c r="H16693" t="s">
        <v>1053</v>
      </c>
    </row>
    <row r="16694" spans="8:8" x14ac:dyDescent="0.25">
      <c r="H16694" t="s">
        <v>1054</v>
      </c>
    </row>
    <row r="16695" spans="8:8" x14ac:dyDescent="0.25">
      <c r="H16695" t="s">
        <v>135</v>
      </c>
    </row>
    <row r="16696" spans="8:8" x14ac:dyDescent="0.25">
      <c r="H16696" t="s">
        <v>1055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1056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1057</v>
      </c>
    </row>
    <row r="16703" spans="8:8" x14ac:dyDescent="0.25">
      <c r="H16703" t="s">
        <v>30</v>
      </c>
    </row>
    <row r="16705" spans="8:8" x14ac:dyDescent="0.25">
      <c r="H16705" t="s">
        <v>1058</v>
      </c>
    </row>
    <row r="16706" spans="8:8" x14ac:dyDescent="0.25">
      <c r="H16706" t="s">
        <v>1059</v>
      </c>
    </row>
    <row r="16707" spans="8:8" x14ac:dyDescent="0.25">
      <c r="H16707" t="s">
        <v>135</v>
      </c>
    </row>
    <row r="16708" spans="8:8" x14ac:dyDescent="0.25">
      <c r="H16708" t="s">
        <v>2245</v>
      </c>
    </row>
    <row r="16709" spans="8:8" x14ac:dyDescent="0.25">
      <c r="H16709" t="s">
        <v>30</v>
      </c>
    </row>
    <row r="16711" spans="8:8" x14ac:dyDescent="0.25">
      <c r="H16711" t="s">
        <v>1060</v>
      </c>
    </row>
    <row r="16712" spans="8:8" x14ac:dyDescent="0.25">
      <c r="H16712" t="s">
        <v>1061</v>
      </c>
    </row>
    <row r="16713" spans="8:8" x14ac:dyDescent="0.25">
      <c r="H16713" t="s">
        <v>135</v>
      </c>
    </row>
    <row r="16714" spans="8:8" x14ac:dyDescent="0.25">
      <c r="H16714" t="s">
        <v>1062</v>
      </c>
    </row>
    <row r="16715" spans="8:8" x14ac:dyDescent="0.25">
      <c r="H16715" t="s">
        <v>30</v>
      </c>
    </row>
    <row r="16717" spans="8:8" x14ac:dyDescent="0.25">
      <c r="H16717" t="s">
        <v>1063</v>
      </c>
    </row>
    <row r="16718" spans="8:8" x14ac:dyDescent="0.25">
      <c r="H16718" t="s">
        <v>1064</v>
      </c>
    </row>
    <row r="16719" spans="8:8" x14ac:dyDescent="0.25">
      <c r="H16719" t="s">
        <v>135</v>
      </c>
    </row>
    <row r="16720" spans="8:8" x14ac:dyDescent="0.25">
      <c r="H16720" t="s">
        <v>1065</v>
      </c>
    </row>
    <row r="16721" spans="8:8" x14ac:dyDescent="0.25">
      <c r="H16721" t="s">
        <v>30</v>
      </c>
    </row>
    <row r="16723" spans="8:8" x14ac:dyDescent="0.25">
      <c r="H16723" t="s">
        <v>1066</v>
      </c>
    </row>
    <row r="16724" spans="8:8" x14ac:dyDescent="0.25">
      <c r="H16724" t="s">
        <v>1067</v>
      </c>
    </row>
    <row r="16725" spans="8:8" x14ac:dyDescent="0.25">
      <c r="H16725" t="s">
        <v>135</v>
      </c>
    </row>
    <row r="16726" spans="8:8" x14ac:dyDescent="0.25">
      <c r="H16726" t="s">
        <v>1068</v>
      </c>
    </row>
    <row r="16727" spans="8:8" x14ac:dyDescent="0.25">
      <c r="H16727" t="s">
        <v>30</v>
      </c>
    </row>
    <row r="16729" spans="8:8" x14ac:dyDescent="0.25">
      <c r="H16729" t="s">
        <v>1069</v>
      </c>
    </row>
    <row r="16730" spans="8:8" x14ac:dyDescent="0.25">
      <c r="H16730" t="s">
        <v>1070</v>
      </c>
    </row>
    <row r="16731" spans="8:8" x14ac:dyDescent="0.25">
      <c r="H16731" t="s">
        <v>135</v>
      </c>
    </row>
    <row r="16732" spans="8:8" x14ac:dyDescent="0.25">
      <c r="H16732" t="s">
        <v>1071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1072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1073</v>
      </c>
    </row>
    <row r="16739" spans="8:8" x14ac:dyDescent="0.25">
      <c r="H16739" t="s">
        <v>30</v>
      </c>
    </row>
    <row r="16741" spans="8:8" x14ac:dyDescent="0.25">
      <c r="H16741" t="s">
        <v>1074</v>
      </c>
    </row>
    <row r="16742" spans="8:8" x14ac:dyDescent="0.25">
      <c r="H16742" t="s">
        <v>1075</v>
      </c>
    </row>
    <row r="16743" spans="8:8" x14ac:dyDescent="0.25">
      <c r="H16743" t="s">
        <v>135</v>
      </c>
    </row>
    <row r="16744" spans="8:8" x14ac:dyDescent="0.25">
      <c r="H16744" t="s">
        <v>2246</v>
      </c>
    </row>
    <row r="16745" spans="8:8" x14ac:dyDescent="0.25">
      <c r="H16745" t="s">
        <v>30</v>
      </c>
    </row>
    <row r="16747" spans="8:8" x14ac:dyDescent="0.25">
      <c r="H16747" t="s">
        <v>1076</v>
      </c>
    </row>
    <row r="16748" spans="8:8" x14ac:dyDescent="0.25">
      <c r="H16748" t="s">
        <v>1077</v>
      </c>
    </row>
    <row r="16749" spans="8:8" x14ac:dyDescent="0.25">
      <c r="H16749" t="s">
        <v>135</v>
      </c>
    </row>
    <row r="16750" spans="8:8" x14ac:dyDescent="0.25">
      <c r="H16750" t="s">
        <v>1078</v>
      </c>
    </row>
    <row r="16751" spans="8:8" x14ac:dyDescent="0.25">
      <c r="H16751" t="s">
        <v>30</v>
      </c>
    </row>
    <row r="16753" spans="8:8" x14ac:dyDescent="0.25">
      <c r="H16753" t="s">
        <v>1079</v>
      </c>
    </row>
    <row r="16754" spans="8:8" x14ac:dyDescent="0.25">
      <c r="H16754" t="s">
        <v>1080</v>
      </c>
    </row>
    <row r="16755" spans="8:8" x14ac:dyDescent="0.25">
      <c r="H16755" t="s">
        <v>135</v>
      </c>
    </row>
    <row r="16756" spans="8:8" x14ac:dyDescent="0.25">
      <c r="H16756" t="s">
        <v>1081</v>
      </c>
    </row>
    <row r="16757" spans="8:8" x14ac:dyDescent="0.25">
      <c r="H16757" t="s">
        <v>30</v>
      </c>
    </row>
    <row r="16759" spans="8:8" x14ac:dyDescent="0.25">
      <c r="H16759" t="s">
        <v>1082</v>
      </c>
    </row>
    <row r="16760" spans="8:8" x14ac:dyDescent="0.25">
      <c r="H16760" t="s">
        <v>1083</v>
      </c>
    </row>
    <row r="16761" spans="8:8" x14ac:dyDescent="0.25">
      <c r="H16761" t="s">
        <v>135</v>
      </c>
    </row>
    <row r="16762" spans="8:8" x14ac:dyDescent="0.25">
      <c r="H16762" t="s">
        <v>1084</v>
      </c>
    </row>
    <row r="16763" spans="8:8" x14ac:dyDescent="0.25">
      <c r="H16763" t="s">
        <v>30</v>
      </c>
    </row>
    <row r="16765" spans="8:8" x14ac:dyDescent="0.25">
      <c r="H16765" t="s">
        <v>1085</v>
      </c>
    </row>
    <row r="16766" spans="8:8" x14ac:dyDescent="0.25">
      <c r="H16766" t="s">
        <v>1086</v>
      </c>
    </row>
    <row r="16767" spans="8:8" x14ac:dyDescent="0.25">
      <c r="H16767" t="s">
        <v>135</v>
      </c>
    </row>
    <row r="16768" spans="8:8" x14ac:dyDescent="0.25">
      <c r="H16768" t="s">
        <v>1087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1088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1089</v>
      </c>
    </row>
    <row r="16775" spans="8:8" x14ac:dyDescent="0.25">
      <c r="H16775" t="s">
        <v>30</v>
      </c>
    </row>
    <row r="16777" spans="8:8" x14ac:dyDescent="0.25">
      <c r="H16777" t="s">
        <v>1090</v>
      </c>
    </row>
    <row r="16778" spans="8:8" x14ac:dyDescent="0.25">
      <c r="H16778" t="s">
        <v>1091</v>
      </c>
    </row>
    <row r="16779" spans="8:8" x14ac:dyDescent="0.25">
      <c r="H16779" t="s">
        <v>135</v>
      </c>
    </row>
    <row r="16780" spans="8:8" x14ac:dyDescent="0.25">
      <c r="H16780" t="s">
        <v>2247</v>
      </c>
    </row>
    <row r="16781" spans="8:8" x14ac:dyDescent="0.25">
      <c r="H16781" t="s">
        <v>30</v>
      </c>
    </row>
    <row r="16783" spans="8:8" x14ac:dyDescent="0.25">
      <c r="H16783" t="s">
        <v>1092</v>
      </c>
    </row>
    <row r="16784" spans="8:8" x14ac:dyDescent="0.25">
      <c r="H16784" t="s">
        <v>1093</v>
      </c>
    </row>
    <row r="16785" spans="8:8" x14ac:dyDescent="0.25">
      <c r="H16785" t="s">
        <v>135</v>
      </c>
    </row>
    <row r="16786" spans="8:8" x14ac:dyDescent="0.25">
      <c r="H16786" t="s">
        <v>1094</v>
      </c>
    </row>
    <row r="16787" spans="8:8" x14ac:dyDescent="0.25">
      <c r="H16787" t="s">
        <v>30</v>
      </c>
    </row>
    <row r="16789" spans="8:8" x14ac:dyDescent="0.25">
      <c r="H16789" t="s">
        <v>1095</v>
      </c>
    </row>
    <row r="16790" spans="8:8" x14ac:dyDescent="0.25">
      <c r="H16790" t="s">
        <v>1096</v>
      </c>
    </row>
    <row r="16791" spans="8:8" x14ac:dyDescent="0.25">
      <c r="H16791" t="s">
        <v>135</v>
      </c>
    </row>
    <row r="16792" spans="8:8" x14ac:dyDescent="0.25">
      <c r="H16792" t="s">
        <v>1097</v>
      </c>
    </row>
    <row r="16793" spans="8:8" x14ac:dyDescent="0.25">
      <c r="H16793" t="s">
        <v>30</v>
      </c>
    </row>
    <row r="16795" spans="8:8" x14ac:dyDescent="0.25">
      <c r="H16795" t="s">
        <v>1098</v>
      </c>
    </row>
    <row r="16796" spans="8:8" x14ac:dyDescent="0.25">
      <c r="H16796" t="s">
        <v>1099</v>
      </c>
    </row>
    <row r="16797" spans="8:8" x14ac:dyDescent="0.25">
      <c r="H16797" t="s">
        <v>135</v>
      </c>
    </row>
    <row r="16798" spans="8:8" x14ac:dyDescent="0.25">
      <c r="H16798" t="s">
        <v>1100</v>
      </c>
    </row>
    <row r="16799" spans="8:8" x14ac:dyDescent="0.25">
      <c r="H16799" t="s">
        <v>30</v>
      </c>
    </row>
    <row r="16801" spans="8:8" x14ac:dyDescent="0.25">
      <c r="H16801" t="s">
        <v>1101</v>
      </c>
    </row>
    <row r="16802" spans="8:8" x14ac:dyDescent="0.25">
      <c r="H16802" t="s">
        <v>1102</v>
      </c>
    </row>
    <row r="16803" spans="8:8" x14ac:dyDescent="0.25">
      <c r="H16803" t="s">
        <v>135</v>
      </c>
    </row>
    <row r="16804" spans="8:8" x14ac:dyDescent="0.25">
      <c r="H16804" t="s">
        <v>1103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1104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1105</v>
      </c>
    </row>
    <row r="16811" spans="8:8" x14ac:dyDescent="0.25">
      <c r="H16811" t="s">
        <v>30</v>
      </c>
    </row>
    <row r="16813" spans="8:8" x14ac:dyDescent="0.25">
      <c r="H16813" t="s">
        <v>1106</v>
      </c>
    </row>
    <row r="16814" spans="8:8" x14ac:dyDescent="0.25">
      <c r="H16814" t="s">
        <v>1107</v>
      </c>
    </row>
    <row r="16815" spans="8:8" x14ac:dyDescent="0.25">
      <c r="H16815" t="s">
        <v>135</v>
      </c>
    </row>
    <row r="16816" spans="8:8" x14ac:dyDescent="0.25">
      <c r="H16816" t="s">
        <v>2248</v>
      </c>
    </row>
    <row r="16817" spans="8:8" x14ac:dyDescent="0.25">
      <c r="H16817" t="s">
        <v>30</v>
      </c>
    </row>
    <row r="16819" spans="8:8" x14ac:dyDescent="0.25">
      <c r="H16819" t="s">
        <v>1108</v>
      </c>
    </row>
    <row r="16820" spans="8:8" x14ac:dyDescent="0.25">
      <c r="H16820" t="s">
        <v>1109</v>
      </c>
    </row>
    <row r="16821" spans="8:8" x14ac:dyDescent="0.25">
      <c r="H16821" t="s">
        <v>135</v>
      </c>
    </row>
    <row r="16822" spans="8:8" x14ac:dyDescent="0.25">
      <c r="H16822" t="s">
        <v>1110</v>
      </c>
    </row>
    <row r="16823" spans="8:8" x14ac:dyDescent="0.25">
      <c r="H16823" t="s">
        <v>30</v>
      </c>
    </row>
    <row r="16825" spans="8:8" x14ac:dyDescent="0.25">
      <c r="H16825" t="s">
        <v>1111</v>
      </c>
    </row>
    <row r="16826" spans="8:8" x14ac:dyDescent="0.25">
      <c r="H16826" t="s">
        <v>1112</v>
      </c>
    </row>
    <row r="16827" spans="8:8" x14ac:dyDescent="0.25">
      <c r="H16827" t="s">
        <v>135</v>
      </c>
    </row>
    <row r="16828" spans="8:8" x14ac:dyDescent="0.25">
      <c r="H16828" t="s">
        <v>1113</v>
      </c>
    </row>
    <row r="16829" spans="8:8" x14ac:dyDescent="0.25">
      <c r="H16829" t="s">
        <v>30</v>
      </c>
    </row>
    <row r="16831" spans="8:8" x14ac:dyDescent="0.25">
      <c r="H16831" t="s">
        <v>1114</v>
      </c>
    </row>
    <row r="16832" spans="8:8" x14ac:dyDescent="0.25">
      <c r="H16832" t="s">
        <v>1115</v>
      </c>
    </row>
    <row r="16833" spans="8:8" x14ac:dyDescent="0.25">
      <c r="H16833" t="s">
        <v>135</v>
      </c>
    </row>
    <row r="16834" spans="8:8" x14ac:dyDescent="0.25">
      <c r="H16834" t="s">
        <v>1116</v>
      </c>
    </row>
    <row r="16835" spans="8:8" x14ac:dyDescent="0.25">
      <c r="H16835" t="s">
        <v>30</v>
      </c>
    </row>
    <row r="16837" spans="8:8" x14ac:dyDescent="0.25">
      <c r="H16837" t="s">
        <v>1117</v>
      </c>
    </row>
    <row r="16838" spans="8:8" x14ac:dyDescent="0.25">
      <c r="H16838" t="s">
        <v>1118</v>
      </c>
    </row>
    <row r="16839" spans="8:8" x14ac:dyDescent="0.25">
      <c r="H16839" t="s">
        <v>135</v>
      </c>
    </row>
    <row r="16840" spans="8:8" x14ac:dyDescent="0.25">
      <c r="H16840" t="s">
        <v>1119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1120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1121</v>
      </c>
    </row>
    <row r="16847" spans="8:8" x14ac:dyDescent="0.25">
      <c r="H16847" t="s">
        <v>30</v>
      </c>
    </row>
    <row r="16849" spans="8:8" x14ac:dyDescent="0.25">
      <c r="H16849" t="s">
        <v>1122</v>
      </c>
    </row>
    <row r="16850" spans="8:8" x14ac:dyDescent="0.25">
      <c r="H16850" t="s">
        <v>1123</v>
      </c>
    </row>
    <row r="16851" spans="8:8" x14ac:dyDescent="0.25">
      <c r="H16851" t="s">
        <v>135</v>
      </c>
    </row>
    <row r="16852" spans="8:8" x14ac:dyDescent="0.25">
      <c r="H16852" t="s">
        <v>2249</v>
      </c>
    </row>
    <row r="16853" spans="8:8" x14ac:dyDescent="0.25">
      <c r="H16853" t="s">
        <v>30</v>
      </c>
    </row>
    <row r="16855" spans="8:8" x14ac:dyDescent="0.25">
      <c r="H16855" t="s">
        <v>1124</v>
      </c>
    </row>
    <row r="16856" spans="8:8" x14ac:dyDescent="0.25">
      <c r="H16856" t="s">
        <v>1125</v>
      </c>
    </row>
    <row r="16857" spans="8:8" x14ac:dyDescent="0.25">
      <c r="H16857" t="s">
        <v>135</v>
      </c>
    </row>
    <row r="16858" spans="8:8" x14ac:dyDescent="0.25">
      <c r="H16858" t="s">
        <v>1126</v>
      </c>
    </row>
    <row r="16859" spans="8:8" x14ac:dyDescent="0.25">
      <c r="H16859" t="s">
        <v>30</v>
      </c>
    </row>
    <row r="16861" spans="8:8" x14ac:dyDescent="0.25">
      <c r="H16861" t="s">
        <v>1127</v>
      </c>
    </row>
    <row r="16862" spans="8:8" x14ac:dyDescent="0.25">
      <c r="H16862" t="s">
        <v>1128</v>
      </c>
    </row>
    <row r="16863" spans="8:8" x14ac:dyDescent="0.25">
      <c r="H16863" t="s">
        <v>135</v>
      </c>
    </row>
    <row r="16864" spans="8:8" x14ac:dyDescent="0.25">
      <c r="H16864" t="s">
        <v>1129</v>
      </c>
    </row>
    <row r="16865" spans="8:8" x14ac:dyDescent="0.25">
      <c r="H16865" t="s">
        <v>30</v>
      </c>
    </row>
    <row r="16867" spans="8:8" x14ac:dyDescent="0.25">
      <c r="H16867" t="s">
        <v>1130</v>
      </c>
    </row>
    <row r="16868" spans="8:8" x14ac:dyDescent="0.25">
      <c r="H16868" t="s">
        <v>1131</v>
      </c>
    </row>
    <row r="16869" spans="8:8" x14ac:dyDescent="0.25">
      <c r="H16869" t="s">
        <v>135</v>
      </c>
    </row>
    <row r="16870" spans="8:8" x14ac:dyDescent="0.25">
      <c r="H16870" t="s">
        <v>1132</v>
      </c>
    </row>
    <row r="16871" spans="8:8" x14ac:dyDescent="0.25">
      <c r="H16871" t="s">
        <v>30</v>
      </c>
    </row>
    <row r="16873" spans="8:8" x14ac:dyDescent="0.25">
      <c r="H16873" t="s">
        <v>1133</v>
      </c>
    </row>
    <row r="16874" spans="8:8" x14ac:dyDescent="0.25">
      <c r="H16874" t="s">
        <v>1134</v>
      </c>
    </row>
    <row r="16875" spans="8:8" x14ac:dyDescent="0.25">
      <c r="H16875" t="s">
        <v>135</v>
      </c>
    </row>
    <row r="16876" spans="8:8" x14ac:dyDescent="0.25">
      <c r="H16876" t="s">
        <v>1135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1136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1137</v>
      </c>
    </row>
    <row r="16883" spans="8:8" x14ac:dyDescent="0.25">
      <c r="H16883" t="s">
        <v>30</v>
      </c>
    </row>
    <row r="16885" spans="8:8" x14ac:dyDescent="0.25">
      <c r="H16885" t="s">
        <v>1138</v>
      </c>
    </row>
    <row r="16886" spans="8:8" x14ac:dyDescent="0.25">
      <c r="H16886" t="s">
        <v>1139</v>
      </c>
    </row>
    <row r="16887" spans="8:8" x14ac:dyDescent="0.25">
      <c r="H16887" t="s">
        <v>135</v>
      </c>
    </row>
    <row r="16888" spans="8:8" x14ac:dyDescent="0.25">
      <c r="H16888" t="s">
        <v>2250</v>
      </c>
    </row>
    <row r="16889" spans="8:8" x14ac:dyDescent="0.25">
      <c r="H16889" t="s">
        <v>30</v>
      </c>
    </row>
    <row r="16891" spans="8:8" x14ac:dyDescent="0.25">
      <c r="H16891" t="s">
        <v>1140</v>
      </c>
    </row>
    <row r="16892" spans="8:8" x14ac:dyDescent="0.25">
      <c r="H16892" t="s">
        <v>1141</v>
      </c>
    </row>
    <row r="16893" spans="8:8" x14ac:dyDescent="0.25">
      <c r="H16893" t="s">
        <v>135</v>
      </c>
    </row>
    <row r="16894" spans="8:8" x14ac:dyDescent="0.25">
      <c r="H16894" t="s">
        <v>1142</v>
      </c>
    </row>
    <row r="16895" spans="8:8" x14ac:dyDescent="0.25">
      <c r="H16895" t="s">
        <v>30</v>
      </c>
    </row>
    <row r="16897" spans="8:8" x14ac:dyDescent="0.25">
      <c r="H16897" t="s">
        <v>1143</v>
      </c>
    </row>
    <row r="16898" spans="8:8" x14ac:dyDescent="0.25">
      <c r="H16898" t="s">
        <v>1144</v>
      </c>
    </row>
    <row r="16899" spans="8:8" x14ac:dyDescent="0.25">
      <c r="H16899" t="s">
        <v>135</v>
      </c>
    </row>
    <row r="16900" spans="8:8" x14ac:dyDescent="0.25">
      <c r="H16900" t="s">
        <v>1145</v>
      </c>
    </row>
    <row r="16901" spans="8:8" x14ac:dyDescent="0.25">
      <c r="H16901" t="s">
        <v>30</v>
      </c>
    </row>
    <row r="16903" spans="8:8" x14ac:dyDescent="0.25">
      <c r="H16903" t="s">
        <v>1146</v>
      </c>
    </row>
    <row r="16904" spans="8:8" x14ac:dyDescent="0.25">
      <c r="H16904" t="s">
        <v>1147</v>
      </c>
    </row>
    <row r="16905" spans="8:8" x14ac:dyDescent="0.25">
      <c r="H16905" t="s">
        <v>135</v>
      </c>
    </row>
    <row r="16906" spans="8:8" x14ac:dyDescent="0.25">
      <c r="H16906" t="s">
        <v>1148</v>
      </c>
    </row>
    <row r="16907" spans="8:8" x14ac:dyDescent="0.25">
      <c r="H16907" t="s">
        <v>30</v>
      </c>
    </row>
    <row r="16909" spans="8:8" x14ac:dyDescent="0.25">
      <c r="H16909" t="s">
        <v>1149</v>
      </c>
    </row>
    <row r="16910" spans="8:8" x14ac:dyDescent="0.25">
      <c r="H16910" t="s">
        <v>1150</v>
      </c>
    </row>
    <row r="16911" spans="8:8" x14ac:dyDescent="0.25">
      <c r="H16911" t="s">
        <v>135</v>
      </c>
    </row>
    <row r="16912" spans="8:8" x14ac:dyDescent="0.25">
      <c r="H16912" t="s">
        <v>1151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1152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1153</v>
      </c>
    </row>
    <row r="16919" spans="8:8" x14ac:dyDescent="0.25">
      <c r="H16919" t="s">
        <v>30</v>
      </c>
    </row>
    <row r="16921" spans="8:8" x14ac:dyDescent="0.25">
      <c r="H16921" t="s">
        <v>1154</v>
      </c>
    </row>
    <row r="16922" spans="8:8" x14ac:dyDescent="0.25">
      <c r="H16922" t="s">
        <v>1155</v>
      </c>
    </row>
    <row r="16923" spans="8:8" x14ac:dyDescent="0.25">
      <c r="H16923" t="s">
        <v>135</v>
      </c>
    </row>
    <row r="16924" spans="8:8" x14ac:dyDescent="0.25">
      <c r="H16924" t="s">
        <v>2251</v>
      </c>
    </row>
    <row r="16925" spans="8:8" x14ac:dyDescent="0.25">
      <c r="H16925" t="s">
        <v>30</v>
      </c>
    </row>
    <row r="16927" spans="8:8" x14ac:dyDescent="0.25">
      <c r="H16927" t="s">
        <v>1156</v>
      </c>
    </row>
    <row r="16928" spans="8:8" x14ac:dyDescent="0.25">
      <c r="H16928" t="s">
        <v>1157</v>
      </c>
    </row>
    <row r="16929" spans="8:8" x14ac:dyDescent="0.25">
      <c r="H16929" t="s">
        <v>135</v>
      </c>
    </row>
    <row r="16930" spans="8:8" x14ac:dyDescent="0.25">
      <c r="H16930" t="s">
        <v>1158</v>
      </c>
    </row>
    <row r="16931" spans="8:8" x14ac:dyDescent="0.25">
      <c r="H16931" t="s">
        <v>30</v>
      </c>
    </row>
    <row r="16933" spans="8:8" x14ac:dyDescent="0.25">
      <c r="H16933" t="s">
        <v>1159</v>
      </c>
    </row>
    <row r="16934" spans="8:8" x14ac:dyDescent="0.25">
      <c r="H16934" t="s">
        <v>1160</v>
      </c>
    </row>
    <row r="16935" spans="8:8" x14ac:dyDescent="0.25">
      <c r="H16935" t="s">
        <v>135</v>
      </c>
    </row>
    <row r="16936" spans="8:8" x14ac:dyDescent="0.25">
      <c r="H16936" t="s">
        <v>1161</v>
      </c>
    </row>
    <row r="16937" spans="8:8" x14ac:dyDescent="0.25">
      <c r="H16937" t="s">
        <v>30</v>
      </c>
    </row>
    <row r="16939" spans="8:8" x14ac:dyDescent="0.25">
      <c r="H16939" t="s">
        <v>1162</v>
      </c>
    </row>
    <row r="16940" spans="8:8" x14ac:dyDescent="0.25">
      <c r="H16940" t="s">
        <v>1163</v>
      </c>
    </row>
    <row r="16941" spans="8:8" x14ac:dyDescent="0.25">
      <c r="H16941" t="s">
        <v>135</v>
      </c>
    </row>
    <row r="16942" spans="8:8" x14ac:dyDescent="0.25">
      <c r="H16942" t="s">
        <v>1164</v>
      </c>
    </row>
    <row r="16943" spans="8:8" x14ac:dyDescent="0.25">
      <c r="H16943" t="s">
        <v>30</v>
      </c>
    </row>
    <row r="16945" spans="8:8" x14ac:dyDescent="0.25">
      <c r="H16945" t="s">
        <v>1165</v>
      </c>
    </row>
    <row r="16946" spans="8:8" x14ac:dyDescent="0.25">
      <c r="H16946" t="s">
        <v>1166</v>
      </c>
    </row>
    <row r="16947" spans="8:8" x14ac:dyDescent="0.25">
      <c r="H16947" t="s">
        <v>135</v>
      </c>
    </row>
    <row r="16948" spans="8:8" x14ac:dyDescent="0.25">
      <c r="H16948" t="s">
        <v>1167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1168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1169</v>
      </c>
    </row>
    <row r="16955" spans="8:8" x14ac:dyDescent="0.25">
      <c r="H16955" t="s">
        <v>30</v>
      </c>
    </row>
    <row r="16957" spans="8:8" x14ac:dyDescent="0.25">
      <c r="H16957" t="s">
        <v>1170</v>
      </c>
    </row>
    <row r="16958" spans="8:8" x14ac:dyDescent="0.25">
      <c r="H16958" t="s">
        <v>1171</v>
      </c>
    </row>
    <row r="16959" spans="8:8" x14ac:dyDescent="0.25">
      <c r="H16959" t="s">
        <v>135</v>
      </c>
    </row>
    <row r="16960" spans="8:8" x14ac:dyDescent="0.25">
      <c r="H16960" t="s">
        <v>2252</v>
      </c>
    </row>
    <row r="16961" spans="8:8" x14ac:dyDescent="0.25">
      <c r="H16961" t="s">
        <v>30</v>
      </c>
    </row>
    <row r="16963" spans="8:8" x14ac:dyDescent="0.25">
      <c r="H16963" t="s">
        <v>1172</v>
      </c>
    </row>
    <row r="16964" spans="8:8" x14ac:dyDescent="0.25">
      <c r="H16964" t="s">
        <v>1173</v>
      </c>
    </row>
    <row r="16965" spans="8:8" x14ac:dyDescent="0.25">
      <c r="H16965" t="s">
        <v>135</v>
      </c>
    </row>
    <row r="16966" spans="8:8" x14ac:dyDescent="0.25">
      <c r="H16966" t="s">
        <v>1174</v>
      </c>
    </row>
    <row r="16967" spans="8:8" x14ac:dyDescent="0.25">
      <c r="H16967" t="s">
        <v>30</v>
      </c>
    </row>
    <row r="16969" spans="8:8" x14ac:dyDescent="0.25">
      <c r="H16969" t="s">
        <v>1175</v>
      </c>
    </row>
    <row r="16970" spans="8:8" x14ac:dyDescent="0.25">
      <c r="H16970" t="s">
        <v>1176</v>
      </c>
    </row>
    <row r="16971" spans="8:8" x14ac:dyDescent="0.25">
      <c r="H16971" t="s">
        <v>135</v>
      </c>
    </row>
    <row r="16972" spans="8:8" x14ac:dyDescent="0.25">
      <c r="H16972" t="s">
        <v>1177</v>
      </c>
    </row>
    <row r="16973" spans="8:8" x14ac:dyDescent="0.25">
      <c r="H16973" t="s">
        <v>30</v>
      </c>
    </row>
    <row r="16975" spans="8:8" x14ac:dyDescent="0.25">
      <c r="H16975" t="s">
        <v>1178</v>
      </c>
    </row>
    <row r="16976" spans="8:8" x14ac:dyDescent="0.25">
      <c r="H16976" t="s">
        <v>1179</v>
      </c>
    </row>
    <row r="16977" spans="8:8" x14ac:dyDescent="0.25">
      <c r="H16977" t="s">
        <v>135</v>
      </c>
    </row>
    <row r="16978" spans="8:8" x14ac:dyDescent="0.25">
      <c r="H16978" t="s">
        <v>1180</v>
      </c>
    </row>
    <row r="16979" spans="8:8" x14ac:dyDescent="0.25">
      <c r="H16979" t="s">
        <v>30</v>
      </c>
    </row>
    <row r="16981" spans="8:8" x14ac:dyDescent="0.25">
      <c r="H16981" t="s">
        <v>1181</v>
      </c>
    </row>
    <row r="16982" spans="8:8" x14ac:dyDescent="0.25">
      <c r="H16982" t="s">
        <v>1182</v>
      </c>
    </row>
    <row r="16983" spans="8:8" x14ac:dyDescent="0.25">
      <c r="H16983" t="s">
        <v>135</v>
      </c>
    </row>
    <row r="16984" spans="8:8" x14ac:dyDescent="0.25">
      <c r="H16984" t="s">
        <v>1183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1184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1185</v>
      </c>
    </row>
    <row r="16991" spans="8:8" x14ac:dyDescent="0.25">
      <c r="H16991" t="s">
        <v>30</v>
      </c>
    </row>
    <row r="16993" spans="8:8" x14ac:dyDescent="0.25">
      <c r="H16993" t="s">
        <v>1186</v>
      </c>
    </row>
    <row r="16994" spans="8:8" x14ac:dyDescent="0.25">
      <c r="H16994" t="s">
        <v>1187</v>
      </c>
    </row>
    <row r="16995" spans="8:8" x14ac:dyDescent="0.25">
      <c r="H16995" t="s">
        <v>135</v>
      </c>
    </row>
    <row r="16996" spans="8:8" x14ac:dyDescent="0.25">
      <c r="H16996" t="s">
        <v>2253</v>
      </c>
    </row>
    <row r="16997" spans="8:8" x14ac:dyDescent="0.25">
      <c r="H16997" t="s">
        <v>30</v>
      </c>
    </row>
    <row r="16999" spans="8:8" x14ac:dyDescent="0.25">
      <c r="H16999" t="s">
        <v>1188</v>
      </c>
    </row>
    <row r="17000" spans="8:8" x14ac:dyDescent="0.25">
      <c r="H17000" t="s">
        <v>1189</v>
      </c>
    </row>
    <row r="17001" spans="8:8" x14ac:dyDescent="0.25">
      <c r="H17001" t="s">
        <v>135</v>
      </c>
    </row>
    <row r="17002" spans="8:8" x14ac:dyDescent="0.25">
      <c r="H17002" t="s">
        <v>1190</v>
      </c>
    </row>
    <row r="17003" spans="8:8" x14ac:dyDescent="0.25">
      <c r="H17003" t="s">
        <v>30</v>
      </c>
    </row>
    <row r="17005" spans="8:8" x14ac:dyDescent="0.25">
      <c r="H17005" t="s">
        <v>1191</v>
      </c>
    </row>
    <row r="17006" spans="8:8" x14ac:dyDescent="0.25">
      <c r="H17006" t="s">
        <v>1192</v>
      </c>
    </row>
    <row r="17007" spans="8:8" x14ac:dyDescent="0.25">
      <c r="H17007" t="s">
        <v>135</v>
      </c>
    </row>
    <row r="17008" spans="8:8" x14ac:dyDescent="0.25">
      <c r="H17008" t="s">
        <v>1193</v>
      </c>
    </row>
    <row r="17009" spans="8:8" x14ac:dyDescent="0.25">
      <c r="H17009" t="s">
        <v>30</v>
      </c>
    </row>
    <row r="17011" spans="8:8" x14ac:dyDescent="0.25">
      <c r="H17011" t="s">
        <v>1194</v>
      </c>
    </row>
    <row r="17012" spans="8:8" x14ac:dyDescent="0.25">
      <c r="H17012" t="s">
        <v>1195</v>
      </c>
    </row>
    <row r="17013" spans="8:8" x14ac:dyDescent="0.25">
      <c r="H17013" t="s">
        <v>135</v>
      </c>
    </row>
    <row r="17014" spans="8:8" x14ac:dyDescent="0.25">
      <c r="H17014" t="s">
        <v>1196</v>
      </c>
    </row>
    <row r="17015" spans="8:8" x14ac:dyDescent="0.25">
      <c r="H17015" t="s">
        <v>30</v>
      </c>
    </row>
    <row r="17017" spans="8:8" x14ac:dyDescent="0.25">
      <c r="H17017" t="s">
        <v>1197</v>
      </c>
    </row>
    <row r="17018" spans="8:8" x14ac:dyDescent="0.25">
      <c r="H17018" t="s">
        <v>1198</v>
      </c>
    </row>
    <row r="17019" spans="8:8" x14ac:dyDescent="0.25">
      <c r="H17019" t="s">
        <v>135</v>
      </c>
    </row>
    <row r="17020" spans="8:8" x14ac:dyDescent="0.25">
      <c r="H17020" t="s">
        <v>1199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1200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1201</v>
      </c>
    </row>
    <row r="17027" spans="8:8" x14ac:dyDescent="0.25">
      <c r="H17027" t="s">
        <v>30</v>
      </c>
    </row>
    <row r="17029" spans="8:8" x14ac:dyDescent="0.25">
      <c r="H17029" t="s">
        <v>1202</v>
      </c>
    </row>
    <row r="17030" spans="8:8" x14ac:dyDescent="0.25">
      <c r="H17030" t="s">
        <v>1203</v>
      </c>
    </row>
    <row r="17031" spans="8:8" x14ac:dyDescent="0.25">
      <c r="H17031" t="s">
        <v>135</v>
      </c>
    </row>
    <row r="17032" spans="8:8" x14ac:dyDescent="0.25">
      <c r="H17032" t="s">
        <v>2254</v>
      </c>
    </row>
    <row r="17033" spans="8:8" x14ac:dyDescent="0.25">
      <c r="H17033" t="s">
        <v>30</v>
      </c>
    </row>
    <row r="17035" spans="8:8" x14ac:dyDescent="0.25">
      <c r="H17035" t="s">
        <v>1204</v>
      </c>
    </row>
    <row r="17036" spans="8:8" x14ac:dyDescent="0.25">
      <c r="H17036" t="s">
        <v>1205</v>
      </c>
    </row>
    <row r="17037" spans="8:8" x14ac:dyDescent="0.25">
      <c r="H17037" t="s">
        <v>135</v>
      </c>
    </row>
    <row r="17038" spans="8:8" x14ac:dyDescent="0.25">
      <c r="H17038" t="s">
        <v>1206</v>
      </c>
    </row>
    <row r="17039" spans="8:8" x14ac:dyDescent="0.25">
      <c r="H17039" t="s">
        <v>30</v>
      </c>
    </row>
    <row r="17041" spans="8:8" x14ac:dyDescent="0.25">
      <c r="H17041" t="s">
        <v>1207</v>
      </c>
    </row>
    <row r="17042" spans="8:8" x14ac:dyDescent="0.25">
      <c r="H17042" t="s">
        <v>1208</v>
      </c>
    </row>
    <row r="17043" spans="8:8" x14ac:dyDescent="0.25">
      <c r="H17043" t="s">
        <v>135</v>
      </c>
    </row>
    <row r="17044" spans="8:8" x14ac:dyDescent="0.25">
      <c r="H17044" t="s">
        <v>1209</v>
      </c>
    </row>
    <row r="17045" spans="8:8" x14ac:dyDescent="0.25">
      <c r="H17045" t="s">
        <v>30</v>
      </c>
    </row>
    <row r="17047" spans="8:8" x14ac:dyDescent="0.25">
      <c r="H17047" t="s">
        <v>1210</v>
      </c>
    </row>
    <row r="17048" spans="8:8" x14ac:dyDescent="0.25">
      <c r="H17048" t="s">
        <v>1211</v>
      </c>
    </row>
    <row r="17049" spans="8:8" x14ac:dyDescent="0.25">
      <c r="H17049" t="s">
        <v>135</v>
      </c>
    </row>
    <row r="17050" spans="8:8" x14ac:dyDescent="0.25">
      <c r="H17050" t="s">
        <v>1212</v>
      </c>
    </row>
    <row r="17051" spans="8:8" x14ac:dyDescent="0.25">
      <c r="H17051" t="s">
        <v>30</v>
      </c>
    </row>
    <row r="17053" spans="8:8" x14ac:dyDescent="0.25">
      <c r="H17053" t="s">
        <v>1213</v>
      </c>
    </row>
    <row r="17054" spans="8:8" x14ac:dyDescent="0.25">
      <c r="H17054" t="s">
        <v>1214</v>
      </c>
    </row>
    <row r="17055" spans="8:8" x14ac:dyDescent="0.25">
      <c r="H17055" t="s">
        <v>135</v>
      </c>
    </row>
    <row r="17056" spans="8:8" x14ac:dyDescent="0.25">
      <c r="H17056" t="s">
        <v>1215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1216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1217</v>
      </c>
    </row>
    <row r="17063" spans="8:8" x14ac:dyDescent="0.25">
      <c r="H17063" t="s">
        <v>30</v>
      </c>
    </row>
    <row r="17065" spans="8:8" x14ac:dyDescent="0.25">
      <c r="H17065" t="s">
        <v>1218</v>
      </c>
    </row>
    <row r="17066" spans="8:8" x14ac:dyDescent="0.25">
      <c r="H17066" t="s">
        <v>1219</v>
      </c>
    </row>
    <row r="17067" spans="8:8" x14ac:dyDescent="0.25">
      <c r="H17067" t="s">
        <v>135</v>
      </c>
    </row>
    <row r="17068" spans="8:8" x14ac:dyDescent="0.25">
      <c r="H17068" t="s">
        <v>2255</v>
      </c>
    </row>
    <row r="17069" spans="8:8" x14ac:dyDescent="0.25">
      <c r="H17069" t="s">
        <v>30</v>
      </c>
    </row>
    <row r="17071" spans="8:8" x14ac:dyDescent="0.25">
      <c r="H17071" t="s">
        <v>1220</v>
      </c>
    </row>
    <row r="17072" spans="8:8" x14ac:dyDescent="0.25">
      <c r="H17072" t="s">
        <v>1221</v>
      </c>
    </row>
    <row r="17073" spans="8:8" x14ac:dyDescent="0.25">
      <c r="H17073" t="s">
        <v>135</v>
      </c>
    </row>
    <row r="17074" spans="8:8" x14ac:dyDescent="0.25">
      <c r="H17074" t="s">
        <v>1222</v>
      </c>
    </row>
    <row r="17075" spans="8:8" x14ac:dyDescent="0.25">
      <c r="H17075" t="s">
        <v>30</v>
      </c>
    </row>
    <row r="17077" spans="8:8" x14ac:dyDescent="0.25">
      <c r="H17077" t="s">
        <v>1223</v>
      </c>
    </row>
    <row r="17078" spans="8:8" x14ac:dyDescent="0.25">
      <c r="H17078" t="s">
        <v>1224</v>
      </c>
    </row>
    <row r="17079" spans="8:8" x14ac:dyDescent="0.25">
      <c r="H17079" t="s">
        <v>135</v>
      </c>
    </row>
    <row r="17080" spans="8:8" x14ac:dyDescent="0.25">
      <c r="H17080" t="s">
        <v>1225</v>
      </c>
    </row>
    <row r="17081" spans="8:8" x14ac:dyDescent="0.25">
      <c r="H17081" t="s">
        <v>30</v>
      </c>
    </row>
    <row r="17083" spans="8:8" x14ac:dyDescent="0.25">
      <c r="H17083" t="s">
        <v>1226</v>
      </c>
    </row>
    <row r="17084" spans="8:8" x14ac:dyDescent="0.25">
      <c r="H17084" t="s">
        <v>1227</v>
      </c>
    </row>
    <row r="17085" spans="8:8" x14ac:dyDescent="0.25">
      <c r="H17085" t="s">
        <v>135</v>
      </c>
    </row>
    <row r="17086" spans="8:8" x14ac:dyDescent="0.25">
      <c r="H17086" t="s">
        <v>1228</v>
      </c>
    </row>
    <row r="17087" spans="8:8" x14ac:dyDescent="0.25">
      <c r="H17087" t="s">
        <v>30</v>
      </c>
    </row>
    <row r="17089" spans="8:8" x14ac:dyDescent="0.25">
      <c r="H17089" t="s">
        <v>1229</v>
      </c>
    </row>
    <row r="17090" spans="8:8" x14ac:dyDescent="0.25">
      <c r="H17090" t="s">
        <v>1230</v>
      </c>
    </row>
    <row r="17091" spans="8:8" x14ac:dyDescent="0.25">
      <c r="H17091" t="s">
        <v>135</v>
      </c>
    </row>
    <row r="17092" spans="8:8" x14ac:dyDescent="0.25">
      <c r="H17092" t="s">
        <v>1231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1232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1233</v>
      </c>
    </row>
    <row r="17099" spans="8:8" x14ac:dyDescent="0.25">
      <c r="H17099" t="s">
        <v>30</v>
      </c>
    </row>
    <row r="17101" spans="8:8" x14ac:dyDescent="0.25">
      <c r="H17101" t="s">
        <v>1234</v>
      </c>
    </row>
    <row r="17102" spans="8:8" x14ac:dyDescent="0.25">
      <c r="H17102" t="s">
        <v>1235</v>
      </c>
    </row>
    <row r="17103" spans="8:8" x14ac:dyDescent="0.25">
      <c r="H17103" t="s">
        <v>135</v>
      </c>
    </row>
    <row r="17104" spans="8:8" x14ac:dyDescent="0.25">
      <c r="H17104" t="s">
        <v>2256</v>
      </c>
    </row>
    <row r="17105" spans="8:8" x14ac:dyDescent="0.25">
      <c r="H17105" t="s">
        <v>30</v>
      </c>
    </row>
    <row r="17107" spans="8:8" x14ac:dyDescent="0.25">
      <c r="H17107" t="s">
        <v>1236</v>
      </c>
    </row>
    <row r="17108" spans="8:8" x14ac:dyDescent="0.25">
      <c r="H17108" t="s">
        <v>1237</v>
      </c>
    </row>
    <row r="17109" spans="8:8" x14ac:dyDescent="0.25">
      <c r="H17109" t="s">
        <v>135</v>
      </c>
    </row>
    <row r="17110" spans="8:8" x14ac:dyDescent="0.25">
      <c r="H17110" t="s">
        <v>1238</v>
      </c>
    </row>
    <row r="17111" spans="8:8" x14ac:dyDescent="0.25">
      <c r="H17111" t="s">
        <v>30</v>
      </c>
    </row>
    <row r="17113" spans="8:8" x14ac:dyDescent="0.25">
      <c r="H17113" t="s">
        <v>1239</v>
      </c>
    </row>
    <row r="17114" spans="8:8" x14ac:dyDescent="0.25">
      <c r="H17114" t="s">
        <v>1240</v>
      </c>
    </row>
    <row r="17115" spans="8:8" x14ac:dyDescent="0.25">
      <c r="H17115" t="s">
        <v>135</v>
      </c>
    </row>
    <row r="17116" spans="8:8" x14ac:dyDescent="0.25">
      <c r="H17116" t="s">
        <v>1241</v>
      </c>
    </row>
    <row r="17117" spans="8:8" x14ac:dyDescent="0.25">
      <c r="H17117" t="s">
        <v>30</v>
      </c>
    </row>
    <row r="17119" spans="8:8" x14ac:dyDescent="0.25">
      <c r="H17119" t="s">
        <v>1242</v>
      </c>
    </row>
    <row r="17120" spans="8:8" x14ac:dyDescent="0.25">
      <c r="H17120" t="s">
        <v>1243</v>
      </c>
    </row>
    <row r="17121" spans="8:8" x14ac:dyDescent="0.25">
      <c r="H17121" t="s">
        <v>135</v>
      </c>
    </row>
    <row r="17122" spans="8:8" x14ac:dyDescent="0.25">
      <c r="H17122" t="s">
        <v>1244</v>
      </c>
    </row>
    <row r="17123" spans="8:8" x14ac:dyDescent="0.25">
      <c r="H17123" t="s">
        <v>30</v>
      </c>
    </row>
    <row r="17125" spans="8:8" x14ac:dyDescent="0.25">
      <c r="H17125" t="s">
        <v>1245</v>
      </c>
    </row>
    <row r="17126" spans="8:8" x14ac:dyDescent="0.25">
      <c r="H17126" t="s">
        <v>1246</v>
      </c>
    </row>
    <row r="17127" spans="8:8" x14ac:dyDescent="0.25">
      <c r="H17127" t="s">
        <v>135</v>
      </c>
    </row>
    <row r="17128" spans="8:8" x14ac:dyDescent="0.25">
      <c r="H17128" t="s">
        <v>1247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1248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1249</v>
      </c>
    </row>
    <row r="17135" spans="8:8" x14ac:dyDescent="0.25">
      <c r="H17135" t="s">
        <v>30</v>
      </c>
    </row>
    <row r="17137" spans="8:8" x14ac:dyDescent="0.25">
      <c r="H17137" t="s">
        <v>1250</v>
      </c>
    </row>
    <row r="17138" spans="8:8" x14ac:dyDescent="0.25">
      <c r="H17138" t="s">
        <v>1251</v>
      </c>
    </row>
    <row r="17139" spans="8:8" x14ac:dyDescent="0.25">
      <c r="H17139" t="s">
        <v>135</v>
      </c>
    </row>
    <row r="17140" spans="8:8" x14ac:dyDescent="0.25">
      <c r="H17140" t="s">
        <v>2257</v>
      </c>
    </row>
    <row r="17141" spans="8:8" x14ac:dyDescent="0.25">
      <c r="H17141" t="s">
        <v>30</v>
      </c>
    </row>
    <row r="17143" spans="8:8" x14ac:dyDescent="0.25">
      <c r="H17143" t="s">
        <v>1252</v>
      </c>
    </row>
    <row r="17144" spans="8:8" x14ac:dyDescent="0.25">
      <c r="H17144" t="s">
        <v>1253</v>
      </c>
    </row>
    <row r="17145" spans="8:8" x14ac:dyDescent="0.25">
      <c r="H17145" t="s">
        <v>135</v>
      </c>
    </row>
    <row r="17146" spans="8:8" x14ac:dyDescent="0.25">
      <c r="H17146" t="s">
        <v>1254</v>
      </c>
    </row>
    <row r="17147" spans="8:8" x14ac:dyDescent="0.25">
      <c r="H17147" t="s">
        <v>30</v>
      </c>
    </row>
    <row r="17149" spans="8:8" x14ac:dyDescent="0.25">
      <c r="H17149" t="s">
        <v>1255</v>
      </c>
    </row>
    <row r="17150" spans="8:8" x14ac:dyDescent="0.25">
      <c r="H17150" t="s">
        <v>1256</v>
      </c>
    </row>
    <row r="17151" spans="8:8" x14ac:dyDescent="0.25">
      <c r="H17151" t="s">
        <v>135</v>
      </c>
    </row>
    <row r="17152" spans="8:8" x14ac:dyDescent="0.25">
      <c r="H17152" t="s">
        <v>1257</v>
      </c>
    </row>
    <row r="17153" spans="8:8" x14ac:dyDescent="0.25">
      <c r="H17153" t="s">
        <v>30</v>
      </c>
    </row>
    <row r="17155" spans="8:8" x14ac:dyDescent="0.25">
      <c r="H17155" t="s">
        <v>1258</v>
      </c>
    </row>
    <row r="17156" spans="8:8" x14ac:dyDescent="0.25">
      <c r="H17156" t="s">
        <v>1259</v>
      </c>
    </row>
    <row r="17157" spans="8:8" x14ac:dyDescent="0.25">
      <c r="H17157" t="s">
        <v>135</v>
      </c>
    </row>
    <row r="17158" spans="8:8" x14ac:dyDescent="0.25">
      <c r="H17158" t="s">
        <v>1260</v>
      </c>
    </row>
    <row r="17159" spans="8:8" x14ac:dyDescent="0.25">
      <c r="H17159" t="s">
        <v>30</v>
      </c>
    </row>
    <row r="17161" spans="8:8" x14ac:dyDescent="0.25">
      <c r="H17161" t="s">
        <v>1261</v>
      </c>
    </row>
    <row r="17162" spans="8:8" x14ac:dyDescent="0.25">
      <c r="H17162" t="s">
        <v>1262</v>
      </c>
    </row>
    <row r="17163" spans="8:8" x14ac:dyDescent="0.25">
      <c r="H17163" t="s">
        <v>135</v>
      </c>
    </row>
    <row r="17164" spans="8:8" x14ac:dyDescent="0.25">
      <c r="H17164" t="s">
        <v>1263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1264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1265</v>
      </c>
    </row>
    <row r="17171" spans="8:8" x14ac:dyDescent="0.25">
      <c r="H17171" t="s">
        <v>30</v>
      </c>
    </row>
    <row r="17173" spans="8:8" x14ac:dyDescent="0.25">
      <c r="H17173" t="s">
        <v>1266</v>
      </c>
    </row>
    <row r="17174" spans="8:8" x14ac:dyDescent="0.25">
      <c r="H17174" t="s">
        <v>1267</v>
      </c>
    </row>
    <row r="17175" spans="8:8" x14ac:dyDescent="0.25">
      <c r="H17175" t="s">
        <v>135</v>
      </c>
    </row>
    <row r="17176" spans="8:8" x14ac:dyDescent="0.25">
      <c r="H17176" t="s">
        <v>2258</v>
      </c>
    </row>
    <row r="17177" spans="8:8" x14ac:dyDescent="0.25">
      <c r="H17177" t="s">
        <v>30</v>
      </c>
    </row>
    <row r="17179" spans="8:8" x14ac:dyDescent="0.25">
      <c r="H17179" t="s">
        <v>1268</v>
      </c>
    </row>
    <row r="17180" spans="8:8" x14ac:dyDescent="0.25">
      <c r="H17180" t="s">
        <v>1269</v>
      </c>
    </row>
    <row r="17181" spans="8:8" x14ac:dyDescent="0.25">
      <c r="H17181" t="s">
        <v>135</v>
      </c>
    </row>
    <row r="17182" spans="8:8" x14ac:dyDescent="0.25">
      <c r="H17182" t="s">
        <v>1270</v>
      </c>
    </row>
    <row r="17183" spans="8:8" x14ac:dyDescent="0.25">
      <c r="H17183" t="s">
        <v>30</v>
      </c>
    </row>
    <row r="17185" spans="8:8" x14ac:dyDescent="0.25">
      <c r="H17185" t="s">
        <v>1271</v>
      </c>
    </row>
    <row r="17186" spans="8:8" x14ac:dyDescent="0.25">
      <c r="H17186" t="s">
        <v>1272</v>
      </c>
    </row>
    <row r="17187" spans="8:8" x14ac:dyDescent="0.25">
      <c r="H17187" t="s">
        <v>135</v>
      </c>
    </row>
    <row r="17188" spans="8:8" x14ac:dyDescent="0.25">
      <c r="H17188" t="s">
        <v>1273</v>
      </c>
    </row>
    <row r="17189" spans="8:8" x14ac:dyDescent="0.25">
      <c r="H17189" t="s">
        <v>30</v>
      </c>
    </row>
    <row r="17191" spans="8:8" x14ac:dyDescent="0.25">
      <c r="H17191" t="s">
        <v>1274</v>
      </c>
    </row>
    <row r="17192" spans="8:8" x14ac:dyDescent="0.25">
      <c r="H17192" t="s">
        <v>1275</v>
      </c>
    </row>
    <row r="17193" spans="8:8" x14ac:dyDescent="0.25">
      <c r="H17193" t="s">
        <v>135</v>
      </c>
    </row>
    <row r="17194" spans="8:8" x14ac:dyDescent="0.25">
      <c r="H17194" t="s">
        <v>1276</v>
      </c>
    </row>
    <row r="17195" spans="8:8" x14ac:dyDescent="0.25">
      <c r="H17195" t="s">
        <v>30</v>
      </c>
    </row>
    <row r="17197" spans="8:8" x14ac:dyDescent="0.25">
      <c r="H17197" t="s">
        <v>1277</v>
      </c>
    </row>
    <row r="17198" spans="8:8" x14ac:dyDescent="0.25">
      <c r="H17198" t="s">
        <v>1278</v>
      </c>
    </row>
    <row r="17199" spans="8:8" x14ac:dyDescent="0.25">
      <c r="H17199" t="s">
        <v>135</v>
      </c>
    </row>
    <row r="17200" spans="8:8" x14ac:dyDescent="0.25">
      <c r="H17200" t="s">
        <v>1279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1280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1281</v>
      </c>
    </row>
    <row r="17207" spans="8:8" x14ac:dyDescent="0.25">
      <c r="H17207" t="s">
        <v>30</v>
      </c>
    </row>
    <row r="17209" spans="8:8" x14ac:dyDescent="0.25">
      <c r="H17209" t="s">
        <v>1282</v>
      </c>
    </row>
    <row r="17210" spans="8:8" x14ac:dyDescent="0.25">
      <c r="H17210" t="s">
        <v>1283</v>
      </c>
    </row>
    <row r="17211" spans="8:8" x14ac:dyDescent="0.25">
      <c r="H17211" t="s">
        <v>135</v>
      </c>
    </row>
    <row r="17212" spans="8:8" x14ac:dyDescent="0.25">
      <c r="H17212" t="s">
        <v>2259</v>
      </c>
    </row>
    <row r="17213" spans="8:8" x14ac:dyDescent="0.25">
      <c r="H17213" t="s">
        <v>30</v>
      </c>
    </row>
    <row r="17215" spans="8:8" x14ac:dyDescent="0.25">
      <c r="H17215" t="s">
        <v>1284</v>
      </c>
    </row>
    <row r="17216" spans="8:8" x14ac:dyDescent="0.25">
      <c r="H17216" t="s">
        <v>1285</v>
      </c>
    </row>
    <row r="17217" spans="8:8" x14ac:dyDescent="0.25">
      <c r="H17217" t="s">
        <v>135</v>
      </c>
    </row>
    <row r="17218" spans="8:8" x14ac:dyDescent="0.25">
      <c r="H17218" t="s">
        <v>1286</v>
      </c>
    </row>
    <row r="17219" spans="8:8" x14ac:dyDescent="0.25">
      <c r="H17219" t="s">
        <v>30</v>
      </c>
    </row>
    <row r="17221" spans="8:8" x14ac:dyDescent="0.25">
      <c r="H17221" t="s">
        <v>1287</v>
      </c>
    </row>
    <row r="17222" spans="8:8" x14ac:dyDescent="0.25">
      <c r="H17222" t="s">
        <v>1288</v>
      </c>
    </row>
    <row r="17223" spans="8:8" x14ac:dyDescent="0.25">
      <c r="H17223" t="s">
        <v>135</v>
      </c>
    </row>
    <row r="17224" spans="8:8" x14ac:dyDescent="0.25">
      <c r="H17224" t="s">
        <v>1289</v>
      </c>
    </row>
    <row r="17225" spans="8:8" x14ac:dyDescent="0.25">
      <c r="H17225" t="s">
        <v>30</v>
      </c>
    </row>
    <row r="17227" spans="8:8" x14ac:dyDescent="0.25">
      <c r="H17227" t="s">
        <v>1290</v>
      </c>
    </row>
    <row r="17228" spans="8:8" x14ac:dyDescent="0.25">
      <c r="H17228" t="s">
        <v>1291</v>
      </c>
    </row>
    <row r="17229" spans="8:8" x14ac:dyDescent="0.25">
      <c r="H17229" t="s">
        <v>135</v>
      </c>
    </row>
    <row r="17230" spans="8:8" x14ac:dyDescent="0.25">
      <c r="H17230" t="s">
        <v>1292</v>
      </c>
    </row>
    <row r="17231" spans="8:8" x14ac:dyDescent="0.25">
      <c r="H17231" t="s">
        <v>30</v>
      </c>
    </row>
    <row r="17233" spans="8:8" x14ac:dyDescent="0.25">
      <c r="H17233" t="s">
        <v>1293</v>
      </c>
    </row>
    <row r="17234" spans="8:8" x14ac:dyDescent="0.25">
      <c r="H17234" t="s">
        <v>1294</v>
      </c>
    </row>
    <row r="17235" spans="8:8" x14ac:dyDescent="0.25">
      <c r="H17235" t="s">
        <v>135</v>
      </c>
    </row>
    <row r="17236" spans="8:8" x14ac:dyDescent="0.25">
      <c r="H17236" t="s">
        <v>1295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1296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1297</v>
      </c>
    </row>
    <row r="17243" spans="8:8" x14ac:dyDescent="0.25">
      <c r="H17243" t="s">
        <v>30</v>
      </c>
    </row>
    <row r="17245" spans="8:8" x14ac:dyDescent="0.25">
      <c r="H17245" t="s">
        <v>1298</v>
      </c>
    </row>
    <row r="17246" spans="8:8" x14ac:dyDescent="0.25">
      <c r="H17246" t="s">
        <v>1299</v>
      </c>
    </row>
    <row r="17247" spans="8:8" x14ac:dyDescent="0.25">
      <c r="H17247" t="s">
        <v>135</v>
      </c>
    </row>
    <row r="17248" spans="8:8" x14ac:dyDescent="0.25">
      <c r="H17248" t="s">
        <v>2260</v>
      </c>
    </row>
    <row r="17249" spans="8:8" x14ac:dyDescent="0.25">
      <c r="H17249" t="s">
        <v>30</v>
      </c>
    </row>
    <row r="17251" spans="8:8" x14ac:dyDescent="0.25">
      <c r="H17251" t="s">
        <v>1300</v>
      </c>
    </row>
    <row r="17252" spans="8:8" x14ac:dyDescent="0.25">
      <c r="H17252" t="s">
        <v>1301</v>
      </c>
    </row>
    <row r="17253" spans="8:8" x14ac:dyDescent="0.25">
      <c r="H17253" t="s">
        <v>135</v>
      </c>
    </row>
    <row r="17254" spans="8:8" x14ac:dyDescent="0.25">
      <c r="H17254" t="s">
        <v>1302</v>
      </c>
    </row>
    <row r="17255" spans="8:8" x14ac:dyDescent="0.25">
      <c r="H17255" t="s">
        <v>30</v>
      </c>
    </row>
    <row r="17257" spans="8:8" x14ac:dyDescent="0.25">
      <c r="H17257" t="s">
        <v>1303</v>
      </c>
    </row>
    <row r="17258" spans="8:8" x14ac:dyDescent="0.25">
      <c r="H17258" t="s">
        <v>1304</v>
      </c>
    </row>
    <row r="17259" spans="8:8" x14ac:dyDescent="0.25">
      <c r="H17259" t="s">
        <v>135</v>
      </c>
    </row>
    <row r="17260" spans="8:8" x14ac:dyDescent="0.25">
      <c r="H17260" t="s">
        <v>1305</v>
      </c>
    </row>
    <row r="17261" spans="8:8" x14ac:dyDescent="0.25">
      <c r="H17261" t="s">
        <v>30</v>
      </c>
    </row>
    <row r="17263" spans="8:8" x14ac:dyDescent="0.25">
      <c r="H17263" t="s">
        <v>1306</v>
      </c>
    </row>
    <row r="17264" spans="8:8" x14ac:dyDescent="0.25">
      <c r="H17264" t="s">
        <v>1307</v>
      </c>
    </row>
    <row r="17265" spans="8:8" x14ac:dyDescent="0.25">
      <c r="H17265" t="s">
        <v>135</v>
      </c>
    </row>
    <row r="17266" spans="8:8" x14ac:dyDescent="0.25">
      <c r="H17266" t="s">
        <v>1308</v>
      </c>
    </row>
    <row r="17267" spans="8:8" x14ac:dyDescent="0.25">
      <c r="H17267" t="s">
        <v>30</v>
      </c>
    </row>
    <row r="17269" spans="8:8" x14ac:dyDescent="0.25">
      <c r="H17269" t="s">
        <v>1309</v>
      </c>
    </row>
    <row r="17270" spans="8:8" x14ac:dyDescent="0.25">
      <c r="H17270" t="s">
        <v>1310</v>
      </c>
    </row>
    <row r="17271" spans="8:8" x14ac:dyDescent="0.25">
      <c r="H17271" t="s">
        <v>135</v>
      </c>
    </row>
    <row r="17272" spans="8:8" x14ac:dyDescent="0.25">
      <c r="H17272" t="s">
        <v>1311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1312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1313</v>
      </c>
    </row>
    <row r="17279" spans="8:8" x14ac:dyDescent="0.25">
      <c r="H17279" t="s">
        <v>30</v>
      </c>
    </row>
    <row r="17281" spans="8:8" x14ac:dyDescent="0.25">
      <c r="H17281" t="s">
        <v>1314</v>
      </c>
    </row>
    <row r="17282" spans="8:8" x14ac:dyDescent="0.25">
      <c r="H17282" t="s">
        <v>1315</v>
      </c>
    </row>
    <row r="17283" spans="8:8" x14ac:dyDescent="0.25">
      <c r="H17283" t="s">
        <v>135</v>
      </c>
    </row>
    <row r="17284" spans="8:8" x14ac:dyDescent="0.25">
      <c r="H17284" t="s">
        <v>2261</v>
      </c>
    </row>
    <row r="17285" spans="8:8" x14ac:dyDescent="0.25">
      <c r="H17285" t="s">
        <v>30</v>
      </c>
    </row>
    <row r="17287" spans="8:8" x14ac:dyDescent="0.25">
      <c r="H17287" t="s">
        <v>1316</v>
      </c>
    </row>
    <row r="17288" spans="8:8" x14ac:dyDescent="0.25">
      <c r="H17288" t="s">
        <v>1317</v>
      </c>
    </row>
    <row r="17289" spans="8:8" x14ac:dyDescent="0.25">
      <c r="H17289" t="s">
        <v>135</v>
      </c>
    </row>
    <row r="17290" spans="8:8" x14ac:dyDescent="0.25">
      <c r="H17290" t="s">
        <v>1318</v>
      </c>
    </row>
    <row r="17291" spans="8:8" x14ac:dyDescent="0.25">
      <c r="H17291" t="s">
        <v>30</v>
      </c>
    </row>
    <row r="17293" spans="8:8" x14ac:dyDescent="0.25">
      <c r="H17293" t="s">
        <v>1319</v>
      </c>
    </row>
    <row r="17294" spans="8:8" x14ac:dyDescent="0.25">
      <c r="H17294" t="s">
        <v>1320</v>
      </c>
    </row>
    <row r="17295" spans="8:8" x14ac:dyDescent="0.25">
      <c r="H17295" t="s">
        <v>135</v>
      </c>
    </row>
    <row r="17296" spans="8:8" x14ac:dyDescent="0.25">
      <c r="H17296" t="s">
        <v>1321</v>
      </c>
    </row>
    <row r="17297" spans="8:8" x14ac:dyDescent="0.25">
      <c r="H17297" t="s">
        <v>30</v>
      </c>
    </row>
    <row r="17299" spans="8:8" x14ac:dyDescent="0.25">
      <c r="H17299" t="s">
        <v>1322</v>
      </c>
    </row>
    <row r="17300" spans="8:8" x14ac:dyDescent="0.25">
      <c r="H17300" t="s">
        <v>1323</v>
      </c>
    </row>
    <row r="17301" spans="8:8" x14ac:dyDescent="0.25">
      <c r="H17301" t="s">
        <v>135</v>
      </c>
    </row>
    <row r="17302" spans="8:8" x14ac:dyDescent="0.25">
      <c r="H17302" t="s">
        <v>1324</v>
      </c>
    </row>
    <row r="17303" spans="8:8" x14ac:dyDescent="0.25">
      <c r="H17303" t="s">
        <v>30</v>
      </c>
    </row>
    <row r="17305" spans="8:8" x14ac:dyDescent="0.25">
      <c r="H17305" t="s">
        <v>1325</v>
      </c>
    </row>
    <row r="17306" spans="8:8" x14ac:dyDescent="0.25">
      <c r="H17306" t="s">
        <v>1326</v>
      </c>
    </row>
    <row r="17307" spans="8:8" x14ac:dyDescent="0.25">
      <c r="H17307" t="s">
        <v>135</v>
      </c>
    </row>
    <row r="17308" spans="8:8" x14ac:dyDescent="0.25">
      <c r="H17308" t="s">
        <v>1327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1328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1329</v>
      </c>
    </row>
    <row r="17315" spans="8:8" x14ac:dyDescent="0.25">
      <c r="H17315" t="s">
        <v>30</v>
      </c>
    </row>
    <row r="17317" spans="8:8" x14ac:dyDescent="0.25">
      <c r="H17317" t="s">
        <v>1330</v>
      </c>
    </row>
    <row r="17318" spans="8:8" x14ac:dyDescent="0.25">
      <c r="H17318" t="s">
        <v>1331</v>
      </c>
    </row>
    <row r="17319" spans="8:8" x14ac:dyDescent="0.25">
      <c r="H17319" t="s">
        <v>135</v>
      </c>
    </row>
    <row r="17320" spans="8:8" x14ac:dyDescent="0.25">
      <c r="H17320" t="s">
        <v>2262</v>
      </c>
    </row>
    <row r="17321" spans="8:8" x14ac:dyDescent="0.25">
      <c r="H17321" t="s">
        <v>30</v>
      </c>
    </row>
    <row r="17323" spans="8:8" x14ac:dyDescent="0.25">
      <c r="H17323" t="s">
        <v>1332</v>
      </c>
    </row>
    <row r="17324" spans="8:8" x14ac:dyDescent="0.25">
      <c r="H17324" t="s">
        <v>1333</v>
      </c>
    </row>
    <row r="17325" spans="8:8" x14ac:dyDescent="0.25">
      <c r="H17325" t="s">
        <v>135</v>
      </c>
    </row>
    <row r="17326" spans="8:8" x14ac:dyDescent="0.25">
      <c r="H17326" t="s">
        <v>1334</v>
      </c>
    </row>
    <row r="17327" spans="8:8" x14ac:dyDescent="0.25">
      <c r="H17327" t="s">
        <v>30</v>
      </c>
    </row>
    <row r="17329" spans="8:8" x14ac:dyDescent="0.25">
      <c r="H17329" t="s">
        <v>1335</v>
      </c>
    </row>
    <row r="17330" spans="8:8" x14ac:dyDescent="0.25">
      <c r="H17330" t="s">
        <v>1336</v>
      </c>
    </row>
    <row r="17331" spans="8:8" x14ac:dyDescent="0.25">
      <c r="H17331" t="s">
        <v>135</v>
      </c>
    </row>
    <row r="17332" spans="8:8" x14ac:dyDescent="0.25">
      <c r="H17332" t="s">
        <v>1337</v>
      </c>
    </row>
    <row r="17333" spans="8:8" x14ac:dyDescent="0.25">
      <c r="H17333" t="s">
        <v>30</v>
      </c>
    </row>
    <row r="17335" spans="8:8" x14ac:dyDescent="0.25">
      <c r="H17335" t="s">
        <v>1338</v>
      </c>
    </row>
    <row r="17336" spans="8:8" x14ac:dyDescent="0.25">
      <c r="H17336" t="s">
        <v>1339</v>
      </c>
    </row>
    <row r="17337" spans="8:8" x14ac:dyDescent="0.25">
      <c r="H17337" t="s">
        <v>135</v>
      </c>
    </row>
    <row r="17338" spans="8:8" x14ac:dyDescent="0.25">
      <c r="H17338" t="s">
        <v>1340</v>
      </c>
    </row>
    <row r="17339" spans="8:8" x14ac:dyDescent="0.25">
      <c r="H17339" t="s">
        <v>30</v>
      </c>
    </row>
    <row r="17340" spans="8:8" x14ac:dyDescent="0.25">
      <c r="H17340" t="s">
        <v>1341</v>
      </c>
    </row>
    <row r="17341" spans="8:8" x14ac:dyDescent="0.25">
      <c r="H17341" t="s">
        <v>136</v>
      </c>
    </row>
    <row r="17342" spans="8:8" x14ac:dyDescent="0.25">
      <c r="H17342" t="s">
        <v>1342</v>
      </c>
    </row>
    <row r="17343" spans="8:8" x14ac:dyDescent="0.25">
      <c r="H17343" t="s">
        <v>30</v>
      </c>
    </row>
    <row r="17345" spans="8:8" x14ac:dyDescent="0.25">
      <c r="H17345" t="s">
        <v>1343</v>
      </c>
    </row>
    <row r="17346" spans="8:8" x14ac:dyDescent="0.25">
      <c r="H17346" t="s">
        <v>1344</v>
      </c>
    </row>
    <row r="17347" spans="8:8" x14ac:dyDescent="0.25">
      <c r="H17347" t="s">
        <v>135</v>
      </c>
    </row>
    <row r="17348" spans="8:8" x14ac:dyDescent="0.25">
      <c r="H17348" t="s">
        <v>1345</v>
      </c>
    </row>
    <row r="17349" spans="8:8" x14ac:dyDescent="0.25">
      <c r="H17349" t="s">
        <v>30</v>
      </c>
    </row>
    <row r="17351" spans="8:8" x14ac:dyDescent="0.25">
      <c r="H17351" t="s">
        <v>1346</v>
      </c>
    </row>
    <row r="17352" spans="8:8" x14ac:dyDescent="0.25">
      <c r="H17352" t="s">
        <v>1347</v>
      </c>
    </row>
    <row r="17353" spans="8:8" x14ac:dyDescent="0.25">
      <c r="H17353" t="s">
        <v>135</v>
      </c>
    </row>
    <row r="17354" spans="8:8" x14ac:dyDescent="0.25">
      <c r="H17354" t="s">
        <v>1348</v>
      </c>
    </row>
    <row r="17355" spans="8:8" x14ac:dyDescent="0.25">
      <c r="H17355" t="s">
        <v>30</v>
      </c>
    </row>
    <row r="17357" spans="8:8" x14ac:dyDescent="0.25">
      <c r="H17357" t="s">
        <v>1349</v>
      </c>
    </row>
    <row r="17358" spans="8:8" x14ac:dyDescent="0.25">
      <c r="H17358" t="s">
        <v>1350</v>
      </c>
    </row>
    <row r="17359" spans="8:8" x14ac:dyDescent="0.25">
      <c r="H17359" t="s">
        <v>135</v>
      </c>
    </row>
    <row r="17360" spans="8:8" x14ac:dyDescent="0.25">
      <c r="H17360" t="s">
        <v>1351</v>
      </c>
    </row>
    <row r="17361" spans="8:8" x14ac:dyDescent="0.25">
      <c r="H17361" t="s">
        <v>30</v>
      </c>
    </row>
    <row r="17363" spans="8:8" x14ac:dyDescent="0.25">
      <c r="H17363" t="s">
        <v>1352</v>
      </c>
    </row>
    <row r="17364" spans="8:8" x14ac:dyDescent="0.25">
      <c r="H17364" t="s">
        <v>1353</v>
      </c>
    </row>
    <row r="17365" spans="8:8" x14ac:dyDescent="0.25">
      <c r="H17365" t="s">
        <v>135</v>
      </c>
    </row>
    <row r="17366" spans="8:8" x14ac:dyDescent="0.25">
      <c r="H17366" t="s">
        <v>1354</v>
      </c>
    </row>
    <row r="17367" spans="8:8" x14ac:dyDescent="0.25">
      <c r="H17367" t="s">
        <v>30</v>
      </c>
    </row>
    <row r="17369" spans="8:8" x14ac:dyDescent="0.25">
      <c r="H17369" t="s">
        <v>1355</v>
      </c>
    </row>
    <row r="17370" spans="8:8" x14ac:dyDescent="0.25">
      <c r="H17370" t="s">
        <v>1356</v>
      </c>
    </row>
    <row r="17371" spans="8:8" x14ac:dyDescent="0.25">
      <c r="H17371" t="s">
        <v>135</v>
      </c>
    </row>
    <row r="17372" spans="8:8" x14ac:dyDescent="0.25">
      <c r="H17372" t="s">
        <v>1357</v>
      </c>
    </row>
    <row r="17373" spans="8:8" x14ac:dyDescent="0.25">
      <c r="H17373" t="s">
        <v>30</v>
      </c>
    </row>
    <row r="17375" spans="8:8" x14ac:dyDescent="0.25">
      <c r="H17375" t="s">
        <v>1358</v>
      </c>
    </row>
    <row r="17376" spans="8:8" x14ac:dyDescent="0.25">
      <c r="H17376" t="s">
        <v>1359</v>
      </c>
    </row>
    <row r="17377" spans="8:8" x14ac:dyDescent="0.25">
      <c r="H17377" t="s">
        <v>135</v>
      </c>
    </row>
    <row r="17378" spans="8:8" x14ac:dyDescent="0.25">
      <c r="H17378" t="s">
        <v>1360</v>
      </c>
    </row>
    <row r="17379" spans="8:8" x14ac:dyDescent="0.25">
      <c r="H17379" t="s">
        <v>30</v>
      </c>
    </row>
    <row r="17381" spans="8:8" x14ac:dyDescent="0.25">
      <c r="H17381" t="s">
        <v>1361</v>
      </c>
    </row>
    <row r="17382" spans="8:8" x14ac:dyDescent="0.25">
      <c r="H17382" t="s">
        <v>1362</v>
      </c>
    </row>
    <row r="17383" spans="8:8" x14ac:dyDescent="0.25">
      <c r="H17383" t="s">
        <v>135</v>
      </c>
    </row>
    <row r="17384" spans="8:8" x14ac:dyDescent="0.25">
      <c r="H17384" t="s">
        <v>1363</v>
      </c>
    </row>
    <row r="17385" spans="8:8" x14ac:dyDescent="0.25">
      <c r="H17385" t="s">
        <v>30</v>
      </c>
    </row>
    <row r="17387" spans="8:8" x14ac:dyDescent="0.25">
      <c r="H17387" t="s">
        <v>1364</v>
      </c>
    </row>
    <row r="17388" spans="8:8" x14ac:dyDescent="0.25">
      <c r="H17388" t="s">
        <v>1365</v>
      </c>
    </row>
    <row r="17389" spans="8:8" x14ac:dyDescent="0.25">
      <c r="H17389" t="s">
        <v>135</v>
      </c>
    </row>
    <row r="17390" spans="8:8" x14ac:dyDescent="0.25">
      <c r="H17390" t="s">
        <v>1366</v>
      </c>
    </row>
    <row r="17391" spans="8:8" x14ac:dyDescent="0.25">
      <c r="H17391" t="s">
        <v>30</v>
      </c>
    </row>
    <row r="17393" spans="8:8" x14ac:dyDescent="0.25">
      <c r="H17393" t="s">
        <v>1367</v>
      </c>
    </row>
    <row r="17394" spans="8:8" x14ac:dyDescent="0.25">
      <c r="H17394" t="s">
        <v>1368</v>
      </c>
    </row>
    <row r="17395" spans="8:8" x14ac:dyDescent="0.25">
      <c r="H17395" t="s">
        <v>135</v>
      </c>
    </row>
    <row r="17396" spans="8:8" x14ac:dyDescent="0.25">
      <c r="H17396" t="s">
        <v>1369</v>
      </c>
    </row>
    <row r="17397" spans="8:8" x14ac:dyDescent="0.25">
      <c r="H17397" t="s">
        <v>30</v>
      </c>
    </row>
    <row r="17399" spans="8:8" x14ac:dyDescent="0.25">
      <c r="H17399" t="s">
        <v>1370</v>
      </c>
    </row>
    <row r="17400" spans="8:8" x14ac:dyDescent="0.25">
      <c r="H17400" t="s">
        <v>1371</v>
      </c>
    </row>
    <row r="17401" spans="8:8" x14ac:dyDescent="0.25">
      <c r="H17401" t="s">
        <v>135</v>
      </c>
    </row>
    <row r="17402" spans="8:8" x14ac:dyDescent="0.25">
      <c r="H17402" t="s">
        <v>1372</v>
      </c>
    </row>
    <row r="17403" spans="8:8" x14ac:dyDescent="0.25">
      <c r="H17403" t="s">
        <v>30</v>
      </c>
    </row>
    <row r="17405" spans="8:8" x14ac:dyDescent="0.25">
      <c r="H17405" t="s">
        <v>1373</v>
      </c>
    </row>
    <row r="17406" spans="8:8" x14ac:dyDescent="0.25">
      <c r="H17406" t="s">
        <v>1374</v>
      </c>
    </row>
    <row r="17407" spans="8:8" x14ac:dyDescent="0.25">
      <c r="H17407" t="s">
        <v>135</v>
      </c>
    </row>
    <row r="17408" spans="8:8" x14ac:dyDescent="0.25">
      <c r="H17408" t="s">
        <v>1375</v>
      </c>
    </row>
    <row r="17409" spans="8:8" x14ac:dyDescent="0.25">
      <c r="H17409" t="s">
        <v>30</v>
      </c>
    </row>
    <row r="17411" spans="8:8" x14ac:dyDescent="0.25">
      <c r="H17411" t="s">
        <v>1376</v>
      </c>
    </row>
    <row r="17412" spans="8:8" x14ac:dyDescent="0.25">
      <c r="H17412" t="s">
        <v>1377</v>
      </c>
    </row>
    <row r="17413" spans="8:8" x14ac:dyDescent="0.25">
      <c r="H17413" t="s">
        <v>135</v>
      </c>
    </row>
    <row r="17414" spans="8:8" x14ac:dyDescent="0.25">
      <c r="H17414" t="s">
        <v>1378</v>
      </c>
    </row>
    <row r="17415" spans="8:8" x14ac:dyDescent="0.25">
      <c r="H17415" t="s">
        <v>30</v>
      </c>
    </row>
    <row r="17417" spans="8:8" x14ac:dyDescent="0.25">
      <c r="H17417" t="s">
        <v>1379</v>
      </c>
    </row>
    <row r="17418" spans="8:8" x14ac:dyDescent="0.25">
      <c r="H17418" t="s">
        <v>1380</v>
      </c>
    </row>
    <row r="17419" spans="8:8" x14ac:dyDescent="0.25">
      <c r="H17419" t="s">
        <v>135</v>
      </c>
    </row>
    <row r="17420" spans="8:8" x14ac:dyDescent="0.25">
      <c r="H17420" t="s">
        <v>1381</v>
      </c>
    </row>
    <row r="17421" spans="8:8" x14ac:dyDescent="0.25">
      <c r="H17421" t="s">
        <v>30</v>
      </c>
    </row>
    <row r="17423" spans="8:8" x14ac:dyDescent="0.25">
      <c r="H17423" t="s">
        <v>1382</v>
      </c>
    </row>
    <row r="17424" spans="8:8" x14ac:dyDescent="0.25">
      <c r="H17424" t="s">
        <v>1383</v>
      </c>
    </row>
    <row r="17425" spans="8:8" x14ac:dyDescent="0.25">
      <c r="H17425" t="s">
        <v>135</v>
      </c>
    </row>
    <row r="17426" spans="8:8" x14ac:dyDescent="0.25">
      <c r="H17426" t="s">
        <v>1384</v>
      </c>
    </row>
    <row r="17427" spans="8:8" x14ac:dyDescent="0.25">
      <c r="H17427" t="s">
        <v>30</v>
      </c>
    </row>
    <row r="17429" spans="8:8" x14ac:dyDescent="0.25">
      <c r="H17429" t="s">
        <v>1385</v>
      </c>
    </row>
    <row r="17430" spans="8:8" x14ac:dyDescent="0.25">
      <c r="H17430" t="s">
        <v>1386</v>
      </c>
    </row>
    <row r="17431" spans="8:8" x14ac:dyDescent="0.25">
      <c r="H17431" t="s">
        <v>135</v>
      </c>
    </row>
    <row r="17432" spans="8:8" x14ac:dyDescent="0.25">
      <c r="H17432" t="s">
        <v>1387</v>
      </c>
    </row>
    <row r="17433" spans="8:8" x14ac:dyDescent="0.25">
      <c r="H17433" t="s">
        <v>30</v>
      </c>
    </row>
    <row r="17435" spans="8:8" x14ac:dyDescent="0.25">
      <c r="H17435" t="s">
        <v>1388</v>
      </c>
    </row>
    <row r="17436" spans="8:8" x14ac:dyDescent="0.25">
      <c r="H17436" t="s">
        <v>1389</v>
      </c>
    </row>
    <row r="17437" spans="8:8" x14ac:dyDescent="0.25">
      <c r="H17437" t="s">
        <v>135</v>
      </c>
    </row>
    <row r="17438" spans="8:8" x14ac:dyDescent="0.25">
      <c r="H17438" t="s">
        <v>1390</v>
      </c>
    </row>
    <row r="17439" spans="8:8" x14ac:dyDescent="0.25">
      <c r="H17439" t="s">
        <v>30</v>
      </c>
    </row>
    <row r="17441" spans="8:8" x14ac:dyDescent="0.25">
      <c r="H17441" t="s">
        <v>1391</v>
      </c>
    </row>
    <row r="17442" spans="8:8" x14ac:dyDescent="0.25">
      <c r="H17442" t="s">
        <v>1392</v>
      </c>
    </row>
    <row r="17443" spans="8:8" x14ac:dyDescent="0.25">
      <c r="H17443" t="s">
        <v>135</v>
      </c>
    </row>
    <row r="17444" spans="8:8" x14ac:dyDescent="0.25">
      <c r="H17444" t="s">
        <v>1393</v>
      </c>
    </row>
    <row r="17445" spans="8:8" x14ac:dyDescent="0.25">
      <c r="H17445" t="s">
        <v>30</v>
      </c>
    </row>
    <row r="17447" spans="8:8" x14ac:dyDescent="0.25">
      <c r="H17447" t="s">
        <v>1394</v>
      </c>
    </row>
    <row r="17448" spans="8:8" x14ac:dyDescent="0.25">
      <c r="H17448" t="s">
        <v>1395</v>
      </c>
    </row>
    <row r="17449" spans="8:8" x14ac:dyDescent="0.25">
      <c r="H17449" t="s">
        <v>135</v>
      </c>
    </row>
    <row r="17450" spans="8:8" x14ac:dyDescent="0.25">
      <c r="H17450" t="s">
        <v>1396</v>
      </c>
    </row>
    <row r="17451" spans="8:8" x14ac:dyDescent="0.25">
      <c r="H17451" t="s">
        <v>30</v>
      </c>
    </row>
    <row r="17453" spans="8:8" x14ac:dyDescent="0.25">
      <c r="H17453" t="s">
        <v>1397</v>
      </c>
    </row>
    <row r="17454" spans="8:8" x14ac:dyDescent="0.25">
      <c r="H17454" t="s">
        <v>1398</v>
      </c>
    </row>
    <row r="17455" spans="8:8" x14ac:dyDescent="0.25">
      <c r="H17455" t="s">
        <v>135</v>
      </c>
    </row>
    <row r="17456" spans="8:8" x14ac:dyDescent="0.25">
      <c r="H17456" t="s">
        <v>1399</v>
      </c>
    </row>
    <row r="17457" spans="8:8" x14ac:dyDescent="0.25">
      <c r="H17457" t="s">
        <v>30</v>
      </c>
    </row>
    <row r="17459" spans="8:8" x14ac:dyDescent="0.25">
      <c r="H17459" t="s">
        <v>1400</v>
      </c>
    </row>
    <row r="17460" spans="8:8" x14ac:dyDescent="0.25">
      <c r="H17460" t="s">
        <v>1401</v>
      </c>
    </row>
    <row r="17461" spans="8:8" x14ac:dyDescent="0.25">
      <c r="H17461" t="s">
        <v>135</v>
      </c>
    </row>
    <row r="17462" spans="8:8" x14ac:dyDescent="0.25">
      <c r="H17462" t="s">
        <v>1402</v>
      </c>
    </row>
    <row r="17463" spans="8:8" x14ac:dyDescent="0.25">
      <c r="H17463" t="s">
        <v>30</v>
      </c>
    </row>
    <row r="17465" spans="8:8" x14ac:dyDescent="0.25">
      <c r="H17465" t="s">
        <v>1403</v>
      </c>
    </row>
    <row r="17466" spans="8:8" x14ac:dyDescent="0.25">
      <c r="H17466" t="s">
        <v>1404</v>
      </c>
    </row>
    <row r="17467" spans="8:8" x14ac:dyDescent="0.25">
      <c r="H17467" t="s">
        <v>135</v>
      </c>
    </row>
    <row r="17468" spans="8:8" x14ac:dyDescent="0.25">
      <c r="H17468" t="s">
        <v>1405</v>
      </c>
    </row>
    <row r="17469" spans="8:8" x14ac:dyDescent="0.25">
      <c r="H17469" t="s">
        <v>30</v>
      </c>
    </row>
    <row r="17471" spans="8:8" x14ac:dyDescent="0.25">
      <c r="H17471" t="s">
        <v>1406</v>
      </c>
    </row>
    <row r="17472" spans="8:8" x14ac:dyDescent="0.25">
      <c r="H17472" t="s">
        <v>1407</v>
      </c>
    </row>
    <row r="17473" spans="8:8" x14ac:dyDescent="0.25">
      <c r="H17473" t="s">
        <v>135</v>
      </c>
    </row>
    <row r="17474" spans="8:8" x14ac:dyDescent="0.25">
      <c r="H17474" t="s">
        <v>1408</v>
      </c>
    </row>
    <row r="17475" spans="8:8" x14ac:dyDescent="0.25">
      <c r="H17475" t="s">
        <v>30</v>
      </c>
    </row>
    <row r="17477" spans="8:8" x14ac:dyDescent="0.25">
      <c r="H17477" t="s">
        <v>1409</v>
      </c>
    </row>
    <row r="17478" spans="8:8" x14ac:dyDescent="0.25">
      <c r="H17478" t="s">
        <v>1410</v>
      </c>
    </row>
    <row r="17479" spans="8:8" x14ac:dyDescent="0.25">
      <c r="H17479" t="s">
        <v>135</v>
      </c>
    </row>
    <row r="17480" spans="8:8" x14ac:dyDescent="0.25">
      <c r="H17480" t="s">
        <v>1411</v>
      </c>
    </row>
    <row r="17481" spans="8:8" x14ac:dyDescent="0.25">
      <c r="H17481" t="s">
        <v>30</v>
      </c>
    </row>
    <row r="17483" spans="8:8" x14ac:dyDescent="0.25">
      <c r="H17483" t="s">
        <v>1412</v>
      </c>
    </row>
    <row r="17484" spans="8:8" x14ac:dyDescent="0.25">
      <c r="H17484" t="s">
        <v>1413</v>
      </c>
    </row>
    <row r="17485" spans="8:8" x14ac:dyDescent="0.25">
      <c r="H17485" t="s">
        <v>135</v>
      </c>
    </row>
    <row r="17486" spans="8:8" x14ac:dyDescent="0.25">
      <c r="H17486" t="s">
        <v>1414</v>
      </c>
    </row>
    <row r="17487" spans="8:8" x14ac:dyDescent="0.25">
      <c r="H17487" t="s">
        <v>30</v>
      </c>
    </row>
    <row r="17489" spans="8:8" x14ac:dyDescent="0.25">
      <c r="H17489" t="s">
        <v>1415</v>
      </c>
    </row>
    <row r="17490" spans="8:8" x14ac:dyDescent="0.25">
      <c r="H17490" t="s">
        <v>1416</v>
      </c>
    </row>
    <row r="17491" spans="8:8" x14ac:dyDescent="0.25">
      <c r="H17491" t="s">
        <v>135</v>
      </c>
    </row>
    <row r="17492" spans="8:8" x14ac:dyDescent="0.25">
      <c r="H17492" t="s">
        <v>1417</v>
      </c>
    </row>
    <row r="17493" spans="8:8" x14ac:dyDescent="0.25">
      <c r="H17493" t="s">
        <v>30</v>
      </c>
    </row>
    <row r="17495" spans="8:8" x14ac:dyDescent="0.25">
      <c r="H17495" t="s">
        <v>1418</v>
      </c>
    </row>
    <row r="17496" spans="8:8" x14ac:dyDescent="0.25">
      <c r="H17496" t="s">
        <v>1419</v>
      </c>
    </row>
    <row r="17497" spans="8:8" x14ac:dyDescent="0.25">
      <c r="H17497" t="s">
        <v>135</v>
      </c>
    </row>
    <row r="17498" spans="8:8" x14ac:dyDescent="0.25">
      <c r="H17498" t="s">
        <v>1420</v>
      </c>
    </row>
    <row r="17499" spans="8:8" x14ac:dyDescent="0.25">
      <c r="H17499" t="s">
        <v>30</v>
      </c>
    </row>
    <row r="17501" spans="8:8" x14ac:dyDescent="0.25">
      <c r="H17501" t="s">
        <v>1421</v>
      </c>
    </row>
    <row r="17502" spans="8:8" x14ac:dyDescent="0.25">
      <c r="H17502" t="s">
        <v>1422</v>
      </c>
    </row>
    <row r="17503" spans="8:8" x14ac:dyDescent="0.25">
      <c r="H17503" t="s">
        <v>135</v>
      </c>
    </row>
    <row r="17504" spans="8:8" x14ac:dyDescent="0.25">
      <c r="H17504" t="s">
        <v>1423</v>
      </c>
    </row>
    <row r="17505" spans="8:8" x14ac:dyDescent="0.25">
      <c r="H17505" t="s">
        <v>30</v>
      </c>
    </row>
    <row r="17507" spans="8:8" x14ac:dyDescent="0.25">
      <c r="H17507" t="s">
        <v>1424</v>
      </c>
    </row>
    <row r="17508" spans="8:8" x14ac:dyDescent="0.25">
      <c r="H17508" t="s">
        <v>1425</v>
      </c>
    </row>
    <row r="17509" spans="8:8" x14ac:dyDescent="0.25">
      <c r="H17509" t="s">
        <v>135</v>
      </c>
    </row>
    <row r="17510" spans="8:8" x14ac:dyDescent="0.25">
      <c r="H17510" t="s">
        <v>1426</v>
      </c>
    </row>
    <row r="17511" spans="8:8" x14ac:dyDescent="0.25">
      <c r="H17511" t="s">
        <v>30</v>
      </c>
    </row>
    <row r="17513" spans="8:8" x14ac:dyDescent="0.25">
      <c r="H17513" t="s">
        <v>1427</v>
      </c>
    </row>
    <row r="17514" spans="8:8" x14ac:dyDescent="0.25">
      <c r="H17514" t="s">
        <v>1428</v>
      </c>
    </row>
    <row r="17515" spans="8:8" x14ac:dyDescent="0.25">
      <c r="H17515" t="s">
        <v>135</v>
      </c>
    </row>
    <row r="17516" spans="8:8" x14ac:dyDescent="0.25">
      <c r="H17516" t="s">
        <v>1429</v>
      </c>
    </row>
    <row r="17517" spans="8:8" x14ac:dyDescent="0.25">
      <c r="H17517" t="s">
        <v>30</v>
      </c>
    </row>
    <row r="17519" spans="8:8" x14ac:dyDescent="0.25">
      <c r="H17519" t="s">
        <v>1430</v>
      </c>
    </row>
    <row r="17520" spans="8:8" x14ac:dyDescent="0.25">
      <c r="H17520" t="s">
        <v>1431</v>
      </c>
    </row>
    <row r="17521" spans="8:8" x14ac:dyDescent="0.25">
      <c r="H17521" t="s">
        <v>135</v>
      </c>
    </row>
    <row r="17522" spans="8:8" x14ac:dyDescent="0.25">
      <c r="H17522" t="s">
        <v>1432</v>
      </c>
    </row>
    <row r="17523" spans="8:8" x14ac:dyDescent="0.25">
      <c r="H17523" t="s">
        <v>30</v>
      </c>
    </row>
    <row r="17525" spans="8:8" x14ac:dyDescent="0.25">
      <c r="H17525" t="s">
        <v>1433</v>
      </c>
    </row>
    <row r="17526" spans="8:8" x14ac:dyDescent="0.25">
      <c r="H17526" t="s">
        <v>1434</v>
      </c>
    </row>
    <row r="17527" spans="8:8" x14ac:dyDescent="0.25">
      <c r="H17527" t="s">
        <v>135</v>
      </c>
    </row>
    <row r="17528" spans="8:8" x14ac:dyDescent="0.25">
      <c r="H17528" t="s">
        <v>1435</v>
      </c>
    </row>
    <row r="17529" spans="8:8" x14ac:dyDescent="0.25">
      <c r="H17529" t="s">
        <v>30</v>
      </c>
    </row>
    <row r="17531" spans="8:8" x14ac:dyDescent="0.25">
      <c r="H17531" t="s">
        <v>1436</v>
      </c>
    </row>
    <row r="17532" spans="8:8" x14ac:dyDescent="0.25">
      <c r="H17532" t="s">
        <v>1437</v>
      </c>
    </row>
    <row r="17533" spans="8:8" x14ac:dyDescent="0.25">
      <c r="H17533" t="s">
        <v>135</v>
      </c>
    </row>
    <row r="17534" spans="8:8" x14ac:dyDescent="0.25">
      <c r="H17534" t="s">
        <v>1438</v>
      </c>
    </row>
    <row r="17535" spans="8:8" x14ac:dyDescent="0.25">
      <c r="H17535" t="s">
        <v>30</v>
      </c>
    </row>
    <row r="17537" spans="8:8" x14ac:dyDescent="0.25">
      <c r="H17537" t="s">
        <v>1439</v>
      </c>
    </row>
    <row r="17538" spans="8:8" x14ac:dyDescent="0.25">
      <c r="H17538" t="s">
        <v>1440</v>
      </c>
    </row>
    <row r="17539" spans="8:8" x14ac:dyDescent="0.25">
      <c r="H17539" t="s">
        <v>135</v>
      </c>
    </row>
    <row r="17540" spans="8:8" x14ac:dyDescent="0.25">
      <c r="H17540" t="s">
        <v>1441</v>
      </c>
    </row>
    <row r="17541" spans="8:8" x14ac:dyDescent="0.25">
      <c r="H17541" t="s">
        <v>30</v>
      </c>
    </row>
    <row r="17543" spans="8:8" x14ac:dyDescent="0.25">
      <c r="H17543" t="s">
        <v>1442</v>
      </c>
    </row>
    <row r="17544" spans="8:8" x14ac:dyDescent="0.25">
      <c r="H17544" t="s">
        <v>1443</v>
      </c>
    </row>
    <row r="17545" spans="8:8" x14ac:dyDescent="0.25">
      <c r="H17545" t="s">
        <v>135</v>
      </c>
    </row>
    <row r="17546" spans="8:8" x14ac:dyDescent="0.25">
      <c r="H17546" t="s">
        <v>1444</v>
      </c>
    </row>
    <row r="17547" spans="8:8" x14ac:dyDescent="0.25">
      <c r="H17547" t="s">
        <v>30</v>
      </c>
    </row>
    <row r="17549" spans="8:8" x14ac:dyDescent="0.25">
      <c r="H17549" t="s">
        <v>1445</v>
      </c>
    </row>
    <row r="17550" spans="8:8" x14ac:dyDescent="0.25">
      <c r="H17550" t="s">
        <v>1446</v>
      </c>
    </row>
    <row r="17551" spans="8:8" x14ac:dyDescent="0.25">
      <c r="H17551" t="s">
        <v>135</v>
      </c>
    </row>
    <row r="17552" spans="8:8" x14ac:dyDescent="0.25">
      <c r="H17552" t="s">
        <v>1447</v>
      </c>
    </row>
    <row r="17553" spans="8:8" x14ac:dyDescent="0.25">
      <c r="H17553" t="s">
        <v>30</v>
      </c>
    </row>
    <row r="17555" spans="8:8" x14ac:dyDescent="0.25">
      <c r="H17555" t="s">
        <v>1448</v>
      </c>
    </row>
    <row r="17556" spans="8:8" x14ac:dyDescent="0.25">
      <c r="H17556" t="s">
        <v>1449</v>
      </c>
    </row>
    <row r="17557" spans="8:8" x14ac:dyDescent="0.25">
      <c r="H17557" t="s">
        <v>135</v>
      </c>
    </row>
    <row r="17558" spans="8:8" x14ac:dyDescent="0.25">
      <c r="H17558" t="s">
        <v>1450</v>
      </c>
    </row>
    <row r="17559" spans="8:8" x14ac:dyDescent="0.25">
      <c r="H17559" t="s">
        <v>30</v>
      </c>
    </row>
    <row r="17561" spans="8:8" x14ac:dyDescent="0.25">
      <c r="H17561" t="s">
        <v>1451</v>
      </c>
    </row>
    <row r="17562" spans="8:8" x14ac:dyDescent="0.25">
      <c r="H17562" t="s">
        <v>1452</v>
      </c>
    </row>
    <row r="17563" spans="8:8" x14ac:dyDescent="0.25">
      <c r="H17563" t="s">
        <v>135</v>
      </c>
    </row>
    <row r="17564" spans="8:8" x14ac:dyDescent="0.25">
      <c r="H17564" t="s">
        <v>1453</v>
      </c>
    </row>
    <row r="17565" spans="8:8" x14ac:dyDescent="0.25">
      <c r="H17565" t="s">
        <v>30</v>
      </c>
    </row>
    <row r="17567" spans="8:8" x14ac:dyDescent="0.25">
      <c r="H17567" t="s">
        <v>1454</v>
      </c>
    </row>
    <row r="17568" spans="8:8" x14ac:dyDescent="0.25">
      <c r="H17568" t="s">
        <v>1455</v>
      </c>
    </row>
    <row r="17569" spans="8:8" x14ac:dyDescent="0.25">
      <c r="H17569" t="s">
        <v>135</v>
      </c>
    </row>
    <row r="17570" spans="8:8" x14ac:dyDescent="0.25">
      <c r="H17570" t="s">
        <v>1456</v>
      </c>
    </row>
    <row r="17571" spans="8:8" x14ac:dyDescent="0.25">
      <c r="H17571" t="s">
        <v>30</v>
      </c>
    </row>
    <row r="17573" spans="8:8" x14ac:dyDescent="0.25">
      <c r="H17573" t="s">
        <v>1457</v>
      </c>
    </row>
    <row r="17574" spans="8:8" x14ac:dyDescent="0.25">
      <c r="H17574" t="s">
        <v>1458</v>
      </c>
    </row>
    <row r="17575" spans="8:8" x14ac:dyDescent="0.25">
      <c r="H17575" t="s">
        <v>135</v>
      </c>
    </row>
    <row r="17576" spans="8:8" x14ac:dyDescent="0.25">
      <c r="H17576" t="s">
        <v>1459</v>
      </c>
    </row>
    <row r="17577" spans="8:8" x14ac:dyDescent="0.25">
      <c r="H17577" t="s">
        <v>30</v>
      </c>
    </row>
    <row r="17579" spans="8:8" x14ac:dyDescent="0.25">
      <c r="H17579" t="s">
        <v>1460</v>
      </c>
    </row>
    <row r="17580" spans="8:8" x14ac:dyDescent="0.25">
      <c r="H17580" t="s">
        <v>1461</v>
      </c>
    </row>
    <row r="17581" spans="8:8" x14ac:dyDescent="0.25">
      <c r="H17581" t="s">
        <v>135</v>
      </c>
    </row>
    <row r="17582" spans="8:8" x14ac:dyDescent="0.25">
      <c r="H17582" t="s">
        <v>1462</v>
      </c>
    </row>
    <row r="17583" spans="8:8" x14ac:dyDescent="0.25">
      <c r="H17583" t="s">
        <v>30</v>
      </c>
    </row>
    <row r="17585" spans="8:8" x14ac:dyDescent="0.25">
      <c r="H17585" t="s">
        <v>1463</v>
      </c>
    </row>
    <row r="17586" spans="8:8" x14ac:dyDescent="0.25">
      <c r="H17586" t="s">
        <v>1464</v>
      </c>
    </row>
    <row r="17587" spans="8:8" x14ac:dyDescent="0.25">
      <c r="H17587" t="s">
        <v>135</v>
      </c>
    </row>
    <row r="17588" spans="8:8" x14ac:dyDescent="0.25">
      <c r="H17588" t="s">
        <v>1465</v>
      </c>
    </row>
    <row r="17589" spans="8:8" x14ac:dyDescent="0.25">
      <c r="H17589" t="s">
        <v>30</v>
      </c>
    </row>
    <row r="17591" spans="8:8" x14ac:dyDescent="0.25">
      <c r="H17591" t="s">
        <v>1466</v>
      </c>
    </row>
    <row r="17592" spans="8:8" x14ac:dyDescent="0.25">
      <c r="H17592" t="s">
        <v>1467</v>
      </c>
    </row>
    <row r="17593" spans="8:8" x14ac:dyDescent="0.25">
      <c r="H17593" t="s">
        <v>135</v>
      </c>
    </row>
    <row r="17594" spans="8:8" x14ac:dyDescent="0.25">
      <c r="H17594" t="s">
        <v>1468</v>
      </c>
    </row>
    <row r="17595" spans="8:8" x14ac:dyDescent="0.25">
      <c r="H17595" t="s">
        <v>30</v>
      </c>
    </row>
    <row r="17597" spans="8:8" x14ac:dyDescent="0.25">
      <c r="H17597" t="s">
        <v>1469</v>
      </c>
    </row>
    <row r="17598" spans="8:8" x14ac:dyDescent="0.25">
      <c r="H17598" t="s">
        <v>1470</v>
      </c>
    </row>
    <row r="17599" spans="8:8" x14ac:dyDescent="0.25">
      <c r="H17599" t="s">
        <v>135</v>
      </c>
    </row>
    <row r="17600" spans="8:8" x14ac:dyDescent="0.25">
      <c r="H17600" t="s">
        <v>1471</v>
      </c>
    </row>
    <row r="17601" spans="8:8" x14ac:dyDescent="0.25">
      <c r="H17601" t="s">
        <v>30</v>
      </c>
    </row>
    <row r="17603" spans="8:8" x14ac:dyDescent="0.25">
      <c r="H17603" t="s">
        <v>1472</v>
      </c>
    </row>
    <row r="17604" spans="8:8" x14ac:dyDescent="0.25">
      <c r="H17604" t="s">
        <v>1473</v>
      </c>
    </row>
    <row r="17605" spans="8:8" x14ac:dyDescent="0.25">
      <c r="H17605" t="s">
        <v>135</v>
      </c>
    </row>
    <row r="17606" spans="8:8" x14ac:dyDescent="0.25">
      <c r="H17606" t="s">
        <v>1474</v>
      </c>
    </row>
    <row r="17607" spans="8:8" x14ac:dyDescent="0.25">
      <c r="H17607" t="s">
        <v>30</v>
      </c>
    </row>
    <row r="17609" spans="8:8" x14ac:dyDescent="0.25">
      <c r="H17609" t="s">
        <v>1475</v>
      </c>
    </row>
    <row r="17610" spans="8:8" x14ac:dyDescent="0.25">
      <c r="H17610" t="s">
        <v>1476</v>
      </c>
    </row>
    <row r="17611" spans="8:8" x14ac:dyDescent="0.25">
      <c r="H17611" t="s">
        <v>135</v>
      </c>
    </row>
    <row r="17612" spans="8:8" x14ac:dyDescent="0.25">
      <c r="H17612" t="s">
        <v>1477</v>
      </c>
    </row>
    <row r="17613" spans="8:8" x14ac:dyDescent="0.25">
      <c r="H17613" t="s">
        <v>30</v>
      </c>
    </row>
    <row r="17615" spans="8:8" x14ac:dyDescent="0.25">
      <c r="H17615" t="s">
        <v>1478</v>
      </c>
    </row>
    <row r="17616" spans="8:8" x14ac:dyDescent="0.25">
      <c r="H17616" t="s">
        <v>1479</v>
      </c>
    </row>
    <row r="17617" spans="8:8" x14ac:dyDescent="0.25">
      <c r="H17617" t="s">
        <v>135</v>
      </c>
    </row>
    <row r="17618" spans="8:8" x14ac:dyDescent="0.25">
      <c r="H17618" t="s">
        <v>1480</v>
      </c>
    </row>
    <row r="17619" spans="8:8" x14ac:dyDescent="0.25">
      <c r="H17619" t="s">
        <v>30</v>
      </c>
    </row>
    <row r="17621" spans="8:8" x14ac:dyDescent="0.25">
      <c r="H17621" t="s">
        <v>1481</v>
      </c>
    </row>
    <row r="17622" spans="8:8" x14ac:dyDescent="0.25">
      <c r="H17622" t="s">
        <v>1482</v>
      </c>
    </row>
    <row r="17623" spans="8:8" x14ac:dyDescent="0.25">
      <c r="H17623" t="s">
        <v>135</v>
      </c>
    </row>
    <row r="17624" spans="8:8" x14ac:dyDescent="0.25">
      <c r="H17624" t="s">
        <v>1483</v>
      </c>
    </row>
    <row r="17625" spans="8:8" x14ac:dyDescent="0.25">
      <c r="H17625" t="s">
        <v>30</v>
      </c>
    </row>
    <row r="17627" spans="8:8" x14ac:dyDescent="0.25">
      <c r="H17627" t="s">
        <v>1484</v>
      </c>
    </row>
    <row r="17628" spans="8:8" x14ac:dyDescent="0.25">
      <c r="H17628" t="s">
        <v>1485</v>
      </c>
    </row>
    <row r="17629" spans="8:8" x14ac:dyDescent="0.25">
      <c r="H17629" t="s">
        <v>135</v>
      </c>
    </row>
    <row r="17630" spans="8:8" x14ac:dyDescent="0.25">
      <c r="H17630" t="s">
        <v>1486</v>
      </c>
    </row>
    <row r="17631" spans="8:8" x14ac:dyDescent="0.25">
      <c r="H17631" t="s">
        <v>30</v>
      </c>
    </row>
    <row r="17633" spans="8:8" x14ac:dyDescent="0.25">
      <c r="H17633" t="s">
        <v>1487</v>
      </c>
    </row>
    <row r="17634" spans="8:8" x14ac:dyDescent="0.25">
      <c r="H17634" t="s">
        <v>1488</v>
      </c>
    </row>
    <row r="17635" spans="8:8" x14ac:dyDescent="0.25">
      <c r="H17635" t="s">
        <v>135</v>
      </c>
    </row>
    <row r="17636" spans="8:8" x14ac:dyDescent="0.25">
      <c r="H17636" t="s">
        <v>1489</v>
      </c>
    </row>
    <row r="17637" spans="8:8" x14ac:dyDescent="0.25">
      <c r="H17637" t="s">
        <v>30</v>
      </c>
    </row>
    <row r="17639" spans="8:8" x14ac:dyDescent="0.25">
      <c r="H17639" t="s">
        <v>1490</v>
      </c>
    </row>
    <row r="17640" spans="8:8" x14ac:dyDescent="0.25">
      <c r="H17640" t="s">
        <v>1491</v>
      </c>
    </row>
    <row r="17641" spans="8:8" x14ac:dyDescent="0.25">
      <c r="H17641" t="s">
        <v>135</v>
      </c>
    </row>
    <row r="17642" spans="8:8" x14ac:dyDescent="0.25">
      <c r="H17642" t="s">
        <v>1492</v>
      </c>
    </row>
    <row r="17643" spans="8:8" x14ac:dyDescent="0.25">
      <c r="H17643" t="s">
        <v>30</v>
      </c>
    </row>
    <row r="17645" spans="8:8" x14ac:dyDescent="0.25">
      <c r="H17645" t="s">
        <v>1493</v>
      </c>
    </row>
    <row r="17646" spans="8:8" x14ac:dyDescent="0.25">
      <c r="H17646" t="s">
        <v>1494</v>
      </c>
    </row>
    <row r="17647" spans="8:8" x14ac:dyDescent="0.25">
      <c r="H17647" t="s">
        <v>135</v>
      </c>
    </row>
    <row r="17648" spans="8:8" x14ac:dyDescent="0.25">
      <c r="H17648" t="s">
        <v>1495</v>
      </c>
    </row>
    <row r="17649" spans="8:8" x14ac:dyDescent="0.25">
      <c r="H17649" t="s">
        <v>30</v>
      </c>
    </row>
    <row r="17651" spans="8:8" x14ac:dyDescent="0.25">
      <c r="H17651" t="s">
        <v>1496</v>
      </c>
    </row>
    <row r="17652" spans="8:8" x14ac:dyDescent="0.25">
      <c r="H17652" t="s">
        <v>1497</v>
      </c>
    </row>
    <row r="17653" spans="8:8" x14ac:dyDescent="0.25">
      <c r="H17653" t="s">
        <v>135</v>
      </c>
    </row>
    <row r="17654" spans="8:8" x14ac:dyDescent="0.25">
      <c r="H17654" t="s">
        <v>1498</v>
      </c>
    </row>
    <row r="17655" spans="8:8" x14ac:dyDescent="0.25">
      <c r="H17655" t="s">
        <v>30</v>
      </c>
    </row>
    <row r="17657" spans="8:8" x14ac:dyDescent="0.25">
      <c r="H17657" t="s">
        <v>1499</v>
      </c>
    </row>
    <row r="17658" spans="8:8" x14ac:dyDescent="0.25">
      <c r="H17658" t="s">
        <v>1500</v>
      </c>
    </row>
    <row r="17659" spans="8:8" x14ac:dyDescent="0.25">
      <c r="H17659" t="s">
        <v>135</v>
      </c>
    </row>
    <row r="17660" spans="8:8" x14ac:dyDescent="0.25">
      <c r="H17660" t="s">
        <v>1501</v>
      </c>
    </row>
    <row r="17661" spans="8:8" x14ac:dyDescent="0.25">
      <c r="H17661" t="s">
        <v>30</v>
      </c>
    </row>
    <row r="17663" spans="8:8" x14ac:dyDescent="0.25">
      <c r="H17663" t="s">
        <v>1502</v>
      </c>
    </row>
    <row r="17664" spans="8:8" x14ac:dyDescent="0.25">
      <c r="H17664" t="s">
        <v>1503</v>
      </c>
    </row>
    <row r="17665" spans="8:8" x14ac:dyDescent="0.25">
      <c r="H17665" t="s">
        <v>135</v>
      </c>
    </row>
    <row r="17666" spans="8:8" x14ac:dyDescent="0.25">
      <c r="H17666" t="s">
        <v>1504</v>
      </c>
    </row>
    <row r="17667" spans="8:8" x14ac:dyDescent="0.25">
      <c r="H17667" t="s">
        <v>30</v>
      </c>
    </row>
    <row r="17669" spans="8:8" x14ac:dyDescent="0.25">
      <c r="H17669" t="s">
        <v>1505</v>
      </c>
    </row>
    <row r="17670" spans="8:8" x14ac:dyDescent="0.25">
      <c r="H17670" t="s">
        <v>1506</v>
      </c>
    </row>
    <row r="17671" spans="8:8" x14ac:dyDescent="0.25">
      <c r="H17671" t="s">
        <v>135</v>
      </c>
    </row>
    <row r="17672" spans="8:8" x14ac:dyDescent="0.25">
      <c r="H17672" t="s">
        <v>1507</v>
      </c>
    </row>
    <row r="17673" spans="8:8" x14ac:dyDescent="0.25">
      <c r="H17673" t="s">
        <v>30</v>
      </c>
    </row>
    <row r="17675" spans="8:8" x14ac:dyDescent="0.25">
      <c r="H17675" t="s">
        <v>1508</v>
      </c>
    </row>
    <row r="17676" spans="8:8" x14ac:dyDescent="0.25">
      <c r="H17676" t="s">
        <v>1509</v>
      </c>
    </row>
    <row r="17677" spans="8:8" x14ac:dyDescent="0.25">
      <c r="H17677" t="s">
        <v>135</v>
      </c>
    </row>
    <row r="17678" spans="8:8" x14ac:dyDescent="0.25">
      <c r="H17678" t="s">
        <v>1510</v>
      </c>
    </row>
    <row r="17679" spans="8:8" x14ac:dyDescent="0.25">
      <c r="H17679" t="s">
        <v>30</v>
      </c>
    </row>
    <row r="17681" spans="8:8" x14ac:dyDescent="0.25">
      <c r="H17681" t="s">
        <v>1511</v>
      </c>
    </row>
    <row r="17682" spans="8:8" x14ac:dyDescent="0.25">
      <c r="H17682" t="s">
        <v>1512</v>
      </c>
    </row>
    <row r="17683" spans="8:8" x14ac:dyDescent="0.25">
      <c r="H17683" t="s">
        <v>135</v>
      </c>
    </row>
    <row r="17684" spans="8:8" x14ac:dyDescent="0.25">
      <c r="H17684" t="s">
        <v>1513</v>
      </c>
    </row>
    <row r="17685" spans="8:8" x14ac:dyDescent="0.25">
      <c r="H17685" t="s">
        <v>30</v>
      </c>
    </row>
    <row r="17687" spans="8:8" x14ac:dyDescent="0.25">
      <c r="H17687" t="s">
        <v>1514</v>
      </c>
    </row>
    <row r="17688" spans="8:8" x14ac:dyDescent="0.25">
      <c r="H17688" t="s">
        <v>1515</v>
      </c>
    </row>
    <row r="17689" spans="8:8" x14ac:dyDescent="0.25">
      <c r="H17689" t="s">
        <v>135</v>
      </c>
    </row>
    <row r="17690" spans="8:8" x14ac:dyDescent="0.25">
      <c r="H17690" t="s">
        <v>1516</v>
      </c>
    </row>
    <row r="17691" spans="8:8" x14ac:dyDescent="0.25">
      <c r="H17691" t="s">
        <v>30</v>
      </c>
    </row>
    <row r="17693" spans="8:8" x14ac:dyDescent="0.25">
      <c r="H17693" t="s">
        <v>1517</v>
      </c>
    </row>
    <row r="17694" spans="8:8" x14ac:dyDescent="0.25">
      <c r="H17694" t="s">
        <v>1518</v>
      </c>
    </row>
    <row r="17695" spans="8:8" x14ac:dyDescent="0.25">
      <c r="H17695" t="s">
        <v>135</v>
      </c>
    </row>
    <row r="17696" spans="8:8" x14ac:dyDescent="0.25">
      <c r="H17696" t="s">
        <v>1519</v>
      </c>
    </row>
    <row r="17697" spans="8:8" x14ac:dyDescent="0.25">
      <c r="H17697" t="s">
        <v>30</v>
      </c>
    </row>
    <row r="17699" spans="8:8" x14ac:dyDescent="0.25">
      <c r="H17699" t="s">
        <v>1520</v>
      </c>
    </row>
    <row r="17700" spans="8:8" x14ac:dyDescent="0.25">
      <c r="H17700" t="s">
        <v>1521</v>
      </c>
    </row>
    <row r="17701" spans="8:8" x14ac:dyDescent="0.25">
      <c r="H17701" t="s">
        <v>135</v>
      </c>
    </row>
    <row r="17702" spans="8:8" x14ac:dyDescent="0.25">
      <c r="H17702" t="s">
        <v>1522</v>
      </c>
    </row>
    <row r="17703" spans="8:8" x14ac:dyDescent="0.25">
      <c r="H17703" t="s">
        <v>30</v>
      </c>
    </row>
    <row r="17705" spans="8:8" x14ac:dyDescent="0.25">
      <c r="H17705" t="s">
        <v>1523</v>
      </c>
    </row>
    <row r="17706" spans="8:8" x14ac:dyDescent="0.25">
      <c r="H17706" t="s">
        <v>1524</v>
      </c>
    </row>
    <row r="17707" spans="8:8" x14ac:dyDescent="0.25">
      <c r="H17707" t="s">
        <v>135</v>
      </c>
    </row>
    <row r="17708" spans="8:8" x14ac:dyDescent="0.25">
      <c r="H17708" t="s">
        <v>1525</v>
      </c>
    </row>
    <row r="17709" spans="8:8" x14ac:dyDescent="0.25">
      <c r="H17709" t="s">
        <v>30</v>
      </c>
    </row>
    <row r="17711" spans="8:8" x14ac:dyDescent="0.25">
      <c r="H17711" t="s">
        <v>1526</v>
      </c>
    </row>
    <row r="17712" spans="8:8" x14ac:dyDescent="0.25">
      <c r="H17712" t="s">
        <v>1527</v>
      </c>
    </row>
    <row r="17713" spans="8:8" x14ac:dyDescent="0.25">
      <c r="H17713" t="s">
        <v>135</v>
      </c>
    </row>
    <row r="17714" spans="8:8" x14ac:dyDescent="0.25">
      <c r="H17714" t="s">
        <v>1528</v>
      </c>
    </row>
    <row r="17715" spans="8:8" x14ac:dyDescent="0.25">
      <c r="H17715" t="s">
        <v>30</v>
      </c>
    </row>
    <row r="17717" spans="8:8" x14ac:dyDescent="0.25">
      <c r="H17717" t="s">
        <v>1529</v>
      </c>
    </row>
    <row r="17718" spans="8:8" x14ac:dyDescent="0.25">
      <c r="H17718" t="s">
        <v>1530</v>
      </c>
    </row>
    <row r="17719" spans="8:8" x14ac:dyDescent="0.25">
      <c r="H17719" t="s">
        <v>135</v>
      </c>
    </row>
    <row r="17720" spans="8:8" x14ac:dyDescent="0.25">
      <c r="H17720" t="s">
        <v>1531</v>
      </c>
    </row>
    <row r="17721" spans="8:8" x14ac:dyDescent="0.25">
      <c r="H17721" t="s">
        <v>30</v>
      </c>
    </row>
    <row r="17723" spans="8:8" x14ac:dyDescent="0.25">
      <c r="H17723" t="s">
        <v>1532</v>
      </c>
    </row>
    <row r="17724" spans="8:8" x14ac:dyDescent="0.25">
      <c r="H17724" t="s">
        <v>1533</v>
      </c>
    </row>
    <row r="17725" spans="8:8" x14ac:dyDescent="0.25">
      <c r="H17725" t="s">
        <v>135</v>
      </c>
    </row>
    <row r="17726" spans="8:8" x14ac:dyDescent="0.25">
      <c r="H17726" t="s">
        <v>1534</v>
      </c>
    </row>
    <row r="17727" spans="8:8" x14ac:dyDescent="0.25">
      <c r="H17727" t="s">
        <v>30</v>
      </c>
    </row>
    <row r="17729" spans="8:8" x14ac:dyDescent="0.25">
      <c r="H17729" t="s">
        <v>1535</v>
      </c>
    </row>
    <row r="17730" spans="8:8" x14ac:dyDescent="0.25">
      <c r="H17730" t="s">
        <v>1536</v>
      </c>
    </row>
    <row r="17731" spans="8:8" x14ac:dyDescent="0.25">
      <c r="H17731" t="s">
        <v>135</v>
      </c>
    </row>
    <row r="17732" spans="8:8" x14ac:dyDescent="0.25">
      <c r="H17732" t="s">
        <v>1537</v>
      </c>
    </row>
    <row r="17733" spans="8:8" x14ac:dyDescent="0.25">
      <c r="H17733" t="s">
        <v>30</v>
      </c>
    </row>
    <row r="17735" spans="8:8" x14ac:dyDescent="0.25">
      <c r="H17735" t="s">
        <v>1538</v>
      </c>
    </row>
    <row r="17736" spans="8:8" x14ac:dyDescent="0.25">
      <c r="H17736" t="s">
        <v>1539</v>
      </c>
    </row>
    <row r="17737" spans="8:8" x14ac:dyDescent="0.25">
      <c r="H17737" t="s">
        <v>135</v>
      </c>
    </row>
    <row r="17738" spans="8:8" x14ac:dyDescent="0.25">
      <c r="H17738" t="s">
        <v>1540</v>
      </c>
    </row>
    <row r="17739" spans="8:8" x14ac:dyDescent="0.25">
      <c r="H17739" t="s">
        <v>30</v>
      </c>
    </row>
    <row r="17741" spans="8:8" x14ac:dyDescent="0.25">
      <c r="H17741" t="s">
        <v>1541</v>
      </c>
    </row>
    <row r="17742" spans="8:8" x14ac:dyDescent="0.25">
      <c r="H17742" t="s">
        <v>1542</v>
      </c>
    </row>
    <row r="17743" spans="8:8" x14ac:dyDescent="0.25">
      <c r="H17743" t="s">
        <v>135</v>
      </c>
    </row>
    <row r="17744" spans="8:8" x14ac:dyDescent="0.25">
      <c r="H17744" t="s">
        <v>1543</v>
      </c>
    </row>
    <row r="17745" spans="8:8" x14ac:dyDescent="0.25">
      <c r="H17745" t="s">
        <v>30</v>
      </c>
    </row>
    <row r="17747" spans="8:8" x14ac:dyDescent="0.25">
      <c r="H17747" t="s">
        <v>1544</v>
      </c>
    </row>
    <row r="17748" spans="8:8" x14ac:dyDescent="0.25">
      <c r="H17748" t="s">
        <v>1545</v>
      </c>
    </row>
    <row r="17749" spans="8:8" x14ac:dyDescent="0.25">
      <c r="H17749" t="s">
        <v>135</v>
      </c>
    </row>
    <row r="17750" spans="8:8" x14ac:dyDescent="0.25">
      <c r="H17750" t="s">
        <v>1546</v>
      </c>
    </row>
    <row r="17751" spans="8:8" x14ac:dyDescent="0.25">
      <c r="H17751" t="s">
        <v>30</v>
      </c>
    </row>
    <row r="17753" spans="8:8" x14ac:dyDescent="0.25">
      <c r="H17753" t="s">
        <v>1547</v>
      </c>
    </row>
    <row r="17754" spans="8:8" x14ac:dyDescent="0.25">
      <c r="H17754" t="s">
        <v>1548</v>
      </c>
    </row>
    <row r="17755" spans="8:8" x14ac:dyDescent="0.25">
      <c r="H17755" t="s">
        <v>135</v>
      </c>
    </row>
    <row r="17756" spans="8:8" x14ac:dyDescent="0.25">
      <c r="H17756" t="s">
        <v>1549</v>
      </c>
    </row>
    <row r="17757" spans="8:8" x14ac:dyDescent="0.25">
      <c r="H17757" t="s">
        <v>30</v>
      </c>
    </row>
    <row r="17759" spans="8:8" x14ac:dyDescent="0.25">
      <c r="H17759" t="s">
        <v>1550</v>
      </c>
    </row>
    <row r="17760" spans="8:8" x14ac:dyDescent="0.25">
      <c r="H17760" t="s">
        <v>1551</v>
      </c>
    </row>
    <row r="17761" spans="8:8" x14ac:dyDescent="0.25">
      <c r="H17761" t="s">
        <v>135</v>
      </c>
    </row>
    <row r="17762" spans="8:8" x14ac:dyDescent="0.25">
      <c r="H17762" t="s">
        <v>1552</v>
      </c>
    </row>
    <row r="17763" spans="8:8" x14ac:dyDescent="0.25">
      <c r="H17763" t="s">
        <v>30</v>
      </c>
    </row>
    <row r="17765" spans="8:8" x14ac:dyDescent="0.25">
      <c r="H17765" t="s">
        <v>1553</v>
      </c>
    </row>
    <row r="17766" spans="8:8" x14ac:dyDescent="0.25">
      <c r="H17766" t="s">
        <v>1554</v>
      </c>
    </row>
    <row r="17767" spans="8:8" x14ac:dyDescent="0.25">
      <c r="H17767" t="s">
        <v>135</v>
      </c>
    </row>
    <row r="17768" spans="8:8" x14ac:dyDescent="0.25">
      <c r="H17768" t="s">
        <v>1555</v>
      </c>
    </row>
    <row r="17769" spans="8:8" x14ac:dyDescent="0.25">
      <c r="H17769" t="s">
        <v>30</v>
      </c>
    </row>
    <row r="17771" spans="8:8" x14ac:dyDescent="0.25">
      <c r="H17771" t="s">
        <v>1556</v>
      </c>
    </row>
    <row r="17772" spans="8:8" x14ac:dyDescent="0.25">
      <c r="H17772" t="s">
        <v>1557</v>
      </c>
    </row>
    <row r="17773" spans="8:8" x14ac:dyDescent="0.25">
      <c r="H17773" t="s">
        <v>135</v>
      </c>
    </row>
    <row r="17774" spans="8:8" x14ac:dyDescent="0.25">
      <c r="H17774" t="s">
        <v>1558</v>
      </c>
    </row>
    <row r="17775" spans="8:8" x14ac:dyDescent="0.25">
      <c r="H17775" t="s">
        <v>30</v>
      </c>
    </row>
    <row r="17777" spans="8:8" x14ac:dyDescent="0.25">
      <c r="H17777" t="s">
        <v>1559</v>
      </c>
    </row>
    <row r="17778" spans="8:8" x14ac:dyDescent="0.25">
      <c r="H17778" t="s">
        <v>1560</v>
      </c>
    </row>
    <row r="17779" spans="8:8" x14ac:dyDescent="0.25">
      <c r="H17779" t="s">
        <v>135</v>
      </c>
    </row>
    <row r="17780" spans="8:8" x14ac:dyDescent="0.25">
      <c r="H17780" t="s">
        <v>1561</v>
      </c>
    </row>
    <row r="17781" spans="8:8" x14ac:dyDescent="0.25">
      <c r="H17781" t="s">
        <v>30</v>
      </c>
    </row>
    <row r="17783" spans="8:8" x14ac:dyDescent="0.25">
      <c r="H17783" t="s">
        <v>1562</v>
      </c>
    </row>
    <row r="17784" spans="8:8" x14ac:dyDescent="0.25">
      <c r="H17784" t="s">
        <v>1563</v>
      </c>
    </row>
    <row r="17785" spans="8:8" x14ac:dyDescent="0.25">
      <c r="H17785" t="s">
        <v>135</v>
      </c>
    </row>
    <row r="17786" spans="8:8" x14ac:dyDescent="0.25">
      <c r="H17786" t="s">
        <v>1564</v>
      </c>
    </row>
    <row r="17787" spans="8:8" x14ac:dyDescent="0.25">
      <c r="H17787" t="s">
        <v>30</v>
      </c>
    </row>
    <row r="17789" spans="8:8" x14ac:dyDescent="0.25">
      <c r="H17789" t="s">
        <v>1565</v>
      </c>
    </row>
    <row r="17790" spans="8:8" x14ac:dyDescent="0.25">
      <c r="H17790" t="s">
        <v>1566</v>
      </c>
    </row>
    <row r="17791" spans="8:8" x14ac:dyDescent="0.25">
      <c r="H17791" t="s">
        <v>135</v>
      </c>
    </row>
    <row r="17792" spans="8:8" x14ac:dyDescent="0.25">
      <c r="H17792" t="s">
        <v>1567</v>
      </c>
    </row>
    <row r="17793" spans="8:8" x14ac:dyDescent="0.25">
      <c r="H17793" t="s">
        <v>30</v>
      </c>
    </row>
    <row r="17795" spans="8:8" x14ac:dyDescent="0.25">
      <c r="H17795" t="s">
        <v>1568</v>
      </c>
    </row>
    <row r="17796" spans="8:8" x14ac:dyDescent="0.25">
      <c r="H17796" t="s">
        <v>1569</v>
      </c>
    </row>
    <row r="17797" spans="8:8" x14ac:dyDescent="0.25">
      <c r="H17797" t="s">
        <v>135</v>
      </c>
    </row>
    <row r="17798" spans="8:8" x14ac:dyDescent="0.25">
      <c r="H17798" t="s">
        <v>1570</v>
      </c>
    </row>
    <row r="17799" spans="8:8" x14ac:dyDescent="0.25">
      <c r="H17799" t="s">
        <v>30</v>
      </c>
    </row>
    <row r="17801" spans="8:8" x14ac:dyDescent="0.25">
      <c r="H17801" t="s">
        <v>1571</v>
      </c>
    </row>
    <row r="17802" spans="8:8" x14ac:dyDescent="0.25">
      <c r="H17802" t="s">
        <v>1572</v>
      </c>
    </row>
    <row r="17803" spans="8:8" x14ac:dyDescent="0.25">
      <c r="H17803" t="s">
        <v>135</v>
      </c>
    </row>
    <row r="17804" spans="8:8" x14ac:dyDescent="0.25">
      <c r="H17804" t="s">
        <v>1573</v>
      </c>
    </row>
    <row r="17805" spans="8:8" x14ac:dyDescent="0.25">
      <c r="H17805" t="s">
        <v>30</v>
      </c>
    </row>
    <row r="17807" spans="8:8" x14ac:dyDescent="0.25">
      <c r="H17807" t="s">
        <v>1574</v>
      </c>
    </row>
    <row r="17808" spans="8:8" x14ac:dyDescent="0.25">
      <c r="H17808" t="s">
        <v>1575</v>
      </c>
    </row>
    <row r="17809" spans="8:8" x14ac:dyDescent="0.25">
      <c r="H17809" t="s">
        <v>135</v>
      </c>
    </row>
    <row r="17810" spans="8:8" x14ac:dyDescent="0.25">
      <c r="H17810" t="s">
        <v>1576</v>
      </c>
    </row>
    <row r="17811" spans="8:8" x14ac:dyDescent="0.25">
      <c r="H17811" t="s">
        <v>30</v>
      </c>
    </row>
    <row r="17813" spans="8:8" x14ac:dyDescent="0.25">
      <c r="H17813" t="s">
        <v>1577</v>
      </c>
    </row>
    <row r="17814" spans="8:8" x14ac:dyDescent="0.25">
      <c r="H17814" t="s">
        <v>1578</v>
      </c>
    </row>
    <row r="17815" spans="8:8" x14ac:dyDescent="0.25">
      <c r="H17815" t="s">
        <v>135</v>
      </c>
    </row>
    <row r="17816" spans="8:8" x14ac:dyDescent="0.25">
      <c r="H17816" t="s">
        <v>1579</v>
      </c>
    </row>
    <row r="17817" spans="8:8" x14ac:dyDescent="0.25">
      <c r="H17817" t="s">
        <v>30</v>
      </c>
    </row>
    <row r="17819" spans="8:8" x14ac:dyDescent="0.25">
      <c r="H17819" t="s">
        <v>1580</v>
      </c>
    </row>
    <row r="17820" spans="8:8" x14ac:dyDescent="0.25">
      <c r="H17820" t="s">
        <v>1581</v>
      </c>
    </row>
    <row r="17821" spans="8:8" x14ac:dyDescent="0.25">
      <c r="H17821" t="s">
        <v>135</v>
      </c>
    </row>
    <row r="17822" spans="8:8" x14ac:dyDescent="0.25">
      <c r="H17822" t="s">
        <v>1582</v>
      </c>
    </row>
    <row r="17823" spans="8:8" x14ac:dyDescent="0.25">
      <c r="H17823" t="s">
        <v>30</v>
      </c>
    </row>
    <row r="17825" spans="8:8" x14ac:dyDescent="0.25">
      <c r="H17825" t="s">
        <v>1583</v>
      </c>
    </row>
    <row r="17826" spans="8:8" x14ac:dyDescent="0.25">
      <c r="H17826" t="s">
        <v>1584</v>
      </c>
    </row>
    <row r="17827" spans="8:8" x14ac:dyDescent="0.25">
      <c r="H17827" t="s">
        <v>135</v>
      </c>
    </row>
    <row r="17828" spans="8:8" x14ac:dyDescent="0.25">
      <c r="H17828" t="s">
        <v>1585</v>
      </c>
    </row>
    <row r="17829" spans="8:8" x14ac:dyDescent="0.25">
      <c r="H17829" t="s">
        <v>30</v>
      </c>
    </row>
    <row r="17831" spans="8:8" x14ac:dyDescent="0.25">
      <c r="H17831" t="s">
        <v>1586</v>
      </c>
    </row>
    <row r="17832" spans="8:8" x14ac:dyDescent="0.25">
      <c r="H17832" t="s">
        <v>1587</v>
      </c>
    </row>
    <row r="17833" spans="8:8" x14ac:dyDescent="0.25">
      <c r="H17833" t="s">
        <v>135</v>
      </c>
    </row>
    <row r="17834" spans="8:8" x14ac:dyDescent="0.25">
      <c r="H17834" t="s">
        <v>1588</v>
      </c>
    </row>
    <row r="17835" spans="8:8" x14ac:dyDescent="0.25">
      <c r="H17835" t="s">
        <v>30</v>
      </c>
    </row>
    <row r="17837" spans="8:8" x14ac:dyDescent="0.25">
      <c r="H17837" t="s">
        <v>1589</v>
      </c>
    </row>
    <row r="17838" spans="8:8" x14ac:dyDescent="0.25">
      <c r="H17838" t="s">
        <v>1590</v>
      </c>
    </row>
    <row r="17839" spans="8:8" x14ac:dyDescent="0.25">
      <c r="H17839" t="s">
        <v>135</v>
      </c>
    </row>
    <row r="17840" spans="8:8" x14ac:dyDescent="0.25">
      <c r="H17840" t="s">
        <v>1591</v>
      </c>
    </row>
    <row r="17841" spans="8:8" x14ac:dyDescent="0.25">
      <c r="H17841" t="s">
        <v>30</v>
      </c>
    </row>
    <row r="17843" spans="8:8" x14ac:dyDescent="0.25">
      <c r="H17843" t="s">
        <v>1592</v>
      </c>
    </row>
    <row r="17844" spans="8:8" x14ac:dyDescent="0.25">
      <c r="H17844" t="s">
        <v>1593</v>
      </c>
    </row>
    <row r="17845" spans="8:8" x14ac:dyDescent="0.25">
      <c r="H17845" t="s">
        <v>135</v>
      </c>
    </row>
    <row r="17846" spans="8:8" x14ac:dyDescent="0.25">
      <c r="H17846" t="s">
        <v>1594</v>
      </c>
    </row>
    <row r="17847" spans="8:8" x14ac:dyDescent="0.25">
      <c r="H17847" t="s">
        <v>30</v>
      </c>
    </row>
    <row r="17849" spans="8:8" x14ac:dyDescent="0.25">
      <c r="H17849" t="s">
        <v>1595</v>
      </c>
    </row>
    <row r="17850" spans="8:8" x14ac:dyDescent="0.25">
      <c r="H17850" t="s">
        <v>1596</v>
      </c>
    </row>
    <row r="17851" spans="8:8" x14ac:dyDescent="0.25">
      <c r="H17851" t="s">
        <v>135</v>
      </c>
    </row>
    <row r="17852" spans="8:8" x14ac:dyDescent="0.25">
      <c r="H17852" t="s">
        <v>1597</v>
      </c>
    </row>
    <row r="17853" spans="8:8" x14ac:dyDescent="0.25">
      <c r="H17853" t="s">
        <v>30</v>
      </c>
    </row>
    <row r="17855" spans="8:8" x14ac:dyDescent="0.25">
      <c r="H17855" t="s">
        <v>1598</v>
      </c>
    </row>
    <row r="17856" spans="8:8" x14ac:dyDescent="0.25">
      <c r="H17856" t="s">
        <v>1599</v>
      </c>
    </row>
    <row r="17857" spans="8:8" x14ac:dyDescent="0.25">
      <c r="H17857" t="s">
        <v>135</v>
      </c>
    </row>
    <row r="17858" spans="8:8" x14ac:dyDescent="0.25">
      <c r="H17858" t="s">
        <v>1600</v>
      </c>
    </row>
    <row r="17859" spans="8:8" x14ac:dyDescent="0.25">
      <c r="H17859" t="s">
        <v>30</v>
      </c>
    </row>
    <row r="17861" spans="8:8" x14ac:dyDescent="0.25">
      <c r="H17861" t="s">
        <v>1601</v>
      </c>
    </row>
    <row r="17862" spans="8:8" x14ac:dyDescent="0.25">
      <c r="H17862" t="s">
        <v>1602</v>
      </c>
    </row>
    <row r="17863" spans="8:8" x14ac:dyDescent="0.25">
      <c r="H17863" t="s">
        <v>135</v>
      </c>
    </row>
    <row r="17864" spans="8:8" x14ac:dyDescent="0.25">
      <c r="H17864" t="s">
        <v>1603</v>
      </c>
    </row>
    <row r="17865" spans="8:8" x14ac:dyDescent="0.25">
      <c r="H17865" t="s">
        <v>30</v>
      </c>
    </row>
    <row r="17867" spans="8:8" x14ac:dyDescent="0.25">
      <c r="H17867" t="s">
        <v>1604</v>
      </c>
    </row>
    <row r="17868" spans="8:8" x14ac:dyDescent="0.25">
      <c r="H17868" t="s">
        <v>1605</v>
      </c>
    </row>
    <row r="17869" spans="8:8" x14ac:dyDescent="0.25">
      <c r="H17869" t="s">
        <v>135</v>
      </c>
    </row>
    <row r="17870" spans="8:8" x14ac:dyDescent="0.25">
      <c r="H17870" t="s">
        <v>1606</v>
      </c>
    </row>
    <row r="17871" spans="8:8" x14ac:dyDescent="0.25">
      <c r="H17871" t="s">
        <v>30</v>
      </c>
    </row>
    <row r="17873" spans="8:8" x14ac:dyDescent="0.25">
      <c r="H17873" t="s">
        <v>1607</v>
      </c>
    </row>
    <row r="17874" spans="8:8" x14ac:dyDescent="0.25">
      <c r="H17874" t="s">
        <v>1608</v>
      </c>
    </row>
    <row r="17875" spans="8:8" x14ac:dyDescent="0.25">
      <c r="H17875" t="s">
        <v>135</v>
      </c>
    </row>
    <row r="17876" spans="8:8" x14ac:dyDescent="0.25">
      <c r="H17876" t="s">
        <v>1609</v>
      </c>
    </row>
    <row r="17877" spans="8:8" x14ac:dyDescent="0.25">
      <c r="H17877" t="s">
        <v>30</v>
      </c>
    </row>
    <row r="17879" spans="8:8" x14ac:dyDescent="0.25">
      <c r="H17879" t="s">
        <v>1610</v>
      </c>
    </row>
    <row r="17880" spans="8:8" x14ac:dyDescent="0.25">
      <c r="H17880" t="s">
        <v>1611</v>
      </c>
    </row>
    <row r="17881" spans="8:8" x14ac:dyDescent="0.25">
      <c r="H17881" t="s">
        <v>135</v>
      </c>
    </row>
    <row r="17882" spans="8:8" x14ac:dyDescent="0.25">
      <c r="H17882" t="s">
        <v>1612</v>
      </c>
    </row>
    <row r="17883" spans="8:8" x14ac:dyDescent="0.25">
      <c r="H17883" t="s">
        <v>30</v>
      </c>
    </row>
    <row r="17885" spans="8:8" x14ac:dyDescent="0.25">
      <c r="H17885" t="s">
        <v>1613</v>
      </c>
    </row>
    <row r="17886" spans="8:8" x14ac:dyDescent="0.25">
      <c r="H17886" t="s">
        <v>1614</v>
      </c>
    </row>
    <row r="17887" spans="8:8" x14ac:dyDescent="0.25">
      <c r="H17887" t="s">
        <v>135</v>
      </c>
    </row>
    <row r="17888" spans="8:8" x14ac:dyDescent="0.25">
      <c r="H17888" t="s">
        <v>1615</v>
      </c>
    </row>
    <row r="17889" spans="8:8" x14ac:dyDescent="0.25">
      <c r="H17889" t="s">
        <v>30</v>
      </c>
    </row>
    <row r="17891" spans="8:8" x14ac:dyDescent="0.25">
      <c r="H17891" t="s">
        <v>1616</v>
      </c>
    </row>
    <row r="17892" spans="8:8" x14ac:dyDescent="0.25">
      <c r="H17892" t="s">
        <v>1617</v>
      </c>
    </row>
    <row r="17893" spans="8:8" x14ac:dyDescent="0.25">
      <c r="H17893" t="s">
        <v>135</v>
      </c>
    </row>
    <row r="17894" spans="8:8" x14ac:dyDescent="0.25">
      <c r="H17894" t="s">
        <v>1618</v>
      </c>
    </row>
    <row r="17895" spans="8:8" x14ac:dyDescent="0.25">
      <c r="H17895" t="s">
        <v>30</v>
      </c>
    </row>
    <row r="17897" spans="8:8" x14ac:dyDescent="0.25">
      <c r="H17897" t="s">
        <v>1619</v>
      </c>
    </row>
    <row r="17898" spans="8:8" x14ac:dyDescent="0.25">
      <c r="H17898" t="s">
        <v>1620</v>
      </c>
    </row>
    <row r="17899" spans="8:8" x14ac:dyDescent="0.25">
      <c r="H17899" t="s">
        <v>135</v>
      </c>
    </row>
    <row r="17900" spans="8:8" x14ac:dyDescent="0.25">
      <c r="H17900" t="s">
        <v>1621</v>
      </c>
    </row>
    <row r="17901" spans="8:8" x14ac:dyDescent="0.25">
      <c r="H17901" t="s">
        <v>30</v>
      </c>
    </row>
    <row r="17903" spans="8:8" x14ac:dyDescent="0.25">
      <c r="H17903" t="s">
        <v>1622</v>
      </c>
    </row>
    <row r="17904" spans="8:8" x14ac:dyDescent="0.25">
      <c r="H17904" t="s">
        <v>1623</v>
      </c>
    </row>
    <row r="17905" spans="8:8" x14ac:dyDescent="0.25">
      <c r="H17905" t="s">
        <v>135</v>
      </c>
    </row>
    <row r="17906" spans="8:8" x14ac:dyDescent="0.25">
      <c r="H17906" t="s">
        <v>1624</v>
      </c>
    </row>
    <row r="17907" spans="8:8" x14ac:dyDescent="0.25">
      <c r="H17907" t="s">
        <v>30</v>
      </c>
    </row>
    <row r="17909" spans="8:8" x14ac:dyDescent="0.25">
      <c r="H17909" t="s">
        <v>1625</v>
      </c>
    </row>
    <row r="17910" spans="8:8" x14ac:dyDescent="0.25">
      <c r="H17910" t="s">
        <v>1626</v>
      </c>
    </row>
    <row r="17911" spans="8:8" x14ac:dyDescent="0.25">
      <c r="H17911" t="s">
        <v>135</v>
      </c>
    </row>
    <row r="17912" spans="8:8" x14ac:dyDescent="0.25">
      <c r="H17912" t="s">
        <v>1627</v>
      </c>
    </row>
    <row r="17913" spans="8:8" x14ac:dyDescent="0.25">
      <c r="H17913" t="s">
        <v>30</v>
      </c>
    </row>
    <row r="17915" spans="8:8" x14ac:dyDescent="0.25">
      <c r="H17915" t="s">
        <v>1628</v>
      </c>
    </row>
    <row r="17916" spans="8:8" x14ac:dyDescent="0.25">
      <c r="H17916" t="s">
        <v>1629</v>
      </c>
    </row>
    <row r="17917" spans="8:8" x14ac:dyDescent="0.25">
      <c r="H17917" t="s">
        <v>135</v>
      </c>
    </row>
    <row r="17918" spans="8:8" x14ac:dyDescent="0.25">
      <c r="H17918" t="s">
        <v>1630</v>
      </c>
    </row>
    <row r="17919" spans="8:8" x14ac:dyDescent="0.25">
      <c r="H17919" t="s">
        <v>30</v>
      </c>
    </row>
    <row r="17921" spans="8:8" x14ac:dyDescent="0.25">
      <c r="H17921" t="s">
        <v>1631</v>
      </c>
    </row>
    <row r="17922" spans="8:8" x14ac:dyDescent="0.25">
      <c r="H17922" t="s">
        <v>1632</v>
      </c>
    </row>
    <row r="17923" spans="8:8" x14ac:dyDescent="0.25">
      <c r="H17923" t="s">
        <v>135</v>
      </c>
    </row>
    <row r="17924" spans="8:8" x14ac:dyDescent="0.25">
      <c r="H17924" t="s">
        <v>1633</v>
      </c>
    </row>
    <row r="17925" spans="8:8" x14ac:dyDescent="0.25">
      <c r="H17925" t="s">
        <v>30</v>
      </c>
    </row>
    <row r="17927" spans="8:8" x14ac:dyDescent="0.25">
      <c r="H17927" t="s">
        <v>1634</v>
      </c>
    </row>
    <row r="17928" spans="8:8" x14ac:dyDescent="0.25">
      <c r="H17928" t="s">
        <v>1635</v>
      </c>
    </row>
    <row r="17929" spans="8:8" x14ac:dyDescent="0.25">
      <c r="H17929" t="s">
        <v>135</v>
      </c>
    </row>
    <row r="17930" spans="8:8" x14ac:dyDescent="0.25">
      <c r="H17930" t="s">
        <v>1636</v>
      </c>
    </row>
    <row r="17931" spans="8:8" x14ac:dyDescent="0.25">
      <c r="H17931" t="s">
        <v>30</v>
      </c>
    </row>
    <row r="17933" spans="8:8" x14ac:dyDescent="0.25">
      <c r="H17933" t="s">
        <v>1637</v>
      </c>
    </row>
    <row r="17934" spans="8:8" x14ac:dyDescent="0.25">
      <c r="H17934" t="s">
        <v>1638</v>
      </c>
    </row>
    <row r="17935" spans="8:8" x14ac:dyDescent="0.25">
      <c r="H17935" t="s">
        <v>135</v>
      </c>
    </row>
    <row r="17936" spans="8:8" x14ac:dyDescent="0.25">
      <c r="H17936" t="s">
        <v>1639</v>
      </c>
    </row>
    <row r="17937" spans="8:8" x14ac:dyDescent="0.25">
      <c r="H17937" t="s">
        <v>30</v>
      </c>
    </row>
    <row r="17939" spans="8:8" x14ac:dyDescent="0.25">
      <c r="H17939" t="s">
        <v>1640</v>
      </c>
    </row>
    <row r="17940" spans="8:8" x14ac:dyDescent="0.25">
      <c r="H17940" t="s">
        <v>1641</v>
      </c>
    </row>
    <row r="17941" spans="8:8" x14ac:dyDescent="0.25">
      <c r="H17941" t="s">
        <v>135</v>
      </c>
    </row>
    <row r="17942" spans="8:8" x14ac:dyDescent="0.25">
      <c r="H17942" t="s">
        <v>1642</v>
      </c>
    </row>
    <row r="17943" spans="8:8" x14ac:dyDescent="0.25">
      <c r="H17943" t="s">
        <v>30</v>
      </c>
    </row>
    <row r="17945" spans="8:8" x14ac:dyDescent="0.25">
      <c r="H17945" t="s">
        <v>1643</v>
      </c>
    </row>
    <row r="17946" spans="8:8" x14ac:dyDescent="0.25">
      <c r="H17946" t="s">
        <v>1644</v>
      </c>
    </row>
    <row r="17947" spans="8:8" x14ac:dyDescent="0.25">
      <c r="H17947" t="s">
        <v>135</v>
      </c>
    </row>
    <row r="17948" spans="8:8" x14ac:dyDescent="0.25">
      <c r="H17948" t="s">
        <v>1645</v>
      </c>
    </row>
    <row r="17949" spans="8:8" x14ac:dyDescent="0.25">
      <c r="H17949" t="s">
        <v>30</v>
      </c>
    </row>
    <row r="17951" spans="8:8" x14ac:dyDescent="0.25">
      <c r="H17951" t="s">
        <v>1646</v>
      </c>
    </row>
    <row r="17952" spans="8:8" x14ac:dyDescent="0.25">
      <c r="H17952" t="s">
        <v>1647</v>
      </c>
    </row>
    <row r="17953" spans="8:8" x14ac:dyDescent="0.25">
      <c r="H17953" t="s">
        <v>135</v>
      </c>
    </row>
    <row r="17954" spans="8:8" x14ac:dyDescent="0.25">
      <c r="H17954" t="s">
        <v>1648</v>
      </c>
    </row>
    <row r="17955" spans="8:8" x14ac:dyDescent="0.25">
      <c r="H17955" t="s">
        <v>30</v>
      </c>
    </row>
    <row r="17957" spans="8:8" x14ac:dyDescent="0.25">
      <c r="H17957" t="s">
        <v>1649</v>
      </c>
    </row>
    <row r="17958" spans="8:8" x14ac:dyDescent="0.25">
      <c r="H17958" t="s">
        <v>1650</v>
      </c>
    </row>
    <row r="17959" spans="8:8" x14ac:dyDescent="0.25">
      <c r="H17959" t="s">
        <v>135</v>
      </c>
    </row>
    <row r="17960" spans="8:8" x14ac:dyDescent="0.25">
      <c r="H17960" t="s">
        <v>1651</v>
      </c>
    </row>
    <row r="17961" spans="8:8" x14ac:dyDescent="0.25">
      <c r="H17961" t="s">
        <v>30</v>
      </c>
    </row>
    <row r="17963" spans="8:8" x14ac:dyDescent="0.25">
      <c r="H17963" t="s">
        <v>1652</v>
      </c>
    </row>
    <row r="17964" spans="8:8" x14ac:dyDescent="0.25">
      <c r="H17964" t="s">
        <v>1653</v>
      </c>
    </row>
    <row r="17965" spans="8:8" x14ac:dyDescent="0.25">
      <c r="H17965" t="s">
        <v>135</v>
      </c>
    </row>
    <row r="17966" spans="8:8" x14ac:dyDescent="0.25">
      <c r="H17966" t="s">
        <v>1654</v>
      </c>
    </row>
    <row r="17967" spans="8:8" x14ac:dyDescent="0.25">
      <c r="H17967" t="s">
        <v>30</v>
      </c>
    </row>
    <row r="17969" spans="8:8" x14ac:dyDescent="0.25">
      <c r="H17969" t="s">
        <v>1655</v>
      </c>
    </row>
    <row r="17970" spans="8:8" x14ac:dyDescent="0.25">
      <c r="H17970" t="s">
        <v>1656</v>
      </c>
    </row>
    <row r="17971" spans="8:8" x14ac:dyDescent="0.25">
      <c r="H17971" t="s">
        <v>135</v>
      </c>
    </row>
    <row r="17972" spans="8:8" x14ac:dyDescent="0.25">
      <c r="H17972" t="s">
        <v>1657</v>
      </c>
    </row>
    <row r="17973" spans="8:8" x14ac:dyDescent="0.25">
      <c r="H17973" t="s">
        <v>30</v>
      </c>
    </row>
    <row r="17975" spans="8:8" x14ac:dyDescent="0.25">
      <c r="H17975" t="s">
        <v>1658</v>
      </c>
    </row>
    <row r="17976" spans="8:8" x14ac:dyDescent="0.25">
      <c r="H17976" t="s">
        <v>1659</v>
      </c>
    </row>
    <row r="17977" spans="8:8" x14ac:dyDescent="0.25">
      <c r="H17977" t="s">
        <v>135</v>
      </c>
    </row>
    <row r="17978" spans="8:8" x14ac:dyDescent="0.25">
      <c r="H17978" t="s">
        <v>1660</v>
      </c>
    </row>
    <row r="17979" spans="8:8" x14ac:dyDescent="0.25">
      <c r="H17979" t="s">
        <v>30</v>
      </c>
    </row>
    <row r="17981" spans="8:8" x14ac:dyDescent="0.25">
      <c r="H17981" t="s">
        <v>1661</v>
      </c>
    </row>
    <row r="17982" spans="8:8" x14ac:dyDescent="0.25">
      <c r="H17982" t="s">
        <v>1662</v>
      </c>
    </row>
    <row r="17983" spans="8:8" x14ac:dyDescent="0.25">
      <c r="H17983" t="s">
        <v>135</v>
      </c>
    </row>
    <row r="17984" spans="8:8" x14ac:dyDescent="0.25">
      <c r="H17984" t="s">
        <v>1663</v>
      </c>
    </row>
    <row r="17985" spans="8:8" x14ac:dyDescent="0.25">
      <c r="H17985" t="s">
        <v>30</v>
      </c>
    </row>
    <row r="17987" spans="8:8" x14ac:dyDescent="0.25">
      <c r="H17987" t="s">
        <v>1664</v>
      </c>
    </row>
    <row r="17988" spans="8:8" x14ac:dyDescent="0.25">
      <c r="H17988" t="s">
        <v>1665</v>
      </c>
    </row>
    <row r="17989" spans="8:8" x14ac:dyDescent="0.25">
      <c r="H17989" t="s">
        <v>135</v>
      </c>
    </row>
    <row r="17990" spans="8:8" x14ac:dyDescent="0.25">
      <c r="H17990" t="s">
        <v>1666</v>
      </c>
    </row>
    <row r="17991" spans="8:8" x14ac:dyDescent="0.25">
      <c r="H17991" t="s">
        <v>30</v>
      </c>
    </row>
    <row r="17993" spans="8:8" x14ac:dyDescent="0.25">
      <c r="H17993" t="s">
        <v>1667</v>
      </c>
    </row>
    <row r="17994" spans="8:8" x14ac:dyDescent="0.25">
      <c r="H17994" t="s">
        <v>1668</v>
      </c>
    </row>
    <row r="17995" spans="8:8" x14ac:dyDescent="0.25">
      <c r="H17995" t="s">
        <v>135</v>
      </c>
    </row>
    <row r="17996" spans="8:8" x14ac:dyDescent="0.25">
      <c r="H17996" t="s">
        <v>1669</v>
      </c>
    </row>
    <row r="17997" spans="8:8" x14ac:dyDescent="0.25">
      <c r="H17997" t="s">
        <v>30</v>
      </c>
    </row>
    <row r="17999" spans="8:8" x14ac:dyDescent="0.25">
      <c r="H17999" t="s">
        <v>1670</v>
      </c>
    </row>
    <row r="18000" spans="8:8" x14ac:dyDescent="0.25">
      <c r="H18000" t="s">
        <v>1671</v>
      </c>
    </row>
    <row r="18001" spans="8:8" x14ac:dyDescent="0.25">
      <c r="H18001" t="s">
        <v>135</v>
      </c>
    </row>
    <row r="18002" spans="8:8" x14ac:dyDescent="0.25">
      <c r="H18002" t="s">
        <v>1672</v>
      </c>
    </row>
    <row r="18003" spans="8:8" x14ac:dyDescent="0.25">
      <c r="H18003" t="s">
        <v>30</v>
      </c>
    </row>
    <row r="18005" spans="8:8" x14ac:dyDescent="0.25">
      <c r="H18005" t="s">
        <v>1673</v>
      </c>
    </row>
    <row r="18006" spans="8:8" x14ac:dyDescent="0.25">
      <c r="H18006" t="s">
        <v>1674</v>
      </c>
    </row>
    <row r="18007" spans="8:8" x14ac:dyDescent="0.25">
      <c r="H18007" t="s">
        <v>135</v>
      </c>
    </row>
    <row r="18008" spans="8:8" x14ac:dyDescent="0.25">
      <c r="H18008" t="s">
        <v>1675</v>
      </c>
    </row>
    <row r="18009" spans="8:8" x14ac:dyDescent="0.25">
      <c r="H18009" t="s">
        <v>30</v>
      </c>
    </row>
    <row r="18011" spans="8:8" x14ac:dyDescent="0.25">
      <c r="H18011" t="s">
        <v>1676</v>
      </c>
    </row>
    <row r="18012" spans="8:8" x14ac:dyDescent="0.25">
      <c r="H18012" t="s">
        <v>1677</v>
      </c>
    </row>
    <row r="18013" spans="8:8" x14ac:dyDescent="0.25">
      <c r="H18013" t="s">
        <v>135</v>
      </c>
    </row>
    <row r="18014" spans="8:8" x14ac:dyDescent="0.25">
      <c r="H18014" t="s">
        <v>1678</v>
      </c>
    </row>
    <row r="18015" spans="8:8" x14ac:dyDescent="0.25">
      <c r="H18015" t="s">
        <v>30</v>
      </c>
    </row>
    <row r="18017" spans="8:8" x14ac:dyDescent="0.25">
      <c r="H18017" t="s">
        <v>1679</v>
      </c>
    </row>
    <row r="18018" spans="8:8" x14ac:dyDescent="0.25">
      <c r="H18018" t="s">
        <v>1680</v>
      </c>
    </row>
    <row r="18019" spans="8:8" x14ac:dyDescent="0.25">
      <c r="H18019" t="s">
        <v>135</v>
      </c>
    </row>
    <row r="18020" spans="8:8" x14ac:dyDescent="0.25">
      <c r="H18020" t="s">
        <v>1681</v>
      </c>
    </row>
    <row r="18021" spans="8:8" x14ac:dyDescent="0.25">
      <c r="H18021" t="s">
        <v>30</v>
      </c>
    </row>
    <row r="18023" spans="8:8" x14ac:dyDescent="0.25">
      <c r="H18023" t="s">
        <v>1682</v>
      </c>
    </row>
    <row r="18024" spans="8:8" x14ac:dyDescent="0.25">
      <c r="H18024" t="s">
        <v>1683</v>
      </c>
    </row>
    <row r="18025" spans="8:8" x14ac:dyDescent="0.25">
      <c r="H18025" t="s">
        <v>135</v>
      </c>
    </row>
    <row r="18026" spans="8:8" x14ac:dyDescent="0.25">
      <c r="H18026" t="s">
        <v>1684</v>
      </c>
    </row>
    <row r="18027" spans="8:8" x14ac:dyDescent="0.25">
      <c r="H18027" t="s">
        <v>30</v>
      </c>
    </row>
    <row r="18029" spans="8:8" x14ac:dyDescent="0.25">
      <c r="H18029" t="s">
        <v>1685</v>
      </c>
    </row>
    <row r="18030" spans="8:8" x14ac:dyDescent="0.25">
      <c r="H18030" t="s">
        <v>1686</v>
      </c>
    </row>
    <row r="18031" spans="8:8" x14ac:dyDescent="0.25">
      <c r="H18031" t="s">
        <v>135</v>
      </c>
    </row>
    <row r="18032" spans="8:8" x14ac:dyDescent="0.25">
      <c r="H18032" t="s">
        <v>1687</v>
      </c>
    </row>
    <row r="18033" spans="8:8" x14ac:dyDescent="0.25">
      <c r="H18033" t="s">
        <v>30</v>
      </c>
    </row>
    <row r="18035" spans="8:8" x14ac:dyDescent="0.25">
      <c r="H18035" t="s">
        <v>1688</v>
      </c>
    </row>
    <row r="18036" spans="8:8" x14ac:dyDescent="0.25">
      <c r="H18036" t="s">
        <v>1689</v>
      </c>
    </row>
    <row r="18037" spans="8:8" x14ac:dyDescent="0.25">
      <c r="H18037" t="s">
        <v>135</v>
      </c>
    </row>
    <row r="18038" spans="8:8" x14ac:dyDescent="0.25">
      <c r="H18038" t="s">
        <v>1690</v>
      </c>
    </row>
    <row r="18039" spans="8:8" x14ac:dyDescent="0.25">
      <c r="H18039" t="s">
        <v>30</v>
      </c>
    </row>
    <row r="18041" spans="8:8" x14ac:dyDescent="0.25">
      <c r="H18041" t="s">
        <v>1691</v>
      </c>
    </row>
    <row r="18042" spans="8:8" x14ac:dyDescent="0.25">
      <c r="H18042" t="s">
        <v>1692</v>
      </c>
    </row>
    <row r="18043" spans="8:8" x14ac:dyDescent="0.25">
      <c r="H18043" t="s">
        <v>135</v>
      </c>
    </row>
    <row r="18044" spans="8:8" x14ac:dyDescent="0.25">
      <c r="H18044" t="s">
        <v>1693</v>
      </c>
    </row>
    <row r="18045" spans="8:8" x14ac:dyDescent="0.25">
      <c r="H18045" t="s">
        <v>30</v>
      </c>
    </row>
    <row r="18047" spans="8:8" x14ac:dyDescent="0.25">
      <c r="H18047" t="s">
        <v>1694</v>
      </c>
    </row>
    <row r="18048" spans="8:8" x14ac:dyDescent="0.25">
      <c r="H18048" t="s">
        <v>1695</v>
      </c>
    </row>
    <row r="18049" spans="8:8" x14ac:dyDescent="0.25">
      <c r="H18049" t="s">
        <v>135</v>
      </c>
    </row>
    <row r="18050" spans="8:8" x14ac:dyDescent="0.25">
      <c r="H18050" t="s">
        <v>1696</v>
      </c>
    </row>
    <row r="18051" spans="8:8" x14ac:dyDescent="0.25">
      <c r="H18051" t="s">
        <v>30</v>
      </c>
    </row>
    <row r="18053" spans="8:8" x14ac:dyDescent="0.25">
      <c r="H18053" t="s">
        <v>1697</v>
      </c>
    </row>
    <row r="18054" spans="8:8" x14ac:dyDescent="0.25">
      <c r="H18054" t="s">
        <v>1698</v>
      </c>
    </row>
    <row r="18055" spans="8:8" x14ac:dyDescent="0.25">
      <c r="H18055" t="s">
        <v>135</v>
      </c>
    </row>
    <row r="18056" spans="8:8" x14ac:dyDescent="0.25">
      <c r="H18056" t="s">
        <v>1699</v>
      </c>
    </row>
    <row r="18057" spans="8:8" x14ac:dyDescent="0.25">
      <c r="H18057" t="s">
        <v>30</v>
      </c>
    </row>
    <row r="18059" spans="8:8" x14ac:dyDescent="0.25">
      <c r="H18059" t="s">
        <v>1700</v>
      </c>
    </row>
    <row r="18060" spans="8:8" x14ac:dyDescent="0.25">
      <c r="H18060" t="s">
        <v>1701</v>
      </c>
    </row>
    <row r="18061" spans="8:8" x14ac:dyDescent="0.25">
      <c r="H18061" t="s">
        <v>135</v>
      </c>
    </row>
    <row r="18062" spans="8:8" x14ac:dyDescent="0.25">
      <c r="H18062" t="s">
        <v>1702</v>
      </c>
    </row>
    <row r="18063" spans="8:8" x14ac:dyDescent="0.25">
      <c r="H18063" t="s">
        <v>30</v>
      </c>
    </row>
    <row r="18065" spans="8:8" x14ac:dyDescent="0.25">
      <c r="H18065" t="s">
        <v>1703</v>
      </c>
    </row>
    <row r="18066" spans="8:8" x14ac:dyDescent="0.25">
      <c r="H18066" t="s">
        <v>1704</v>
      </c>
    </row>
    <row r="18067" spans="8:8" x14ac:dyDescent="0.25">
      <c r="H18067" t="s">
        <v>135</v>
      </c>
    </row>
    <row r="18068" spans="8:8" x14ac:dyDescent="0.25">
      <c r="H18068" t="s">
        <v>1705</v>
      </c>
    </row>
    <row r="18069" spans="8:8" x14ac:dyDescent="0.25">
      <c r="H18069" t="s">
        <v>30</v>
      </c>
    </row>
    <row r="18071" spans="8:8" x14ac:dyDescent="0.25">
      <c r="H18071" t="s">
        <v>1706</v>
      </c>
    </row>
    <row r="18072" spans="8:8" x14ac:dyDescent="0.25">
      <c r="H18072" t="s">
        <v>1707</v>
      </c>
    </row>
    <row r="18073" spans="8:8" x14ac:dyDescent="0.25">
      <c r="H18073" t="s">
        <v>135</v>
      </c>
    </row>
    <row r="18074" spans="8:8" x14ac:dyDescent="0.25">
      <c r="H18074" t="s">
        <v>1708</v>
      </c>
    </row>
    <row r="18075" spans="8:8" x14ac:dyDescent="0.25">
      <c r="H18075" t="s">
        <v>30</v>
      </c>
    </row>
    <row r="18077" spans="8:8" x14ac:dyDescent="0.25">
      <c r="H18077" t="s">
        <v>1709</v>
      </c>
    </row>
    <row r="18078" spans="8:8" x14ac:dyDescent="0.25">
      <c r="H18078" t="s">
        <v>1710</v>
      </c>
    </row>
    <row r="18079" spans="8:8" x14ac:dyDescent="0.25">
      <c r="H18079" t="s">
        <v>135</v>
      </c>
    </row>
    <row r="18080" spans="8:8" x14ac:dyDescent="0.25">
      <c r="H18080" t="s">
        <v>1711</v>
      </c>
    </row>
    <row r="18081" spans="8:8" x14ac:dyDescent="0.25">
      <c r="H18081" t="s">
        <v>30</v>
      </c>
    </row>
    <row r="18083" spans="8:8" x14ac:dyDescent="0.25">
      <c r="H18083" t="s">
        <v>1712</v>
      </c>
    </row>
    <row r="18084" spans="8:8" x14ac:dyDescent="0.25">
      <c r="H18084" t="s">
        <v>1713</v>
      </c>
    </row>
    <row r="18085" spans="8:8" x14ac:dyDescent="0.25">
      <c r="H18085" t="s">
        <v>135</v>
      </c>
    </row>
    <row r="18086" spans="8:8" x14ac:dyDescent="0.25">
      <c r="H18086" t="s">
        <v>1714</v>
      </c>
    </row>
    <row r="18087" spans="8:8" x14ac:dyDescent="0.25">
      <c r="H18087" t="s">
        <v>30</v>
      </c>
    </row>
    <row r="18089" spans="8:8" x14ac:dyDescent="0.25">
      <c r="H18089" t="s">
        <v>1715</v>
      </c>
    </row>
    <row r="18090" spans="8:8" x14ac:dyDescent="0.25">
      <c r="H18090" t="s">
        <v>1716</v>
      </c>
    </row>
    <row r="18091" spans="8:8" x14ac:dyDescent="0.25">
      <c r="H18091" t="s">
        <v>135</v>
      </c>
    </row>
    <row r="18092" spans="8:8" x14ac:dyDescent="0.25">
      <c r="H18092" t="s">
        <v>1717</v>
      </c>
    </row>
    <row r="18093" spans="8:8" x14ac:dyDescent="0.25">
      <c r="H18093" t="s">
        <v>30</v>
      </c>
    </row>
    <row r="18095" spans="8:8" x14ac:dyDescent="0.25">
      <c r="H18095" t="s">
        <v>1718</v>
      </c>
    </row>
    <row r="18096" spans="8:8" x14ac:dyDescent="0.25">
      <c r="H18096" t="s">
        <v>1719</v>
      </c>
    </row>
    <row r="18097" spans="8:8" x14ac:dyDescent="0.25">
      <c r="H18097" t="s">
        <v>135</v>
      </c>
    </row>
    <row r="18098" spans="8:8" x14ac:dyDescent="0.25">
      <c r="H18098" t="s">
        <v>1720</v>
      </c>
    </row>
    <row r="18099" spans="8:8" x14ac:dyDescent="0.25">
      <c r="H18099" t="s">
        <v>30</v>
      </c>
    </row>
    <row r="18101" spans="8:8" x14ac:dyDescent="0.25">
      <c r="H18101" t="s">
        <v>1721</v>
      </c>
    </row>
    <row r="18102" spans="8:8" x14ac:dyDescent="0.25">
      <c r="H18102" t="s">
        <v>1722</v>
      </c>
    </row>
    <row r="18103" spans="8:8" x14ac:dyDescent="0.25">
      <c r="H18103" t="s">
        <v>135</v>
      </c>
    </row>
    <row r="18104" spans="8:8" x14ac:dyDescent="0.25">
      <c r="H18104" t="s">
        <v>1723</v>
      </c>
    </row>
    <row r="18105" spans="8:8" x14ac:dyDescent="0.25">
      <c r="H18105" t="s">
        <v>30</v>
      </c>
    </row>
    <row r="18107" spans="8:8" x14ac:dyDescent="0.25">
      <c r="H18107" t="s">
        <v>1724</v>
      </c>
    </row>
    <row r="18108" spans="8:8" x14ac:dyDescent="0.25">
      <c r="H18108" t="s">
        <v>1725</v>
      </c>
    </row>
    <row r="18109" spans="8:8" x14ac:dyDescent="0.25">
      <c r="H18109" t="s">
        <v>135</v>
      </c>
    </row>
    <row r="18110" spans="8:8" x14ac:dyDescent="0.25">
      <c r="H18110" t="s">
        <v>1726</v>
      </c>
    </row>
    <row r="18111" spans="8:8" x14ac:dyDescent="0.25">
      <c r="H18111" t="s">
        <v>30</v>
      </c>
    </row>
    <row r="18113" spans="8:8" x14ac:dyDescent="0.25">
      <c r="H18113" t="s">
        <v>1727</v>
      </c>
    </row>
    <row r="18114" spans="8:8" x14ac:dyDescent="0.25">
      <c r="H18114" t="s">
        <v>1728</v>
      </c>
    </row>
    <row r="18115" spans="8:8" x14ac:dyDescent="0.25">
      <c r="H18115" t="s">
        <v>135</v>
      </c>
    </row>
    <row r="18116" spans="8:8" x14ac:dyDescent="0.25">
      <c r="H18116" t="s">
        <v>1729</v>
      </c>
    </row>
    <row r="18117" spans="8:8" x14ac:dyDescent="0.25">
      <c r="H18117" t="s">
        <v>30</v>
      </c>
    </row>
    <row r="18119" spans="8:8" x14ac:dyDescent="0.25">
      <c r="H18119" t="s">
        <v>1730</v>
      </c>
    </row>
    <row r="18120" spans="8:8" x14ac:dyDescent="0.25">
      <c r="H18120" t="s">
        <v>1731</v>
      </c>
    </row>
    <row r="18121" spans="8:8" x14ac:dyDescent="0.25">
      <c r="H18121" t="s">
        <v>135</v>
      </c>
    </row>
    <row r="18122" spans="8:8" x14ac:dyDescent="0.25">
      <c r="H18122" t="s">
        <v>1732</v>
      </c>
    </row>
    <row r="18123" spans="8:8" x14ac:dyDescent="0.25">
      <c r="H18123" t="s">
        <v>30</v>
      </c>
    </row>
    <row r="18125" spans="8:8" x14ac:dyDescent="0.25">
      <c r="H18125" t="s">
        <v>1733</v>
      </c>
    </row>
    <row r="18126" spans="8:8" x14ac:dyDescent="0.25">
      <c r="H18126" t="s">
        <v>1734</v>
      </c>
    </row>
    <row r="18127" spans="8:8" x14ac:dyDescent="0.25">
      <c r="H18127" t="s">
        <v>135</v>
      </c>
    </row>
    <row r="18128" spans="8:8" x14ac:dyDescent="0.25">
      <c r="H18128" t="s">
        <v>1735</v>
      </c>
    </row>
    <row r="18129" spans="8:8" x14ac:dyDescent="0.25">
      <c r="H18129" t="s">
        <v>30</v>
      </c>
    </row>
    <row r="18131" spans="8:8" x14ac:dyDescent="0.25">
      <c r="H18131" t="s">
        <v>1736</v>
      </c>
    </row>
    <row r="18132" spans="8:8" x14ac:dyDescent="0.25">
      <c r="H18132" t="s">
        <v>1737</v>
      </c>
    </row>
    <row r="18133" spans="8:8" x14ac:dyDescent="0.25">
      <c r="H18133" t="s">
        <v>135</v>
      </c>
    </row>
    <row r="18134" spans="8:8" x14ac:dyDescent="0.25">
      <c r="H18134" t="s">
        <v>1738</v>
      </c>
    </row>
    <row r="18135" spans="8:8" x14ac:dyDescent="0.25">
      <c r="H18135" t="s">
        <v>30</v>
      </c>
    </row>
    <row r="18137" spans="8:8" x14ac:dyDescent="0.25">
      <c r="H18137" t="s">
        <v>1739</v>
      </c>
    </row>
    <row r="18138" spans="8:8" x14ac:dyDescent="0.25">
      <c r="H18138" t="s">
        <v>1740</v>
      </c>
    </row>
    <row r="18139" spans="8:8" x14ac:dyDescent="0.25">
      <c r="H18139" t="s">
        <v>135</v>
      </c>
    </row>
    <row r="18140" spans="8:8" x14ac:dyDescent="0.25">
      <c r="H18140" t="s">
        <v>1741</v>
      </c>
    </row>
    <row r="18141" spans="8:8" x14ac:dyDescent="0.25">
      <c r="H18141" t="s">
        <v>30</v>
      </c>
    </row>
    <row r="18143" spans="8:8" x14ac:dyDescent="0.25">
      <c r="H18143" t="s">
        <v>1742</v>
      </c>
    </row>
    <row r="18144" spans="8:8" x14ac:dyDescent="0.25">
      <c r="H18144" t="s">
        <v>1743</v>
      </c>
    </row>
    <row r="18145" spans="8:8" x14ac:dyDescent="0.25">
      <c r="H18145" t="s">
        <v>135</v>
      </c>
    </row>
    <row r="18146" spans="8:8" x14ac:dyDescent="0.25">
      <c r="H18146" t="s">
        <v>1744</v>
      </c>
    </row>
    <row r="18147" spans="8:8" x14ac:dyDescent="0.25">
      <c r="H18147" t="s">
        <v>30</v>
      </c>
    </row>
    <row r="18149" spans="8:8" x14ac:dyDescent="0.25">
      <c r="H18149" t="s">
        <v>1745</v>
      </c>
    </row>
    <row r="18150" spans="8:8" x14ac:dyDescent="0.25">
      <c r="H18150" t="s">
        <v>1746</v>
      </c>
    </row>
    <row r="18151" spans="8:8" x14ac:dyDescent="0.25">
      <c r="H18151" t="s">
        <v>135</v>
      </c>
    </row>
    <row r="18152" spans="8:8" x14ac:dyDescent="0.25">
      <c r="H18152" t="s">
        <v>1747</v>
      </c>
    </row>
    <row r="18153" spans="8:8" x14ac:dyDescent="0.25">
      <c r="H18153" t="s">
        <v>30</v>
      </c>
    </row>
    <row r="18154" spans="8:8" x14ac:dyDescent="0.25">
      <c r="H18154" t="s">
        <v>1748</v>
      </c>
    </row>
    <row r="18155" spans="8:8" x14ac:dyDescent="0.25">
      <c r="H18155" t="s">
        <v>136</v>
      </c>
    </row>
    <row r="18156" spans="8:8" x14ac:dyDescent="0.25">
      <c r="H18156" t="s">
        <v>1749</v>
      </c>
    </row>
    <row r="18157" spans="8:8" x14ac:dyDescent="0.25">
      <c r="H18157" t="s">
        <v>30</v>
      </c>
    </row>
    <row r="18158" spans="8:8" x14ac:dyDescent="0.25">
      <c r="H18158" t="s">
        <v>1750</v>
      </c>
    </row>
    <row r="18159" spans="8:8" x14ac:dyDescent="0.25">
      <c r="H18159" t="s">
        <v>137</v>
      </c>
    </row>
    <row r="18160" spans="8:8" x14ac:dyDescent="0.25">
      <c r="H18160" t="s">
        <v>1751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1752</v>
      </c>
    </row>
    <row r="18164" spans="8:8" x14ac:dyDescent="0.25">
      <c r="H18164" t="s">
        <v>30</v>
      </c>
    </row>
    <row r="18166" spans="8:8" x14ac:dyDescent="0.25">
      <c r="H18166" t="s">
        <v>1753</v>
      </c>
    </row>
    <row r="18167" spans="8:8" x14ac:dyDescent="0.25">
      <c r="H18167" t="s">
        <v>1754</v>
      </c>
    </row>
    <row r="18168" spans="8:8" x14ac:dyDescent="0.25">
      <c r="H18168" t="s">
        <v>135</v>
      </c>
    </row>
    <row r="18169" spans="8:8" x14ac:dyDescent="0.25">
      <c r="H18169" t="s">
        <v>1755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1756</v>
      </c>
    </row>
    <row r="18173" spans="8:8" x14ac:dyDescent="0.25">
      <c r="H18173" t="s">
        <v>30</v>
      </c>
    </row>
    <row r="18174" spans="8:8" x14ac:dyDescent="0.25">
      <c r="H18174" t="s">
        <v>1757</v>
      </c>
    </row>
    <row r="18175" spans="8:8" x14ac:dyDescent="0.25">
      <c r="H18175" t="s">
        <v>137</v>
      </c>
    </row>
    <row r="18176" spans="8:8" x14ac:dyDescent="0.25">
      <c r="H18176" t="s">
        <v>1758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1759</v>
      </c>
    </row>
    <row r="18180" spans="8:8" x14ac:dyDescent="0.25">
      <c r="H18180" t="s">
        <v>30</v>
      </c>
    </row>
    <row r="18182" spans="8:8" x14ac:dyDescent="0.25">
      <c r="H18182" t="s">
        <v>1760</v>
      </c>
    </row>
    <row r="18183" spans="8:8" x14ac:dyDescent="0.25">
      <c r="H18183" t="s">
        <v>1761</v>
      </c>
    </row>
    <row r="18184" spans="8:8" x14ac:dyDescent="0.25">
      <c r="H18184" t="s">
        <v>135</v>
      </c>
    </row>
    <row r="18185" spans="8:8" x14ac:dyDescent="0.25">
      <c r="H18185" t="s">
        <v>1762</v>
      </c>
    </row>
    <row r="18186" spans="8:8" x14ac:dyDescent="0.25">
      <c r="H18186" t="s">
        <v>30</v>
      </c>
    </row>
    <row r="18187" spans="8:8" x14ac:dyDescent="0.25">
      <c r="H18187" t="s">
        <v>1763</v>
      </c>
    </row>
    <row r="18188" spans="8:8" x14ac:dyDescent="0.25">
      <c r="H18188" t="s">
        <v>137</v>
      </c>
    </row>
    <row r="18189" spans="8:8" x14ac:dyDescent="0.25">
      <c r="H18189" t="s">
        <v>1764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1765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119</v>
      </c>
    </row>
    <row r="18197" spans="8:8" x14ac:dyDescent="0.25">
      <c r="H18197" t="s">
        <v>139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8200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0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716</v>
      </c>
    </row>
    <row r="8" spans="1:8" x14ac:dyDescent="0.25">
      <c r="B8" s="1" t="s">
        <v>19</v>
      </c>
      <c r="H8" t="s">
        <v>2835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2912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  <c r="H12" t="s">
        <v>718</v>
      </c>
    </row>
    <row r="13" spans="1:8" x14ac:dyDescent="0.25">
      <c r="H13" t="s">
        <v>136</v>
      </c>
    </row>
    <row r="14" spans="1:8" x14ac:dyDescent="0.25">
      <c r="B14" s="1" t="s">
        <v>35</v>
      </c>
      <c r="H14" t="s">
        <v>2713</v>
      </c>
    </row>
    <row r="15" spans="1:8" x14ac:dyDescent="0.25">
      <c r="B15" t="s">
        <v>34</v>
      </c>
      <c r="H15" t="s">
        <v>30</v>
      </c>
    </row>
    <row r="17" spans="2:8" x14ac:dyDescent="0.25">
      <c r="B17" s="1" t="s">
        <v>20</v>
      </c>
      <c r="H17" t="s">
        <v>717</v>
      </c>
    </row>
    <row r="18" spans="2:8" x14ac:dyDescent="0.25">
      <c r="B18" t="s">
        <v>129</v>
      </c>
      <c r="H18" t="s">
        <v>720</v>
      </c>
    </row>
    <row r="19" spans="2:8" x14ac:dyDescent="0.25">
      <c r="H19" t="s">
        <v>135</v>
      </c>
    </row>
    <row r="20" spans="2:8" x14ac:dyDescent="0.25">
      <c r="B20" s="1"/>
      <c r="H20" t="s">
        <v>1766</v>
      </c>
    </row>
    <row r="21" spans="2:8" x14ac:dyDescent="0.25">
      <c r="H21" t="s">
        <v>30</v>
      </c>
    </row>
    <row r="23" spans="2:8" x14ac:dyDescent="0.25">
      <c r="H23" t="s">
        <v>719</v>
      </c>
    </row>
    <row r="24" spans="2:8" x14ac:dyDescent="0.25">
      <c r="H24" t="s">
        <v>723</v>
      </c>
    </row>
    <row r="25" spans="2:8" x14ac:dyDescent="0.25">
      <c r="H25" t="s">
        <v>135</v>
      </c>
    </row>
    <row r="26" spans="2:8" x14ac:dyDescent="0.25">
      <c r="H26" t="s">
        <v>1767</v>
      </c>
    </row>
    <row r="27" spans="2:8" x14ac:dyDescent="0.25">
      <c r="H27" t="s">
        <v>30</v>
      </c>
    </row>
    <row r="29" spans="2:8" x14ac:dyDescent="0.25">
      <c r="H29" t="s">
        <v>722</v>
      </c>
    </row>
    <row r="30" spans="2:8" x14ac:dyDescent="0.25">
      <c r="H30" t="s">
        <v>2837</v>
      </c>
    </row>
    <row r="31" spans="2:8" x14ac:dyDescent="0.25">
      <c r="H31" t="s">
        <v>135</v>
      </c>
    </row>
    <row r="32" spans="2:8" x14ac:dyDescent="0.25">
      <c r="H32" t="s">
        <v>3120</v>
      </c>
    </row>
    <row r="33" spans="8:8" x14ac:dyDescent="0.25">
      <c r="H33" t="s">
        <v>30</v>
      </c>
    </row>
    <row r="34" spans="8:8" x14ac:dyDescent="0.25">
      <c r="H34" t="s">
        <v>136</v>
      </c>
    </row>
    <row r="35" spans="8:8" x14ac:dyDescent="0.25">
      <c r="H35" t="s">
        <v>3121</v>
      </c>
    </row>
    <row r="36" spans="8:8" x14ac:dyDescent="0.25">
      <c r="H36" t="s">
        <v>30</v>
      </c>
    </row>
    <row r="37" spans="8:8" x14ac:dyDescent="0.25">
      <c r="H37" t="s">
        <v>137</v>
      </c>
    </row>
    <row r="38" spans="8:8" x14ac:dyDescent="0.25">
      <c r="H38" t="s">
        <v>3122</v>
      </c>
    </row>
    <row r="39" spans="8:8" x14ac:dyDescent="0.25">
      <c r="H39" t="s">
        <v>30</v>
      </c>
    </row>
    <row r="41" spans="8:8" x14ac:dyDescent="0.25">
      <c r="H41" t="s">
        <v>725</v>
      </c>
    </row>
    <row r="42" spans="8:8" x14ac:dyDescent="0.25">
      <c r="H42" t="s">
        <v>2838</v>
      </c>
    </row>
    <row r="43" spans="8:8" x14ac:dyDescent="0.25">
      <c r="H43" t="s">
        <v>135</v>
      </c>
    </row>
    <row r="44" spans="8:8" x14ac:dyDescent="0.25">
      <c r="H44" t="s">
        <v>3123</v>
      </c>
    </row>
    <row r="45" spans="8:8" x14ac:dyDescent="0.25">
      <c r="H45" t="s">
        <v>30</v>
      </c>
    </row>
    <row r="46" spans="8:8" x14ac:dyDescent="0.25">
      <c r="H46" t="s">
        <v>136</v>
      </c>
    </row>
    <row r="47" spans="8:8" x14ac:dyDescent="0.25">
      <c r="H47" t="s">
        <v>3124</v>
      </c>
    </row>
    <row r="48" spans="8:8" x14ac:dyDescent="0.25">
      <c r="H48" t="s">
        <v>30</v>
      </c>
    </row>
    <row r="49" spans="8:8" x14ac:dyDescent="0.25">
      <c r="H49" t="s">
        <v>137</v>
      </c>
    </row>
    <row r="50" spans="8:8" x14ac:dyDescent="0.25">
      <c r="H50" t="s">
        <v>3125</v>
      </c>
    </row>
    <row r="51" spans="8:8" x14ac:dyDescent="0.25">
      <c r="H51" t="s">
        <v>30</v>
      </c>
    </row>
    <row r="52" spans="8:8" x14ac:dyDescent="0.25">
      <c r="H52" t="s">
        <v>138</v>
      </c>
    </row>
    <row r="53" spans="8:8" x14ac:dyDescent="0.25">
      <c r="H53" t="s">
        <v>3126</v>
      </c>
    </row>
    <row r="54" spans="8:8" x14ac:dyDescent="0.25">
      <c r="H54" t="s">
        <v>30</v>
      </c>
    </row>
    <row r="56" spans="8:8" x14ac:dyDescent="0.25">
      <c r="H56" t="s">
        <v>726</v>
      </c>
    </row>
    <row r="57" spans="8:8" x14ac:dyDescent="0.25">
      <c r="H57" t="s">
        <v>739</v>
      </c>
    </row>
    <row r="58" spans="8:8" x14ac:dyDescent="0.25">
      <c r="H58" t="s">
        <v>135</v>
      </c>
    </row>
    <row r="59" spans="8:8" x14ac:dyDescent="0.25">
      <c r="H59" t="s">
        <v>1768</v>
      </c>
    </row>
    <row r="60" spans="8:8" x14ac:dyDescent="0.25">
      <c r="H60" t="s">
        <v>30</v>
      </c>
    </row>
    <row r="61" spans="8:8" x14ac:dyDescent="0.25">
      <c r="H61" t="s">
        <v>136</v>
      </c>
    </row>
    <row r="62" spans="8:8" x14ac:dyDescent="0.25">
      <c r="H62" t="s">
        <v>1769</v>
      </c>
    </row>
    <row r="63" spans="8:8" x14ac:dyDescent="0.25">
      <c r="H63" t="s">
        <v>30</v>
      </c>
    </row>
    <row r="64" spans="8:8" x14ac:dyDescent="0.25">
      <c r="H64" t="s">
        <v>137</v>
      </c>
    </row>
    <row r="65" spans="8:8" x14ac:dyDescent="0.25">
      <c r="H65" t="s">
        <v>1770</v>
      </c>
    </row>
    <row r="66" spans="8:8" x14ac:dyDescent="0.25">
      <c r="H66" t="s">
        <v>30</v>
      </c>
    </row>
    <row r="67" spans="8:8" x14ac:dyDescent="0.25">
      <c r="H67" t="s">
        <v>138</v>
      </c>
    </row>
    <row r="68" spans="8:8" x14ac:dyDescent="0.25">
      <c r="H68" t="s">
        <v>1771</v>
      </c>
    </row>
    <row r="69" spans="8:8" x14ac:dyDescent="0.25">
      <c r="H69" t="s">
        <v>30</v>
      </c>
    </row>
    <row r="71" spans="8:8" x14ac:dyDescent="0.25">
      <c r="H71" t="s">
        <v>727</v>
      </c>
    </row>
    <row r="72" spans="8:8" x14ac:dyDescent="0.25">
      <c r="H72" t="s">
        <v>2839</v>
      </c>
    </row>
    <row r="73" spans="8:8" x14ac:dyDescent="0.25">
      <c r="H73" t="s">
        <v>135</v>
      </c>
    </row>
    <row r="74" spans="8:8" x14ac:dyDescent="0.25">
      <c r="H74" t="s">
        <v>3127</v>
      </c>
    </row>
    <row r="75" spans="8:8" x14ac:dyDescent="0.25">
      <c r="H75" t="s">
        <v>30</v>
      </c>
    </row>
    <row r="76" spans="8:8" x14ac:dyDescent="0.25">
      <c r="H76" t="s">
        <v>136</v>
      </c>
    </row>
    <row r="77" spans="8:8" x14ac:dyDescent="0.25">
      <c r="H77" t="s">
        <v>3128</v>
      </c>
    </row>
    <row r="78" spans="8:8" x14ac:dyDescent="0.25">
      <c r="H78" t="s">
        <v>30</v>
      </c>
    </row>
    <row r="79" spans="8:8" x14ac:dyDescent="0.25">
      <c r="H79" t="s">
        <v>137</v>
      </c>
    </row>
    <row r="80" spans="8:8" x14ac:dyDescent="0.25">
      <c r="H80" t="s">
        <v>3129</v>
      </c>
    </row>
    <row r="81" spans="8:8" x14ac:dyDescent="0.25">
      <c r="H81" t="s">
        <v>30</v>
      </c>
    </row>
    <row r="82" spans="8:8" x14ac:dyDescent="0.25">
      <c r="H82" t="s">
        <v>138</v>
      </c>
    </row>
    <row r="83" spans="8:8" x14ac:dyDescent="0.25">
      <c r="H83" t="s">
        <v>3130</v>
      </c>
    </row>
    <row r="84" spans="8:8" x14ac:dyDescent="0.25">
      <c r="H84" t="s">
        <v>30</v>
      </c>
    </row>
    <row r="86" spans="8:8" x14ac:dyDescent="0.25">
      <c r="H86" t="s">
        <v>728</v>
      </c>
    </row>
    <row r="87" spans="8:8" x14ac:dyDescent="0.25">
      <c r="H87" t="s">
        <v>768</v>
      </c>
    </row>
    <row r="88" spans="8:8" x14ac:dyDescent="0.25">
      <c r="H88" t="s">
        <v>135</v>
      </c>
    </row>
    <row r="89" spans="8:8" x14ac:dyDescent="0.25">
      <c r="H89" t="s">
        <v>2751</v>
      </c>
    </row>
    <row r="90" spans="8:8" x14ac:dyDescent="0.25">
      <c r="H90" t="s">
        <v>30</v>
      </c>
    </row>
    <row r="91" spans="8:8" x14ac:dyDescent="0.25">
      <c r="H91" t="s">
        <v>769</v>
      </c>
    </row>
    <row r="92" spans="8:8" x14ac:dyDescent="0.25">
      <c r="H92" t="s">
        <v>137</v>
      </c>
    </row>
    <row r="93" spans="8:8" x14ac:dyDescent="0.25">
      <c r="H93" t="s">
        <v>1772</v>
      </c>
    </row>
    <row r="94" spans="8:8" x14ac:dyDescent="0.25">
      <c r="H94" t="s">
        <v>30</v>
      </c>
    </row>
    <row r="95" spans="8:8" x14ac:dyDescent="0.25">
      <c r="H95" t="s">
        <v>138</v>
      </c>
    </row>
    <row r="96" spans="8:8" x14ac:dyDescent="0.25">
      <c r="H96" t="s">
        <v>1773</v>
      </c>
    </row>
    <row r="97" spans="8:8" x14ac:dyDescent="0.25">
      <c r="H97" t="s">
        <v>30</v>
      </c>
    </row>
    <row r="99" spans="8:8" x14ac:dyDescent="0.25">
      <c r="H99" t="s">
        <v>729</v>
      </c>
    </row>
    <row r="100" spans="8:8" x14ac:dyDescent="0.25">
      <c r="H100" t="s">
        <v>773</v>
      </c>
    </row>
    <row r="101" spans="8:8" x14ac:dyDescent="0.25">
      <c r="H101" t="s">
        <v>135</v>
      </c>
    </row>
    <row r="102" spans="8:8" x14ac:dyDescent="0.25">
      <c r="H102" t="s">
        <v>1774</v>
      </c>
    </row>
    <row r="103" spans="8:8" x14ac:dyDescent="0.25">
      <c r="H103" t="s">
        <v>30</v>
      </c>
    </row>
    <row r="104" spans="8:8" x14ac:dyDescent="0.25">
      <c r="H104" t="s">
        <v>775</v>
      </c>
    </row>
    <row r="105" spans="8:8" x14ac:dyDescent="0.25">
      <c r="H105" t="s">
        <v>137</v>
      </c>
    </row>
    <row r="106" spans="8:8" x14ac:dyDescent="0.25">
      <c r="H106" t="s">
        <v>1775</v>
      </c>
    </row>
    <row r="107" spans="8:8" x14ac:dyDescent="0.25">
      <c r="H107" t="s">
        <v>30</v>
      </c>
    </row>
    <row r="108" spans="8:8" x14ac:dyDescent="0.25">
      <c r="H108" t="s">
        <v>138</v>
      </c>
    </row>
    <row r="109" spans="8:8" x14ac:dyDescent="0.25">
      <c r="H109" t="s">
        <v>1776</v>
      </c>
    </row>
    <row r="110" spans="8:8" x14ac:dyDescent="0.25">
      <c r="H110" t="s">
        <v>30</v>
      </c>
    </row>
    <row r="112" spans="8:8" x14ac:dyDescent="0.25">
      <c r="H112" t="s">
        <v>730</v>
      </c>
    </row>
    <row r="113" spans="8:8" x14ac:dyDescent="0.25">
      <c r="H113" t="s">
        <v>2840</v>
      </c>
    </row>
    <row r="114" spans="8:8" x14ac:dyDescent="0.25">
      <c r="H114" t="s">
        <v>135</v>
      </c>
    </row>
    <row r="115" spans="8:8" x14ac:dyDescent="0.25">
      <c r="H115" t="s">
        <v>3131</v>
      </c>
    </row>
    <row r="116" spans="8:8" x14ac:dyDescent="0.25">
      <c r="H116" t="s">
        <v>30</v>
      </c>
    </row>
    <row r="117" spans="8:8" x14ac:dyDescent="0.25">
      <c r="H117" t="s">
        <v>136</v>
      </c>
    </row>
    <row r="118" spans="8:8" x14ac:dyDescent="0.25">
      <c r="H118" t="s">
        <v>3132</v>
      </c>
    </row>
    <row r="119" spans="8:8" x14ac:dyDescent="0.25">
      <c r="H119" t="s">
        <v>30</v>
      </c>
    </row>
    <row r="120" spans="8:8" x14ac:dyDescent="0.25">
      <c r="H120" t="s">
        <v>137</v>
      </c>
    </row>
    <row r="121" spans="8:8" x14ac:dyDescent="0.25">
      <c r="H121" t="s">
        <v>3133</v>
      </c>
    </row>
    <row r="122" spans="8:8" x14ac:dyDescent="0.25">
      <c r="H122" t="s">
        <v>30</v>
      </c>
    </row>
    <row r="123" spans="8:8" x14ac:dyDescent="0.25">
      <c r="H123" t="s">
        <v>138</v>
      </c>
    </row>
    <row r="124" spans="8:8" x14ac:dyDescent="0.25">
      <c r="H124" t="s">
        <v>3134</v>
      </c>
    </row>
    <row r="125" spans="8:8" x14ac:dyDescent="0.25">
      <c r="H125" t="s">
        <v>30</v>
      </c>
    </row>
    <row r="127" spans="8:8" x14ac:dyDescent="0.25">
      <c r="H127" t="s">
        <v>731</v>
      </c>
    </row>
    <row r="128" spans="8:8" x14ac:dyDescent="0.25">
      <c r="H128" t="s">
        <v>2841</v>
      </c>
    </row>
    <row r="129" spans="8:8" x14ac:dyDescent="0.25">
      <c r="H129" t="s">
        <v>135</v>
      </c>
    </row>
    <row r="130" spans="8:8" x14ac:dyDescent="0.25">
      <c r="H130" t="s">
        <v>3135</v>
      </c>
    </row>
    <row r="131" spans="8:8" x14ac:dyDescent="0.25">
      <c r="H131" t="s">
        <v>30</v>
      </c>
    </row>
    <row r="132" spans="8:8" x14ac:dyDescent="0.25">
      <c r="H132" t="s">
        <v>136</v>
      </c>
    </row>
    <row r="133" spans="8:8" x14ac:dyDescent="0.25">
      <c r="H133" t="s">
        <v>3136</v>
      </c>
    </row>
    <row r="134" spans="8:8" x14ac:dyDescent="0.25">
      <c r="H134" t="s">
        <v>30</v>
      </c>
    </row>
    <row r="135" spans="8:8" x14ac:dyDescent="0.25">
      <c r="H135" t="s">
        <v>137</v>
      </c>
    </row>
    <row r="136" spans="8:8" x14ac:dyDescent="0.25">
      <c r="H136" t="s">
        <v>3137</v>
      </c>
    </row>
    <row r="137" spans="8:8" x14ac:dyDescent="0.25">
      <c r="H137" t="s">
        <v>30</v>
      </c>
    </row>
    <row r="138" spans="8:8" x14ac:dyDescent="0.25">
      <c r="H138" t="s">
        <v>138</v>
      </c>
    </row>
    <row r="139" spans="8:8" x14ac:dyDescent="0.25">
      <c r="H139" t="s">
        <v>3138</v>
      </c>
    </row>
    <row r="140" spans="8:8" x14ac:dyDescent="0.25">
      <c r="H140" t="s">
        <v>30</v>
      </c>
    </row>
    <row r="142" spans="8:8" x14ac:dyDescent="0.25">
      <c r="H142" t="s">
        <v>732</v>
      </c>
    </row>
    <row r="143" spans="8:8" x14ac:dyDescent="0.25">
      <c r="H143" t="s">
        <v>2842</v>
      </c>
    </row>
    <row r="144" spans="8:8" x14ac:dyDescent="0.25">
      <c r="H144" t="s">
        <v>135</v>
      </c>
    </row>
    <row r="145" spans="8:8" x14ac:dyDescent="0.25">
      <c r="H145" t="s">
        <v>3139</v>
      </c>
    </row>
    <row r="146" spans="8:8" x14ac:dyDescent="0.25">
      <c r="H146" t="s">
        <v>30</v>
      </c>
    </row>
    <row r="147" spans="8:8" x14ac:dyDescent="0.25">
      <c r="H147" t="s">
        <v>136</v>
      </c>
    </row>
    <row r="148" spans="8:8" x14ac:dyDescent="0.25">
      <c r="H148" t="s">
        <v>3140</v>
      </c>
    </row>
    <row r="149" spans="8:8" x14ac:dyDescent="0.25">
      <c r="H149" t="s">
        <v>30</v>
      </c>
    </row>
    <row r="150" spans="8:8" x14ac:dyDescent="0.25">
      <c r="H150" t="s">
        <v>137</v>
      </c>
    </row>
    <row r="151" spans="8:8" x14ac:dyDescent="0.25">
      <c r="H151" t="s">
        <v>3141</v>
      </c>
    </row>
    <row r="152" spans="8:8" x14ac:dyDescent="0.25">
      <c r="H152" t="s">
        <v>30</v>
      </c>
    </row>
    <row r="153" spans="8:8" x14ac:dyDescent="0.25">
      <c r="H153" t="s">
        <v>138</v>
      </c>
    </row>
    <row r="154" spans="8:8" x14ac:dyDescent="0.25">
      <c r="H154" t="s">
        <v>3142</v>
      </c>
    </row>
    <row r="155" spans="8:8" x14ac:dyDescent="0.25">
      <c r="H155" t="s">
        <v>30</v>
      </c>
    </row>
    <row r="157" spans="8:8" x14ac:dyDescent="0.25">
      <c r="H157" t="s">
        <v>733</v>
      </c>
    </row>
    <row r="158" spans="8:8" x14ac:dyDescent="0.25">
      <c r="H158" t="s">
        <v>789</v>
      </c>
    </row>
    <row r="159" spans="8:8" x14ac:dyDescent="0.25">
      <c r="H159" t="s">
        <v>135</v>
      </c>
    </row>
    <row r="160" spans="8:8" x14ac:dyDescent="0.25">
      <c r="H160" t="s">
        <v>1777</v>
      </c>
    </row>
    <row r="161" spans="8:8" x14ac:dyDescent="0.25">
      <c r="H161" t="s">
        <v>30</v>
      </c>
    </row>
    <row r="162" spans="8:8" x14ac:dyDescent="0.25">
      <c r="H162" t="s">
        <v>136</v>
      </c>
    </row>
    <row r="163" spans="8:8" x14ac:dyDescent="0.25">
      <c r="H163" t="s">
        <v>1778</v>
      </c>
    </row>
    <row r="164" spans="8:8" x14ac:dyDescent="0.25">
      <c r="H164" t="s">
        <v>30</v>
      </c>
    </row>
    <row r="165" spans="8:8" x14ac:dyDescent="0.25">
      <c r="H165" t="s">
        <v>137</v>
      </c>
    </row>
    <row r="166" spans="8:8" x14ac:dyDescent="0.25">
      <c r="H166" t="s">
        <v>1779</v>
      </c>
    </row>
    <row r="167" spans="8:8" x14ac:dyDescent="0.25">
      <c r="H167" t="s">
        <v>30</v>
      </c>
    </row>
    <row r="168" spans="8:8" x14ac:dyDescent="0.25">
      <c r="H168" t="s">
        <v>138</v>
      </c>
    </row>
    <row r="169" spans="8:8" x14ac:dyDescent="0.25">
      <c r="H169" t="s">
        <v>1780</v>
      </c>
    </row>
    <row r="170" spans="8:8" x14ac:dyDescent="0.25">
      <c r="H170" t="s">
        <v>30</v>
      </c>
    </row>
    <row r="172" spans="8:8" x14ac:dyDescent="0.25">
      <c r="H172" t="s">
        <v>734</v>
      </c>
    </row>
    <row r="173" spans="8:8" x14ac:dyDescent="0.25">
      <c r="H173" t="s">
        <v>795</v>
      </c>
    </row>
    <row r="174" spans="8:8" x14ac:dyDescent="0.25">
      <c r="H174" t="s">
        <v>135</v>
      </c>
    </row>
    <row r="175" spans="8:8" x14ac:dyDescent="0.25">
      <c r="H175" t="s">
        <v>1781</v>
      </c>
    </row>
    <row r="176" spans="8:8" x14ac:dyDescent="0.25">
      <c r="H176" t="s">
        <v>30</v>
      </c>
    </row>
    <row r="177" spans="8:8" x14ac:dyDescent="0.25">
      <c r="H177" t="s">
        <v>797</v>
      </c>
    </row>
    <row r="178" spans="8:8" x14ac:dyDescent="0.25">
      <c r="H178" t="s">
        <v>136</v>
      </c>
    </row>
    <row r="179" spans="8:8" x14ac:dyDescent="0.25">
      <c r="H179" t="s">
        <v>1782</v>
      </c>
    </row>
    <row r="180" spans="8:8" x14ac:dyDescent="0.25">
      <c r="H180" t="s">
        <v>30</v>
      </c>
    </row>
    <row r="181" spans="8:8" x14ac:dyDescent="0.25">
      <c r="H181" t="s">
        <v>799</v>
      </c>
    </row>
    <row r="182" spans="8:8" x14ac:dyDescent="0.25">
      <c r="H182" t="s">
        <v>137</v>
      </c>
    </row>
    <row r="183" spans="8:8" x14ac:dyDescent="0.25">
      <c r="H183" t="s">
        <v>1783</v>
      </c>
    </row>
    <row r="184" spans="8:8" x14ac:dyDescent="0.25">
      <c r="H184" t="s">
        <v>30</v>
      </c>
    </row>
    <row r="185" spans="8:8" x14ac:dyDescent="0.25">
      <c r="H185" t="s">
        <v>801</v>
      </c>
    </row>
    <row r="186" spans="8:8" x14ac:dyDescent="0.25">
      <c r="H186" t="s">
        <v>138</v>
      </c>
    </row>
    <row r="187" spans="8:8" x14ac:dyDescent="0.25">
      <c r="H187" t="s">
        <v>1784</v>
      </c>
    </row>
    <row r="188" spans="8:8" x14ac:dyDescent="0.25">
      <c r="H188" t="s">
        <v>30</v>
      </c>
    </row>
    <row r="190" spans="8:8" x14ac:dyDescent="0.25">
      <c r="H190" t="s">
        <v>735</v>
      </c>
    </row>
    <row r="191" spans="8:8" x14ac:dyDescent="0.25">
      <c r="H191" t="s">
        <v>804</v>
      </c>
    </row>
    <row r="192" spans="8:8" x14ac:dyDescent="0.25">
      <c r="H192" t="s">
        <v>135</v>
      </c>
    </row>
    <row r="193" spans="8:8" x14ac:dyDescent="0.25">
      <c r="H193" t="s">
        <v>1785</v>
      </c>
    </row>
    <row r="194" spans="8:8" x14ac:dyDescent="0.25">
      <c r="H194" t="s">
        <v>30</v>
      </c>
    </row>
    <row r="195" spans="8:8" x14ac:dyDescent="0.25">
      <c r="H195" t="s">
        <v>806</v>
      </c>
    </row>
    <row r="196" spans="8:8" x14ac:dyDescent="0.25">
      <c r="H196" t="s">
        <v>136</v>
      </c>
    </row>
    <row r="197" spans="8:8" x14ac:dyDescent="0.25">
      <c r="H197" t="s">
        <v>1786</v>
      </c>
    </row>
    <row r="198" spans="8:8" x14ac:dyDescent="0.25">
      <c r="H198" t="s">
        <v>30</v>
      </c>
    </row>
    <row r="199" spans="8:8" x14ac:dyDescent="0.25">
      <c r="H199" t="s">
        <v>808</v>
      </c>
    </row>
    <row r="200" spans="8:8" x14ac:dyDescent="0.25">
      <c r="H200" t="s">
        <v>137</v>
      </c>
    </row>
    <row r="201" spans="8:8" x14ac:dyDescent="0.25">
      <c r="H201" t="s">
        <v>1787</v>
      </c>
    </row>
    <row r="202" spans="8:8" x14ac:dyDescent="0.25">
      <c r="H202" t="s">
        <v>30</v>
      </c>
    </row>
    <row r="203" spans="8:8" x14ac:dyDescent="0.25">
      <c r="H203" t="s">
        <v>810</v>
      </c>
    </row>
    <row r="204" spans="8:8" x14ac:dyDescent="0.25">
      <c r="H204" t="s">
        <v>138</v>
      </c>
    </row>
    <row r="205" spans="8:8" x14ac:dyDescent="0.25">
      <c r="H205" t="s">
        <v>1788</v>
      </c>
    </row>
    <row r="206" spans="8:8" x14ac:dyDescent="0.25">
      <c r="H206" t="s">
        <v>30</v>
      </c>
    </row>
    <row r="208" spans="8:8" x14ac:dyDescent="0.25">
      <c r="H208" t="s">
        <v>736</v>
      </c>
    </row>
    <row r="209" spans="8:8" x14ac:dyDescent="0.25">
      <c r="H209" t="s">
        <v>813</v>
      </c>
    </row>
    <row r="210" spans="8:8" x14ac:dyDescent="0.25">
      <c r="H210" t="s">
        <v>135</v>
      </c>
    </row>
    <row r="211" spans="8:8" x14ac:dyDescent="0.25">
      <c r="H211" t="s">
        <v>1789</v>
      </c>
    </row>
    <row r="212" spans="8:8" x14ac:dyDescent="0.25">
      <c r="H212" t="s">
        <v>30</v>
      </c>
    </row>
    <row r="213" spans="8:8" x14ac:dyDescent="0.25">
      <c r="H213" t="s">
        <v>815</v>
      </c>
    </row>
    <row r="214" spans="8:8" x14ac:dyDescent="0.25">
      <c r="H214" t="s">
        <v>136</v>
      </c>
    </row>
    <row r="215" spans="8:8" x14ac:dyDescent="0.25">
      <c r="H215" t="s">
        <v>1790</v>
      </c>
    </row>
    <row r="216" spans="8:8" x14ac:dyDescent="0.25">
      <c r="H216" t="s">
        <v>30</v>
      </c>
    </row>
    <row r="218" spans="8:8" x14ac:dyDescent="0.25">
      <c r="H218" t="s">
        <v>737</v>
      </c>
    </row>
    <row r="219" spans="8:8" x14ac:dyDescent="0.25">
      <c r="H219" t="s">
        <v>2843</v>
      </c>
    </row>
    <row r="220" spans="8:8" x14ac:dyDescent="0.25">
      <c r="H220" t="s">
        <v>135</v>
      </c>
    </row>
    <row r="221" spans="8:8" x14ac:dyDescent="0.25">
      <c r="H221" t="s">
        <v>3143</v>
      </c>
    </row>
    <row r="222" spans="8:8" x14ac:dyDescent="0.25">
      <c r="H222" t="s">
        <v>30</v>
      </c>
    </row>
    <row r="223" spans="8:8" x14ac:dyDescent="0.25">
      <c r="H223" t="s">
        <v>136</v>
      </c>
    </row>
    <row r="224" spans="8:8" x14ac:dyDescent="0.25">
      <c r="H224" t="s">
        <v>3144</v>
      </c>
    </row>
    <row r="225" spans="8:8" x14ac:dyDescent="0.25">
      <c r="H225" t="s">
        <v>30</v>
      </c>
    </row>
    <row r="226" spans="8:8" x14ac:dyDescent="0.25">
      <c r="H226" t="s">
        <v>137</v>
      </c>
    </row>
    <row r="227" spans="8:8" x14ac:dyDescent="0.25">
      <c r="H227" t="s">
        <v>3145</v>
      </c>
    </row>
    <row r="228" spans="8:8" x14ac:dyDescent="0.25">
      <c r="H228" t="s">
        <v>30</v>
      </c>
    </row>
    <row r="229" spans="8:8" x14ac:dyDescent="0.25">
      <c r="H229" t="s">
        <v>138</v>
      </c>
    </row>
    <row r="230" spans="8:8" x14ac:dyDescent="0.25">
      <c r="H230" t="s">
        <v>3146</v>
      </c>
    </row>
    <row r="231" spans="8:8" x14ac:dyDescent="0.25">
      <c r="H231" t="s">
        <v>30</v>
      </c>
    </row>
    <row r="233" spans="8:8" x14ac:dyDescent="0.25">
      <c r="H233" t="s">
        <v>738</v>
      </c>
    </row>
    <row r="234" spans="8:8" x14ac:dyDescent="0.25">
      <c r="H234" t="s">
        <v>2844</v>
      </c>
    </row>
    <row r="235" spans="8:8" x14ac:dyDescent="0.25">
      <c r="H235" t="s">
        <v>135</v>
      </c>
    </row>
    <row r="236" spans="8:8" x14ac:dyDescent="0.25">
      <c r="H236" t="s">
        <v>3147</v>
      </c>
    </row>
    <row r="237" spans="8:8" x14ac:dyDescent="0.25">
      <c r="H237" t="s">
        <v>30</v>
      </c>
    </row>
    <row r="238" spans="8:8" x14ac:dyDescent="0.25">
      <c r="H238" t="s">
        <v>136</v>
      </c>
    </row>
    <row r="239" spans="8:8" x14ac:dyDescent="0.25">
      <c r="H239" t="s">
        <v>3148</v>
      </c>
    </row>
    <row r="240" spans="8:8" x14ac:dyDescent="0.25">
      <c r="H240" t="s">
        <v>30</v>
      </c>
    </row>
    <row r="241" spans="8:8" x14ac:dyDescent="0.25">
      <c r="H241" t="s">
        <v>137</v>
      </c>
    </row>
    <row r="242" spans="8:8" x14ac:dyDescent="0.25">
      <c r="H242" t="s">
        <v>3149</v>
      </c>
    </row>
    <row r="243" spans="8:8" x14ac:dyDescent="0.25">
      <c r="H243" t="s">
        <v>30</v>
      </c>
    </row>
    <row r="244" spans="8:8" x14ac:dyDescent="0.25">
      <c r="H244" t="s">
        <v>138</v>
      </c>
    </row>
    <row r="245" spans="8:8" x14ac:dyDescent="0.25">
      <c r="H245" t="s">
        <v>3150</v>
      </c>
    </row>
    <row r="246" spans="8:8" x14ac:dyDescent="0.25">
      <c r="H246" t="s">
        <v>30</v>
      </c>
    </row>
    <row r="248" spans="8:8" x14ac:dyDescent="0.25">
      <c r="H248" t="s">
        <v>744</v>
      </c>
    </row>
    <row r="249" spans="8:8" x14ac:dyDescent="0.25">
      <c r="H249" t="s">
        <v>2845</v>
      </c>
    </row>
    <row r="250" spans="8:8" x14ac:dyDescent="0.25">
      <c r="H250" t="s">
        <v>135</v>
      </c>
    </row>
    <row r="251" spans="8:8" x14ac:dyDescent="0.25">
      <c r="H251" t="s">
        <v>3151</v>
      </c>
    </row>
    <row r="252" spans="8:8" x14ac:dyDescent="0.25">
      <c r="H252" t="s">
        <v>30</v>
      </c>
    </row>
    <row r="253" spans="8:8" x14ac:dyDescent="0.25">
      <c r="H253" t="s">
        <v>136</v>
      </c>
    </row>
    <row r="254" spans="8:8" x14ac:dyDescent="0.25">
      <c r="H254" t="s">
        <v>3152</v>
      </c>
    </row>
    <row r="255" spans="8:8" x14ac:dyDescent="0.25">
      <c r="H255" t="s">
        <v>30</v>
      </c>
    </row>
    <row r="256" spans="8:8" x14ac:dyDescent="0.25">
      <c r="H256" t="s">
        <v>137</v>
      </c>
    </row>
    <row r="257" spans="8:8" x14ac:dyDescent="0.25">
      <c r="H257" t="s">
        <v>3153</v>
      </c>
    </row>
    <row r="258" spans="8:8" x14ac:dyDescent="0.25">
      <c r="H258" t="s">
        <v>30</v>
      </c>
    </row>
    <row r="259" spans="8:8" x14ac:dyDescent="0.25">
      <c r="H259" t="s">
        <v>138</v>
      </c>
    </row>
    <row r="260" spans="8:8" x14ac:dyDescent="0.25">
      <c r="H260" t="s">
        <v>3154</v>
      </c>
    </row>
    <row r="261" spans="8:8" x14ac:dyDescent="0.25">
      <c r="H261" t="s">
        <v>30</v>
      </c>
    </row>
    <row r="263" spans="8:8" x14ac:dyDescent="0.25">
      <c r="H263" t="s">
        <v>745</v>
      </c>
    </row>
    <row r="264" spans="8:8" x14ac:dyDescent="0.25">
      <c r="H264" t="s">
        <v>2846</v>
      </c>
    </row>
    <row r="265" spans="8:8" x14ac:dyDescent="0.25">
      <c r="H265" t="s">
        <v>135</v>
      </c>
    </row>
    <row r="266" spans="8:8" x14ac:dyDescent="0.25">
      <c r="H266" t="s">
        <v>3155</v>
      </c>
    </row>
    <row r="267" spans="8:8" x14ac:dyDescent="0.25">
      <c r="H267" t="s">
        <v>30</v>
      </c>
    </row>
    <row r="268" spans="8:8" x14ac:dyDescent="0.25">
      <c r="H268" t="s">
        <v>136</v>
      </c>
    </row>
    <row r="269" spans="8:8" x14ac:dyDescent="0.25">
      <c r="H269" t="s">
        <v>3156</v>
      </c>
    </row>
    <row r="270" spans="8:8" x14ac:dyDescent="0.25">
      <c r="H270" t="s">
        <v>30</v>
      </c>
    </row>
    <row r="271" spans="8:8" x14ac:dyDescent="0.25">
      <c r="H271" t="s">
        <v>137</v>
      </c>
    </row>
    <row r="272" spans="8:8" x14ac:dyDescent="0.25">
      <c r="H272" t="s">
        <v>3157</v>
      </c>
    </row>
    <row r="273" spans="8:8" x14ac:dyDescent="0.25">
      <c r="H273" t="s">
        <v>30</v>
      </c>
    </row>
    <row r="274" spans="8:8" x14ac:dyDescent="0.25">
      <c r="H274" t="s">
        <v>138</v>
      </c>
    </row>
    <row r="275" spans="8:8" x14ac:dyDescent="0.25">
      <c r="H275" t="s">
        <v>3158</v>
      </c>
    </row>
    <row r="276" spans="8:8" x14ac:dyDescent="0.25">
      <c r="H276" t="s">
        <v>30</v>
      </c>
    </row>
    <row r="278" spans="8:8" x14ac:dyDescent="0.25">
      <c r="H278" t="s">
        <v>746</v>
      </c>
    </row>
    <row r="279" spans="8:8" x14ac:dyDescent="0.25">
      <c r="H279" t="s">
        <v>2847</v>
      </c>
    </row>
    <row r="280" spans="8:8" x14ac:dyDescent="0.25">
      <c r="H280" t="s">
        <v>135</v>
      </c>
    </row>
    <row r="281" spans="8:8" x14ac:dyDescent="0.25">
      <c r="H281" t="s">
        <v>3159</v>
      </c>
    </row>
    <row r="282" spans="8:8" x14ac:dyDescent="0.25">
      <c r="H282" t="s">
        <v>30</v>
      </c>
    </row>
    <row r="283" spans="8:8" x14ac:dyDescent="0.25">
      <c r="H283" t="s">
        <v>136</v>
      </c>
    </row>
    <row r="284" spans="8:8" x14ac:dyDescent="0.25">
      <c r="H284" t="s">
        <v>3160</v>
      </c>
    </row>
    <row r="285" spans="8:8" x14ac:dyDescent="0.25">
      <c r="H285" t="s">
        <v>30</v>
      </c>
    </row>
    <row r="286" spans="8:8" x14ac:dyDescent="0.25">
      <c r="H286" t="s">
        <v>137</v>
      </c>
    </row>
    <row r="287" spans="8:8" x14ac:dyDescent="0.25">
      <c r="H287" t="s">
        <v>3161</v>
      </c>
    </row>
    <row r="288" spans="8:8" x14ac:dyDescent="0.25">
      <c r="H288" t="s">
        <v>30</v>
      </c>
    </row>
    <row r="289" spans="8:8" x14ac:dyDescent="0.25">
      <c r="H289" t="s">
        <v>138</v>
      </c>
    </row>
    <row r="290" spans="8:8" x14ac:dyDescent="0.25">
      <c r="H290" t="s">
        <v>3162</v>
      </c>
    </row>
    <row r="291" spans="8:8" x14ac:dyDescent="0.25">
      <c r="H291" t="s">
        <v>30</v>
      </c>
    </row>
    <row r="293" spans="8:8" x14ac:dyDescent="0.25">
      <c r="H293" t="s">
        <v>747</v>
      </c>
    </row>
    <row r="294" spans="8:8" x14ac:dyDescent="0.25">
      <c r="H294" t="s">
        <v>2848</v>
      </c>
    </row>
    <row r="295" spans="8:8" x14ac:dyDescent="0.25">
      <c r="H295" t="s">
        <v>135</v>
      </c>
    </row>
    <row r="296" spans="8:8" x14ac:dyDescent="0.25">
      <c r="H296" t="s">
        <v>3163</v>
      </c>
    </row>
    <row r="297" spans="8:8" x14ac:dyDescent="0.25">
      <c r="H297" t="s">
        <v>30</v>
      </c>
    </row>
    <row r="298" spans="8:8" x14ac:dyDescent="0.25">
      <c r="H298" t="s">
        <v>136</v>
      </c>
    </row>
    <row r="299" spans="8:8" x14ac:dyDescent="0.25">
      <c r="H299" t="s">
        <v>3164</v>
      </c>
    </row>
    <row r="300" spans="8:8" x14ac:dyDescent="0.25">
      <c r="H300" t="s">
        <v>30</v>
      </c>
    </row>
    <row r="301" spans="8:8" x14ac:dyDescent="0.25">
      <c r="H301" t="s">
        <v>137</v>
      </c>
    </row>
    <row r="302" spans="8:8" x14ac:dyDescent="0.25">
      <c r="H302" t="s">
        <v>3165</v>
      </c>
    </row>
    <row r="303" spans="8:8" x14ac:dyDescent="0.25">
      <c r="H303" t="s">
        <v>30</v>
      </c>
    </row>
    <row r="304" spans="8:8" x14ac:dyDescent="0.25">
      <c r="H304" t="s">
        <v>138</v>
      </c>
    </row>
    <row r="305" spans="8:8" x14ac:dyDescent="0.25">
      <c r="H305" t="s">
        <v>3166</v>
      </c>
    </row>
    <row r="306" spans="8:8" x14ac:dyDescent="0.25">
      <c r="H306" t="s">
        <v>30</v>
      </c>
    </row>
    <row r="308" spans="8:8" x14ac:dyDescent="0.25">
      <c r="H308" t="s">
        <v>748</v>
      </c>
    </row>
    <row r="309" spans="8:8" x14ac:dyDescent="0.25">
      <c r="H309" t="s">
        <v>848</v>
      </c>
    </row>
    <row r="310" spans="8:8" x14ac:dyDescent="0.25">
      <c r="H310" t="s">
        <v>135</v>
      </c>
    </row>
    <row r="311" spans="8:8" x14ac:dyDescent="0.25">
      <c r="H311" t="s">
        <v>1791</v>
      </c>
    </row>
    <row r="312" spans="8:8" x14ac:dyDescent="0.25">
      <c r="H312" t="s">
        <v>30</v>
      </c>
    </row>
    <row r="313" spans="8:8" x14ac:dyDescent="0.25">
      <c r="H313" t="s">
        <v>136</v>
      </c>
    </row>
    <row r="314" spans="8:8" x14ac:dyDescent="0.25">
      <c r="H314" t="s">
        <v>1792</v>
      </c>
    </row>
    <row r="315" spans="8:8" x14ac:dyDescent="0.25">
      <c r="H315" t="s">
        <v>30</v>
      </c>
    </row>
    <row r="316" spans="8:8" x14ac:dyDescent="0.25">
      <c r="H316" t="s">
        <v>137</v>
      </c>
    </row>
    <row r="317" spans="8:8" x14ac:dyDescent="0.25">
      <c r="H317" t="s">
        <v>1793</v>
      </c>
    </row>
    <row r="318" spans="8:8" x14ac:dyDescent="0.25">
      <c r="H318" t="s">
        <v>30</v>
      </c>
    </row>
    <row r="319" spans="8:8" x14ac:dyDescent="0.25">
      <c r="H319" t="s">
        <v>138</v>
      </c>
    </row>
    <row r="320" spans="8:8" x14ac:dyDescent="0.25">
      <c r="H320" t="s">
        <v>1794</v>
      </c>
    </row>
    <row r="321" spans="8:8" x14ac:dyDescent="0.25">
      <c r="H321" t="s">
        <v>30</v>
      </c>
    </row>
    <row r="323" spans="8:8" x14ac:dyDescent="0.25">
      <c r="H323" t="s">
        <v>749</v>
      </c>
    </row>
    <row r="324" spans="8:8" x14ac:dyDescent="0.25">
      <c r="H324" t="s">
        <v>853</v>
      </c>
    </row>
    <row r="325" spans="8:8" x14ac:dyDescent="0.25">
      <c r="H325" t="s">
        <v>135</v>
      </c>
    </row>
    <row r="326" spans="8:8" x14ac:dyDescent="0.25">
      <c r="H326" t="s">
        <v>1795</v>
      </c>
    </row>
    <row r="327" spans="8:8" x14ac:dyDescent="0.25">
      <c r="H327" t="s">
        <v>30</v>
      </c>
    </row>
    <row r="328" spans="8:8" x14ac:dyDescent="0.25">
      <c r="H328" t="s">
        <v>136</v>
      </c>
    </row>
    <row r="329" spans="8:8" x14ac:dyDescent="0.25">
      <c r="H329" t="s">
        <v>1796</v>
      </c>
    </row>
    <row r="330" spans="8:8" x14ac:dyDescent="0.25">
      <c r="H330" t="s">
        <v>30</v>
      </c>
    </row>
    <row r="331" spans="8:8" x14ac:dyDescent="0.25">
      <c r="H331" t="s">
        <v>137</v>
      </c>
    </row>
    <row r="332" spans="8:8" x14ac:dyDescent="0.25">
      <c r="H332" t="s">
        <v>1797</v>
      </c>
    </row>
    <row r="333" spans="8:8" x14ac:dyDescent="0.25">
      <c r="H333" t="s">
        <v>30</v>
      </c>
    </row>
    <row r="334" spans="8:8" x14ac:dyDescent="0.25">
      <c r="H334" t="s">
        <v>138</v>
      </c>
    </row>
    <row r="335" spans="8:8" x14ac:dyDescent="0.25">
      <c r="H335" t="s">
        <v>1798</v>
      </c>
    </row>
    <row r="336" spans="8:8" x14ac:dyDescent="0.25">
      <c r="H336" t="s">
        <v>30</v>
      </c>
    </row>
    <row r="338" spans="8:8" x14ac:dyDescent="0.25">
      <c r="H338" t="s">
        <v>750</v>
      </c>
    </row>
    <row r="339" spans="8:8" x14ac:dyDescent="0.25">
      <c r="H339" t="s">
        <v>2849</v>
      </c>
    </row>
    <row r="340" spans="8:8" x14ac:dyDescent="0.25">
      <c r="H340" t="s">
        <v>135</v>
      </c>
    </row>
    <row r="341" spans="8:8" x14ac:dyDescent="0.25">
      <c r="H341" t="s">
        <v>3167</v>
      </c>
    </row>
    <row r="342" spans="8:8" x14ac:dyDescent="0.25">
      <c r="H342" t="s">
        <v>30</v>
      </c>
    </row>
    <row r="343" spans="8:8" x14ac:dyDescent="0.25">
      <c r="H343" t="s">
        <v>136</v>
      </c>
    </row>
    <row r="344" spans="8:8" x14ac:dyDescent="0.25">
      <c r="H344" t="s">
        <v>3168</v>
      </c>
    </row>
    <row r="345" spans="8:8" x14ac:dyDescent="0.25">
      <c r="H345" t="s">
        <v>30</v>
      </c>
    </row>
    <row r="346" spans="8:8" x14ac:dyDescent="0.25">
      <c r="H346" t="s">
        <v>137</v>
      </c>
    </row>
    <row r="347" spans="8:8" x14ac:dyDescent="0.25">
      <c r="H347" t="s">
        <v>3169</v>
      </c>
    </row>
    <row r="348" spans="8:8" x14ac:dyDescent="0.25">
      <c r="H348" t="s">
        <v>30</v>
      </c>
    </row>
    <row r="349" spans="8:8" x14ac:dyDescent="0.25">
      <c r="H349" t="s">
        <v>138</v>
      </c>
    </row>
    <row r="350" spans="8:8" x14ac:dyDescent="0.25">
      <c r="H350" t="s">
        <v>3170</v>
      </c>
    </row>
    <row r="351" spans="8:8" x14ac:dyDescent="0.25">
      <c r="H351" t="s">
        <v>30</v>
      </c>
    </row>
    <row r="353" spans="8:8" x14ac:dyDescent="0.25">
      <c r="H353" t="s">
        <v>751</v>
      </c>
    </row>
    <row r="354" spans="8:8" x14ac:dyDescent="0.25">
      <c r="H354" t="s">
        <v>2850</v>
      </c>
    </row>
    <row r="355" spans="8:8" x14ac:dyDescent="0.25">
      <c r="H355" t="s">
        <v>135</v>
      </c>
    </row>
    <row r="356" spans="8:8" x14ac:dyDescent="0.25">
      <c r="H356" t="s">
        <v>3171</v>
      </c>
    </row>
    <row r="357" spans="8:8" x14ac:dyDescent="0.25">
      <c r="H357" t="s">
        <v>30</v>
      </c>
    </row>
    <row r="358" spans="8:8" x14ac:dyDescent="0.25">
      <c r="H358" t="s">
        <v>136</v>
      </c>
    </row>
    <row r="359" spans="8:8" x14ac:dyDescent="0.25">
      <c r="H359" t="s">
        <v>3172</v>
      </c>
    </row>
    <row r="360" spans="8:8" x14ac:dyDescent="0.25">
      <c r="H360" t="s">
        <v>30</v>
      </c>
    </row>
    <row r="361" spans="8:8" x14ac:dyDescent="0.25">
      <c r="H361" t="s">
        <v>137</v>
      </c>
    </row>
    <row r="362" spans="8:8" x14ac:dyDescent="0.25">
      <c r="H362" t="s">
        <v>3173</v>
      </c>
    </row>
    <row r="363" spans="8:8" x14ac:dyDescent="0.25">
      <c r="H363" t="s">
        <v>30</v>
      </c>
    </row>
    <row r="364" spans="8:8" x14ac:dyDescent="0.25">
      <c r="H364" t="s">
        <v>138</v>
      </c>
    </row>
    <row r="365" spans="8:8" x14ac:dyDescent="0.25">
      <c r="H365" t="s">
        <v>3174</v>
      </c>
    </row>
    <row r="366" spans="8:8" x14ac:dyDescent="0.25">
      <c r="H366" t="s">
        <v>30</v>
      </c>
    </row>
    <row r="368" spans="8:8" x14ac:dyDescent="0.25">
      <c r="H368" t="s">
        <v>752</v>
      </c>
    </row>
    <row r="369" spans="8:8" x14ac:dyDescent="0.25">
      <c r="H369" t="s">
        <v>2851</v>
      </c>
    </row>
    <row r="370" spans="8:8" x14ac:dyDescent="0.25">
      <c r="H370" t="s">
        <v>135</v>
      </c>
    </row>
    <row r="371" spans="8:8" x14ac:dyDescent="0.25">
      <c r="H371" t="s">
        <v>3175</v>
      </c>
    </row>
    <row r="372" spans="8:8" x14ac:dyDescent="0.25">
      <c r="H372" t="s">
        <v>30</v>
      </c>
    </row>
    <row r="373" spans="8:8" x14ac:dyDescent="0.25">
      <c r="H373" t="s">
        <v>136</v>
      </c>
    </row>
    <row r="374" spans="8:8" x14ac:dyDescent="0.25">
      <c r="H374" t="s">
        <v>3176</v>
      </c>
    </row>
    <row r="375" spans="8:8" x14ac:dyDescent="0.25">
      <c r="H375" t="s">
        <v>30</v>
      </c>
    </row>
    <row r="376" spans="8:8" x14ac:dyDescent="0.25">
      <c r="H376" t="s">
        <v>137</v>
      </c>
    </row>
    <row r="377" spans="8:8" x14ac:dyDescent="0.25">
      <c r="H377" t="s">
        <v>3177</v>
      </c>
    </row>
    <row r="378" spans="8:8" x14ac:dyDescent="0.25">
      <c r="H378" t="s">
        <v>30</v>
      </c>
    </row>
    <row r="379" spans="8:8" x14ac:dyDescent="0.25">
      <c r="H379" t="s">
        <v>138</v>
      </c>
    </row>
    <row r="380" spans="8:8" x14ac:dyDescent="0.25">
      <c r="H380" t="s">
        <v>3178</v>
      </c>
    </row>
    <row r="381" spans="8:8" x14ac:dyDescent="0.25">
      <c r="H381" t="s">
        <v>30</v>
      </c>
    </row>
    <row r="383" spans="8:8" x14ac:dyDescent="0.25">
      <c r="H383" t="s">
        <v>753</v>
      </c>
    </row>
    <row r="384" spans="8:8" x14ac:dyDescent="0.25">
      <c r="H384" t="s">
        <v>2852</v>
      </c>
    </row>
    <row r="385" spans="8:8" x14ac:dyDescent="0.25">
      <c r="H385" t="s">
        <v>135</v>
      </c>
    </row>
    <row r="386" spans="8:8" x14ac:dyDescent="0.25">
      <c r="H386" t="s">
        <v>3179</v>
      </c>
    </row>
    <row r="387" spans="8:8" x14ac:dyDescent="0.25">
      <c r="H387" t="s">
        <v>30</v>
      </c>
    </row>
    <row r="388" spans="8:8" x14ac:dyDescent="0.25">
      <c r="H388" t="s">
        <v>136</v>
      </c>
    </row>
    <row r="389" spans="8:8" x14ac:dyDescent="0.25">
      <c r="H389" t="s">
        <v>3180</v>
      </c>
    </row>
    <row r="390" spans="8:8" x14ac:dyDescent="0.25">
      <c r="H390" t="s">
        <v>30</v>
      </c>
    </row>
    <row r="391" spans="8:8" x14ac:dyDescent="0.25">
      <c r="H391" t="s">
        <v>137</v>
      </c>
    </row>
    <row r="392" spans="8:8" x14ac:dyDescent="0.25">
      <c r="H392" t="s">
        <v>3181</v>
      </c>
    </row>
    <row r="393" spans="8:8" x14ac:dyDescent="0.25">
      <c r="H393" t="s">
        <v>30</v>
      </c>
    </row>
    <row r="394" spans="8:8" x14ac:dyDescent="0.25">
      <c r="H394" t="s">
        <v>138</v>
      </c>
    </row>
    <row r="395" spans="8:8" x14ac:dyDescent="0.25">
      <c r="H395" t="s">
        <v>3182</v>
      </c>
    </row>
    <row r="396" spans="8:8" x14ac:dyDescent="0.25">
      <c r="H396" t="s">
        <v>30</v>
      </c>
    </row>
    <row r="398" spans="8:8" x14ac:dyDescent="0.25">
      <c r="H398" t="s">
        <v>754</v>
      </c>
    </row>
    <row r="399" spans="8:8" x14ac:dyDescent="0.25">
      <c r="H399" t="s">
        <v>2853</v>
      </c>
    </row>
    <row r="400" spans="8:8" x14ac:dyDescent="0.25">
      <c r="H400" t="s">
        <v>135</v>
      </c>
    </row>
    <row r="401" spans="8:8" x14ac:dyDescent="0.25">
      <c r="H401" t="s">
        <v>3183</v>
      </c>
    </row>
    <row r="402" spans="8:8" x14ac:dyDescent="0.25">
      <c r="H402" t="s">
        <v>30</v>
      </c>
    </row>
    <row r="403" spans="8:8" x14ac:dyDescent="0.25">
      <c r="H403" t="s">
        <v>136</v>
      </c>
    </row>
    <row r="404" spans="8:8" x14ac:dyDescent="0.25">
      <c r="H404" t="s">
        <v>3184</v>
      </c>
    </row>
    <row r="405" spans="8:8" x14ac:dyDescent="0.25">
      <c r="H405" t="s">
        <v>30</v>
      </c>
    </row>
    <row r="406" spans="8:8" x14ac:dyDescent="0.25">
      <c r="H406" t="s">
        <v>137</v>
      </c>
    </row>
    <row r="407" spans="8:8" x14ac:dyDescent="0.25">
      <c r="H407" t="s">
        <v>3185</v>
      </c>
    </row>
    <row r="408" spans="8:8" x14ac:dyDescent="0.25">
      <c r="H408" t="s">
        <v>30</v>
      </c>
    </row>
    <row r="409" spans="8:8" x14ac:dyDescent="0.25">
      <c r="H409" t="s">
        <v>138</v>
      </c>
    </row>
    <row r="410" spans="8:8" x14ac:dyDescent="0.25">
      <c r="H410" t="s">
        <v>3186</v>
      </c>
    </row>
    <row r="411" spans="8:8" x14ac:dyDescent="0.25">
      <c r="H411" t="s">
        <v>30</v>
      </c>
    </row>
    <row r="413" spans="8:8" x14ac:dyDescent="0.25">
      <c r="H413" t="s">
        <v>755</v>
      </c>
    </row>
    <row r="414" spans="8:8" x14ac:dyDescent="0.25">
      <c r="H414" t="s">
        <v>2854</v>
      </c>
    </row>
    <row r="415" spans="8:8" x14ac:dyDescent="0.25">
      <c r="H415" t="s">
        <v>135</v>
      </c>
    </row>
    <row r="416" spans="8:8" x14ac:dyDescent="0.25">
      <c r="H416" t="s">
        <v>3187</v>
      </c>
    </row>
    <row r="417" spans="8:8" x14ac:dyDescent="0.25">
      <c r="H417" t="s">
        <v>30</v>
      </c>
    </row>
    <row r="418" spans="8:8" x14ac:dyDescent="0.25">
      <c r="H418" t="s">
        <v>136</v>
      </c>
    </row>
    <row r="419" spans="8:8" x14ac:dyDescent="0.25">
      <c r="H419" t="s">
        <v>3188</v>
      </c>
    </row>
    <row r="420" spans="8:8" x14ac:dyDescent="0.25">
      <c r="H420" t="s">
        <v>30</v>
      </c>
    </row>
    <row r="421" spans="8:8" x14ac:dyDescent="0.25">
      <c r="H421" t="s">
        <v>137</v>
      </c>
    </row>
    <row r="422" spans="8:8" x14ac:dyDescent="0.25">
      <c r="H422" t="s">
        <v>3189</v>
      </c>
    </row>
    <row r="423" spans="8:8" x14ac:dyDescent="0.25">
      <c r="H423" t="s">
        <v>30</v>
      </c>
    </row>
    <row r="424" spans="8:8" x14ac:dyDescent="0.25">
      <c r="H424" t="s">
        <v>138</v>
      </c>
    </row>
    <row r="425" spans="8:8" x14ac:dyDescent="0.25">
      <c r="H425" t="s">
        <v>3190</v>
      </c>
    </row>
    <row r="426" spans="8:8" x14ac:dyDescent="0.25">
      <c r="H426" t="s">
        <v>30</v>
      </c>
    </row>
    <row r="428" spans="8:8" x14ac:dyDescent="0.25">
      <c r="H428" t="s">
        <v>756</v>
      </c>
    </row>
    <row r="429" spans="8:8" x14ac:dyDescent="0.25">
      <c r="H429" t="s">
        <v>858</v>
      </c>
    </row>
    <row r="430" spans="8:8" x14ac:dyDescent="0.25">
      <c r="H430" t="s">
        <v>135</v>
      </c>
    </row>
    <row r="431" spans="8:8" x14ac:dyDescent="0.25">
      <c r="H431" t="s">
        <v>1799</v>
      </c>
    </row>
    <row r="432" spans="8:8" x14ac:dyDescent="0.25">
      <c r="H432" t="s">
        <v>30</v>
      </c>
    </row>
    <row r="433" spans="8:8" x14ac:dyDescent="0.25">
      <c r="H433" t="s">
        <v>136</v>
      </c>
    </row>
    <row r="434" spans="8:8" x14ac:dyDescent="0.25">
      <c r="H434" t="s">
        <v>1800</v>
      </c>
    </row>
    <row r="435" spans="8:8" x14ac:dyDescent="0.25">
      <c r="H435" t="s">
        <v>30</v>
      </c>
    </row>
    <row r="436" spans="8:8" x14ac:dyDescent="0.25">
      <c r="H436" t="s">
        <v>137</v>
      </c>
    </row>
    <row r="437" spans="8:8" x14ac:dyDescent="0.25">
      <c r="H437" t="s">
        <v>1801</v>
      </c>
    </row>
    <row r="438" spans="8:8" x14ac:dyDescent="0.25">
      <c r="H438" t="s">
        <v>30</v>
      </c>
    </row>
    <row r="439" spans="8:8" x14ac:dyDescent="0.25">
      <c r="H439" t="s">
        <v>138</v>
      </c>
    </row>
    <row r="440" spans="8:8" x14ac:dyDescent="0.25">
      <c r="H440" t="s">
        <v>1802</v>
      </c>
    </row>
    <row r="441" spans="8:8" x14ac:dyDescent="0.25">
      <c r="H441" t="s">
        <v>30</v>
      </c>
    </row>
    <row r="443" spans="8:8" x14ac:dyDescent="0.25">
      <c r="H443" t="s">
        <v>757</v>
      </c>
    </row>
    <row r="444" spans="8:8" x14ac:dyDescent="0.25">
      <c r="H444" t="s">
        <v>863</v>
      </c>
    </row>
    <row r="445" spans="8:8" x14ac:dyDescent="0.25">
      <c r="H445" t="s">
        <v>135</v>
      </c>
    </row>
    <row r="446" spans="8:8" x14ac:dyDescent="0.25">
      <c r="H446" t="s">
        <v>1803</v>
      </c>
    </row>
    <row r="447" spans="8:8" x14ac:dyDescent="0.25">
      <c r="H447" t="s">
        <v>30</v>
      </c>
    </row>
    <row r="448" spans="8:8" x14ac:dyDescent="0.25">
      <c r="H448" t="s">
        <v>136</v>
      </c>
    </row>
    <row r="449" spans="8:8" x14ac:dyDescent="0.25">
      <c r="H449" t="s">
        <v>1804</v>
      </c>
    </row>
    <row r="450" spans="8:8" x14ac:dyDescent="0.25">
      <c r="H450" t="s">
        <v>30</v>
      </c>
    </row>
    <row r="451" spans="8:8" x14ac:dyDescent="0.25">
      <c r="H451" t="s">
        <v>137</v>
      </c>
    </row>
    <row r="452" spans="8:8" x14ac:dyDescent="0.25">
      <c r="H452" t="s">
        <v>1805</v>
      </c>
    </row>
    <row r="453" spans="8:8" x14ac:dyDescent="0.25">
      <c r="H453" t="s">
        <v>30</v>
      </c>
    </row>
    <row r="454" spans="8:8" x14ac:dyDescent="0.25">
      <c r="H454" t="s">
        <v>138</v>
      </c>
    </row>
    <row r="455" spans="8:8" x14ac:dyDescent="0.25">
      <c r="H455" t="s">
        <v>1806</v>
      </c>
    </row>
    <row r="456" spans="8:8" x14ac:dyDescent="0.25">
      <c r="H456" t="s">
        <v>30</v>
      </c>
    </row>
    <row r="458" spans="8:8" x14ac:dyDescent="0.25">
      <c r="H458" t="s">
        <v>758</v>
      </c>
    </row>
    <row r="459" spans="8:8" x14ac:dyDescent="0.25">
      <c r="H459" t="s">
        <v>868</v>
      </c>
    </row>
    <row r="460" spans="8:8" x14ac:dyDescent="0.25">
      <c r="H460" t="s">
        <v>135</v>
      </c>
    </row>
    <row r="461" spans="8:8" x14ac:dyDescent="0.25">
      <c r="H461" t="s">
        <v>1807</v>
      </c>
    </row>
    <row r="462" spans="8:8" x14ac:dyDescent="0.25">
      <c r="H462" t="s">
        <v>30</v>
      </c>
    </row>
    <row r="463" spans="8:8" x14ac:dyDescent="0.25">
      <c r="H463" t="s">
        <v>870</v>
      </c>
    </row>
    <row r="464" spans="8:8" x14ac:dyDescent="0.25">
      <c r="H464" t="s">
        <v>137</v>
      </c>
    </row>
    <row r="465" spans="8:8" x14ac:dyDescent="0.25">
      <c r="H465" t="s">
        <v>1808</v>
      </c>
    </row>
    <row r="466" spans="8:8" x14ac:dyDescent="0.25">
      <c r="H466" t="s">
        <v>30</v>
      </c>
    </row>
    <row r="467" spans="8:8" x14ac:dyDescent="0.25">
      <c r="H467" t="s">
        <v>138</v>
      </c>
    </row>
    <row r="468" spans="8:8" x14ac:dyDescent="0.25">
      <c r="H468" t="s">
        <v>1809</v>
      </c>
    </row>
    <row r="469" spans="8:8" x14ac:dyDescent="0.25">
      <c r="H469" t="s">
        <v>30</v>
      </c>
    </row>
    <row r="471" spans="8:8" x14ac:dyDescent="0.25">
      <c r="H471" t="s">
        <v>759</v>
      </c>
    </row>
    <row r="472" spans="8:8" x14ac:dyDescent="0.25">
      <c r="H472" t="s">
        <v>873</v>
      </c>
    </row>
    <row r="473" spans="8:8" x14ac:dyDescent="0.25">
      <c r="H473" t="s">
        <v>135</v>
      </c>
    </row>
    <row r="474" spans="8:8" x14ac:dyDescent="0.25">
      <c r="H474" t="s">
        <v>1810</v>
      </c>
    </row>
    <row r="475" spans="8:8" x14ac:dyDescent="0.25">
      <c r="H475" t="s">
        <v>30</v>
      </c>
    </row>
    <row r="477" spans="8:8" x14ac:dyDescent="0.25">
      <c r="H477" t="s">
        <v>760</v>
      </c>
    </row>
    <row r="478" spans="8:8" x14ac:dyDescent="0.25">
      <c r="H478" t="s">
        <v>875</v>
      </c>
    </row>
    <row r="479" spans="8:8" x14ac:dyDescent="0.25">
      <c r="H479" t="s">
        <v>135</v>
      </c>
    </row>
    <row r="480" spans="8:8" x14ac:dyDescent="0.25">
      <c r="H480" t="s">
        <v>1811</v>
      </c>
    </row>
    <row r="481" spans="8:8" x14ac:dyDescent="0.25">
      <c r="H481" t="s">
        <v>30</v>
      </c>
    </row>
    <row r="483" spans="8:8" x14ac:dyDescent="0.25">
      <c r="H483" t="s">
        <v>761</v>
      </c>
    </row>
    <row r="484" spans="8:8" x14ac:dyDescent="0.25">
      <c r="H484" t="s">
        <v>877</v>
      </c>
    </row>
    <row r="485" spans="8:8" x14ac:dyDescent="0.25">
      <c r="H485" t="s">
        <v>135</v>
      </c>
    </row>
    <row r="486" spans="8:8" x14ac:dyDescent="0.25">
      <c r="H486" t="s">
        <v>1812</v>
      </c>
    </row>
    <row r="487" spans="8:8" x14ac:dyDescent="0.25">
      <c r="H487" t="s">
        <v>30</v>
      </c>
    </row>
    <row r="488" spans="8:8" x14ac:dyDescent="0.25">
      <c r="H488" t="s">
        <v>136</v>
      </c>
    </row>
    <row r="489" spans="8:8" x14ac:dyDescent="0.25">
      <c r="H489" t="s">
        <v>1813</v>
      </c>
    </row>
    <row r="490" spans="8:8" x14ac:dyDescent="0.25">
      <c r="H490" t="s">
        <v>30</v>
      </c>
    </row>
    <row r="492" spans="8:8" x14ac:dyDescent="0.25">
      <c r="H492" t="s">
        <v>762</v>
      </c>
    </row>
    <row r="493" spans="8:8" x14ac:dyDescent="0.25">
      <c r="H493" t="s">
        <v>880</v>
      </c>
    </row>
    <row r="494" spans="8:8" x14ac:dyDescent="0.25">
      <c r="H494" t="s">
        <v>135</v>
      </c>
    </row>
    <row r="495" spans="8:8" x14ac:dyDescent="0.25">
      <c r="H495" t="s">
        <v>1814</v>
      </c>
    </row>
    <row r="496" spans="8:8" x14ac:dyDescent="0.25">
      <c r="H496" t="s">
        <v>30</v>
      </c>
    </row>
    <row r="498" spans="8:8" x14ac:dyDescent="0.25">
      <c r="H498" t="s">
        <v>763</v>
      </c>
    </row>
    <row r="499" spans="8:8" x14ac:dyDescent="0.25">
      <c r="H499" t="s">
        <v>882</v>
      </c>
    </row>
    <row r="500" spans="8:8" x14ac:dyDescent="0.25">
      <c r="H500" t="s">
        <v>135</v>
      </c>
    </row>
    <row r="501" spans="8:8" x14ac:dyDescent="0.25">
      <c r="H501" t="s">
        <v>1815</v>
      </c>
    </row>
    <row r="502" spans="8:8" x14ac:dyDescent="0.25">
      <c r="H502" t="s">
        <v>30</v>
      </c>
    </row>
    <row r="504" spans="8:8" x14ac:dyDescent="0.25">
      <c r="H504" t="s">
        <v>764</v>
      </c>
    </row>
    <row r="505" spans="8:8" x14ac:dyDescent="0.25">
      <c r="H505" t="s">
        <v>884</v>
      </c>
    </row>
    <row r="506" spans="8:8" x14ac:dyDescent="0.25">
      <c r="H506" t="s">
        <v>135</v>
      </c>
    </row>
    <row r="507" spans="8:8" x14ac:dyDescent="0.25">
      <c r="H507" t="s">
        <v>1816</v>
      </c>
    </row>
    <row r="508" spans="8:8" x14ac:dyDescent="0.25">
      <c r="H508" t="s">
        <v>30</v>
      </c>
    </row>
    <row r="509" spans="8:8" x14ac:dyDescent="0.25">
      <c r="H509" t="s">
        <v>136</v>
      </c>
    </row>
    <row r="510" spans="8:8" x14ac:dyDescent="0.25">
      <c r="H510" t="s">
        <v>1817</v>
      </c>
    </row>
    <row r="511" spans="8:8" x14ac:dyDescent="0.25">
      <c r="H511" t="s">
        <v>30</v>
      </c>
    </row>
    <row r="513" spans="8:8" x14ac:dyDescent="0.25">
      <c r="H513" t="s">
        <v>765</v>
      </c>
    </row>
    <row r="514" spans="8:8" x14ac:dyDescent="0.25">
      <c r="H514" t="s">
        <v>887</v>
      </c>
    </row>
    <row r="515" spans="8:8" x14ac:dyDescent="0.25">
      <c r="H515" t="s">
        <v>135</v>
      </c>
    </row>
    <row r="516" spans="8:8" x14ac:dyDescent="0.25">
      <c r="H516" t="s">
        <v>1818</v>
      </c>
    </row>
    <row r="517" spans="8:8" x14ac:dyDescent="0.25">
      <c r="H517" t="s">
        <v>30</v>
      </c>
    </row>
    <row r="519" spans="8:8" x14ac:dyDescent="0.25">
      <c r="H519" t="s">
        <v>766</v>
      </c>
    </row>
    <row r="520" spans="8:8" x14ac:dyDescent="0.25">
      <c r="H520" t="s">
        <v>889</v>
      </c>
    </row>
    <row r="521" spans="8:8" x14ac:dyDescent="0.25">
      <c r="H521" t="s">
        <v>135</v>
      </c>
    </row>
    <row r="522" spans="8:8" x14ac:dyDescent="0.25">
      <c r="H522" t="s">
        <v>1819</v>
      </c>
    </row>
    <row r="523" spans="8:8" x14ac:dyDescent="0.25">
      <c r="H523" t="s">
        <v>30</v>
      </c>
    </row>
    <row r="525" spans="8:8" x14ac:dyDescent="0.25">
      <c r="H525" t="s">
        <v>767</v>
      </c>
    </row>
    <row r="526" spans="8:8" x14ac:dyDescent="0.25">
      <c r="H526" t="s">
        <v>891</v>
      </c>
    </row>
    <row r="527" spans="8:8" x14ac:dyDescent="0.25">
      <c r="H527" t="s">
        <v>135</v>
      </c>
    </row>
    <row r="528" spans="8:8" x14ac:dyDescent="0.25">
      <c r="H528" t="s">
        <v>1820</v>
      </c>
    </row>
    <row r="529" spans="8:8" x14ac:dyDescent="0.25">
      <c r="H529" t="s">
        <v>30</v>
      </c>
    </row>
    <row r="530" spans="8:8" x14ac:dyDescent="0.25">
      <c r="H530" t="s">
        <v>136</v>
      </c>
    </row>
    <row r="531" spans="8:8" x14ac:dyDescent="0.25">
      <c r="H531" t="s">
        <v>1821</v>
      </c>
    </row>
    <row r="532" spans="8:8" x14ac:dyDescent="0.25">
      <c r="H532" t="s">
        <v>30</v>
      </c>
    </row>
    <row r="534" spans="8:8" x14ac:dyDescent="0.25">
      <c r="H534" t="s">
        <v>772</v>
      </c>
    </row>
    <row r="535" spans="8:8" x14ac:dyDescent="0.25">
      <c r="H535" t="s">
        <v>894</v>
      </c>
    </row>
    <row r="536" spans="8:8" x14ac:dyDescent="0.25">
      <c r="H536" t="s">
        <v>135</v>
      </c>
    </row>
    <row r="537" spans="8:8" x14ac:dyDescent="0.25">
      <c r="H537" t="s">
        <v>1822</v>
      </c>
    </row>
    <row r="538" spans="8:8" x14ac:dyDescent="0.25">
      <c r="H538" t="s">
        <v>30</v>
      </c>
    </row>
    <row r="540" spans="8:8" x14ac:dyDescent="0.25">
      <c r="H540" t="s">
        <v>778</v>
      </c>
    </row>
    <row r="541" spans="8:8" x14ac:dyDescent="0.25">
      <c r="H541" t="s">
        <v>896</v>
      </c>
    </row>
    <row r="542" spans="8:8" x14ac:dyDescent="0.25">
      <c r="H542" t="s">
        <v>135</v>
      </c>
    </row>
    <row r="543" spans="8:8" x14ac:dyDescent="0.25">
      <c r="H543" t="s">
        <v>1823</v>
      </c>
    </row>
    <row r="544" spans="8:8" x14ac:dyDescent="0.25">
      <c r="H544" t="s">
        <v>30</v>
      </c>
    </row>
    <row r="546" spans="8:8" x14ac:dyDescent="0.25">
      <c r="H546" t="s">
        <v>779</v>
      </c>
    </row>
    <row r="547" spans="8:8" x14ac:dyDescent="0.25">
      <c r="H547" t="s">
        <v>898</v>
      </c>
    </row>
    <row r="548" spans="8:8" x14ac:dyDescent="0.25">
      <c r="H548" t="s">
        <v>135</v>
      </c>
    </row>
    <row r="549" spans="8:8" x14ac:dyDescent="0.25">
      <c r="H549" t="s">
        <v>1824</v>
      </c>
    </row>
    <row r="550" spans="8:8" x14ac:dyDescent="0.25">
      <c r="H550" t="s">
        <v>30</v>
      </c>
    </row>
    <row r="551" spans="8:8" x14ac:dyDescent="0.25">
      <c r="H551" t="s">
        <v>136</v>
      </c>
    </row>
    <row r="552" spans="8:8" x14ac:dyDescent="0.25">
      <c r="H552" t="s">
        <v>1825</v>
      </c>
    </row>
    <row r="553" spans="8:8" x14ac:dyDescent="0.25">
      <c r="H553" t="s">
        <v>30</v>
      </c>
    </row>
    <row r="554" spans="8:8" x14ac:dyDescent="0.25">
      <c r="H554" t="s">
        <v>901</v>
      </c>
    </row>
    <row r="555" spans="8:8" x14ac:dyDescent="0.25">
      <c r="H555" t="s">
        <v>137</v>
      </c>
    </row>
    <row r="556" spans="8:8" x14ac:dyDescent="0.25">
      <c r="H556" t="s">
        <v>1826</v>
      </c>
    </row>
    <row r="557" spans="8:8" x14ac:dyDescent="0.25">
      <c r="H557" t="s">
        <v>30</v>
      </c>
    </row>
    <row r="558" spans="8:8" x14ac:dyDescent="0.25">
      <c r="H558" t="s">
        <v>138</v>
      </c>
    </row>
    <row r="559" spans="8:8" x14ac:dyDescent="0.25">
      <c r="H559" t="s">
        <v>1827</v>
      </c>
    </row>
    <row r="560" spans="8:8" x14ac:dyDescent="0.25">
      <c r="H560" t="s">
        <v>30</v>
      </c>
    </row>
    <row r="562" spans="8:8" x14ac:dyDescent="0.25">
      <c r="H562" t="s">
        <v>780</v>
      </c>
    </row>
    <row r="563" spans="8:8" x14ac:dyDescent="0.25">
      <c r="H563" t="s">
        <v>904</v>
      </c>
    </row>
    <row r="564" spans="8:8" x14ac:dyDescent="0.25">
      <c r="H564" t="s">
        <v>135</v>
      </c>
    </row>
    <row r="565" spans="8:8" x14ac:dyDescent="0.25">
      <c r="H565" t="s">
        <v>1828</v>
      </c>
    </row>
    <row r="566" spans="8:8" x14ac:dyDescent="0.25">
      <c r="H566" t="s">
        <v>30</v>
      </c>
    </row>
    <row r="567" spans="8:8" x14ac:dyDescent="0.25">
      <c r="H567" t="s">
        <v>136</v>
      </c>
    </row>
    <row r="568" spans="8:8" x14ac:dyDescent="0.25">
      <c r="H568" t="s">
        <v>1829</v>
      </c>
    </row>
    <row r="569" spans="8:8" x14ac:dyDescent="0.25">
      <c r="H569" t="s">
        <v>30</v>
      </c>
    </row>
    <row r="571" spans="8:8" x14ac:dyDescent="0.25">
      <c r="H571" t="s">
        <v>781</v>
      </c>
    </row>
    <row r="572" spans="8:8" x14ac:dyDescent="0.25">
      <c r="H572" t="s">
        <v>907</v>
      </c>
    </row>
    <row r="573" spans="8:8" x14ac:dyDescent="0.25">
      <c r="H573" t="s">
        <v>135</v>
      </c>
    </row>
    <row r="574" spans="8:8" x14ac:dyDescent="0.25">
      <c r="H574" t="s">
        <v>1830</v>
      </c>
    </row>
    <row r="575" spans="8:8" x14ac:dyDescent="0.25">
      <c r="H575" t="s">
        <v>30</v>
      </c>
    </row>
    <row r="577" spans="8:8" x14ac:dyDescent="0.25">
      <c r="H577" t="s">
        <v>782</v>
      </c>
    </row>
    <row r="578" spans="8:8" x14ac:dyDescent="0.25">
      <c r="H578" t="s">
        <v>909</v>
      </c>
    </row>
    <row r="579" spans="8:8" x14ac:dyDescent="0.25">
      <c r="H579" t="s">
        <v>135</v>
      </c>
    </row>
    <row r="580" spans="8:8" x14ac:dyDescent="0.25">
      <c r="H580" t="s">
        <v>1831</v>
      </c>
    </row>
    <row r="581" spans="8:8" x14ac:dyDescent="0.25">
      <c r="H581" t="s">
        <v>30</v>
      </c>
    </row>
    <row r="583" spans="8:8" x14ac:dyDescent="0.25">
      <c r="H583" t="s">
        <v>783</v>
      </c>
    </row>
    <row r="584" spans="8:8" x14ac:dyDescent="0.25">
      <c r="H584" t="s">
        <v>911</v>
      </c>
    </row>
    <row r="585" spans="8:8" x14ac:dyDescent="0.25">
      <c r="H585" t="s">
        <v>135</v>
      </c>
    </row>
    <row r="586" spans="8:8" x14ac:dyDescent="0.25">
      <c r="H586" t="s">
        <v>1832</v>
      </c>
    </row>
    <row r="587" spans="8:8" x14ac:dyDescent="0.25">
      <c r="H587" t="s">
        <v>30</v>
      </c>
    </row>
    <row r="588" spans="8:8" x14ac:dyDescent="0.25">
      <c r="H588" t="s">
        <v>136</v>
      </c>
    </row>
    <row r="589" spans="8:8" x14ac:dyDescent="0.25">
      <c r="H589" t="s">
        <v>1833</v>
      </c>
    </row>
    <row r="590" spans="8:8" x14ac:dyDescent="0.25">
      <c r="H590" t="s">
        <v>30</v>
      </c>
    </row>
    <row r="592" spans="8:8" x14ac:dyDescent="0.25">
      <c r="H592" t="s">
        <v>784</v>
      </c>
    </row>
    <row r="593" spans="8:8" x14ac:dyDescent="0.25">
      <c r="H593" t="s">
        <v>914</v>
      </c>
    </row>
    <row r="594" spans="8:8" x14ac:dyDescent="0.25">
      <c r="H594" t="s">
        <v>135</v>
      </c>
    </row>
    <row r="595" spans="8:8" x14ac:dyDescent="0.25">
      <c r="H595" t="s">
        <v>2752</v>
      </c>
    </row>
    <row r="596" spans="8:8" x14ac:dyDescent="0.25">
      <c r="H596" t="s">
        <v>30</v>
      </c>
    </row>
    <row r="597" spans="8:8" x14ac:dyDescent="0.25">
      <c r="H597" t="s">
        <v>915</v>
      </c>
    </row>
    <row r="598" spans="8:8" x14ac:dyDescent="0.25">
      <c r="H598" t="s">
        <v>137</v>
      </c>
    </row>
    <row r="599" spans="8:8" x14ac:dyDescent="0.25">
      <c r="H599" t="s">
        <v>2753</v>
      </c>
    </row>
    <row r="600" spans="8:8" x14ac:dyDescent="0.25">
      <c r="H600" t="s">
        <v>30</v>
      </c>
    </row>
    <row r="601" spans="8:8" x14ac:dyDescent="0.25">
      <c r="H601" t="s">
        <v>138</v>
      </c>
    </row>
    <row r="602" spans="8:8" x14ac:dyDescent="0.25">
      <c r="H602" t="s">
        <v>2754</v>
      </c>
    </row>
    <row r="603" spans="8:8" x14ac:dyDescent="0.25">
      <c r="H603" t="s">
        <v>30</v>
      </c>
    </row>
    <row r="605" spans="8:8" x14ac:dyDescent="0.25">
      <c r="H605" t="s">
        <v>785</v>
      </c>
    </row>
    <row r="606" spans="8:8" x14ac:dyDescent="0.25">
      <c r="H606" t="s">
        <v>916</v>
      </c>
    </row>
    <row r="607" spans="8:8" x14ac:dyDescent="0.25">
      <c r="H607" t="s">
        <v>135</v>
      </c>
    </row>
    <row r="608" spans="8:8" x14ac:dyDescent="0.25">
      <c r="H608" t="s">
        <v>2755</v>
      </c>
    </row>
    <row r="609" spans="8:8" x14ac:dyDescent="0.25">
      <c r="H609" t="s">
        <v>30</v>
      </c>
    </row>
    <row r="610" spans="8:8" x14ac:dyDescent="0.25">
      <c r="H610" t="s">
        <v>917</v>
      </c>
    </row>
    <row r="611" spans="8:8" x14ac:dyDescent="0.25">
      <c r="H611" t="s">
        <v>137</v>
      </c>
    </row>
    <row r="612" spans="8:8" x14ac:dyDescent="0.25">
      <c r="H612" t="s">
        <v>2756</v>
      </c>
    </row>
    <row r="613" spans="8:8" x14ac:dyDescent="0.25">
      <c r="H613" t="s">
        <v>30</v>
      </c>
    </row>
    <row r="614" spans="8:8" x14ac:dyDescent="0.25">
      <c r="H614" t="s">
        <v>138</v>
      </c>
    </row>
    <row r="615" spans="8:8" x14ac:dyDescent="0.25">
      <c r="H615" t="s">
        <v>2757</v>
      </c>
    </row>
    <row r="616" spans="8:8" x14ac:dyDescent="0.25">
      <c r="H616" t="s">
        <v>30</v>
      </c>
    </row>
    <row r="618" spans="8:8" x14ac:dyDescent="0.25">
      <c r="H618" t="s">
        <v>786</v>
      </c>
    </row>
    <row r="619" spans="8:8" x14ac:dyDescent="0.25">
      <c r="H619" t="s">
        <v>2855</v>
      </c>
    </row>
    <row r="620" spans="8:8" x14ac:dyDescent="0.25">
      <c r="H620" t="s">
        <v>135</v>
      </c>
    </row>
    <row r="621" spans="8:8" x14ac:dyDescent="0.25">
      <c r="H621" t="s">
        <v>3191</v>
      </c>
    </row>
    <row r="622" spans="8:8" x14ac:dyDescent="0.25">
      <c r="H622" t="s">
        <v>30</v>
      </c>
    </row>
    <row r="623" spans="8:8" x14ac:dyDescent="0.25">
      <c r="H623" t="s">
        <v>136</v>
      </c>
    </row>
    <row r="624" spans="8:8" x14ac:dyDescent="0.25">
      <c r="H624" t="s">
        <v>3192</v>
      </c>
    </row>
    <row r="625" spans="8:8" x14ac:dyDescent="0.25">
      <c r="H625" t="s">
        <v>30</v>
      </c>
    </row>
    <row r="626" spans="8:8" x14ac:dyDescent="0.25">
      <c r="H626" t="s">
        <v>137</v>
      </c>
    </row>
    <row r="627" spans="8:8" x14ac:dyDescent="0.25">
      <c r="H627" t="s">
        <v>3193</v>
      </c>
    </row>
    <row r="628" spans="8:8" x14ac:dyDescent="0.25">
      <c r="H628" t="s">
        <v>30</v>
      </c>
    </row>
    <row r="629" spans="8:8" x14ac:dyDescent="0.25">
      <c r="H629" t="s">
        <v>138</v>
      </c>
    </row>
    <row r="630" spans="8:8" x14ac:dyDescent="0.25">
      <c r="H630" t="s">
        <v>3194</v>
      </c>
    </row>
    <row r="631" spans="8:8" x14ac:dyDescent="0.25">
      <c r="H631" t="s">
        <v>30</v>
      </c>
    </row>
    <row r="633" spans="8:8" x14ac:dyDescent="0.25">
      <c r="H633" t="s">
        <v>787</v>
      </c>
    </row>
    <row r="634" spans="8:8" x14ac:dyDescent="0.25">
      <c r="H634" t="s">
        <v>954</v>
      </c>
    </row>
    <row r="635" spans="8:8" x14ac:dyDescent="0.25">
      <c r="H635" t="s">
        <v>135</v>
      </c>
    </row>
    <row r="636" spans="8:8" x14ac:dyDescent="0.25">
      <c r="H636" t="s">
        <v>1858</v>
      </c>
    </row>
    <row r="637" spans="8:8" x14ac:dyDescent="0.25">
      <c r="H637" t="s">
        <v>30</v>
      </c>
    </row>
    <row r="638" spans="8:8" x14ac:dyDescent="0.25">
      <c r="H638" t="s">
        <v>2856</v>
      </c>
    </row>
    <row r="639" spans="8:8" x14ac:dyDescent="0.25">
      <c r="H639" t="s">
        <v>136</v>
      </c>
    </row>
    <row r="640" spans="8:8" x14ac:dyDescent="0.25">
      <c r="H640" t="s">
        <v>3350</v>
      </c>
    </row>
    <row r="641" spans="8:8" x14ac:dyDescent="0.25">
      <c r="H641" t="s">
        <v>30</v>
      </c>
    </row>
    <row r="642" spans="8:8" x14ac:dyDescent="0.25">
      <c r="H642" t="s">
        <v>2857</v>
      </c>
    </row>
    <row r="643" spans="8:8" x14ac:dyDescent="0.25">
      <c r="H643" t="s">
        <v>137</v>
      </c>
    </row>
    <row r="644" spans="8:8" x14ac:dyDescent="0.25">
      <c r="H644" t="s">
        <v>3351</v>
      </c>
    </row>
    <row r="645" spans="8:8" x14ac:dyDescent="0.25">
      <c r="H645" t="s">
        <v>30</v>
      </c>
    </row>
    <row r="646" spans="8:8" x14ac:dyDescent="0.25">
      <c r="H646" t="s">
        <v>138</v>
      </c>
    </row>
    <row r="647" spans="8:8" x14ac:dyDescent="0.25">
      <c r="H647" t="s">
        <v>3352</v>
      </c>
    </row>
    <row r="648" spans="8:8" x14ac:dyDescent="0.25">
      <c r="H648" t="s">
        <v>30</v>
      </c>
    </row>
    <row r="650" spans="8:8" x14ac:dyDescent="0.25">
      <c r="H650" t="s">
        <v>788</v>
      </c>
    </row>
    <row r="651" spans="8:8" x14ac:dyDescent="0.25">
      <c r="H651" t="s">
        <v>999</v>
      </c>
    </row>
    <row r="652" spans="8:8" x14ac:dyDescent="0.25">
      <c r="H652" t="s">
        <v>135</v>
      </c>
    </row>
    <row r="653" spans="8:8" x14ac:dyDescent="0.25">
      <c r="H653" t="s">
        <v>1873</v>
      </c>
    </row>
    <row r="654" spans="8:8" x14ac:dyDescent="0.25">
      <c r="H654" t="s">
        <v>30</v>
      </c>
    </row>
    <row r="655" spans="8:8" x14ac:dyDescent="0.25">
      <c r="H655" t="s">
        <v>136</v>
      </c>
    </row>
    <row r="656" spans="8:8" x14ac:dyDescent="0.25">
      <c r="H656" t="s">
        <v>1874</v>
      </c>
    </row>
    <row r="657" spans="8:8" x14ac:dyDescent="0.25">
      <c r="H657" t="s">
        <v>30</v>
      </c>
    </row>
    <row r="658" spans="8:8" x14ac:dyDescent="0.25">
      <c r="H658" t="s">
        <v>137</v>
      </c>
    </row>
    <row r="659" spans="8:8" x14ac:dyDescent="0.25">
      <c r="H659" t="s">
        <v>1875</v>
      </c>
    </row>
    <row r="660" spans="8:8" x14ac:dyDescent="0.25">
      <c r="H660" t="s">
        <v>30</v>
      </c>
    </row>
    <row r="661" spans="8:8" x14ac:dyDescent="0.25">
      <c r="H661" t="s">
        <v>138</v>
      </c>
    </row>
    <row r="662" spans="8:8" x14ac:dyDescent="0.25">
      <c r="H662" t="s">
        <v>1876</v>
      </c>
    </row>
    <row r="663" spans="8:8" x14ac:dyDescent="0.25">
      <c r="H663" t="s">
        <v>30</v>
      </c>
    </row>
    <row r="665" spans="8:8" x14ac:dyDescent="0.25">
      <c r="H665" t="s">
        <v>794</v>
      </c>
    </row>
    <row r="666" spans="8:8" x14ac:dyDescent="0.25">
      <c r="H666" t="s">
        <v>1005</v>
      </c>
    </row>
    <row r="667" spans="8:8" x14ac:dyDescent="0.25">
      <c r="H667" t="s">
        <v>135</v>
      </c>
    </row>
    <row r="668" spans="8:8" x14ac:dyDescent="0.25">
      <c r="H668" t="s">
        <v>1877</v>
      </c>
    </row>
    <row r="669" spans="8:8" x14ac:dyDescent="0.25">
      <c r="H669" t="s">
        <v>30</v>
      </c>
    </row>
    <row r="670" spans="8:8" x14ac:dyDescent="0.25">
      <c r="H670" t="s">
        <v>136</v>
      </c>
    </row>
    <row r="671" spans="8:8" x14ac:dyDescent="0.25">
      <c r="H671" t="s">
        <v>1878</v>
      </c>
    </row>
    <row r="672" spans="8:8" x14ac:dyDescent="0.25">
      <c r="H672" t="s">
        <v>30</v>
      </c>
    </row>
    <row r="673" spans="8:8" x14ac:dyDescent="0.25">
      <c r="H673" t="s">
        <v>137</v>
      </c>
    </row>
    <row r="674" spans="8:8" x14ac:dyDescent="0.25">
      <c r="H674" t="s">
        <v>1879</v>
      </c>
    </row>
    <row r="675" spans="8:8" x14ac:dyDescent="0.25">
      <c r="H675" t="s">
        <v>30</v>
      </c>
    </row>
    <row r="676" spans="8:8" x14ac:dyDescent="0.25">
      <c r="H676" t="s">
        <v>138</v>
      </c>
    </row>
    <row r="677" spans="8:8" x14ac:dyDescent="0.25">
      <c r="H677" t="s">
        <v>1880</v>
      </c>
    </row>
    <row r="678" spans="8:8" x14ac:dyDescent="0.25">
      <c r="H678" t="s">
        <v>30</v>
      </c>
    </row>
    <row r="680" spans="8:8" x14ac:dyDescent="0.25">
      <c r="H680" t="s">
        <v>803</v>
      </c>
    </row>
    <row r="681" spans="8:8" x14ac:dyDescent="0.25">
      <c r="H681" t="s">
        <v>2858</v>
      </c>
    </row>
    <row r="682" spans="8:8" x14ac:dyDescent="0.25">
      <c r="H682" t="s">
        <v>135</v>
      </c>
    </row>
    <row r="683" spans="8:8" x14ac:dyDescent="0.25">
      <c r="H683" t="s">
        <v>3353</v>
      </c>
    </row>
    <row r="684" spans="8:8" x14ac:dyDescent="0.25">
      <c r="H684" t="s">
        <v>30</v>
      </c>
    </row>
    <row r="685" spans="8:8" x14ac:dyDescent="0.25">
      <c r="H685" t="s">
        <v>136</v>
      </c>
    </row>
    <row r="686" spans="8:8" x14ac:dyDescent="0.25">
      <c r="H686" t="s">
        <v>3354</v>
      </c>
    </row>
    <row r="687" spans="8:8" x14ac:dyDescent="0.25">
      <c r="H687" t="s">
        <v>30</v>
      </c>
    </row>
    <row r="688" spans="8:8" x14ac:dyDescent="0.25">
      <c r="H688" t="s">
        <v>137</v>
      </c>
    </row>
    <row r="689" spans="8:8" x14ac:dyDescent="0.25">
      <c r="H689" t="s">
        <v>3355</v>
      </c>
    </row>
    <row r="690" spans="8:8" x14ac:dyDescent="0.25">
      <c r="H690" t="s">
        <v>30</v>
      </c>
    </row>
    <row r="691" spans="8:8" x14ac:dyDescent="0.25">
      <c r="H691" t="s">
        <v>138</v>
      </c>
    </row>
    <row r="692" spans="8:8" x14ac:dyDescent="0.25">
      <c r="H692" t="s">
        <v>3356</v>
      </c>
    </row>
    <row r="693" spans="8:8" x14ac:dyDescent="0.25">
      <c r="H693" t="s">
        <v>30</v>
      </c>
    </row>
    <row r="695" spans="8:8" x14ac:dyDescent="0.25">
      <c r="H695" t="s">
        <v>812</v>
      </c>
    </row>
    <row r="696" spans="8:8" x14ac:dyDescent="0.25">
      <c r="H696" t="s">
        <v>2859</v>
      </c>
    </row>
    <row r="697" spans="8:8" x14ac:dyDescent="0.25">
      <c r="H697" t="s">
        <v>135</v>
      </c>
    </row>
    <row r="698" spans="8:8" x14ac:dyDescent="0.25">
      <c r="H698" t="s">
        <v>3357</v>
      </c>
    </row>
    <row r="699" spans="8:8" x14ac:dyDescent="0.25">
      <c r="H699" t="s">
        <v>30</v>
      </c>
    </row>
    <row r="700" spans="8:8" x14ac:dyDescent="0.25">
      <c r="H700" t="s">
        <v>136</v>
      </c>
    </row>
    <row r="701" spans="8:8" x14ac:dyDescent="0.25">
      <c r="H701" t="s">
        <v>3358</v>
      </c>
    </row>
    <row r="702" spans="8:8" x14ac:dyDescent="0.25">
      <c r="H702" t="s">
        <v>30</v>
      </c>
    </row>
    <row r="703" spans="8:8" x14ac:dyDescent="0.25">
      <c r="H703" t="s">
        <v>137</v>
      </c>
    </row>
    <row r="704" spans="8:8" x14ac:dyDescent="0.25">
      <c r="H704" t="s">
        <v>3359</v>
      </c>
    </row>
    <row r="705" spans="8:8" x14ac:dyDescent="0.25">
      <c r="H705" t="s">
        <v>30</v>
      </c>
    </row>
    <row r="706" spans="8:8" x14ac:dyDescent="0.25">
      <c r="H706" t="s">
        <v>138</v>
      </c>
    </row>
    <row r="707" spans="8:8" x14ac:dyDescent="0.25">
      <c r="H707" t="s">
        <v>3360</v>
      </c>
    </row>
    <row r="708" spans="8:8" x14ac:dyDescent="0.25">
      <c r="H708" t="s">
        <v>30</v>
      </c>
    </row>
    <row r="710" spans="8:8" x14ac:dyDescent="0.25">
      <c r="H710" t="s">
        <v>817</v>
      </c>
    </row>
    <row r="711" spans="8:8" x14ac:dyDescent="0.25">
      <c r="H711" t="s">
        <v>2860</v>
      </c>
    </row>
    <row r="712" spans="8:8" x14ac:dyDescent="0.25">
      <c r="H712" t="s">
        <v>135</v>
      </c>
    </row>
    <row r="713" spans="8:8" x14ac:dyDescent="0.25">
      <c r="H713" t="s">
        <v>3361</v>
      </c>
    </row>
    <row r="714" spans="8:8" x14ac:dyDescent="0.25">
      <c r="H714" t="s">
        <v>30</v>
      </c>
    </row>
    <row r="715" spans="8:8" x14ac:dyDescent="0.25">
      <c r="H715" t="s">
        <v>136</v>
      </c>
    </row>
    <row r="716" spans="8:8" x14ac:dyDescent="0.25">
      <c r="H716" t="s">
        <v>3362</v>
      </c>
    </row>
    <row r="717" spans="8:8" x14ac:dyDescent="0.25">
      <c r="H717" t="s">
        <v>30</v>
      </c>
    </row>
    <row r="718" spans="8:8" x14ac:dyDescent="0.25">
      <c r="H718" t="s">
        <v>137</v>
      </c>
    </row>
    <row r="719" spans="8:8" x14ac:dyDescent="0.25">
      <c r="H719" t="s">
        <v>3363</v>
      </c>
    </row>
    <row r="720" spans="8:8" x14ac:dyDescent="0.25">
      <c r="H720" t="s">
        <v>30</v>
      </c>
    </row>
    <row r="721" spans="8:8" x14ac:dyDescent="0.25">
      <c r="H721" t="s">
        <v>138</v>
      </c>
    </row>
    <row r="722" spans="8:8" x14ac:dyDescent="0.25">
      <c r="H722" t="s">
        <v>3364</v>
      </c>
    </row>
    <row r="723" spans="8:8" x14ac:dyDescent="0.25">
      <c r="H723" t="s">
        <v>30</v>
      </c>
    </row>
    <row r="725" spans="8:8" x14ac:dyDescent="0.25">
      <c r="H725" t="s">
        <v>818</v>
      </c>
    </row>
    <row r="726" spans="8:8" x14ac:dyDescent="0.25">
      <c r="H726" t="s">
        <v>2861</v>
      </c>
    </row>
    <row r="727" spans="8:8" x14ac:dyDescent="0.25">
      <c r="H727" t="s">
        <v>135</v>
      </c>
    </row>
    <row r="728" spans="8:8" x14ac:dyDescent="0.25">
      <c r="H728" t="s">
        <v>3365</v>
      </c>
    </row>
    <row r="729" spans="8:8" x14ac:dyDescent="0.25">
      <c r="H729" t="s">
        <v>30</v>
      </c>
    </row>
    <row r="730" spans="8:8" x14ac:dyDescent="0.25">
      <c r="H730" t="s">
        <v>136</v>
      </c>
    </row>
    <row r="731" spans="8:8" x14ac:dyDescent="0.25">
      <c r="H731" t="s">
        <v>3366</v>
      </c>
    </row>
    <row r="732" spans="8:8" x14ac:dyDescent="0.25">
      <c r="H732" t="s">
        <v>30</v>
      </c>
    </row>
    <row r="733" spans="8:8" x14ac:dyDescent="0.25">
      <c r="H733" t="s">
        <v>137</v>
      </c>
    </row>
    <row r="734" spans="8:8" x14ac:dyDescent="0.25">
      <c r="H734" t="s">
        <v>3367</v>
      </c>
    </row>
    <row r="735" spans="8:8" x14ac:dyDescent="0.25">
      <c r="H735" t="s">
        <v>30</v>
      </c>
    </row>
    <row r="736" spans="8:8" x14ac:dyDescent="0.25">
      <c r="H736" t="s">
        <v>138</v>
      </c>
    </row>
    <row r="737" spans="8:8" x14ac:dyDescent="0.25">
      <c r="H737" t="s">
        <v>3368</v>
      </c>
    </row>
    <row r="738" spans="8:8" x14ac:dyDescent="0.25">
      <c r="H738" t="s">
        <v>30</v>
      </c>
    </row>
    <row r="740" spans="8:8" x14ac:dyDescent="0.25">
      <c r="H740" t="s">
        <v>819</v>
      </c>
    </row>
    <row r="741" spans="8:8" x14ac:dyDescent="0.25">
      <c r="H741" t="s">
        <v>2862</v>
      </c>
    </row>
    <row r="742" spans="8:8" x14ac:dyDescent="0.25">
      <c r="H742" t="s">
        <v>135</v>
      </c>
    </row>
    <row r="743" spans="8:8" x14ac:dyDescent="0.25">
      <c r="H743" t="s">
        <v>3369</v>
      </c>
    </row>
    <row r="744" spans="8:8" x14ac:dyDescent="0.25">
      <c r="H744" t="s">
        <v>30</v>
      </c>
    </row>
    <row r="745" spans="8:8" x14ac:dyDescent="0.25">
      <c r="H745" t="s">
        <v>136</v>
      </c>
    </row>
    <row r="746" spans="8:8" x14ac:dyDescent="0.25">
      <c r="H746" t="s">
        <v>3370</v>
      </c>
    </row>
    <row r="747" spans="8:8" x14ac:dyDescent="0.25">
      <c r="H747" t="s">
        <v>30</v>
      </c>
    </row>
    <row r="748" spans="8:8" x14ac:dyDescent="0.25">
      <c r="H748" t="s">
        <v>137</v>
      </c>
    </row>
    <row r="749" spans="8:8" x14ac:dyDescent="0.25">
      <c r="H749" t="s">
        <v>3371</v>
      </c>
    </row>
    <row r="750" spans="8:8" x14ac:dyDescent="0.25">
      <c r="H750" t="s">
        <v>30</v>
      </c>
    </row>
    <row r="751" spans="8:8" x14ac:dyDescent="0.25">
      <c r="H751" t="s">
        <v>138</v>
      </c>
    </row>
    <row r="752" spans="8:8" x14ac:dyDescent="0.25">
      <c r="H752" t="s">
        <v>3372</v>
      </c>
    </row>
    <row r="753" spans="8:8" x14ac:dyDescent="0.25">
      <c r="H753" t="s">
        <v>30</v>
      </c>
    </row>
    <row r="755" spans="8:8" x14ac:dyDescent="0.25">
      <c r="H755" t="s">
        <v>820</v>
      </c>
    </row>
    <row r="756" spans="8:8" x14ac:dyDescent="0.25">
      <c r="H756" t="s">
        <v>2863</v>
      </c>
    </row>
    <row r="757" spans="8:8" x14ac:dyDescent="0.25">
      <c r="H757" t="s">
        <v>135</v>
      </c>
    </row>
    <row r="758" spans="8:8" x14ac:dyDescent="0.25">
      <c r="H758" t="s">
        <v>3373</v>
      </c>
    </row>
    <row r="759" spans="8:8" x14ac:dyDescent="0.25">
      <c r="H759" t="s">
        <v>30</v>
      </c>
    </row>
    <row r="760" spans="8:8" x14ac:dyDescent="0.25">
      <c r="H760" t="s">
        <v>136</v>
      </c>
    </row>
    <row r="761" spans="8:8" x14ac:dyDescent="0.25">
      <c r="H761" t="s">
        <v>3374</v>
      </c>
    </row>
    <row r="762" spans="8:8" x14ac:dyDescent="0.25">
      <c r="H762" t="s">
        <v>30</v>
      </c>
    </row>
    <row r="763" spans="8:8" x14ac:dyDescent="0.25">
      <c r="H763" t="s">
        <v>137</v>
      </c>
    </row>
    <row r="764" spans="8:8" x14ac:dyDescent="0.25">
      <c r="H764" t="s">
        <v>3375</v>
      </c>
    </row>
    <row r="765" spans="8:8" x14ac:dyDescent="0.25">
      <c r="H765" t="s">
        <v>30</v>
      </c>
    </row>
    <row r="766" spans="8:8" x14ac:dyDescent="0.25">
      <c r="H766" t="s">
        <v>138</v>
      </c>
    </row>
    <row r="767" spans="8:8" x14ac:dyDescent="0.25">
      <c r="H767" t="s">
        <v>3376</v>
      </c>
    </row>
    <row r="768" spans="8:8" x14ac:dyDescent="0.25">
      <c r="H768" t="s">
        <v>30</v>
      </c>
    </row>
    <row r="770" spans="8:8" x14ac:dyDescent="0.25">
      <c r="H770" t="s">
        <v>821</v>
      </c>
    </row>
    <row r="771" spans="8:8" x14ac:dyDescent="0.25">
      <c r="H771" t="s">
        <v>2864</v>
      </c>
    </row>
    <row r="772" spans="8:8" x14ac:dyDescent="0.25">
      <c r="H772" t="s">
        <v>135</v>
      </c>
    </row>
    <row r="773" spans="8:8" x14ac:dyDescent="0.25">
      <c r="H773" t="s">
        <v>3377</v>
      </c>
    </row>
    <row r="774" spans="8:8" x14ac:dyDescent="0.25">
      <c r="H774" t="s">
        <v>30</v>
      </c>
    </row>
    <row r="775" spans="8:8" x14ac:dyDescent="0.25">
      <c r="H775" t="s">
        <v>136</v>
      </c>
    </row>
    <row r="776" spans="8:8" x14ac:dyDescent="0.25">
      <c r="H776" t="s">
        <v>3378</v>
      </c>
    </row>
    <row r="777" spans="8:8" x14ac:dyDescent="0.25">
      <c r="H777" t="s">
        <v>30</v>
      </c>
    </row>
    <row r="778" spans="8:8" x14ac:dyDescent="0.25">
      <c r="H778" t="s">
        <v>137</v>
      </c>
    </row>
    <row r="779" spans="8:8" x14ac:dyDescent="0.25">
      <c r="H779" t="s">
        <v>3379</v>
      </c>
    </row>
    <row r="780" spans="8:8" x14ac:dyDescent="0.25">
      <c r="H780" t="s">
        <v>30</v>
      </c>
    </row>
    <row r="781" spans="8:8" x14ac:dyDescent="0.25">
      <c r="H781" t="s">
        <v>138</v>
      </c>
    </row>
    <row r="782" spans="8:8" x14ac:dyDescent="0.25">
      <c r="H782" t="s">
        <v>3380</v>
      </c>
    </row>
    <row r="783" spans="8:8" x14ac:dyDescent="0.25">
      <c r="H783" t="s">
        <v>30</v>
      </c>
    </row>
    <row r="785" spans="8:8" x14ac:dyDescent="0.25">
      <c r="H785" t="s">
        <v>822</v>
      </c>
    </row>
    <row r="786" spans="8:8" x14ac:dyDescent="0.25">
      <c r="H786" t="s">
        <v>2865</v>
      </c>
    </row>
    <row r="787" spans="8:8" x14ac:dyDescent="0.25">
      <c r="H787" t="s">
        <v>135</v>
      </c>
    </row>
    <row r="788" spans="8:8" x14ac:dyDescent="0.25">
      <c r="H788" t="s">
        <v>3381</v>
      </c>
    </row>
    <row r="789" spans="8:8" x14ac:dyDescent="0.25">
      <c r="H789" t="s">
        <v>30</v>
      </c>
    </row>
    <row r="790" spans="8:8" x14ac:dyDescent="0.25">
      <c r="H790" t="s">
        <v>136</v>
      </c>
    </row>
    <row r="791" spans="8:8" x14ac:dyDescent="0.25">
      <c r="H791" t="s">
        <v>3382</v>
      </c>
    </row>
    <row r="792" spans="8:8" x14ac:dyDescent="0.25">
      <c r="H792" t="s">
        <v>30</v>
      </c>
    </row>
    <row r="793" spans="8:8" x14ac:dyDescent="0.25">
      <c r="H793" t="s">
        <v>137</v>
      </c>
    </row>
    <row r="794" spans="8:8" x14ac:dyDescent="0.25">
      <c r="H794" t="s">
        <v>3383</v>
      </c>
    </row>
    <row r="795" spans="8:8" x14ac:dyDescent="0.25">
      <c r="H795" t="s">
        <v>30</v>
      </c>
    </row>
    <row r="796" spans="8:8" x14ac:dyDescent="0.25">
      <c r="H796" t="s">
        <v>138</v>
      </c>
    </row>
    <row r="797" spans="8:8" x14ac:dyDescent="0.25">
      <c r="H797" t="s">
        <v>3384</v>
      </c>
    </row>
    <row r="798" spans="8:8" x14ac:dyDescent="0.25">
      <c r="H798" t="s">
        <v>30</v>
      </c>
    </row>
    <row r="800" spans="8:8" x14ac:dyDescent="0.25">
      <c r="H800" t="s">
        <v>823</v>
      </c>
    </row>
    <row r="801" spans="8:8" x14ac:dyDescent="0.25">
      <c r="H801" t="s">
        <v>2866</v>
      </c>
    </row>
    <row r="802" spans="8:8" x14ac:dyDescent="0.25">
      <c r="H802" t="s">
        <v>135</v>
      </c>
    </row>
    <row r="803" spans="8:8" x14ac:dyDescent="0.25">
      <c r="H803" t="s">
        <v>3385</v>
      </c>
    </row>
    <row r="804" spans="8:8" x14ac:dyDescent="0.25">
      <c r="H804" t="s">
        <v>30</v>
      </c>
    </row>
    <row r="805" spans="8:8" x14ac:dyDescent="0.25">
      <c r="H805" t="s">
        <v>136</v>
      </c>
    </row>
    <row r="806" spans="8:8" x14ac:dyDescent="0.25">
      <c r="H806" t="s">
        <v>3386</v>
      </c>
    </row>
    <row r="807" spans="8:8" x14ac:dyDescent="0.25">
      <c r="H807" t="s">
        <v>30</v>
      </c>
    </row>
    <row r="808" spans="8:8" x14ac:dyDescent="0.25">
      <c r="H808" t="s">
        <v>137</v>
      </c>
    </row>
    <row r="809" spans="8:8" x14ac:dyDescent="0.25">
      <c r="H809" t="s">
        <v>3387</v>
      </c>
    </row>
    <row r="810" spans="8:8" x14ac:dyDescent="0.25">
      <c r="H810" t="s">
        <v>30</v>
      </c>
    </row>
    <row r="811" spans="8:8" x14ac:dyDescent="0.25">
      <c r="H811" t="s">
        <v>138</v>
      </c>
    </row>
    <row r="812" spans="8:8" x14ac:dyDescent="0.25">
      <c r="H812" t="s">
        <v>3388</v>
      </c>
    </row>
    <row r="813" spans="8:8" x14ac:dyDescent="0.25">
      <c r="H813" t="s">
        <v>30</v>
      </c>
    </row>
    <row r="815" spans="8:8" x14ac:dyDescent="0.25">
      <c r="H815" t="s">
        <v>824</v>
      </c>
    </row>
    <row r="816" spans="8:8" x14ac:dyDescent="0.25">
      <c r="H816" t="s">
        <v>2867</v>
      </c>
    </row>
    <row r="817" spans="8:8" x14ac:dyDescent="0.25">
      <c r="H817" t="s">
        <v>135</v>
      </c>
    </row>
    <row r="818" spans="8:8" x14ac:dyDescent="0.25">
      <c r="H818" t="s">
        <v>3389</v>
      </c>
    </row>
    <row r="819" spans="8:8" x14ac:dyDescent="0.25">
      <c r="H819" t="s">
        <v>30</v>
      </c>
    </row>
    <row r="820" spans="8:8" x14ac:dyDescent="0.25">
      <c r="H820" t="s">
        <v>136</v>
      </c>
    </row>
    <row r="821" spans="8:8" x14ac:dyDescent="0.25">
      <c r="H821" t="s">
        <v>3390</v>
      </c>
    </row>
    <row r="822" spans="8:8" x14ac:dyDescent="0.25">
      <c r="H822" t="s">
        <v>30</v>
      </c>
    </row>
    <row r="823" spans="8:8" x14ac:dyDescent="0.25">
      <c r="H823" t="s">
        <v>137</v>
      </c>
    </row>
    <row r="824" spans="8:8" x14ac:dyDescent="0.25">
      <c r="H824" t="s">
        <v>3391</v>
      </c>
    </row>
    <row r="825" spans="8:8" x14ac:dyDescent="0.25">
      <c r="H825" t="s">
        <v>30</v>
      </c>
    </row>
    <row r="826" spans="8:8" x14ac:dyDescent="0.25">
      <c r="H826" t="s">
        <v>138</v>
      </c>
    </row>
    <row r="827" spans="8:8" x14ac:dyDescent="0.25">
      <c r="H827" t="s">
        <v>3392</v>
      </c>
    </row>
    <row r="828" spans="8:8" x14ac:dyDescent="0.25">
      <c r="H828" t="s">
        <v>30</v>
      </c>
    </row>
    <row r="830" spans="8:8" x14ac:dyDescent="0.25">
      <c r="H830" t="s">
        <v>825</v>
      </c>
    </row>
    <row r="831" spans="8:8" x14ac:dyDescent="0.25">
      <c r="H831" t="s">
        <v>2868</v>
      </c>
    </row>
    <row r="832" spans="8:8" x14ac:dyDescent="0.25">
      <c r="H832" t="s">
        <v>135</v>
      </c>
    </row>
    <row r="833" spans="8:8" x14ac:dyDescent="0.25">
      <c r="H833" t="s">
        <v>3393</v>
      </c>
    </row>
    <row r="834" spans="8:8" x14ac:dyDescent="0.25">
      <c r="H834" t="s">
        <v>30</v>
      </c>
    </row>
    <row r="835" spans="8:8" x14ac:dyDescent="0.25">
      <c r="H835" t="s">
        <v>136</v>
      </c>
    </row>
    <row r="836" spans="8:8" x14ac:dyDescent="0.25">
      <c r="H836" t="s">
        <v>3394</v>
      </c>
    </row>
    <row r="837" spans="8:8" x14ac:dyDescent="0.25">
      <c r="H837" t="s">
        <v>30</v>
      </c>
    </row>
    <row r="838" spans="8:8" x14ac:dyDescent="0.25">
      <c r="H838" t="s">
        <v>137</v>
      </c>
    </row>
    <row r="839" spans="8:8" x14ac:dyDescent="0.25">
      <c r="H839" t="s">
        <v>3395</v>
      </c>
    </row>
    <row r="840" spans="8:8" x14ac:dyDescent="0.25">
      <c r="H840" t="s">
        <v>30</v>
      </c>
    </row>
    <row r="841" spans="8:8" x14ac:dyDescent="0.25">
      <c r="H841" t="s">
        <v>138</v>
      </c>
    </row>
    <row r="842" spans="8:8" x14ac:dyDescent="0.25">
      <c r="H842" t="s">
        <v>3396</v>
      </c>
    </row>
    <row r="843" spans="8:8" x14ac:dyDescent="0.25">
      <c r="H843" t="s">
        <v>30</v>
      </c>
    </row>
    <row r="845" spans="8:8" x14ac:dyDescent="0.25">
      <c r="H845" t="s">
        <v>826</v>
      </c>
    </row>
    <row r="846" spans="8:8" x14ac:dyDescent="0.25">
      <c r="H846" t="s">
        <v>2869</v>
      </c>
    </row>
    <row r="847" spans="8:8" x14ac:dyDescent="0.25">
      <c r="H847" t="s">
        <v>135</v>
      </c>
    </row>
    <row r="848" spans="8:8" x14ac:dyDescent="0.25">
      <c r="H848" t="s">
        <v>3397</v>
      </c>
    </row>
    <row r="849" spans="8:8" x14ac:dyDescent="0.25">
      <c r="H849" t="s">
        <v>30</v>
      </c>
    </row>
    <row r="850" spans="8:8" x14ac:dyDescent="0.25">
      <c r="H850" t="s">
        <v>136</v>
      </c>
    </row>
    <row r="851" spans="8:8" x14ac:dyDescent="0.25">
      <c r="H851" t="s">
        <v>3398</v>
      </c>
    </row>
    <row r="852" spans="8:8" x14ac:dyDescent="0.25">
      <c r="H852" t="s">
        <v>30</v>
      </c>
    </row>
    <row r="853" spans="8:8" x14ac:dyDescent="0.25">
      <c r="H853" t="s">
        <v>137</v>
      </c>
    </row>
    <row r="854" spans="8:8" x14ac:dyDescent="0.25">
      <c r="H854" t="s">
        <v>3399</v>
      </c>
    </row>
    <row r="855" spans="8:8" x14ac:dyDescent="0.25">
      <c r="H855" t="s">
        <v>30</v>
      </c>
    </row>
    <row r="856" spans="8:8" x14ac:dyDescent="0.25">
      <c r="H856" t="s">
        <v>138</v>
      </c>
    </row>
    <row r="857" spans="8:8" x14ac:dyDescent="0.25">
      <c r="H857" t="s">
        <v>3400</v>
      </c>
    </row>
    <row r="858" spans="8:8" x14ac:dyDescent="0.25">
      <c r="H858" t="s">
        <v>30</v>
      </c>
    </row>
    <row r="860" spans="8:8" x14ac:dyDescent="0.25">
      <c r="H860" t="s">
        <v>827</v>
      </c>
    </row>
    <row r="861" spans="8:8" x14ac:dyDescent="0.25">
      <c r="H861" t="s">
        <v>2870</v>
      </c>
    </row>
    <row r="862" spans="8:8" x14ac:dyDescent="0.25">
      <c r="H862" t="s">
        <v>135</v>
      </c>
    </row>
    <row r="863" spans="8:8" x14ac:dyDescent="0.25">
      <c r="H863" t="s">
        <v>3401</v>
      </c>
    </row>
    <row r="864" spans="8:8" x14ac:dyDescent="0.25">
      <c r="H864" t="s">
        <v>30</v>
      </c>
    </row>
    <row r="865" spans="8:8" x14ac:dyDescent="0.25">
      <c r="H865" t="s">
        <v>136</v>
      </c>
    </row>
    <row r="866" spans="8:8" x14ac:dyDescent="0.25">
      <c r="H866" t="s">
        <v>3402</v>
      </c>
    </row>
    <row r="867" spans="8:8" x14ac:dyDescent="0.25">
      <c r="H867" t="s">
        <v>30</v>
      </c>
    </row>
    <row r="868" spans="8:8" x14ac:dyDescent="0.25">
      <c r="H868" t="s">
        <v>137</v>
      </c>
    </row>
    <row r="869" spans="8:8" x14ac:dyDescent="0.25">
      <c r="H869" t="s">
        <v>3403</v>
      </c>
    </row>
    <row r="870" spans="8:8" x14ac:dyDescent="0.25">
      <c r="H870" t="s">
        <v>30</v>
      </c>
    </row>
    <row r="871" spans="8:8" x14ac:dyDescent="0.25">
      <c r="H871" t="s">
        <v>138</v>
      </c>
    </row>
    <row r="872" spans="8:8" x14ac:dyDescent="0.25">
      <c r="H872" t="s">
        <v>3404</v>
      </c>
    </row>
    <row r="873" spans="8:8" x14ac:dyDescent="0.25">
      <c r="H873" t="s">
        <v>30</v>
      </c>
    </row>
    <row r="875" spans="8:8" x14ac:dyDescent="0.25">
      <c r="H875" t="s">
        <v>828</v>
      </c>
    </row>
    <row r="876" spans="8:8" x14ac:dyDescent="0.25">
      <c r="H876" t="s">
        <v>2871</v>
      </c>
    </row>
    <row r="877" spans="8:8" x14ac:dyDescent="0.25">
      <c r="H877" t="s">
        <v>135</v>
      </c>
    </row>
    <row r="878" spans="8:8" x14ac:dyDescent="0.25">
      <c r="H878" t="s">
        <v>3405</v>
      </c>
    </row>
    <row r="879" spans="8:8" x14ac:dyDescent="0.25">
      <c r="H879" t="s">
        <v>30</v>
      </c>
    </row>
    <row r="880" spans="8:8" x14ac:dyDescent="0.25">
      <c r="H880" t="s">
        <v>136</v>
      </c>
    </row>
    <row r="881" spans="8:8" x14ac:dyDescent="0.25">
      <c r="H881" t="s">
        <v>3406</v>
      </c>
    </row>
    <row r="882" spans="8:8" x14ac:dyDescent="0.25">
      <c r="H882" t="s">
        <v>30</v>
      </c>
    </row>
    <row r="883" spans="8:8" x14ac:dyDescent="0.25">
      <c r="H883" t="s">
        <v>137</v>
      </c>
    </row>
    <row r="884" spans="8:8" x14ac:dyDescent="0.25">
      <c r="H884" t="s">
        <v>3407</v>
      </c>
    </row>
    <row r="885" spans="8:8" x14ac:dyDescent="0.25">
      <c r="H885" t="s">
        <v>30</v>
      </c>
    </row>
    <row r="886" spans="8:8" x14ac:dyDescent="0.25">
      <c r="H886" t="s">
        <v>138</v>
      </c>
    </row>
    <row r="887" spans="8:8" x14ac:dyDescent="0.25">
      <c r="H887" t="s">
        <v>3408</v>
      </c>
    </row>
    <row r="888" spans="8:8" x14ac:dyDescent="0.25">
      <c r="H888" t="s">
        <v>30</v>
      </c>
    </row>
    <row r="890" spans="8:8" x14ac:dyDescent="0.25">
      <c r="H890" t="s">
        <v>829</v>
      </c>
    </row>
    <row r="891" spans="8:8" x14ac:dyDescent="0.25">
      <c r="H891" t="s">
        <v>2872</v>
      </c>
    </row>
    <row r="892" spans="8:8" x14ac:dyDescent="0.25">
      <c r="H892" t="s">
        <v>135</v>
      </c>
    </row>
    <row r="893" spans="8:8" x14ac:dyDescent="0.25">
      <c r="H893" t="s">
        <v>3409</v>
      </c>
    </row>
    <row r="894" spans="8:8" x14ac:dyDescent="0.25">
      <c r="H894" t="s">
        <v>30</v>
      </c>
    </row>
    <row r="895" spans="8:8" x14ac:dyDescent="0.25">
      <c r="H895" t="s">
        <v>136</v>
      </c>
    </row>
    <row r="896" spans="8:8" x14ac:dyDescent="0.25">
      <c r="H896" t="s">
        <v>3410</v>
      </c>
    </row>
    <row r="897" spans="8:8" x14ac:dyDescent="0.25">
      <c r="H897" t="s">
        <v>30</v>
      </c>
    </row>
    <row r="898" spans="8:8" x14ac:dyDescent="0.25">
      <c r="H898" t="s">
        <v>137</v>
      </c>
    </row>
    <row r="899" spans="8:8" x14ac:dyDescent="0.25">
      <c r="H899" t="s">
        <v>3411</v>
      </c>
    </row>
    <row r="900" spans="8:8" x14ac:dyDescent="0.25">
      <c r="H900" t="s">
        <v>30</v>
      </c>
    </row>
    <row r="901" spans="8:8" x14ac:dyDescent="0.25">
      <c r="H901" t="s">
        <v>138</v>
      </c>
    </row>
    <row r="902" spans="8:8" x14ac:dyDescent="0.25">
      <c r="H902" t="s">
        <v>3412</v>
      </c>
    </row>
    <row r="903" spans="8:8" x14ac:dyDescent="0.25">
      <c r="H903" t="s">
        <v>30</v>
      </c>
    </row>
    <row r="905" spans="8:8" x14ac:dyDescent="0.25">
      <c r="H905" t="s">
        <v>830</v>
      </c>
    </row>
    <row r="906" spans="8:8" x14ac:dyDescent="0.25">
      <c r="H906" t="s">
        <v>2873</v>
      </c>
    </row>
    <row r="907" spans="8:8" x14ac:dyDescent="0.25">
      <c r="H907" t="s">
        <v>135</v>
      </c>
    </row>
    <row r="908" spans="8:8" x14ac:dyDescent="0.25">
      <c r="H908" t="s">
        <v>3413</v>
      </c>
    </row>
    <row r="909" spans="8:8" x14ac:dyDescent="0.25">
      <c r="H909" t="s">
        <v>30</v>
      </c>
    </row>
    <row r="910" spans="8:8" x14ac:dyDescent="0.25">
      <c r="H910" t="s">
        <v>136</v>
      </c>
    </row>
    <row r="911" spans="8:8" x14ac:dyDescent="0.25">
      <c r="H911" t="s">
        <v>3414</v>
      </c>
    </row>
    <row r="912" spans="8:8" x14ac:dyDescent="0.25">
      <c r="H912" t="s">
        <v>30</v>
      </c>
    </row>
    <row r="913" spans="8:8" x14ac:dyDescent="0.25">
      <c r="H913" t="s">
        <v>137</v>
      </c>
    </row>
    <row r="914" spans="8:8" x14ac:dyDescent="0.25">
      <c r="H914" t="s">
        <v>3415</v>
      </c>
    </row>
    <row r="915" spans="8:8" x14ac:dyDescent="0.25">
      <c r="H915" t="s">
        <v>30</v>
      </c>
    </row>
    <row r="916" spans="8:8" x14ac:dyDescent="0.25">
      <c r="H916" t="s">
        <v>138</v>
      </c>
    </row>
    <row r="917" spans="8:8" x14ac:dyDescent="0.25">
      <c r="H917" t="s">
        <v>3416</v>
      </c>
    </row>
    <row r="918" spans="8:8" x14ac:dyDescent="0.25">
      <c r="H918" t="s">
        <v>30</v>
      </c>
    </row>
    <row r="920" spans="8:8" x14ac:dyDescent="0.25">
      <c r="H920" t="s">
        <v>831</v>
      </c>
    </row>
    <row r="921" spans="8:8" x14ac:dyDescent="0.25">
      <c r="H921" t="s">
        <v>2874</v>
      </c>
    </row>
    <row r="922" spans="8:8" x14ac:dyDescent="0.25">
      <c r="H922" t="s">
        <v>135</v>
      </c>
    </row>
    <row r="923" spans="8:8" x14ac:dyDescent="0.25">
      <c r="H923" t="s">
        <v>3417</v>
      </c>
    </row>
    <row r="924" spans="8:8" x14ac:dyDescent="0.25">
      <c r="H924" t="s">
        <v>30</v>
      </c>
    </row>
    <row r="925" spans="8:8" x14ac:dyDescent="0.25">
      <c r="H925" t="s">
        <v>136</v>
      </c>
    </row>
    <row r="926" spans="8:8" x14ac:dyDescent="0.25">
      <c r="H926" t="s">
        <v>3418</v>
      </c>
    </row>
    <row r="927" spans="8:8" x14ac:dyDescent="0.25">
      <c r="H927" t="s">
        <v>30</v>
      </c>
    </row>
    <row r="928" spans="8:8" x14ac:dyDescent="0.25">
      <c r="H928" t="s">
        <v>137</v>
      </c>
    </row>
    <row r="929" spans="8:8" x14ac:dyDescent="0.25">
      <c r="H929" t="s">
        <v>3419</v>
      </c>
    </row>
    <row r="930" spans="8:8" x14ac:dyDescent="0.25">
      <c r="H930" t="s">
        <v>30</v>
      </c>
    </row>
    <row r="931" spans="8:8" x14ac:dyDescent="0.25">
      <c r="H931" t="s">
        <v>138</v>
      </c>
    </row>
    <row r="932" spans="8:8" x14ac:dyDescent="0.25">
      <c r="H932" t="s">
        <v>3420</v>
      </c>
    </row>
    <row r="933" spans="8:8" x14ac:dyDescent="0.25">
      <c r="H933" t="s">
        <v>30</v>
      </c>
    </row>
    <row r="935" spans="8:8" x14ac:dyDescent="0.25">
      <c r="H935" t="s">
        <v>832</v>
      </c>
    </row>
    <row r="936" spans="8:8" x14ac:dyDescent="0.25">
      <c r="H936" t="s">
        <v>2875</v>
      </c>
    </row>
    <row r="937" spans="8:8" x14ac:dyDescent="0.25">
      <c r="H937" t="s">
        <v>135</v>
      </c>
    </row>
    <row r="938" spans="8:8" x14ac:dyDescent="0.25">
      <c r="H938" t="s">
        <v>3421</v>
      </c>
    </row>
    <row r="939" spans="8:8" x14ac:dyDescent="0.25">
      <c r="H939" t="s">
        <v>30</v>
      </c>
    </row>
    <row r="940" spans="8:8" x14ac:dyDescent="0.25">
      <c r="H940" t="s">
        <v>136</v>
      </c>
    </row>
    <row r="941" spans="8:8" x14ac:dyDescent="0.25">
      <c r="H941" t="s">
        <v>3422</v>
      </c>
    </row>
    <row r="942" spans="8:8" x14ac:dyDescent="0.25">
      <c r="H942" t="s">
        <v>30</v>
      </c>
    </row>
    <row r="943" spans="8:8" x14ac:dyDescent="0.25">
      <c r="H943" t="s">
        <v>137</v>
      </c>
    </row>
    <row r="944" spans="8:8" x14ac:dyDescent="0.25">
      <c r="H944" t="s">
        <v>3423</v>
      </c>
    </row>
    <row r="945" spans="8:8" x14ac:dyDescent="0.25">
      <c r="H945" t="s">
        <v>30</v>
      </c>
    </row>
    <row r="946" spans="8:8" x14ac:dyDescent="0.25">
      <c r="H946" t="s">
        <v>138</v>
      </c>
    </row>
    <row r="947" spans="8:8" x14ac:dyDescent="0.25">
      <c r="H947" t="s">
        <v>3424</v>
      </c>
    </row>
    <row r="948" spans="8:8" x14ac:dyDescent="0.25">
      <c r="H948" t="s">
        <v>30</v>
      </c>
    </row>
    <row r="950" spans="8:8" x14ac:dyDescent="0.25">
      <c r="H950" t="s">
        <v>833</v>
      </c>
    </row>
    <row r="951" spans="8:8" x14ac:dyDescent="0.25">
      <c r="H951" t="s">
        <v>2876</v>
      </c>
    </row>
    <row r="952" spans="8:8" x14ac:dyDescent="0.25">
      <c r="H952" t="s">
        <v>135</v>
      </c>
    </row>
    <row r="953" spans="8:8" x14ac:dyDescent="0.25">
      <c r="H953" t="s">
        <v>3425</v>
      </c>
    </row>
    <row r="954" spans="8:8" x14ac:dyDescent="0.25">
      <c r="H954" t="s">
        <v>30</v>
      </c>
    </row>
    <row r="955" spans="8:8" x14ac:dyDescent="0.25">
      <c r="H955" t="s">
        <v>136</v>
      </c>
    </row>
    <row r="956" spans="8:8" x14ac:dyDescent="0.25">
      <c r="H956" t="s">
        <v>3426</v>
      </c>
    </row>
    <row r="957" spans="8:8" x14ac:dyDescent="0.25">
      <c r="H957" t="s">
        <v>30</v>
      </c>
    </row>
    <row r="958" spans="8:8" x14ac:dyDescent="0.25">
      <c r="H958" t="s">
        <v>137</v>
      </c>
    </row>
    <row r="959" spans="8:8" x14ac:dyDescent="0.25">
      <c r="H959" t="s">
        <v>3427</v>
      </c>
    </row>
    <row r="960" spans="8:8" x14ac:dyDescent="0.25">
      <c r="H960" t="s">
        <v>30</v>
      </c>
    </row>
    <row r="961" spans="8:8" x14ac:dyDescent="0.25">
      <c r="H961" t="s">
        <v>138</v>
      </c>
    </row>
    <row r="962" spans="8:8" x14ac:dyDescent="0.25">
      <c r="H962" t="s">
        <v>3428</v>
      </c>
    </row>
    <row r="963" spans="8:8" x14ac:dyDescent="0.25">
      <c r="H963" t="s">
        <v>30</v>
      </c>
    </row>
    <row r="965" spans="8:8" x14ac:dyDescent="0.25">
      <c r="H965" t="s">
        <v>834</v>
      </c>
    </row>
    <row r="966" spans="8:8" x14ac:dyDescent="0.25">
      <c r="H966" t="s">
        <v>2877</v>
      </c>
    </row>
    <row r="967" spans="8:8" x14ac:dyDescent="0.25">
      <c r="H967" t="s">
        <v>135</v>
      </c>
    </row>
    <row r="968" spans="8:8" x14ac:dyDescent="0.25">
      <c r="H968" t="s">
        <v>3429</v>
      </c>
    </row>
    <row r="969" spans="8:8" x14ac:dyDescent="0.25">
      <c r="H969" t="s">
        <v>30</v>
      </c>
    </row>
    <row r="970" spans="8:8" x14ac:dyDescent="0.25">
      <c r="H970" t="s">
        <v>136</v>
      </c>
    </row>
    <row r="971" spans="8:8" x14ac:dyDescent="0.25">
      <c r="H971" t="s">
        <v>3430</v>
      </c>
    </row>
    <row r="972" spans="8:8" x14ac:dyDescent="0.25">
      <c r="H972" t="s">
        <v>30</v>
      </c>
    </row>
    <row r="973" spans="8:8" x14ac:dyDescent="0.25">
      <c r="H973" t="s">
        <v>137</v>
      </c>
    </row>
    <row r="974" spans="8:8" x14ac:dyDescent="0.25">
      <c r="H974" t="s">
        <v>3431</v>
      </c>
    </row>
    <row r="975" spans="8:8" x14ac:dyDescent="0.25">
      <c r="H975" t="s">
        <v>30</v>
      </c>
    </row>
    <row r="976" spans="8:8" x14ac:dyDescent="0.25">
      <c r="H976" t="s">
        <v>138</v>
      </c>
    </row>
    <row r="977" spans="8:8" x14ac:dyDescent="0.25">
      <c r="H977" t="s">
        <v>3432</v>
      </c>
    </row>
    <row r="978" spans="8:8" x14ac:dyDescent="0.25">
      <c r="H978" t="s">
        <v>30</v>
      </c>
    </row>
    <row r="980" spans="8:8" x14ac:dyDescent="0.25">
      <c r="H980" t="s">
        <v>835</v>
      </c>
    </row>
    <row r="981" spans="8:8" x14ac:dyDescent="0.25">
      <c r="H981" t="s">
        <v>2878</v>
      </c>
    </row>
    <row r="982" spans="8:8" x14ac:dyDescent="0.25">
      <c r="H982" t="s">
        <v>135</v>
      </c>
    </row>
    <row r="983" spans="8:8" x14ac:dyDescent="0.25">
      <c r="H983" t="s">
        <v>3433</v>
      </c>
    </row>
    <row r="984" spans="8:8" x14ac:dyDescent="0.25">
      <c r="H984" t="s">
        <v>30</v>
      </c>
    </row>
    <row r="985" spans="8:8" x14ac:dyDescent="0.25">
      <c r="H985" t="s">
        <v>136</v>
      </c>
    </row>
    <row r="986" spans="8:8" x14ac:dyDescent="0.25">
      <c r="H986" t="s">
        <v>3434</v>
      </c>
    </row>
    <row r="987" spans="8:8" x14ac:dyDescent="0.25">
      <c r="H987" t="s">
        <v>30</v>
      </c>
    </row>
    <row r="988" spans="8:8" x14ac:dyDescent="0.25">
      <c r="H988" t="s">
        <v>137</v>
      </c>
    </row>
    <row r="989" spans="8:8" x14ac:dyDescent="0.25">
      <c r="H989" t="s">
        <v>3435</v>
      </c>
    </row>
    <row r="990" spans="8:8" x14ac:dyDescent="0.25">
      <c r="H990" t="s">
        <v>30</v>
      </c>
    </row>
    <row r="991" spans="8:8" x14ac:dyDescent="0.25">
      <c r="H991" t="s">
        <v>138</v>
      </c>
    </row>
    <row r="992" spans="8:8" x14ac:dyDescent="0.25">
      <c r="H992" t="s">
        <v>3436</v>
      </c>
    </row>
    <row r="993" spans="8:8" x14ac:dyDescent="0.25">
      <c r="H993" t="s">
        <v>30</v>
      </c>
    </row>
    <row r="994" spans="8:8" x14ac:dyDescent="0.25">
      <c r="H994" t="s">
        <v>2909</v>
      </c>
    </row>
    <row r="995" spans="8:8" x14ac:dyDescent="0.25">
      <c r="H995" t="s">
        <v>137</v>
      </c>
    </row>
    <row r="996" spans="8:8" x14ac:dyDescent="0.25">
      <c r="H996" t="s">
        <v>3437</v>
      </c>
    </row>
    <row r="997" spans="8:8" x14ac:dyDescent="0.25">
      <c r="H997" t="s">
        <v>30</v>
      </c>
    </row>
    <row r="998" spans="8:8" x14ac:dyDescent="0.25">
      <c r="H998" t="s">
        <v>138</v>
      </c>
    </row>
    <row r="999" spans="8:8" x14ac:dyDescent="0.25">
      <c r="H999" t="s">
        <v>3438</v>
      </c>
    </row>
    <row r="1000" spans="8:8" x14ac:dyDescent="0.25">
      <c r="H1000" t="s">
        <v>30</v>
      </c>
    </row>
    <row r="1002" spans="8:8" x14ac:dyDescent="0.25">
      <c r="H1002" t="s">
        <v>846</v>
      </c>
    </row>
    <row r="1003" spans="8:8" x14ac:dyDescent="0.25">
      <c r="H1003" t="s">
        <v>2910</v>
      </c>
    </row>
    <row r="1004" spans="8:8" x14ac:dyDescent="0.25">
      <c r="H1004" t="s">
        <v>135</v>
      </c>
    </row>
    <row r="1005" spans="8:8" x14ac:dyDescent="0.25">
      <c r="H1005" t="s">
        <v>3439</v>
      </c>
    </row>
    <row r="1006" spans="8:8" x14ac:dyDescent="0.25">
      <c r="H1006" t="s">
        <v>30</v>
      </c>
    </row>
    <row r="1007" spans="8:8" x14ac:dyDescent="0.25">
      <c r="H1007" t="s">
        <v>136</v>
      </c>
    </row>
    <row r="1008" spans="8:8" x14ac:dyDescent="0.25">
      <c r="H1008" t="s">
        <v>3440</v>
      </c>
    </row>
    <row r="1009" spans="8:8" x14ac:dyDescent="0.25">
      <c r="H1009" t="s">
        <v>30</v>
      </c>
    </row>
    <row r="1010" spans="8:8" x14ac:dyDescent="0.25">
      <c r="H1010" t="s">
        <v>137</v>
      </c>
    </row>
    <row r="1011" spans="8:8" x14ac:dyDescent="0.25">
      <c r="H1011" t="s">
        <v>3441</v>
      </c>
    </row>
    <row r="1012" spans="8:8" x14ac:dyDescent="0.25">
      <c r="H1012" t="s">
        <v>30</v>
      </c>
    </row>
    <row r="1013" spans="8:8" x14ac:dyDescent="0.25">
      <c r="H1013" t="s">
        <v>138</v>
      </c>
    </row>
    <row r="1014" spans="8:8" x14ac:dyDescent="0.25">
      <c r="H1014" t="s">
        <v>3442</v>
      </c>
    </row>
    <row r="1015" spans="8:8" x14ac:dyDescent="0.25">
      <c r="H1015" t="s">
        <v>30</v>
      </c>
    </row>
    <row r="1017" spans="8:8" x14ac:dyDescent="0.25">
      <c r="H1017" t="s">
        <v>847</v>
      </c>
    </row>
    <row r="1018" spans="8:8" x14ac:dyDescent="0.25">
      <c r="H1018" t="s">
        <v>2911</v>
      </c>
    </row>
    <row r="1019" spans="8:8" x14ac:dyDescent="0.25">
      <c r="H1019" t="s">
        <v>135</v>
      </c>
    </row>
    <row r="1020" spans="8:8" x14ac:dyDescent="0.25">
      <c r="H1020" t="s">
        <v>3443</v>
      </c>
    </row>
    <row r="1021" spans="8:8" x14ac:dyDescent="0.25">
      <c r="H1021" t="s">
        <v>30</v>
      </c>
    </row>
    <row r="1022" spans="8:8" x14ac:dyDescent="0.25">
      <c r="H1022" t="s">
        <v>136</v>
      </c>
    </row>
    <row r="1023" spans="8:8" x14ac:dyDescent="0.25">
      <c r="H1023" t="s">
        <v>3444</v>
      </c>
    </row>
    <row r="1024" spans="8:8" x14ac:dyDescent="0.25">
      <c r="H1024" t="s">
        <v>30</v>
      </c>
    </row>
    <row r="1025" spans="8:8" x14ac:dyDescent="0.25">
      <c r="H1025" t="s">
        <v>137</v>
      </c>
    </row>
    <row r="1026" spans="8:8" x14ac:dyDescent="0.25">
      <c r="H1026" t="s">
        <v>3445</v>
      </c>
    </row>
    <row r="1027" spans="8:8" x14ac:dyDescent="0.25">
      <c r="H1027" t="s">
        <v>30</v>
      </c>
    </row>
    <row r="1028" spans="8:8" x14ac:dyDescent="0.25">
      <c r="H1028" t="s">
        <v>138</v>
      </c>
    </row>
    <row r="1029" spans="8:8" x14ac:dyDescent="0.25">
      <c r="H1029" t="s">
        <v>3446</v>
      </c>
    </row>
    <row r="1030" spans="8:8" x14ac:dyDescent="0.25">
      <c r="H1030" t="s">
        <v>30</v>
      </c>
    </row>
    <row r="1032" spans="8:8" x14ac:dyDescent="0.25">
      <c r="H1032" t="s">
        <v>28</v>
      </c>
    </row>
    <row r="1033" spans="8:8" x14ac:dyDescent="0.25">
      <c r="H1033" t="s">
        <v>120</v>
      </c>
    </row>
    <row r="1034" spans="8:8" x14ac:dyDescent="0.25">
      <c r="H1034" t="s">
        <v>38</v>
      </c>
    </row>
    <row r="1036" spans="8:8" x14ac:dyDescent="0.25">
      <c r="H1036" t="s">
        <v>29</v>
      </c>
    </row>
    <row r="1037" spans="8:8" x14ac:dyDescent="0.25">
      <c r="H1037" s="6" t="s">
        <v>84</v>
      </c>
    </row>
    <row r="16388" spans="8:8" x14ac:dyDescent="0.25">
      <c r="H16388" t="s">
        <v>918</v>
      </c>
    </row>
    <row r="16389" spans="8:8" x14ac:dyDescent="0.25">
      <c r="H16389" t="s">
        <v>135</v>
      </c>
    </row>
    <row r="16390" spans="8:8" x14ac:dyDescent="0.25">
      <c r="H16390" t="s">
        <v>1834</v>
      </c>
    </row>
    <row r="16391" spans="8:8" x14ac:dyDescent="0.25">
      <c r="H16391" t="s">
        <v>30</v>
      </c>
    </row>
    <row r="16392" spans="8:8" x14ac:dyDescent="0.25">
      <c r="H16392" t="s">
        <v>136</v>
      </c>
    </row>
    <row r="16393" spans="8:8" x14ac:dyDescent="0.25">
      <c r="H16393" t="s">
        <v>1835</v>
      </c>
    </row>
    <row r="16394" spans="8:8" x14ac:dyDescent="0.25">
      <c r="H16394" t="s">
        <v>30</v>
      </c>
    </row>
    <row r="16395" spans="8:8" x14ac:dyDescent="0.25">
      <c r="H16395" t="s">
        <v>137</v>
      </c>
    </row>
    <row r="16396" spans="8:8" x14ac:dyDescent="0.25">
      <c r="H16396" t="s">
        <v>1836</v>
      </c>
    </row>
    <row r="16397" spans="8:8" x14ac:dyDescent="0.25">
      <c r="H16397" t="s">
        <v>30</v>
      </c>
    </row>
    <row r="16398" spans="8:8" x14ac:dyDescent="0.25">
      <c r="H16398" t="s">
        <v>138</v>
      </c>
    </row>
    <row r="16399" spans="8:8" x14ac:dyDescent="0.25">
      <c r="H16399" t="s">
        <v>1837</v>
      </c>
    </row>
    <row r="16400" spans="8:8" x14ac:dyDescent="0.25">
      <c r="H16400" t="s">
        <v>30</v>
      </c>
    </row>
    <row r="16402" spans="8:8" x14ac:dyDescent="0.25">
      <c r="H16402" t="s">
        <v>923</v>
      </c>
    </row>
    <row r="16403" spans="8:8" x14ac:dyDescent="0.25">
      <c r="H16403" t="s">
        <v>924</v>
      </c>
    </row>
    <row r="16404" spans="8:8" x14ac:dyDescent="0.25">
      <c r="H16404" t="s">
        <v>135</v>
      </c>
    </row>
    <row r="16405" spans="8:8" x14ac:dyDescent="0.25">
      <c r="H16405" t="s">
        <v>1838</v>
      </c>
    </row>
    <row r="16406" spans="8:8" x14ac:dyDescent="0.25">
      <c r="H16406" t="s">
        <v>30</v>
      </c>
    </row>
    <row r="16407" spans="8:8" x14ac:dyDescent="0.25">
      <c r="H16407" t="s">
        <v>136</v>
      </c>
    </row>
    <row r="16408" spans="8:8" x14ac:dyDescent="0.25">
      <c r="H16408" t="s">
        <v>1839</v>
      </c>
    </row>
    <row r="16409" spans="8:8" x14ac:dyDescent="0.25">
      <c r="H16409" t="s">
        <v>30</v>
      </c>
    </row>
    <row r="16410" spans="8:8" x14ac:dyDescent="0.25">
      <c r="H16410" t="s">
        <v>137</v>
      </c>
    </row>
    <row r="16411" spans="8:8" x14ac:dyDescent="0.25">
      <c r="H16411" t="s">
        <v>1840</v>
      </c>
    </row>
    <row r="16412" spans="8:8" x14ac:dyDescent="0.25">
      <c r="H16412" t="s">
        <v>30</v>
      </c>
    </row>
    <row r="16413" spans="8:8" x14ac:dyDescent="0.25">
      <c r="H16413" t="s">
        <v>138</v>
      </c>
    </row>
    <row r="16414" spans="8:8" x14ac:dyDescent="0.25">
      <c r="H16414" t="s">
        <v>1841</v>
      </c>
    </row>
    <row r="16415" spans="8:8" x14ac:dyDescent="0.25">
      <c r="H16415" t="s">
        <v>30</v>
      </c>
    </row>
    <row r="16417" spans="8:8" x14ac:dyDescent="0.25">
      <c r="H16417" t="s">
        <v>929</v>
      </c>
    </row>
    <row r="16418" spans="8:8" x14ac:dyDescent="0.25">
      <c r="H16418" t="s">
        <v>930</v>
      </c>
    </row>
    <row r="16419" spans="8:8" x14ac:dyDescent="0.25">
      <c r="H16419" t="s">
        <v>135</v>
      </c>
    </row>
    <row r="16420" spans="8:8" x14ac:dyDescent="0.25">
      <c r="H16420" t="s">
        <v>1842</v>
      </c>
    </row>
    <row r="16421" spans="8:8" x14ac:dyDescent="0.25">
      <c r="H16421" t="s">
        <v>30</v>
      </c>
    </row>
    <row r="16422" spans="8:8" x14ac:dyDescent="0.25">
      <c r="H16422" t="s">
        <v>136</v>
      </c>
    </row>
    <row r="16423" spans="8:8" x14ac:dyDescent="0.25">
      <c r="H16423" t="s">
        <v>1843</v>
      </c>
    </row>
    <row r="16424" spans="8:8" x14ac:dyDescent="0.25">
      <c r="H16424" t="s">
        <v>30</v>
      </c>
    </row>
    <row r="16425" spans="8:8" x14ac:dyDescent="0.25">
      <c r="H16425" t="s">
        <v>137</v>
      </c>
    </row>
    <row r="16426" spans="8:8" x14ac:dyDescent="0.25">
      <c r="H16426" t="s">
        <v>1844</v>
      </c>
    </row>
    <row r="16427" spans="8:8" x14ac:dyDescent="0.25">
      <c r="H16427" t="s">
        <v>30</v>
      </c>
    </row>
    <row r="16428" spans="8:8" x14ac:dyDescent="0.25">
      <c r="H16428" t="s">
        <v>138</v>
      </c>
    </row>
    <row r="16429" spans="8:8" x14ac:dyDescent="0.25">
      <c r="H16429" t="s">
        <v>1845</v>
      </c>
    </row>
    <row r="16430" spans="8:8" x14ac:dyDescent="0.25">
      <c r="H16430" t="s">
        <v>30</v>
      </c>
    </row>
    <row r="16432" spans="8:8" x14ac:dyDescent="0.25">
      <c r="H16432" t="s">
        <v>935</v>
      </c>
    </row>
    <row r="16433" spans="8:8" x14ac:dyDescent="0.25">
      <c r="H16433" t="s">
        <v>936</v>
      </c>
    </row>
    <row r="16434" spans="8:8" x14ac:dyDescent="0.25">
      <c r="H16434" t="s">
        <v>135</v>
      </c>
    </row>
    <row r="16435" spans="8:8" x14ac:dyDescent="0.25">
      <c r="H16435" t="s">
        <v>1846</v>
      </c>
    </row>
    <row r="16436" spans="8:8" x14ac:dyDescent="0.25">
      <c r="H16436" t="s">
        <v>30</v>
      </c>
    </row>
    <row r="16437" spans="8:8" x14ac:dyDescent="0.25">
      <c r="H16437" t="s">
        <v>136</v>
      </c>
    </row>
    <row r="16438" spans="8:8" x14ac:dyDescent="0.25">
      <c r="H16438" t="s">
        <v>1847</v>
      </c>
    </row>
    <row r="16439" spans="8:8" x14ac:dyDescent="0.25">
      <c r="H16439" t="s">
        <v>30</v>
      </c>
    </row>
    <row r="16440" spans="8:8" x14ac:dyDescent="0.25">
      <c r="H16440" t="s">
        <v>137</v>
      </c>
    </row>
    <row r="16441" spans="8:8" x14ac:dyDescent="0.25">
      <c r="H16441" t="s">
        <v>1848</v>
      </c>
    </row>
    <row r="16442" spans="8:8" x14ac:dyDescent="0.25">
      <c r="H16442" t="s">
        <v>30</v>
      </c>
    </row>
    <row r="16443" spans="8:8" x14ac:dyDescent="0.25">
      <c r="H16443" t="s">
        <v>138</v>
      </c>
    </row>
    <row r="16444" spans="8:8" x14ac:dyDescent="0.25">
      <c r="H16444" t="s">
        <v>1849</v>
      </c>
    </row>
    <row r="16445" spans="8:8" x14ac:dyDescent="0.25">
      <c r="H16445" t="s">
        <v>30</v>
      </c>
    </row>
    <row r="16447" spans="8:8" x14ac:dyDescent="0.25">
      <c r="H16447" t="s">
        <v>941</v>
      </c>
    </row>
    <row r="16448" spans="8:8" x14ac:dyDescent="0.25">
      <c r="H16448" t="s">
        <v>942</v>
      </c>
    </row>
    <row r="16449" spans="8:8" x14ac:dyDescent="0.25">
      <c r="H16449" t="s">
        <v>135</v>
      </c>
    </row>
    <row r="16450" spans="8:8" x14ac:dyDescent="0.25">
      <c r="H16450" t="s">
        <v>1850</v>
      </c>
    </row>
    <row r="16451" spans="8:8" x14ac:dyDescent="0.25">
      <c r="H16451" t="s">
        <v>30</v>
      </c>
    </row>
    <row r="16452" spans="8:8" x14ac:dyDescent="0.25">
      <c r="H16452" t="s">
        <v>136</v>
      </c>
    </row>
    <row r="16453" spans="8:8" x14ac:dyDescent="0.25">
      <c r="H16453" t="s">
        <v>1851</v>
      </c>
    </row>
    <row r="16454" spans="8:8" x14ac:dyDescent="0.25">
      <c r="H16454" t="s">
        <v>30</v>
      </c>
    </row>
    <row r="16455" spans="8:8" x14ac:dyDescent="0.25">
      <c r="H16455" t="s">
        <v>137</v>
      </c>
    </row>
    <row r="16456" spans="8:8" x14ac:dyDescent="0.25">
      <c r="H16456" t="s">
        <v>1852</v>
      </c>
    </row>
    <row r="16457" spans="8:8" x14ac:dyDescent="0.25">
      <c r="H16457" t="s">
        <v>30</v>
      </c>
    </row>
    <row r="16458" spans="8:8" x14ac:dyDescent="0.25">
      <c r="H16458" t="s">
        <v>138</v>
      </c>
    </row>
    <row r="16459" spans="8:8" x14ac:dyDescent="0.25">
      <c r="H16459" t="s">
        <v>1853</v>
      </c>
    </row>
    <row r="16460" spans="8:8" x14ac:dyDescent="0.25">
      <c r="H16460" t="s">
        <v>30</v>
      </c>
    </row>
    <row r="16462" spans="8:8" x14ac:dyDescent="0.25">
      <c r="H16462" t="s">
        <v>947</v>
      </c>
    </row>
    <row r="16463" spans="8:8" x14ac:dyDescent="0.25">
      <c r="H16463" t="s">
        <v>948</v>
      </c>
    </row>
    <row r="16464" spans="8:8" x14ac:dyDescent="0.25">
      <c r="H16464" t="s">
        <v>135</v>
      </c>
    </row>
    <row r="16465" spans="8:8" x14ac:dyDescent="0.25">
      <c r="H16465" t="s">
        <v>1854</v>
      </c>
    </row>
    <row r="16466" spans="8:8" x14ac:dyDescent="0.25">
      <c r="H16466" t="s">
        <v>30</v>
      </c>
    </row>
    <row r="16467" spans="8:8" x14ac:dyDescent="0.25">
      <c r="H16467" t="s">
        <v>136</v>
      </c>
    </row>
    <row r="16468" spans="8:8" x14ac:dyDescent="0.25">
      <c r="H16468" t="s">
        <v>1855</v>
      </c>
    </row>
    <row r="16469" spans="8:8" x14ac:dyDescent="0.25">
      <c r="H16469" t="s">
        <v>30</v>
      </c>
    </row>
    <row r="16470" spans="8:8" x14ac:dyDescent="0.25">
      <c r="H16470" t="s">
        <v>137</v>
      </c>
    </row>
    <row r="16471" spans="8:8" x14ac:dyDescent="0.25">
      <c r="H16471" t="s">
        <v>1856</v>
      </c>
    </row>
    <row r="16472" spans="8:8" x14ac:dyDescent="0.25">
      <c r="H16472" t="s">
        <v>30</v>
      </c>
    </row>
    <row r="16473" spans="8:8" x14ac:dyDescent="0.25">
      <c r="H16473" t="s">
        <v>138</v>
      </c>
    </row>
    <row r="16474" spans="8:8" x14ac:dyDescent="0.25">
      <c r="H16474" t="s">
        <v>1857</v>
      </c>
    </row>
    <row r="16475" spans="8:8" x14ac:dyDescent="0.25">
      <c r="H16475" t="s">
        <v>30</v>
      </c>
    </row>
    <row r="16477" spans="8:8" x14ac:dyDescent="0.25">
      <c r="H16477" t="s">
        <v>953</v>
      </c>
    </row>
    <row r="16478" spans="8:8" x14ac:dyDescent="0.25">
      <c r="H16478" t="s">
        <v>954</v>
      </c>
    </row>
    <row r="16479" spans="8:8" x14ac:dyDescent="0.25">
      <c r="H16479" t="s">
        <v>135</v>
      </c>
    </row>
    <row r="16480" spans="8:8" x14ac:dyDescent="0.25">
      <c r="H16480" t="s">
        <v>1858</v>
      </c>
    </row>
    <row r="16481" spans="8:8" x14ac:dyDescent="0.25">
      <c r="H16481" t="s">
        <v>30</v>
      </c>
    </row>
    <row r="16483" spans="8:8" x14ac:dyDescent="0.25">
      <c r="H16483" t="s">
        <v>956</v>
      </c>
    </row>
    <row r="16484" spans="8:8" x14ac:dyDescent="0.25">
      <c r="H16484" t="s">
        <v>957</v>
      </c>
    </row>
    <row r="16485" spans="8:8" x14ac:dyDescent="0.25">
      <c r="H16485" t="s">
        <v>135</v>
      </c>
    </row>
    <row r="16486" spans="8:8" x14ac:dyDescent="0.25">
      <c r="H16486" t="s">
        <v>1859</v>
      </c>
    </row>
    <row r="16487" spans="8:8" x14ac:dyDescent="0.25">
      <c r="H16487" t="s">
        <v>30</v>
      </c>
    </row>
    <row r="16489" spans="8:8" x14ac:dyDescent="0.25">
      <c r="H16489" t="s">
        <v>959</v>
      </c>
    </row>
    <row r="16490" spans="8:8" x14ac:dyDescent="0.25">
      <c r="H16490" t="s">
        <v>960</v>
      </c>
    </row>
    <row r="16491" spans="8:8" x14ac:dyDescent="0.25">
      <c r="H16491" t="s">
        <v>135</v>
      </c>
    </row>
    <row r="16492" spans="8:8" x14ac:dyDescent="0.25">
      <c r="H16492" t="s">
        <v>1860</v>
      </c>
    </row>
    <row r="16493" spans="8:8" x14ac:dyDescent="0.25">
      <c r="H16493" t="s">
        <v>30</v>
      </c>
    </row>
    <row r="16495" spans="8:8" x14ac:dyDescent="0.25">
      <c r="H16495" t="s">
        <v>962</v>
      </c>
    </row>
    <row r="16496" spans="8:8" x14ac:dyDescent="0.25">
      <c r="H16496" t="s">
        <v>963</v>
      </c>
    </row>
    <row r="16497" spans="8:8" x14ac:dyDescent="0.25">
      <c r="H16497" t="s">
        <v>135</v>
      </c>
    </row>
    <row r="16498" spans="8:8" x14ac:dyDescent="0.25">
      <c r="H16498" t="s">
        <v>1861</v>
      </c>
    </row>
    <row r="16499" spans="8:8" x14ac:dyDescent="0.25">
      <c r="H16499" t="s">
        <v>30</v>
      </c>
    </row>
    <row r="16501" spans="8:8" x14ac:dyDescent="0.25">
      <c r="H16501" t="s">
        <v>965</v>
      </c>
    </row>
    <row r="16502" spans="8:8" x14ac:dyDescent="0.25">
      <c r="H16502" t="s">
        <v>966</v>
      </c>
    </row>
    <row r="16503" spans="8:8" x14ac:dyDescent="0.25">
      <c r="H16503" t="s">
        <v>135</v>
      </c>
    </row>
    <row r="16504" spans="8:8" x14ac:dyDescent="0.25">
      <c r="H16504" t="s">
        <v>1862</v>
      </c>
    </row>
    <row r="16505" spans="8:8" x14ac:dyDescent="0.25">
      <c r="H16505" t="s">
        <v>30</v>
      </c>
    </row>
    <row r="16507" spans="8:8" x14ac:dyDescent="0.25">
      <c r="H16507" t="s">
        <v>968</v>
      </c>
    </row>
    <row r="16508" spans="8:8" x14ac:dyDescent="0.25">
      <c r="H16508" t="s">
        <v>969</v>
      </c>
    </row>
    <row r="16509" spans="8:8" x14ac:dyDescent="0.25">
      <c r="H16509" t="s">
        <v>135</v>
      </c>
    </row>
    <row r="16510" spans="8:8" x14ac:dyDescent="0.25">
      <c r="H16510" t="s">
        <v>1863</v>
      </c>
    </row>
    <row r="16511" spans="8:8" x14ac:dyDescent="0.25">
      <c r="H16511" t="s">
        <v>30</v>
      </c>
    </row>
    <row r="16513" spans="8:8" x14ac:dyDescent="0.25">
      <c r="H16513" t="s">
        <v>971</v>
      </c>
    </row>
    <row r="16514" spans="8:8" x14ac:dyDescent="0.25">
      <c r="H16514" t="s">
        <v>972</v>
      </c>
    </row>
    <row r="16515" spans="8:8" x14ac:dyDescent="0.25">
      <c r="H16515" t="s">
        <v>135</v>
      </c>
    </row>
    <row r="16516" spans="8:8" x14ac:dyDescent="0.25">
      <c r="H16516" t="s">
        <v>1864</v>
      </c>
    </row>
    <row r="16517" spans="8:8" x14ac:dyDescent="0.25">
      <c r="H16517" t="s">
        <v>30</v>
      </c>
    </row>
    <row r="16519" spans="8:8" x14ac:dyDescent="0.25">
      <c r="H16519" t="s">
        <v>974</v>
      </c>
    </row>
    <row r="16520" spans="8:8" x14ac:dyDescent="0.25">
      <c r="H16520" t="s">
        <v>975</v>
      </c>
    </row>
    <row r="16521" spans="8:8" x14ac:dyDescent="0.25">
      <c r="H16521" t="s">
        <v>135</v>
      </c>
    </row>
    <row r="16522" spans="8:8" x14ac:dyDescent="0.25">
      <c r="H16522" t="s">
        <v>1865</v>
      </c>
    </row>
    <row r="16523" spans="8:8" x14ac:dyDescent="0.25">
      <c r="H16523" t="s">
        <v>30</v>
      </c>
    </row>
    <row r="16525" spans="8:8" x14ac:dyDescent="0.25">
      <c r="H16525" t="s">
        <v>977</v>
      </c>
    </row>
    <row r="16526" spans="8:8" x14ac:dyDescent="0.25">
      <c r="H16526" t="s">
        <v>978</v>
      </c>
    </row>
    <row r="16527" spans="8:8" x14ac:dyDescent="0.25">
      <c r="H16527" t="s">
        <v>135</v>
      </c>
    </row>
    <row r="16528" spans="8:8" x14ac:dyDescent="0.25">
      <c r="H16528" t="s">
        <v>1866</v>
      </c>
    </row>
    <row r="16529" spans="8:8" x14ac:dyDescent="0.25">
      <c r="H16529" t="s">
        <v>30</v>
      </c>
    </row>
    <row r="16531" spans="8:8" x14ac:dyDescent="0.25">
      <c r="H16531" t="s">
        <v>980</v>
      </c>
    </row>
    <row r="16532" spans="8:8" x14ac:dyDescent="0.25">
      <c r="H16532" t="s">
        <v>981</v>
      </c>
    </row>
    <row r="16533" spans="8:8" x14ac:dyDescent="0.25">
      <c r="H16533" t="s">
        <v>135</v>
      </c>
    </row>
    <row r="16534" spans="8:8" x14ac:dyDescent="0.25">
      <c r="H16534" t="s">
        <v>1867</v>
      </c>
    </row>
    <row r="16535" spans="8:8" x14ac:dyDescent="0.25">
      <c r="H16535" t="s">
        <v>30</v>
      </c>
    </row>
    <row r="16537" spans="8:8" x14ac:dyDescent="0.25">
      <c r="H16537" t="s">
        <v>983</v>
      </c>
    </row>
    <row r="16538" spans="8:8" x14ac:dyDescent="0.25">
      <c r="H16538" t="s">
        <v>984</v>
      </c>
    </row>
    <row r="16539" spans="8:8" x14ac:dyDescent="0.25">
      <c r="H16539" t="s">
        <v>135</v>
      </c>
    </row>
    <row r="16540" spans="8:8" x14ac:dyDescent="0.25">
      <c r="H16540" t="s">
        <v>1868</v>
      </c>
    </row>
    <row r="16541" spans="8:8" x14ac:dyDescent="0.25">
      <c r="H16541" t="s">
        <v>30</v>
      </c>
    </row>
    <row r="16543" spans="8:8" x14ac:dyDescent="0.25">
      <c r="H16543" t="s">
        <v>986</v>
      </c>
    </row>
    <row r="16544" spans="8:8" x14ac:dyDescent="0.25">
      <c r="H16544" t="s">
        <v>987</v>
      </c>
    </row>
    <row r="16545" spans="8:8" x14ac:dyDescent="0.25">
      <c r="H16545" t="s">
        <v>135</v>
      </c>
    </row>
    <row r="16546" spans="8:8" x14ac:dyDescent="0.25">
      <c r="H16546" t="s">
        <v>1869</v>
      </c>
    </row>
    <row r="16547" spans="8:8" x14ac:dyDescent="0.25">
      <c r="H16547" t="s">
        <v>30</v>
      </c>
    </row>
    <row r="16549" spans="8:8" x14ac:dyDescent="0.25">
      <c r="H16549" t="s">
        <v>989</v>
      </c>
    </row>
    <row r="16550" spans="8:8" x14ac:dyDescent="0.25">
      <c r="H16550" t="s">
        <v>990</v>
      </c>
    </row>
    <row r="16551" spans="8:8" x14ac:dyDescent="0.25">
      <c r="H16551" t="s">
        <v>135</v>
      </c>
    </row>
    <row r="16552" spans="8:8" x14ac:dyDescent="0.25">
      <c r="H16552" t="s">
        <v>1870</v>
      </c>
    </row>
    <row r="16553" spans="8:8" x14ac:dyDescent="0.25">
      <c r="H16553" t="s">
        <v>30</v>
      </c>
    </row>
    <row r="16555" spans="8:8" x14ac:dyDescent="0.25">
      <c r="H16555" t="s">
        <v>992</v>
      </c>
    </row>
    <row r="16556" spans="8:8" x14ac:dyDescent="0.25">
      <c r="H16556" t="s">
        <v>993</v>
      </c>
    </row>
    <row r="16557" spans="8:8" x14ac:dyDescent="0.25">
      <c r="H16557" t="s">
        <v>135</v>
      </c>
    </row>
    <row r="16558" spans="8:8" x14ac:dyDescent="0.25">
      <c r="H16558" t="s">
        <v>1871</v>
      </c>
    </row>
    <row r="16559" spans="8:8" x14ac:dyDescent="0.25">
      <c r="H16559" t="s">
        <v>30</v>
      </c>
    </row>
    <row r="16561" spans="8:8" x14ac:dyDescent="0.25">
      <c r="H16561" t="s">
        <v>995</v>
      </c>
    </row>
    <row r="16562" spans="8:8" x14ac:dyDescent="0.25">
      <c r="H16562" t="s">
        <v>996</v>
      </c>
    </row>
    <row r="16563" spans="8:8" x14ac:dyDescent="0.25">
      <c r="H16563" t="s">
        <v>135</v>
      </c>
    </row>
    <row r="16564" spans="8:8" x14ac:dyDescent="0.25">
      <c r="H16564" t="s">
        <v>1872</v>
      </c>
    </row>
    <row r="16565" spans="8:8" x14ac:dyDescent="0.25">
      <c r="H16565" t="s">
        <v>30</v>
      </c>
    </row>
    <row r="16567" spans="8:8" x14ac:dyDescent="0.25">
      <c r="H16567" t="s">
        <v>998</v>
      </c>
    </row>
    <row r="16568" spans="8:8" x14ac:dyDescent="0.25">
      <c r="H16568" t="s">
        <v>999</v>
      </c>
    </row>
    <row r="16569" spans="8:8" x14ac:dyDescent="0.25">
      <c r="H16569" t="s">
        <v>135</v>
      </c>
    </row>
    <row r="16570" spans="8:8" x14ac:dyDescent="0.25">
      <c r="H16570" t="s">
        <v>1873</v>
      </c>
    </row>
    <row r="16571" spans="8:8" x14ac:dyDescent="0.25">
      <c r="H16571" t="s">
        <v>30</v>
      </c>
    </row>
    <row r="16572" spans="8:8" x14ac:dyDescent="0.25">
      <c r="H16572" t="s">
        <v>136</v>
      </c>
    </row>
    <row r="16573" spans="8:8" x14ac:dyDescent="0.25">
      <c r="H16573" t="s">
        <v>1874</v>
      </c>
    </row>
    <row r="16574" spans="8:8" x14ac:dyDescent="0.25">
      <c r="H16574" t="s">
        <v>30</v>
      </c>
    </row>
    <row r="16575" spans="8:8" x14ac:dyDescent="0.25">
      <c r="H16575" t="s">
        <v>137</v>
      </c>
    </row>
    <row r="16576" spans="8:8" x14ac:dyDescent="0.25">
      <c r="H16576" t="s">
        <v>1875</v>
      </c>
    </row>
    <row r="16577" spans="8:8" x14ac:dyDescent="0.25">
      <c r="H16577" t="s">
        <v>30</v>
      </c>
    </row>
    <row r="16578" spans="8:8" x14ac:dyDescent="0.25">
      <c r="H16578" t="s">
        <v>138</v>
      </c>
    </row>
    <row r="16579" spans="8:8" x14ac:dyDescent="0.25">
      <c r="H16579" t="s">
        <v>1876</v>
      </c>
    </row>
    <row r="16580" spans="8:8" x14ac:dyDescent="0.25">
      <c r="H16580" t="s">
        <v>30</v>
      </c>
    </row>
    <row r="16582" spans="8:8" x14ac:dyDescent="0.25">
      <c r="H16582" t="s">
        <v>1004</v>
      </c>
    </row>
    <row r="16583" spans="8:8" x14ac:dyDescent="0.25">
      <c r="H16583" t="s">
        <v>1005</v>
      </c>
    </row>
    <row r="16584" spans="8:8" x14ac:dyDescent="0.25">
      <c r="H16584" t="s">
        <v>135</v>
      </c>
    </row>
    <row r="16585" spans="8:8" x14ac:dyDescent="0.25">
      <c r="H16585" t="s">
        <v>1877</v>
      </c>
    </row>
    <row r="16586" spans="8:8" x14ac:dyDescent="0.25">
      <c r="H16586" t="s">
        <v>30</v>
      </c>
    </row>
    <row r="16587" spans="8:8" x14ac:dyDescent="0.25">
      <c r="H16587" t="s">
        <v>136</v>
      </c>
    </row>
    <row r="16588" spans="8:8" x14ac:dyDescent="0.25">
      <c r="H16588" t="s">
        <v>1878</v>
      </c>
    </row>
    <row r="16589" spans="8:8" x14ac:dyDescent="0.25">
      <c r="H16589" t="s">
        <v>30</v>
      </c>
    </row>
    <row r="16590" spans="8:8" x14ac:dyDescent="0.25">
      <c r="H16590" t="s">
        <v>137</v>
      </c>
    </row>
    <row r="16591" spans="8:8" x14ac:dyDescent="0.25">
      <c r="H16591" t="s">
        <v>1879</v>
      </c>
    </row>
    <row r="16592" spans="8:8" x14ac:dyDescent="0.25">
      <c r="H16592" t="s">
        <v>30</v>
      </c>
    </row>
    <row r="16593" spans="8:8" x14ac:dyDescent="0.25">
      <c r="H16593" t="s">
        <v>138</v>
      </c>
    </row>
    <row r="16594" spans="8:8" x14ac:dyDescent="0.25">
      <c r="H16594" t="s">
        <v>1880</v>
      </c>
    </row>
    <row r="16595" spans="8:8" x14ac:dyDescent="0.25">
      <c r="H16595" t="s">
        <v>30</v>
      </c>
    </row>
    <row r="16597" spans="8:8" x14ac:dyDescent="0.25">
      <c r="H16597" t="s">
        <v>1010</v>
      </c>
    </row>
    <row r="16598" spans="8:8" x14ac:dyDescent="0.25">
      <c r="H16598" t="s">
        <v>1011</v>
      </c>
    </row>
    <row r="16599" spans="8:8" x14ac:dyDescent="0.25">
      <c r="H16599" t="s">
        <v>135</v>
      </c>
    </row>
    <row r="16600" spans="8:8" x14ac:dyDescent="0.25">
      <c r="H16600" t="s">
        <v>2263</v>
      </c>
    </row>
    <row r="16601" spans="8:8" x14ac:dyDescent="0.25">
      <c r="H16601" t="s">
        <v>30</v>
      </c>
    </row>
    <row r="16603" spans="8:8" x14ac:dyDescent="0.25">
      <c r="H16603" t="s">
        <v>1012</v>
      </c>
    </row>
    <row r="16604" spans="8:8" x14ac:dyDescent="0.25">
      <c r="H16604" t="s">
        <v>1013</v>
      </c>
    </row>
    <row r="16605" spans="8:8" x14ac:dyDescent="0.25">
      <c r="H16605" t="s">
        <v>135</v>
      </c>
    </row>
    <row r="16606" spans="8:8" x14ac:dyDescent="0.25">
      <c r="H16606" t="s">
        <v>1881</v>
      </c>
    </row>
    <row r="16607" spans="8:8" x14ac:dyDescent="0.25">
      <c r="H16607" t="s">
        <v>30</v>
      </c>
    </row>
    <row r="16609" spans="8:8" x14ac:dyDescent="0.25">
      <c r="H16609" t="s">
        <v>1015</v>
      </c>
    </row>
    <row r="16610" spans="8:8" x14ac:dyDescent="0.25">
      <c r="H16610" t="s">
        <v>1016</v>
      </c>
    </row>
    <row r="16611" spans="8:8" x14ac:dyDescent="0.25">
      <c r="H16611" t="s">
        <v>135</v>
      </c>
    </row>
    <row r="16612" spans="8:8" x14ac:dyDescent="0.25">
      <c r="H16612" t="s">
        <v>1882</v>
      </c>
    </row>
    <row r="16613" spans="8:8" x14ac:dyDescent="0.25">
      <c r="H16613" t="s">
        <v>30</v>
      </c>
    </row>
    <row r="16615" spans="8:8" x14ac:dyDescent="0.25">
      <c r="H16615" t="s">
        <v>1018</v>
      </c>
    </row>
    <row r="16616" spans="8:8" x14ac:dyDescent="0.25">
      <c r="H16616" t="s">
        <v>1019</v>
      </c>
    </row>
    <row r="16617" spans="8:8" x14ac:dyDescent="0.25">
      <c r="H16617" t="s">
        <v>135</v>
      </c>
    </row>
    <row r="16618" spans="8:8" x14ac:dyDescent="0.25">
      <c r="H16618" t="s">
        <v>1883</v>
      </c>
    </row>
    <row r="16619" spans="8:8" x14ac:dyDescent="0.25">
      <c r="H16619" t="s">
        <v>30</v>
      </c>
    </row>
    <row r="16621" spans="8:8" x14ac:dyDescent="0.25">
      <c r="H16621" t="s">
        <v>1021</v>
      </c>
    </row>
    <row r="16622" spans="8:8" x14ac:dyDescent="0.25">
      <c r="H16622" t="s">
        <v>1022</v>
      </c>
    </row>
    <row r="16623" spans="8:8" x14ac:dyDescent="0.25">
      <c r="H16623" t="s">
        <v>135</v>
      </c>
    </row>
    <row r="16624" spans="8:8" x14ac:dyDescent="0.25">
      <c r="H16624" t="s">
        <v>1884</v>
      </c>
    </row>
    <row r="16625" spans="8:8" x14ac:dyDescent="0.25">
      <c r="H16625" t="s">
        <v>30</v>
      </c>
    </row>
    <row r="16626" spans="8:8" x14ac:dyDescent="0.25">
      <c r="H16626" t="s">
        <v>136</v>
      </c>
    </row>
    <row r="16627" spans="8:8" x14ac:dyDescent="0.25">
      <c r="H16627" t="s">
        <v>1885</v>
      </c>
    </row>
    <row r="16628" spans="8:8" x14ac:dyDescent="0.25">
      <c r="H16628" t="s">
        <v>30</v>
      </c>
    </row>
    <row r="16629" spans="8:8" x14ac:dyDescent="0.25">
      <c r="H16629" t="s">
        <v>137</v>
      </c>
    </row>
    <row r="16630" spans="8:8" x14ac:dyDescent="0.25">
      <c r="H16630" t="s">
        <v>1886</v>
      </c>
    </row>
    <row r="16631" spans="8:8" x14ac:dyDescent="0.25">
      <c r="H16631" t="s">
        <v>30</v>
      </c>
    </row>
    <row r="16633" spans="8:8" x14ac:dyDescent="0.25">
      <c r="H16633" t="s">
        <v>1026</v>
      </c>
    </row>
    <row r="16634" spans="8:8" x14ac:dyDescent="0.25">
      <c r="H16634" t="s">
        <v>1027</v>
      </c>
    </row>
    <row r="16635" spans="8:8" x14ac:dyDescent="0.25">
      <c r="H16635" t="s">
        <v>135</v>
      </c>
    </row>
    <row r="16636" spans="8:8" x14ac:dyDescent="0.25">
      <c r="H16636" t="s">
        <v>2264</v>
      </c>
    </row>
    <row r="16637" spans="8:8" x14ac:dyDescent="0.25">
      <c r="H16637" t="s">
        <v>30</v>
      </c>
    </row>
    <row r="16639" spans="8:8" x14ac:dyDescent="0.25">
      <c r="H16639" t="s">
        <v>1028</v>
      </c>
    </row>
    <row r="16640" spans="8:8" x14ac:dyDescent="0.25">
      <c r="H16640" t="s">
        <v>1029</v>
      </c>
    </row>
    <row r="16641" spans="8:8" x14ac:dyDescent="0.25">
      <c r="H16641" t="s">
        <v>135</v>
      </c>
    </row>
    <row r="16642" spans="8:8" x14ac:dyDescent="0.25">
      <c r="H16642" t="s">
        <v>1887</v>
      </c>
    </row>
    <row r="16643" spans="8:8" x14ac:dyDescent="0.25">
      <c r="H16643" t="s">
        <v>30</v>
      </c>
    </row>
    <row r="16645" spans="8:8" x14ac:dyDescent="0.25">
      <c r="H16645" t="s">
        <v>1031</v>
      </c>
    </row>
    <row r="16646" spans="8:8" x14ac:dyDescent="0.25">
      <c r="H16646" t="s">
        <v>1032</v>
      </c>
    </row>
    <row r="16647" spans="8:8" x14ac:dyDescent="0.25">
      <c r="H16647" t="s">
        <v>135</v>
      </c>
    </row>
    <row r="16648" spans="8:8" x14ac:dyDescent="0.25">
      <c r="H16648" t="s">
        <v>1888</v>
      </c>
    </row>
    <row r="16649" spans="8:8" x14ac:dyDescent="0.25">
      <c r="H16649" t="s">
        <v>30</v>
      </c>
    </row>
    <row r="16651" spans="8:8" x14ac:dyDescent="0.25">
      <c r="H16651" t="s">
        <v>1034</v>
      </c>
    </row>
    <row r="16652" spans="8:8" x14ac:dyDescent="0.25">
      <c r="H16652" t="s">
        <v>1035</v>
      </c>
    </row>
    <row r="16653" spans="8:8" x14ac:dyDescent="0.25">
      <c r="H16653" t="s">
        <v>135</v>
      </c>
    </row>
    <row r="16654" spans="8:8" x14ac:dyDescent="0.25">
      <c r="H16654" t="s">
        <v>1889</v>
      </c>
    </row>
    <row r="16655" spans="8:8" x14ac:dyDescent="0.25">
      <c r="H16655" t="s">
        <v>30</v>
      </c>
    </row>
    <row r="16657" spans="8:8" x14ac:dyDescent="0.25">
      <c r="H16657" t="s">
        <v>1037</v>
      </c>
    </row>
    <row r="16658" spans="8:8" x14ac:dyDescent="0.25">
      <c r="H16658" t="s">
        <v>1038</v>
      </c>
    </row>
    <row r="16659" spans="8:8" x14ac:dyDescent="0.25">
      <c r="H16659" t="s">
        <v>135</v>
      </c>
    </row>
    <row r="16660" spans="8:8" x14ac:dyDescent="0.25">
      <c r="H16660" t="s">
        <v>1890</v>
      </c>
    </row>
    <row r="16661" spans="8:8" x14ac:dyDescent="0.25">
      <c r="H16661" t="s">
        <v>30</v>
      </c>
    </row>
    <row r="16662" spans="8:8" x14ac:dyDescent="0.25">
      <c r="H16662" t="s">
        <v>136</v>
      </c>
    </row>
    <row r="16663" spans="8:8" x14ac:dyDescent="0.25">
      <c r="H16663" t="s">
        <v>1891</v>
      </c>
    </row>
    <row r="16664" spans="8:8" x14ac:dyDescent="0.25">
      <c r="H16664" t="s">
        <v>30</v>
      </c>
    </row>
    <row r="16665" spans="8:8" x14ac:dyDescent="0.25">
      <c r="H16665" t="s">
        <v>137</v>
      </c>
    </row>
    <row r="16666" spans="8:8" x14ac:dyDescent="0.25">
      <c r="H16666" t="s">
        <v>1892</v>
      </c>
    </row>
    <row r="16667" spans="8:8" x14ac:dyDescent="0.25">
      <c r="H16667" t="s">
        <v>30</v>
      </c>
    </row>
    <row r="16669" spans="8:8" x14ac:dyDescent="0.25">
      <c r="H16669" t="s">
        <v>1042</v>
      </c>
    </row>
    <row r="16670" spans="8:8" x14ac:dyDescent="0.25">
      <c r="H16670" t="s">
        <v>1043</v>
      </c>
    </row>
    <row r="16671" spans="8:8" x14ac:dyDescent="0.25">
      <c r="H16671" t="s">
        <v>135</v>
      </c>
    </row>
    <row r="16672" spans="8:8" x14ac:dyDescent="0.25">
      <c r="H16672" t="s">
        <v>2265</v>
      </c>
    </row>
    <row r="16673" spans="8:8" x14ac:dyDescent="0.25">
      <c r="H16673" t="s">
        <v>30</v>
      </c>
    </row>
    <row r="16675" spans="8:8" x14ac:dyDescent="0.25">
      <c r="H16675" t="s">
        <v>1044</v>
      </c>
    </row>
    <row r="16676" spans="8:8" x14ac:dyDescent="0.25">
      <c r="H16676" t="s">
        <v>1045</v>
      </c>
    </row>
    <row r="16677" spans="8:8" x14ac:dyDescent="0.25">
      <c r="H16677" t="s">
        <v>135</v>
      </c>
    </row>
    <row r="16678" spans="8:8" x14ac:dyDescent="0.25">
      <c r="H16678" t="s">
        <v>1893</v>
      </c>
    </row>
    <row r="16679" spans="8:8" x14ac:dyDescent="0.25">
      <c r="H16679" t="s">
        <v>30</v>
      </c>
    </row>
    <row r="16681" spans="8:8" x14ac:dyDescent="0.25">
      <c r="H16681" t="s">
        <v>1047</v>
      </c>
    </row>
    <row r="16682" spans="8:8" x14ac:dyDescent="0.25">
      <c r="H16682" t="s">
        <v>1048</v>
      </c>
    </row>
    <row r="16683" spans="8:8" x14ac:dyDescent="0.25">
      <c r="H16683" t="s">
        <v>135</v>
      </c>
    </row>
    <row r="16684" spans="8:8" x14ac:dyDescent="0.25">
      <c r="H16684" t="s">
        <v>1894</v>
      </c>
    </row>
    <row r="16685" spans="8:8" x14ac:dyDescent="0.25">
      <c r="H16685" t="s">
        <v>30</v>
      </c>
    </row>
    <row r="16687" spans="8:8" x14ac:dyDescent="0.25">
      <c r="H16687" t="s">
        <v>1050</v>
      </c>
    </row>
    <row r="16688" spans="8:8" x14ac:dyDescent="0.25">
      <c r="H16688" t="s">
        <v>1051</v>
      </c>
    </row>
    <row r="16689" spans="8:8" x14ac:dyDescent="0.25">
      <c r="H16689" t="s">
        <v>135</v>
      </c>
    </row>
    <row r="16690" spans="8:8" x14ac:dyDescent="0.25">
      <c r="H16690" t="s">
        <v>1895</v>
      </c>
    </row>
    <row r="16691" spans="8:8" x14ac:dyDescent="0.25">
      <c r="H16691" t="s">
        <v>30</v>
      </c>
    </row>
    <row r="16693" spans="8:8" x14ac:dyDescent="0.25">
      <c r="H16693" t="s">
        <v>1053</v>
      </c>
    </row>
    <row r="16694" spans="8:8" x14ac:dyDescent="0.25">
      <c r="H16694" t="s">
        <v>1054</v>
      </c>
    </row>
    <row r="16695" spans="8:8" x14ac:dyDescent="0.25">
      <c r="H16695" t="s">
        <v>135</v>
      </c>
    </row>
    <row r="16696" spans="8:8" x14ac:dyDescent="0.25">
      <c r="H16696" t="s">
        <v>1896</v>
      </c>
    </row>
    <row r="16697" spans="8:8" x14ac:dyDescent="0.25">
      <c r="H16697" t="s">
        <v>30</v>
      </c>
    </row>
    <row r="16698" spans="8:8" x14ac:dyDescent="0.25">
      <c r="H16698" t="s">
        <v>136</v>
      </c>
    </row>
    <row r="16699" spans="8:8" x14ac:dyDescent="0.25">
      <c r="H16699" t="s">
        <v>1897</v>
      </c>
    </row>
    <row r="16700" spans="8:8" x14ac:dyDescent="0.25">
      <c r="H16700" t="s">
        <v>30</v>
      </c>
    </row>
    <row r="16701" spans="8:8" x14ac:dyDescent="0.25">
      <c r="H16701" t="s">
        <v>137</v>
      </c>
    </row>
    <row r="16702" spans="8:8" x14ac:dyDescent="0.25">
      <c r="H16702" t="s">
        <v>1898</v>
      </c>
    </row>
    <row r="16703" spans="8:8" x14ac:dyDescent="0.25">
      <c r="H16703" t="s">
        <v>30</v>
      </c>
    </row>
    <row r="16705" spans="8:8" x14ac:dyDescent="0.25">
      <c r="H16705" t="s">
        <v>1058</v>
      </c>
    </row>
    <row r="16706" spans="8:8" x14ac:dyDescent="0.25">
      <c r="H16706" t="s">
        <v>1059</v>
      </c>
    </row>
    <row r="16707" spans="8:8" x14ac:dyDescent="0.25">
      <c r="H16707" t="s">
        <v>135</v>
      </c>
    </row>
    <row r="16708" spans="8:8" x14ac:dyDescent="0.25">
      <c r="H16708" t="s">
        <v>2266</v>
      </c>
    </row>
    <row r="16709" spans="8:8" x14ac:dyDescent="0.25">
      <c r="H16709" t="s">
        <v>30</v>
      </c>
    </row>
    <row r="16711" spans="8:8" x14ac:dyDescent="0.25">
      <c r="H16711" t="s">
        <v>1060</v>
      </c>
    </row>
    <row r="16712" spans="8:8" x14ac:dyDescent="0.25">
      <c r="H16712" t="s">
        <v>1061</v>
      </c>
    </row>
    <row r="16713" spans="8:8" x14ac:dyDescent="0.25">
      <c r="H16713" t="s">
        <v>135</v>
      </c>
    </row>
    <row r="16714" spans="8:8" x14ac:dyDescent="0.25">
      <c r="H16714" t="s">
        <v>1899</v>
      </c>
    </row>
    <row r="16715" spans="8:8" x14ac:dyDescent="0.25">
      <c r="H16715" t="s">
        <v>30</v>
      </c>
    </row>
    <row r="16717" spans="8:8" x14ac:dyDescent="0.25">
      <c r="H16717" t="s">
        <v>1063</v>
      </c>
    </row>
    <row r="16718" spans="8:8" x14ac:dyDescent="0.25">
      <c r="H16718" t="s">
        <v>1064</v>
      </c>
    </row>
    <row r="16719" spans="8:8" x14ac:dyDescent="0.25">
      <c r="H16719" t="s">
        <v>135</v>
      </c>
    </row>
    <row r="16720" spans="8:8" x14ac:dyDescent="0.25">
      <c r="H16720" t="s">
        <v>1900</v>
      </c>
    </row>
    <row r="16721" spans="8:8" x14ac:dyDescent="0.25">
      <c r="H16721" t="s">
        <v>30</v>
      </c>
    </row>
    <row r="16723" spans="8:8" x14ac:dyDescent="0.25">
      <c r="H16723" t="s">
        <v>1066</v>
      </c>
    </row>
    <row r="16724" spans="8:8" x14ac:dyDescent="0.25">
      <c r="H16724" t="s">
        <v>1067</v>
      </c>
    </row>
    <row r="16725" spans="8:8" x14ac:dyDescent="0.25">
      <c r="H16725" t="s">
        <v>135</v>
      </c>
    </row>
    <row r="16726" spans="8:8" x14ac:dyDescent="0.25">
      <c r="H16726" t="s">
        <v>1901</v>
      </c>
    </row>
    <row r="16727" spans="8:8" x14ac:dyDescent="0.25">
      <c r="H16727" t="s">
        <v>30</v>
      </c>
    </row>
    <row r="16729" spans="8:8" x14ac:dyDescent="0.25">
      <c r="H16729" t="s">
        <v>1069</v>
      </c>
    </row>
    <row r="16730" spans="8:8" x14ac:dyDescent="0.25">
      <c r="H16730" t="s">
        <v>1070</v>
      </c>
    </row>
    <row r="16731" spans="8:8" x14ac:dyDescent="0.25">
      <c r="H16731" t="s">
        <v>135</v>
      </c>
    </row>
    <row r="16732" spans="8:8" x14ac:dyDescent="0.25">
      <c r="H16732" t="s">
        <v>1902</v>
      </c>
    </row>
    <row r="16733" spans="8:8" x14ac:dyDescent="0.25">
      <c r="H16733" t="s">
        <v>30</v>
      </c>
    </row>
    <row r="16734" spans="8:8" x14ac:dyDescent="0.25">
      <c r="H16734" t="s">
        <v>136</v>
      </c>
    </row>
    <row r="16735" spans="8:8" x14ac:dyDescent="0.25">
      <c r="H16735" t="s">
        <v>1903</v>
      </c>
    </row>
    <row r="16736" spans="8:8" x14ac:dyDescent="0.25">
      <c r="H16736" t="s">
        <v>30</v>
      </c>
    </row>
    <row r="16737" spans="8:8" x14ac:dyDescent="0.25">
      <c r="H16737" t="s">
        <v>137</v>
      </c>
    </row>
    <row r="16738" spans="8:8" x14ac:dyDescent="0.25">
      <c r="H16738" t="s">
        <v>1904</v>
      </c>
    </row>
    <row r="16739" spans="8:8" x14ac:dyDescent="0.25">
      <c r="H16739" t="s">
        <v>30</v>
      </c>
    </row>
    <row r="16741" spans="8:8" x14ac:dyDescent="0.25">
      <c r="H16741" t="s">
        <v>1074</v>
      </c>
    </row>
    <row r="16742" spans="8:8" x14ac:dyDescent="0.25">
      <c r="H16742" t="s">
        <v>1075</v>
      </c>
    </row>
    <row r="16743" spans="8:8" x14ac:dyDescent="0.25">
      <c r="H16743" t="s">
        <v>135</v>
      </c>
    </row>
    <row r="16744" spans="8:8" x14ac:dyDescent="0.25">
      <c r="H16744" t="s">
        <v>2267</v>
      </c>
    </row>
    <row r="16745" spans="8:8" x14ac:dyDescent="0.25">
      <c r="H16745" t="s">
        <v>30</v>
      </c>
    </row>
    <row r="16747" spans="8:8" x14ac:dyDescent="0.25">
      <c r="H16747" t="s">
        <v>1076</v>
      </c>
    </row>
    <row r="16748" spans="8:8" x14ac:dyDescent="0.25">
      <c r="H16748" t="s">
        <v>1077</v>
      </c>
    </row>
    <row r="16749" spans="8:8" x14ac:dyDescent="0.25">
      <c r="H16749" t="s">
        <v>135</v>
      </c>
    </row>
    <row r="16750" spans="8:8" x14ac:dyDescent="0.25">
      <c r="H16750" t="s">
        <v>1905</v>
      </c>
    </row>
    <row r="16751" spans="8:8" x14ac:dyDescent="0.25">
      <c r="H16751" t="s">
        <v>30</v>
      </c>
    </row>
    <row r="16753" spans="8:8" x14ac:dyDescent="0.25">
      <c r="H16753" t="s">
        <v>1079</v>
      </c>
    </row>
    <row r="16754" spans="8:8" x14ac:dyDescent="0.25">
      <c r="H16754" t="s">
        <v>1080</v>
      </c>
    </row>
    <row r="16755" spans="8:8" x14ac:dyDescent="0.25">
      <c r="H16755" t="s">
        <v>135</v>
      </c>
    </row>
    <row r="16756" spans="8:8" x14ac:dyDescent="0.25">
      <c r="H16756" t="s">
        <v>1906</v>
      </c>
    </row>
    <row r="16757" spans="8:8" x14ac:dyDescent="0.25">
      <c r="H16757" t="s">
        <v>30</v>
      </c>
    </row>
    <row r="16759" spans="8:8" x14ac:dyDescent="0.25">
      <c r="H16759" t="s">
        <v>1082</v>
      </c>
    </row>
    <row r="16760" spans="8:8" x14ac:dyDescent="0.25">
      <c r="H16760" t="s">
        <v>1083</v>
      </c>
    </row>
    <row r="16761" spans="8:8" x14ac:dyDescent="0.25">
      <c r="H16761" t="s">
        <v>135</v>
      </c>
    </row>
    <row r="16762" spans="8:8" x14ac:dyDescent="0.25">
      <c r="H16762" t="s">
        <v>1907</v>
      </c>
    </row>
    <row r="16763" spans="8:8" x14ac:dyDescent="0.25">
      <c r="H16763" t="s">
        <v>30</v>
      </c>
    </row>
    <row r="16765" spans="8:8" x14ac:dyDescent="0.25">
      <c r="H16765" t="s">
        <v>1085</v>
      </c>
    </row>
    <row r="16766" spans="8:8" x14ac:dyDescent="0.25">
      <c r="H16766" t="s">
        <v>1086</v>
      </c>
    </row>
    <row r="16767" spans="8:8" x14ac:dyDescent="0.25">
      <c r="H16767" t="s">
        <v>135</v>
      </c>
    </row>
    <row r="16768" spans="8:8" x14ac:dyDescent="0.25">
      <c r="H16768" t="s">
        <v>1908</v>
      </c>
    </row>
    <row r="16769" spans="8:8" x14ac:dyDescent="0.25">
      <c r="H16769" t="s">
        <v>30</v>
      </c>
    </row>
    <row r="16770" spans="8:8" x14ac:dyDescent="0.25">
      <c r="H16770" t="s">
        <v>136</v>
      </c>
    </row>
    <row r="16771" spans="8:8" x14ac:dyDescent="0.25">
      <c r="H16771" t="s">
        <v>1909</v>
      </c>
    </row>
    <row r="16772" spans="8:8" x14ac:dyDescent="0.25">
      <c r="H16772" t="s">
        <v>30</v>
      </c>
    </row>
    <row r="16773" spans="8:8" x14ac:dyDescent="0.25">
      <c r="H16773" t="s">
        <v>137</v>
      </c>
    </row>
    <row r="16774" spans="8:8" x14ac:dyDescent="0.25">
      <c r="H16774" t="s">
        <v>1910</v>
      </c>
    </row>
    <row r="16775" spans="8:8" x14ac:dyDescent="0.25">
      <c r="H16775" t="s">
        <v>30</v>
      </c>
    </row>
    <row r="16777" spans="8:8" x14ac:dyDescent="0.25">
      <c r="H16777" t="s">
        <v>1090</v>
      </c>
    </row>
    <row r="16778" spans="8:8" x14ac:dyDescent="0.25">
      <c r="H16778" t="s">
        <v>1091</v>
      </c>
    </row>
    <row r="16779" spans="8:8" x14ac:dyDescent="0.25">
      <c r="H16779" t="s">
        <v>135</v>
      </c>
    </row>
    <row r="16780" spans="8:8" x14ac:dyDescent="0.25">
      <c r="H16780" t="s">
        <v>2268</v>
      </c>
    </row>
    <row r="16781" spans="8:8" x14ac:dyDescent="0.25">
      <c r="H16781" t="s">
        <v>30</v>
      </c>
    </row>
    <row r="16783" spans="8:8" x14ac:dyDescent="0.25">
      <c r="H16783" t="s">
        <v>1092</v>
      </c>
    </row>
    <row r="16784" spans="8:8" x14ac:dyDescent="0.25">
      <c r="H16784" t="s">
        <v>1093</v>
      </c>
    </row>
    <row r="16785" spans="8:8" x14ac:dyDescent="0.25">
      <c r="H16785" t="s">
        <v>135</v>
      </c>
    </row>
    <row r="16786" spans="8:8" x14ac:dyDescent="0.25">
      <c r="H16786" t="s">
        <v>1911</v>
      </c>
    </row>
    <row r="16787" spans="8:8" x14ac:dyDescent="0.25">
      <c r="H16787" t="s">
        <v>30</v>
      </c>
    </row>
    <row r="16789" spans="8:8" x14ac:dyDescent="0.25">
      <c r="H16789" t="s">
        <v>1095</v>
      </c>
    </row>
    <row r="16790" spans="8:8" x14ac:dyDescent="0.25">
      <c r="H16790" t="s">
        <v>1096</v>
      </c>
    </row>
    <row r="16791" spans="8:8" x14ac:dyDescent="0.25">
      <c r="H16791" t="s">
        <v>135</v>
      </c>
    </row>
    <row r="16792" spans="8:8" x14ac:dyDescent="0.25">
      <c r="H16792" t="s">
        <v>1912</v>
      </c>
    </row>
    <row r="16793" spans="8:8" x14ac:dyDescent="0.25">
      <c r="H16793" t="s">
        <v>30</v>
      </c>
    </row>
    <row r="16795" spans="8:8" x14ac:dyDescent="0.25">
      <c r="H16795" t="s">
        <v>1098</v>
      </c>
    </row>
    <row r="16796" spans="8:8" x14ac:dyDescent="0.25">
      <c r="H16796" t="s">
        <v>1099</v>
      </c>
    </row>
    <row r="16797" spans="8:8" x14ac:dyDescent="0.25">
      <c r="H16797" t="s">
        <v>135</v>
      </c>
    </row>
    <row r="16798" spans="8:8" x14ac:dyDescent="0.25">
      <c r="H16798" t="s">
        <v>1913</v>
      </c>
    </row>
    <row r="16799" spans="8:8" x14ac:dyDescent="0.25">
      <c r="H16799" t="s">
        <v>30</v>
      </c>
    </row>
    <row r="16801" spans="8:8" x14ac:dyDescent="0.25">
      <c r="H16801" t="s">
        <v>1101</v>
      </c>
    </row>
    <row r="16802" spans="8:8" x14ac:dyDescent="0.25">
      <c r="H16802" t="s">
        <v>1102</v>
      </c>
    </row>
    <row r="16803" spans="8:8" x14ac:dyDescent="0.25">
      <c r="H16803" t="s">
        <v>135</v>
      </c>
    </row>
    <row r="16804" spans="8:8" x14ac:dyDescent="0.25">
      <c r="H16804" t="s">
        <v>1914</v>
      </c>
    </row>
    <row r="16805" spans="8:8" x14ac:dyDescent="0.25">
      <c r="H16805" t="s">
        <v>30</v>
      </c>
    </row>
    <row r="16806" spans="8:8" x14ac:dyDescent="0.25">
      <c r="H16806" t="s">
        <v>136</v>
      </c>
    </row>
    <row r="16807" spans="8:8" x14ac:dyDescent="0.25">
      <c r="H16807" t="s">
        <v>1915</v>
      </c>
    </row>
    <row r="16808" spans="8:8" x14ac:dyDescent="0.25">
      <c r="H16808" t="s">
        <v>30</v>
      </c>
    </row>
    <row r="16809" spans="8:8" x14ac:dyDescent="0.25">
      <c r="H16809" t="s">
        <v>137</v>
      </c>
    </row>
    <row r="16810" spans="8:8" x14ac:dyDescent="0.25">
      <c r="H16810" t="s">
        <v>1916</v>
      </c>
    </row>
    <row r="16811" spans="8:8" x14ac:dyDescent="0.25">
      <c r="H16811" t="s">
        <v>30</v>
      </c>
    </row>
    <row r="16813" spans="8:8" x14ac:dyDescent="0.25">
      <c r="H16813" t="s">
        <v>1106</v>
      </c>
    </row>
    <row r="16814" spans="8:8" x14ac:dyDescent="0.25">
      <c r="H16814" t="s">
        <v>1107</v>
      </c>
    </row>
    <row r="16815" spans="8:8" x14ac:dyDescent="0.25">
      <c r="H16815" t="s">
        <v>135</v>
      </c>
    </row>
    <row r="16816" spans="8:8" x14ac:dyDescent="0.25">
      <c r="H16816" t="s">
        <v>2269</v>
      </c>
    </row>
    <row r="16817" spans="8:8" x14ac:dyDescent="0.25">
      <c r="H16817" t="s">
        <v>30</v>
      </c>
    </row>
    <row r="16819" spans="8:8" x14ac:dyDescent="0.25">
      <c r="H16819" t="s">
        <v>1108</v>
      </c>
    </row>
    <row r="16820" spans="8:8" x14ac:dyDescent="0.25">
      <c r="H16820" t="s">
        <v>1109</v>
      </c>
    </row>
    <row r="16821" spans="8:8" x14ac:dyDescent="0.25">
      <c r="H16821" t="s">
        <v>135</v>
      </c>
    </row>
    <row r="16822" spans="8:8" x14ac:dyDescent="0.25">
      <c r="H16822" t="s">
        <v>1917</v>
      </c>
    </row>
    <row r="16823" spans="8:8" x14ac:dyDescent="0.25">
      <c r="H16823" t="s">
        <v>30</v>
      </c>
    </row>
    <row r="16825" spans="8:8" x14ac:dyDescent="0.25">
      <c r="H16825" t="s">
        <v>1111</v>
      </c>
    </row>
    <row r="16826" spans="8:8" x14ac:dyDescent="0.25">
      <c r="H16826" t="s">
        <v>1112</v>
      </c>
    </row>
    <row r="16827" spans="8:8" x14ac:dyDescent="0.25">
      <c r="H16827" t="s">
        <v>135</v>
      </c>
    </row>
    <row r="16828" spans="8:8" x14ac:dyDescent="0.25">
      <c r="H16828" t="s">
        <v>1918</v>
      </c>
    </row>
    <row r="16829" spans="8:8" x14ac:dyDescent="0.25">
      <c r="H16829" t="s">
        <v>30</v>
      </c>
    </row>
    <row r="16831" spans="8:8" x14ac:dyDescent="0.25">
      <c r="H16831" t="s">
        <v>1114</v>
      </c>
    </row>
    <row r="16832" spans="8:8" x14ac:dyDescent="0.25">
      <c r="H16832" t="s">
        <v>1115</v>
      </c>
    </row>
    <row r="16833" spans="8:8" x14ac:dyDescent="0.25">
      <c r="H16833" t="s">
        <v>135</v>
      </c>
    </row>
    <row r="16834" spans="8:8" x14ac:dyDescent="0.25">
      <c r="H16834" t="s">
        <v>1919</v>
      </c>
    </row>
    <row r="16835" spans="8:8" x14ac:dyDescent="0.25">
      <c r="H16835" t="s">
        <v>30</v>
      </c>
    </row>
    <row r="16837" spans="8:8" x14ac:dyDescent="0.25">
      <c r="H16837" t="s">
        <v>1117</v>
      </c>
    </row>
    <row r="16838" spans="8:8" x14ac:dyDescent="0.25">
      <c r="H16838" t="s">
        <v>1118</v>
      </c>
    </row>
    <row r="16839" spans="8:8" x14ac:dyDescent="0.25">
      <c r="H16839" t="s">
        <v>135</v>
      </c>
    </row>
    <row r="16840" spans="8:8" x14ac:dyDescent="0.25">
      <c r="H16840" t="s">
        <v>1920</v>
      </c>
    </row>
    <row r="16841" spans="8:8" x14ac:dyDescent="0.25">
      <c r="H16841" t="s">
        <v>30</v>
      </c>
    </row>
    <row r="16842" spans="8:8" x14ac:dyDescent="0.25">
      <c r="H16842" t="s">
        <v>136</v>
      </c>
    </row>
    <row r="16843" spans="8:8" x14ac:dyDescent="0.25">
      <c r="H16843" t="s">
        <v>1921</v>
      </c>
    </row>
    <row r="16844" spans="8:8" x14ac:dyDescent="0.25">
      <c r="H16844" t="s">
        <v>30</v>
      </c>
    </row>
    <row r="16845" spans="8:8" x14ac:dyDescent="0.25">
      <c r="H16845" t="s">
        <v>137</v>
      </c>
    </row>
    <row r="16846" spans="8:8" x14ac:dyDescent="0.25">
      <c r="H16846" t="s">
        <v>1922</v>
      </c>
    </row>
    <row r="16847" spans="8:8" x14ac:dyDescent="0.25">
      <c r="H16847" t="s">
        <v>30</v>
      </c>
    </row>
    <row r="16849" spans="8:8" x14ac:dyDescent="0.25">
      <c r="H16849" t="s">
        <v>1122</v>
      </c>
    </row>
    <row r="16850" spans="8:8" x14ac:dyDescent="0.25">
      <c r="H16850" t="s">
        <v>1123</v>
      </c>
    </row>
    <row r="16851" spans="8:8" x14ac:dyDescent="0.25">
      <c r="H16851" t="s">
        <v>135</v>
      </c>
    </row>
    <row r="16852" spans="8:8" x14ac:dyDescent="0.25">
      <c r="H16852" t="s">
        <v>2270</v>
      </c>
    </row>
    <row r="16853" spans="8:8" x14ac:dyDescent="0.25">
      <c r="H16853" t="s">
        <v>30</v>
      </c>
    </row>
    <row r="16855" spans="8:8" x14ac:dyDescent="0.25">
      <c r="H16855" t="s">
        <v>1124</v>
      </c>
    </row>
    <row r="16856" spans="8:8" x14ac:dyDescent="0.25">
      <c r="H16856" t="s">
        <v>1125</v>
      </c>
    </row>
    <row r="16857" spans="8:8" x14ac:dyDescent="0.25">
      <c r="H16857" t="s">
        <v>135</v>
      </c>
    </row>
    <row r="16858" spans="8:8" x14ac:dyDescent="0.25">
      <c r="H16858" t="s">
        <v>1923</v>
      </c>
    </row>
    <row r="16859" spans="8:8" x14ac:dyDescent="0.25">
      <c r="H16859" t="s">
        <v>30</v>
      </c>
    </row>
    <row r="16861" spans="8:8" x14ac:dyDescent="0.25">
      <c r="H16861" t="s">
        <v>1127</v>
      </c>
    </row>
    <row r="16862" spans="8:8" x14ac:dyDescent="0.25">
      <c r="H16862" t="s">
        <v>1128</v>
      </c>
    </row>
    <row r="16863" spans="8:8" x14ac:dyDescent="0.25">
      <c r="H16863" t="s">
        <v>135</v>
      </c>
    </row>
    <row r="16864" spans="8:8" x14ac:dyDescent="0.25">
      <c r="H16864" t="s">
        <v>1924</v>
      </c>
    </row>
    <row r="16865" spans="8:8" x14ac:dyDescent="0.25">
      <c r="H16865" t="s">
        <v>30</v>
      </c>
    </row>
    <row r="16867" spans="8:8" x14ac:dyDescent="0.25">
      <c r="H16867" t="s">
        <v>1130</v>
      </c>
    </row>
    <row r="16868" spans="8:8" x14ac:dyDescent="0.25">
      <c r="H16868" t="s">
        <v>1131</v>
      </c>
    </row>
    <row r="16869" spans="8:8" x14ac:dyDescent="0.25">
      <c r="H16869" t="s">
        <v>135</v>
      </c>
    </row>
    <row r="16870" spans="8:8" x14ac:dyDescent="0.25">
      <c r="H16870" t="s">
        <v>1925</v>
      </c>
    </row>
    <row r="16871" spans="8:8" x14ac:dyDescent="0.25">
      <c r="H16871" t="s">
        <v>30</v>
      </c>
    </row>
    <row r="16873" spans="8:8" x14ac:dyDescent="0.25">
      <c r="H16873" t="s">
        <v>1133</v>
      </c>
    </row>
    <row r="16874" spans="8:8" x14ac:dyDescent="0.25">
      <c r="H16874" t="s">
        <v>1134</v>
      </c>
    </row>
    <row r="16875" spans="8:8" x14ac:dyDescent="0.25">
      <c r="H16875" t="s">
        <v>135</v>
      </c>
    </row>
    <row r="16876" spans="8:8" x14ac:dyDescent="0.25">
      <c r="H16876" t="s">
        <v>1926</v>
      </c>
    </row>
    <row r="16877" spans="8:8" x14ac:dyDescent="0.25">
      <c r="H16877" t="s">
        <v>30</v>
      </c>
    </row>
    <row r="16878" spans="8:8" x14ac:dyDescent="0.25">
      <c r="H16878" t="s">
        <v>136</v>
      </c>
    </row>
    <row r="16879" spans="8:8" x14ac:dyDescent="0.25">
      <c r="H16879" t="s">
        <v>1927</v>
      </c>
    </row>
    <row r="16880" spans="8:8" x14ac:dyDescent="0.25">
      <c r="H16880" t="s">
        <v>30</v>
      </c>
    </row>
    <row r="16881" spans="8:8" x14ac:dyDescent="0.25">
      <c r="H16881" t="s">
        <v>137</v>
      </c>
    </row>
    <row r="16882" spans="8:8" x14ac:dyDescent="0.25">
      <c r="H16882" t="s">
        <v>1928</v>
      </c>
    </row>
    <row r="16883" spans="8:8" x14ac:dyDescent="0.25">
      <c r="H16883" t="s">
        <v>30</v>
      </c>
    </row>
    <row r="16885" spans="8:8" x14ac:dyDescent="0.25">
      <c r="H16885" t="s">
        <v>1138</v>
      </c>
    </row>
    <row r="16886" spans="8:8" x14ac:dyDescent="0.25">
      <c r="H16886" t="s">
        <v>1139</v>
      </c>
    </row>
    <row r="16887" spans="8:8" x14ac:dyDescent="0.25">
      <c r="H16887" t="s">
        <v>135</v>
      </c>
    </row>
    <row r="16888" spans="8:8" x14ac:dyDescent="0.25">
      <c r="H16888" t="s">
        <v>2271</v>
      </c>
    </row>
    <row r="16889" spans="8:8" x14ac:dyDescent="0.25">
      <c r="H16889" t="s">
        <v>30</v>
      </c>
    </row>
    <row r="16891" spans="8:8" x14ac:dyDescent="0.25">
      <c r="H16891" t="s">
        <v>1140</v>
      </c>
    </row>
    <row r="16892" spans="8:8" x14ac:dyDescent="0.25">
      <c r="H16892" t="s">
        <v>1141</v>
      </c>
    </row>
    <row r="16893" spans="8:8" x14ac:dyDescent="0.25">
      <c r="H16893" t="s">
        <v>135</v>
      </c>
    </row>
    <row r="16894" spans="8:8" x14ac:dyDescent="0.25">
      <c r="H16894" t="s">
        <v>1929</v>
      </c>
    </row>
    <row r="16895" spans="8:8" x14ac:dyDescent="0.25">
      <c r="H16895" t="s">
        <v>30</v>
      </c>
    </row>
    <row r="16897" spans="8:8" x14ac:dyDescent="0.25">
      <c r="H16897" t="s">
        <v>1143</v>
      </c>
    </row>
    <row r="16898" spans="8:8" x14ac:dyDescent="0.25">
      <c r="H16898" t="s">
        <v>1144</v>
      </c>
    </row>
    <row r="16899" spans="8:8" x14ac:dyDescent="0.25">
      <c r="H16899" t="s">
        <v>135</v>
      </c>
    </row>
    <row r="16900" spans="8:8" x14ac:dyDescent="0.25">
      <c r="H16900" t="s">
        <v>1930</v>
      </c>
    </row>
    <row r="16901" spans="8:8" x14ac:dyDescent="0.25">
      <c r="H16901" t="s">
        <v>30</v>
      </c>
    </row>
    <row r="16903" spans="8:8" x14ac:dyDescent="0.25">
      <c r="H16903" t="s">
        <v>1146</v>
      </c>
    </row>
    <row r="16904" spans="8:8" x14ac:dyDescent="0.25">
      <c r="H16904" t="s">
        <v>1147</v>
      </c>
    </row>
    <row r="16905" spans="8:8" x14ac:dyDescent="0.25">
      <c r="H16905" t="s">
        <v>135</v>
      </c>
    </row>
    <row r="16906" spans="8:8" x14ac:dyDescent="0.25">
      <c r="H16906" t="s">
        <v>1931</v>
      </c>
    </row>
    <row r="16907" spans="8:8" x14ac:dyDescent="0.25">
      <c r="H16907" t="s">
        <v>30</v>
      </c>
    </row>
    <row r="16909" spans="8:8" x14ac:dyDescent="0.25">
      <c r="H16909" t="s">
        <v>1149</v>
      </c>
    </row>
    <row r="16910" spans="8:8" x14ac:dyDescent="0.25">
      <c r="H16910" t="s">
        <v>1150</v>
      </c>
    </row>
    <row r="16911" spans="8:8" x14ac:dyDescent="0.25">
      <c r="H16911" t="s">
        <v>135</v>
      </c>
    </row>
    <row r="16912" spans="8:8" x14ac:dyDescent="0.25">
      <c r="H16912" t="s">
        <v>1932</v>
      </c>
    </row>
    <row r="16913" spans="8:8" x14ac:dyDescent="0.25">
      <c r="H16913" t="s">
        <v>30</v>
      </c>
    </row>
    <row r="16914" spans="8:8" x14ac:dyDescent="0.25">
      <c r="H16914" t="s">
        <v>136</v>
      </c>
    </row>
    <row r="16915" spans="8:8" x14ac:dyDescent="0.25">
      <c r="H16915" t="s">
        <v>1933</v>
      </c>
    </row>
    <row r="16916" spans="8:8" x14ac:dyDescent="0.25">
      <c r="H16916" t="s">
        <v>30</v>
      </c>
    </row>
    <row r="16917" spans="8:8" x14ac:dyDescent="0.25">
      <c r="H16917" t="s">
        <v>137</v>
      </c>
    </row>
    <row r="16918" spans="8:8" x14ac:dyDescent="0.25">
      <c r="H16918" t="s">
        <v>1934</v>
      </c>
    </row>
    <row r="16919" spans="8:8" x14ac:dyDescent="0.25">
      <c r="H16919" t="s">
        <v>30</v>
      </c>
    </row>
    <row r="16921" spans="8:8" x14ac:dyDescent="0.25">
      <c r="H16921" t="s">
        <v>1154</v>
      </c>
    </row>
    <row r="16922" spans="8:8" x14ac:dyDescent="0.25">
      <c r="H16922" t="s">
        <v>1155</v>
      </c>
    </row>
    <row r="16923" spans="8:8" x14ac:dyDescent="0.25">
      <c r="H16923" t="s">
        <v>135</v>
      </c>
    </row>
    <row r="16924" spans="8:8" x14ac:dyDescent="0.25">
      <c r="H16924" t="s">
        <v>2272</v>
      </c>
    </row>
    <row r="16925" spans="8:8" x14ac:dyDescent="0.25">
      <c r="H16925" t="s">
        <v>30</v>
      </c>
    </row>
    <row r="16927" spans="8:8" x14ac:dyDescent="0.25">
      <c r="H16927" t="s">
        <v>1156</v>
      </c>
    </row>
    <row r="16928" spans="8:8" x14ac:dyDescent="0.25">
      <c r="H16928" t="s">
        <v>1157</v>
      </c>
    </row>
    <row r="16929" spans="8:8" x14ac:dyDescent="0.25">
      <c r="H16929" t="s">
        <v>135</v>
      </c>
    </row>
    <row r="16930" spans="8:8" x14ac:dyDescent="0.25">
      <c r="H16930" t="s">
        <v>1935</v>
      </c>
    </row>
    <row r="16931" spans="8:8" x14ac:dyDescent="0.25">
      <c r="H16931" t="s">
        <v>30</v>
      </c>
    </row>
    <row r="16933" spans="8:8" x14ac:dyDescent="0.25">
      <c r="H16933" t="s">
        <v>1159</v>
      </c>
    </row>
    <row r="16934" spans="8:8" x14ac:dyDescent="0.25">
      <c r="H16934" t="s">
        <v>1160</v>
      </c>
    </row>
    <row r="16935" spans="8:8" x14ac:dyDescent="0.25">
      <c r="H16935" t="s">
        <v>135</v>
      </c>
    </row>
    <row r="16936" spans="8:8" x14ac:dyDescent="0.25">
      <c r="H16936" t="s">
        <v>1936</v>
      </c>
    </row>
    <row r="16937" spans="8:8" x14ac:dyDescent="0.25">
      <c r="H16937" t="s">
        <v>30</v>
      </c>
    </row>
    <row r="16939" spans="8:8" x14ac:dyDescent="0.25">
      <c r="H16939" t="s">
        <v>1162</v>
      </c>
    </row>
    <row r="16940" spans="8:8" x14ac:dyDescent="0.25">
      <c r="H16940" t="s">
        <v>1163</v>
      </c>
    </row>
    <row r="16941" spans="8:8" x14ac:dyDescent="0.25">
      <c r="H16941" t="s">
        <v>135</v>
      </c>
    </row>
    <row r="16942" spans="8:8" x14ac:dyDescent="0.25">
      <c r="H16942" t="s">
        <v>1937</v>
      </c>
    </row>
    <row r="16943" spans="8:8" x14ac:dyDescent="0.25">
      <c r="H16943" t="s">
        <v>30</v>
      </c>
    </row>
    <row r="16945" spans="8:8" x14ac:dyDescent="0.25">
      <c r="H16945" t="s">
        <v>1165</v>
      </c>
    </row>
    <row r="16946" spans="8:8" x14ac:dyDescent="0.25">
      <c r="H16946" t="s">
        <v>1166</v>
      </c>
    </row>
    <row r="16947" spans="8:8" x14ac:dyDescent="0.25">
      <c r="H16947" t="s">
        <v>135</v>
      </c>
    </row>
    <row r="16948" spans="8:8" x14ac:dyDescent="0.25">
      <c r="H16948" t="s">
        <v>1938</v>
      </c>
    </row>
    <row r="16949" spans="8:8" x14ac:dyDescent="0.25">
      <c r="H16949" t="s">
        <v>30</v>
      </c>
    </row>
    <row r="16950" spans="8:8" x14ac:dyDescent="0.25">
      <c r="H16950" t="s">
        <v>136</v>
      </c>
    </row>
    <row r="16951" spans="8:8" x14ac:dyDescent="0.25">
      <c r="H16951" t="s">
        <v>1939</v>
      </c>
    </row>
    <row r="16952" spans="8:8" x14ac:dyDescent="0.25">
      <c r="H16952" t="s">
        <v>30</v>
      </c>
    </row>
    <row r="16953" spans="8:8" x14ac:dyDescent="0.25">
      <c r="H16953" t="s">
        <v>137</v>
      </c>
    </row>
    <row r="16954" spans="8:8" x14ac:dyDescent="0.25">
      <c r="H16954" t="s">
        <v>1940</v>
      </c>
    </row>
    <row r="16955" spans="8:8" x14ac:dyDescent="0.25">
      <c r="H16955" t="s">
        <v>30</v>
      </c>
    </row>
    <row r="16957" spans="8:8" x14ac:dyDescent="0.25">
      <c r="H16957" t="s">
        <v>1170</v>
      </c>
    </row>
    <row r="16958" spans="8:8" x14ac:dyDescent="0.25">
      <c r="H16958" t="s">
        <v>1171</v>
      </c>
    </row>
    <row r="16959" spans="8:8" x14ac:dyDescent="0.25">
      <c r="H16959" t="s">
        <v>135</v>
      </c>
    </row>
    <row r="16960" spans="8:8" x14ac:dyDescent="0.25">
      <c r="H16960" t="s">
        <v>2273</v>
      </c>
    </row>
    <row r="16961" spans="8:8" x14ac:dyDescent="0.25">
      <c r="H16961" t="s">
        <v>30</v>
      </c>
    </row>
    <row r="16963" spans="8:8" x14ac:dyDescent="0.25">
      <c r="H16963" t="s">
        <v>1172</v>
      </c>
    </row>
    <row r="16964" spans="8:8" x14ac:dyDescent="0.25">
      <c r="H16964" t="s">
        <v>1173</v>
      </c>
    </row>
    <row r="16965" spans="8:8" x14ac:dyDescent="0.25">
      <c r="H16965" t="s">
        <v>135</v>
      </c>
    </row>
    <row r="16966" spans="8:8" x14ac:dyDescent="0.25">
      <c r="H16966" t="s">
        <v>1941</v>
      </c>
    </row>
    <row r="16967" spans="8:8" x14ac:dyDescent="0.25">
      <c r="H16967" t="s">
        <v>30</v>
      </c>
    </row>
    <row r="16969" spans="8:8" x14ac:dyDescent="0.25">
      <c r="H16969" t="s">
        <v>1175</v>
      </c>
    </row>
    <row r="16970" spans="8:8" x14ac:dyDescent="0.25">
      <c r="H16970" t="s">
        <v>1176</v>
      </c>
    </row>
    <row r="16971" spans="8:8" x14ac:dyDescent="0.25">
      <c r="H16971" t="s">
        <v>135</v>
      </c>
    </row>
    <row r="16972" spans="8:8" x14ac:dyDescent="0.25">
      <c r="H16972" t="s">
        <v>1942</v>
      </c>
    </row>
    <row r="16973" spans="8:8" x14ac:dyDescent="0.25">
      <c r="H16973" t="s">
        <v>30</v>
      </c>
    </row>
    <row r="16975" spans="8:8" x14ac:dyDescent="0.25">
      <c r="H16975" t="s">
        <v>1178</v>
      </c>
    </row>
    <row r="16976" spans="8:8" x14ac:dyDescent="0.25">
      <c r="H16976" t="s">
        <v>1179</v>
      </c>
    </row>
    <row r="16977" spans="8:8" x14ac:dyDescent="0.25">
      <c r="H16977" t="s">
        <v>135</v>
      </c>
    </row>
    <row r="16978" spans="8:8" x14ac:dyDescent="0.25">
      <c r="H16978" t="s">
        <v>1943</v>
      </c>
    </row>
    <row r="16979" spans="8:8" x14ac:dyDescent="0.25">
      <c r="H16979" t="s">
        <v>30</v>
      </c>
    </row>
    <row r="16981" spans="8:8" x14ac:dyDescent="0.25">
      <c r="H16981" t="s">
        <v>1181</v>
      </c>
    </row>
    <row r="16982" spans="8:8" x14ac:dyDescent="0.25">
      <c r="H16982" t="s">
        <v>1182</v>
      </c>
    </row>
    <row r="16983" spans="8:8" x14ac:dyDescent="0.25">
      <c r="H16983" t="s">
        <v>135</v>
      </c>
    </row>
    <row r="16984" spans="8:8" x14ac:dyDescent="0.25">
      <c r="H16984" t="s">
        <v>1944</v>
      </c>
    </row>
    <row r="16985" spans="8:8" x14ac:dyDescent="0.25">
      <c r="H16985" t="s">
        <v>30</v>
      </c>
    </row>
    <row r="16986" spans="8:8" x14ac:dyDescent="0.25">
      <c r="H16986" t="s">
        <v>136</v>
      </c>
    </row>
    <row r="16987" spans="8:8" x14ac:dyDescent="0.25">
      <c r="H16987" t="s">
        <v>1945</v>
      </c>
    </row>
    <row r="16988" spans="8:8" x14ac:dyDescent="0.25">
      <c r="H16988" t="s">
        <v>30</v>
      </c>
    </row>
    <row r="16989" spans="8:8" x14ac:dyDescent="0.25">
      <c r="H16989" t="s">
        <v>137</v>
      </c>
    </row>
    <row r="16990" spans="8:8" x14ac:dyDescent="0.25">
      <c r="H16990" t="s">
        <v>1946</v>
      </c>
    </row>
    <row r="16991" spans="8:8" x14ac:dyDescent="0.25">
      <c r="H16991" t="s">
        <v>30</v>
      </c>
    </row>
    <row r="16993" spans="8:8" x14ac:dyDescent="0.25">
      <c r="H16993" t="s">
        <v>1186</v>
      </c>
    </row>
    <row r="16994" spans="8:8" x14ac:dyDescent="0.25">
      <c r="H16994" t="s">
        <v>1187</v>
      </c>
    </row>
    <row r="16995" spans="8:8" x14ac:dyDescent="0.25">
      <c r="H16995" t="s">
        <v>135</v>
      </c>
    </row>
    <row r="16996" spans="8:8" x14ac:dyDescent="0.25">
      <c r="H16996" t="s">
        <v>2274</v>
      </c>
    </row>
    <row r="16997" spans="8:8" x14ac:dyDescent="0.25">
      <c r="H16997" t="s">
        <v>30</v>
      </c>
    </row>
    <row r="16999" spans="8:8" x14ac:dyDescent="0.25">
      <c r="H16999" t="s">
        <v>1188</v>
      </c>
    </row>
    <row r="17000" spans="8:8" x14ac:dyDescent="0.25">
      <c r="H17000" t="s">
        <v>1189</v>
      </c>
    </row>
    <row r="17001" spans="8:8" x14ac:dyDescent="0.25">
      <c r="H17001" t="s">
        <v>135</v>
      </c>
    </row>
    <row r="17002" spans="8:8" x14ac:dyDescent="0.25">
      <c r="H17002" t="s">
        <v>1947</v>
      </c>
    </row>
    <row r="17003" spans="8:8" x14ac:dyDescent="0.25">
      <c r="H17003" t="s">
        <v>30</v>
      </c>
    </row>
    <row r="17005" spans="8:8" x14ac:dyDescent="0.25">
      <c r="H17005" t="s">
        <v>1191</v>
      </c>
    </row>
    <row r="17006" spans="8:8" x14ac:dyDescent="0.25">
      <c r="H17006" t="s">
        <v>1192</v>
      </c>
    </row>
    <row r="17007" spans="8:8" x14ac:dyDescent="0.25">
      <c r="H17007" t="s">
        <v>135</v>
      </c>
    </row>
    <row r="17008" spans="8:8" x14ac:dyDescent="0.25">
      <c r="H17008" t="s">
        <v>1948</v>
      </c>
    </row>
    <row r="17009" spans="8:8" x14ac:dyDescent="0.25">
      <c r="H17009" t="s">
        <v>30</v>
      </c>
    </row>
    <row r="17011" spans="8:8" x14ac:dyDescent="0.25">
      <c r="H17011" t="s">
        <v>1194</v>
      </c>
    </row>
    <row r="17012" spans="8:8" x14ac:dyDescent="0.25">
      <c r="H17012" t="s">
        <v>1195</v>
      </c>
    </row>
    <row r="17013" spans="8:8" x14ac:dyDescent="0.25">
      <c r="H17013" t="s">
        <v>135</v>
      </c>
    </row>
    <row r="17014" spans="8:8" x14ac:dyDescent="0.25">
      <c r="H17014" t="s">
        <v>1949</v>
      </c>
    </row>
    <row r="17015" spans="8:8" x14ac:dyDescent="0.25">
      <c r="H17015" t="s">
        <v>30</v>
      </c>
    </row>
    <row r="17017" spans="8:8" x14ac:dyDescent="0.25">
      <c r="H17017" t="s">
        <v>1197</v>
      </c>
    </row>
    <row r="17018" spans="8:8" x14ac:dyDescent="0.25">
      <c r="H17018" t="s">
        <v>1198</v>
      </c>
    </row>
    <row r="17019" spans="8:8" x14ac:dyDescent="0.25">
      <c r="H17019" t="s">
        <v>135</v>
      </c>
    </row>
    <row r="17020" spans="8:8" x14ac:dyDescent="0.25">
      <c r="H17020" t="s">
        <v>1950</v>
      </c>
    </row>
    <row r="17021" spans="8:8" x14ac:dyDescent="0.25">
      <c r="H17021" t="s">
        <v>30</v>
      </c>
    </row>
    <row r="17022" spans="8:8" x14ac:dyDescent="0.25">
      <c r="H17022" t="s">
        <v>136</v>
      </c>
    </row>
    <row r="17023" spans="8:8" x14ac:dyDescent="0.25">
      <c r="H17023" t="s">
        <v>1951</v>
      </c>
    </row>
    <row r="17024" spans="8:8" x14ac:dyDescent="0.25">
      <c r="H17024" t="s">
        <v>30</v>
      </c>
    </row>
    <row r="17025" spans="8:8" x14ac:dyDescent="0.25">
      <c r="H17025" t="s">
        <v>137</v>
      </c>
    </row>
    <row r="17026" spans="8:8" x14ac:dyDescent="0.25">
      <c r="H17026" t="s">
        <v>1952</v>
      </c>
    </row>
    <row r="17027" spans="8:8" x14ac:dyDescent="0.25">
      <c r="H17027" t="s">
        <v>30</v>
      </c>
    </row>
    <row r="17029" spans="8:8" x14ac:dyDescent="0.25">
      <c r="H17029" t="s">
        <v>1202</v>
      </c>
    </row>
    <row r="17030" spans="8:8" x14ac:dyDescent="0.25">
      <c r="H17030" t="s">
        <v>1203</v>
      </c>
    </row>
    <row r="17031" spans="8:8" x14ac:dyDescent="0.25">
      <c r="H17031" t="s">
        <v>135</v>
      </c>
    </row>
    <row r="17032" spans="8:8" x14ac:dyDescent="0.25">
      <c r="H17032" t="s">
        <v>2275</v>
      </c>
    </row>
    <row r="17033" spans="8:8" x14ac:dyDescent="0.25">
      <c r="H17033" t="s">
        <v>30</v>
      </c>
    </row>
    <row r="17035" spans="8:8" x14ac:dyDescent="0.25">
      <c r="H17035" t="s">
        <v>1204</v>
      </c>
    </row>
    <row r="17036" spans="8:8" x14ac:dyDescent="0.25">
      <c r="H17036" t="s">
        <v>1205</v>
      </c>
    </row>
    <row r="17037" spans="8:8" x14ac:dyDescent="0.25">
      <c r="H17037" t="s">
        <v>135</v>
      </c>
    </row>
    <row r="17038" spans="8:8" x14ac:dyDescent="0.25">
      <c r="H17038" t="s">
        <v>1953</v>
      </c>
    </row>
    <row r="17039" spans="8:8" x14ac:dyDescent="0.25">
      <c r="H17039" t="s">
        <v>30</v>
      </c>
    </row>
    <row r="17041" spans="8:8" x14ac:dyDescent="0.25">
      <c r="H17041" t="s">
        <v>1207</v>
      </c>
    </row>
    <row r="17042" spans="8:8" x14ac:dyDescent="0.25">
      <c r="H17042" t="s">
        <v>1208</v>
      </c>
    </row>
    <row r="17043" spans="8:8" x14ac:dyDescent="0.25">
      <c r="H17043" t="s">
        <v>135</v>
      </c>
    </row>
    <row r="17044" spans="8:8" x14ac:dyDescent="0.25">
      <c r="H17044" t="s">
        <v>1954</v>
      </c>
    </row>
    <row r="17045" spans="8:8" x14ac:dyDescent="0.25">
      <c r="H17045" t="s">
        <v>30</v>
      </c>
    </row>
    <row r="17047" spans="8:8" x14ac:dyDescent="0.25">
      <c r="H17047" t="s">
        <v>1210</v>
      </c>
    </row>
    <row r="17048" spans="8:8" x14ac:dyDescent="0.25">
      <c r="H17048" t="s">
        <v>1211</v>
      </c>
    </row>
    <row r="17049" spans="8:8" x14ac:dyDescent="0.25">
      <c r="H17049" t="s">
        <v>135</v>
      </c>
    </row>
    <row r="17050" spans="8:8" x14ac:dyDescent="0.25">
      <c r="H17050" t="s">
        <v>1955</v>
      </c>
    </row>
    <row r="17051" spans="8:8" x14ac:dyDescent="0.25">
      <c r="H17051" t="s">
        <v>30</v>
      </c>
    </row>
    <row r="17053" spans="8:8" x14ac:dyDescent="0.25">
      <c r="H17053" t="s">
        <v>1213</v>
      </c>
    </row>
    <row r="17054" spans="8:8" x14ac:dyDescent="0.25">
      <c r="H17054" t="s">
        <v>1214</v>
      </c>
    </row>
    <row r="17055" spans="8:8" x14ac:dyDescent="0.25">
      <c r="H17055" t="s">
        <v>135</v>
      </c>
    </row>
    <row r="17056" spans="8:8" x14ac:dyDescent="0.25">
      <c r="H17056" t="s">
        <v>1956</v>
      </c>
    </row>
    <row r="17057" spans="8:8" x14ac:dyDescent="0.25">
      <c r="H17057" t="s">
        <v>30</v>
      </c>
    </row>
    <row r="17058" spans="8:8" x14ac:dyDescent="0.25">
      <c r="H17058" t="s">
        <v>136</v>
      </c>
    </row>
    <row r="17059" spans="8:8" x14ac:dyDescent="0.25">
      <c r="H17059" t="s">
        <v>1957</v>
      </c>
    </row>
    <row r="17060" spans="8:8" x14ac:dyDescent="0.25">
      <c r="H17060" t="s">
        <v>30</v>
      </c>
    </row>
    <row r="17061" spans="8:8" x14ac:dyDescent="0.25">
      <c r="H17061" t="s">
        <v>137</v>
      </c>
    </row>
    <row r="17062" spans="8:8" x14ac:dyDescent="0.25">
      <c r="H17062" t="s">
        <v>1958</v>
      </c>
    </row>
    <row r="17063" spans="8:8" x14ac:dyDescent="0.25">
      <c r="H17063" t="s">
        <v>30</v>
      </c>
    </row>
    <row r="17065" spans="8:8" x14ac:dyDescent="0.25">
      <c r="H17065" t="s">
        <v>1218</v>
      </c>
    </row>
    <row r="17066" spans="8:8" x14ac:dyDescent="0.25">
      <c r="H17066" t="s">
        <v>1219</v>
      </c>
    </row>
    <row r="17067" spans="8:8" x14ac:dyDescent="0.25">
      <c r="H17067" t="s">
        <v>135</v>
      </c>
    </row>
    <row r="17068" spans="8:8" x14ac:dyDescent="0.25">
      <c r="H17068" t="s">
        <v>2276</v>
      </c>
    </row>
    <row r="17069" spans="8:8" x14ac:dyDescent="0.25">
      <c r="H17069" t="s">
        <v>30</v>
      </c>
    </row>
    <row r="17071" spans="8:8" x14ac:dyDescent="0.25">
      <c r="H17071" t="s">
        <v>1220</v>
      </c>
    </row>
    <row r="17072" spans="8:8" x14ac:dyDescent="0.25">
      <c r="H17072" t="s">
        <v>1221</v>
      </c>
    </row>
    <row r="17073" spans="8:8" x14ac:dyDescent="0.25">
      <c r="H17073" t="s">
        <v>135</v>
      </c>
    </row>
    <row r="17074" spans="8:8" x14ac:dyDescent="0.25">
      <c r="H17074" t="s">
        <v>1959</v>
      </c>
    </row>
    <row r="17075" spans="8:8" x14ac:dyDescent="0.25">
      <c r="H17075" t="s">
        <v>30</v>
      </c>
    </row>
    <row r="17077" spans="8:8" x14ac:dyDescent="0.25">
      <c r="H17077" t="s">
        <v>1223</v>
      </c>
    </row>
    <row r="17078" spans="8:8" x14ac:dyDescent="0.25">
      <c r="H17078" t="s">
        <v>1224</v>
      </c>
    </row>
    <row r="17079" spans="8:8" x14ac:dyDescent="0.25">
      <c r="H17079" t="s">
        <v>135</v>
      </c>
    </row>
    <row r="17080" spans="8:8" x14ac:dyDescent="0.25">
      <c r="H17080" t="s">
        <v>1960</v>
      </c>
    </row>
    <row r="17081" spans="8:8" x14ac:dyDescent="0.25">
      <c r="H17081" t="s">
        <v>30</v>
      </c>
    </row>
    <row r="17083" spans="8:8" x14ac:dyDescent="0.25">
      <c r="H17083" t="s">
        <v>1226</v>
      </c>
    </row>
    <row r="17084" spans="8:8" x14ac:dyDescent="0.25">
      <c r="H17084" t="s">
        <v>1227</v>
      </c>
    </row>
    <row r="17085" spans="8:8" x14ac:dyDescent="0.25">
      <c r="H17085" t="s">
        <v>135</v>
      </c>
    </row>
    <row r="17086" spans="8:8" x14ac:dyDescent="0.25">
      <c r="H17086" t="s">
        <v>1961</v>
      </c>
    </row>
    <row r="17087" spans="8:8" x14ac:dyDescent="0.25">
      <c r="H17087" t="s">
        <v>30</v>
      </c>
    </row>
    <row r="17089" spans="8:8" x14ac:dyDescent="0.25">
      <c r="H17089" t="s">
        <v>1229</v>
      </c>
    </row>
    <row r="17090" spans="8:8" x14ac:dyDescent="0.25">
      <c r="H17090" t="s">
        <v>1230</v>
      </c>
    </row>
    <row r="17091" spans="8:8" x14ac:dyDescent="0.25">
      <c r="H17091" t="s">
        <v>135</v>
      </c>
    </row>
    <row r="17092" spans="8:8" x14ac:dyDescent="0.25">
      <c r="H17092" t="s">
        <v>1962</v>
      </c>
    </row>
    <row r="17093" spans="8:8" x14ac:dyDescent="0.25">
      <c r="H17093" t="s">
        <v>30</v>
      </c>
    </row>
    <row r="17094" spans="8:8" x14ac:dyDescent="0.25">
      <c r="H17094" t="s">
        <v>136</v>
      </c>
    </row>
    <row r="17095" spans="8:8" x14ac:dyDescent="0.25">
      <c r="H17095" t="s">
        <v>1963</v>
      </c>
    </row>
    <row r="17096" spans="8:8" x14ac:dyDescent="0.25">
      <c r="H17096" t="s">
        <v>30</v>
      </c>
    </row>
    <row r="17097" spans="8:8" x14ac:dyDescent="0.25">
      <c r="H17097" t="s">
        <v>137</v>
      </c>
    </row>
    <row r="17098" spans="8:8" x14ac:dyDescent="0.25">
      <c r="H17098" t="s">
        <v>1964</v>
      </c>
    </row>
    <row r="17099" spans="8:8" x14ac:dyDescent="0.25">
      <c r="H17099" t="s">
        <v>30</v>
      </c>
    </row>
    <row r="17101" spans="8:8" x14ac:dyDescent="0.25">
      <c r="H17101" t="s">
        <v>1234</v>
      </c>
    </row>
    <row r="17102" spans="8:8" x14ac:dyDescent="0.25">
      <c r="H17102" t="s">
        <v>1235</v>
      </c>
    </row>
    <row r="17103" spans="8:8" x14ac:dyDescent="0.25">
      <c r="H17103" t="s">
        <v>135</v>
      </c>
    </row>
    <row r="17104" spans="8:8" x14ac:dyDescent="0.25">
      <c r="H17104" t="s">
        <v>2277</v>
      </c>
    </row>
    <row r="17105" spans="8:8" x14ac:dyDescent="0.25">
      <c r="H17105" t="s">
        <v>30</v>
      </c>
    </row>
    <row r="17107" spans="8:8" x14ac:dyDescent="0.25">
      <c r="H17107" t="s">
        <v>1236</v>
      </c>
    </row>
    <row r="17108" spans="8:8" x14ac:dyDescent="0.25">
      <c r="H17108" t="s">
        <v>1237</v>
      </c>
    </row>
    <row r="17109" spans="8:8" x14ac:dyDescent="0.25">
      <c r="H17109" t="s">
        <v>135</v>
      </c>
    </row>
    <row r="17110" spans="8:8" x14ac:dyDescent="0.25">
      <c r="H17110" t="s">
        <v>1965</v>
      </c>
    </row>
    <row r="17111" spans="8:8" x14ac:dyDescent="0.25">
      <c r="H17111" t="s">
        <v>30</v>
      </c>
    </row>
    <row r="17113" spans="8:8" x14ac:dyDescent="0.25">
      <c r="H17113" t="s">
        <v>1239</v>
      </c>
    </row>
    <row r="17114" spans="8:8" x14ac:dyDescent="0.25">
      <c r="H17114" t="s">
        <v>1240</v>
      </c>
    </row>
    <row r="17115" spans="8:8" x14ac:dyDescent="0.25">
      <c r="H17115" t="s">
        <v>135</v>
      </c>
    </row>
    <row r="17116" spans="8:8" x14ac:dyDescent="0.25">
      <c r="H17116" t="s">
        <v>1966</v>
      </c>
    </row>
    <row r="17117" spans="8:8" x14ac:dyDescent="0.25">
      <c r="H17117" t="s">
        <v>30</v>
      </c>
    </row>
    <row r="17119" spans="8:8" x14ac:dyDescent="0.25">
      <c r="H17119" t="s">
        <v>1242</v>
      </c>
    </row>
    <row r="17120" spans="8:8" x14ac:dyDescent="0.25">
      <c r="H17120" t="s">
        <v>1243</v>
      </c>
    </row>
    <row r="17121" spans="8:8" x14ac:dyDescent="0.25">
      <c r="H17121" t="s">
        <v>135</v>
      </c>
    </row>
    <row r="17122" spans="8:8" x14ac:dyDescent="0.25">
      <c r="H17122" t="s">
        <v>1967</v>
      </c>
    </row>
    <row r="17123" spans="8:8" x14ac:dyDescent="0.25">
      <c r="H17123" t="s">
        <v>30</v>
      </c>
    </row>
    <row r="17125" spans="8:8" x14ac:dyDescent="0.25">
      <c r="H17125" t="s">
        <v>1245</v>
      </c>
    </row>
    <row r="17126" spans="8:8" x14ac:dyDescent="0.25">
      <c r="H17126" t="s">
        <v>1246</v>
      </c>
    </row>
    <row r="17127" spans="8:8" x14ac:dyDescent="0.25">
      <c r="H17127" t="s">
        <v>135</v>
      </c>
    </row>
    <row r="17128" spans="8:8" x14ac:dyDescent="0.25">
      <c r="H17128" t="s">
        <v>1968</v>
      </c>
    </row>
    <row r="17129" spans="8:8" x14ac:dyDescent="0.25">
      <c r="H17129" t="s">
        <v>30</v>
      </c>
    </row>
    <row r="17130" spans="8:8" x14ac:dyDescent="0.25">
      <c r="H17130" t="s">
        <v>136</v>
      </c>
    </row>
    <row r="17131" spans="8:8" x14ac:dyDescent="0.25">
      <c r="H17131" t="s">
        <v>1969</v>
      </c>
    </row>
    <row r="17132" spans="8:8" x14ac:dyDescent="0.25">
      <c r="H17132" t="s">
        <v>30</v>
      </c>
    </row>
    <row r="17133" spans="8:8" x14ac:dyDescent="0.25">
      <c r="H17133" t="s">
        <v>137</v>
      </c>
    </row>
    <row r="17134" spans="8:8" x14ac:dyDescent="0.25">
      <c r="H17134" t="s">
        <v>1970</v>
      </c>
    </row>
    <row r="17135" spans="8:8" x14ac:dyDescent="0.25">
      <c r="H17135" t="s">
        <v>30</v>
      </c>
    </row>
    <row r="17137" spans="8:8" x14ac:dyDescent="0.25">
      <c r="H17137" t="s">
        <v>1250</v>
      </c>
    </row>
    <row r="17138" spans="8:8" x14ac:dyDescent="0.25">
      <c r="H17138" t="s">
        <v>1251</v>
      </c>
    </row>
    <row r="17139" spans="8:8" x14ac:dyDescent="0.25">
      <c r="H17139" t="s">
        <v>135</v>
      </c>
    </row>
    <row r="17140" spans="8:8" x14ac:dyDescent="0.25">
      <c r="H17140" t="s">
        <v>2278</v>
      </c>
    </row>
    <row r="17141" spans="8:8" x14ac:dyDescent="0.25">
      <c r="H17141" t="s">
        <v>30</v>
      </c>
    </row>
    <row r="17143" spans="8:8" x14ac:dyDescent="0.25">
      <c r="H17143" t="s">
        <v>1252</v>
      </c>
    </row>
    <row r="17144" spans="8:8" x14ac:dyDescent="0.25">
      <c r="H17144" t="s">
        <v>1253</v>
      </c>
    </row>
    <row r="17145" spans="8:8" x14ac:dyDescent="0.25">
      <c r="H17145" t="s">
        <v>135</v>
      </c>
    </row>
    <row r="17146" spans="8:8" x14ac:dyDescent="0.25">
      <c r="H17146" t="s">
        <v>1971</v>
      </c>
    </row>
    <row r="17147" spans="8:8" x14ac:dyDescent="0.25">
      <c r="H17147" t="s">
        <v>30</v>
      </c>
    </row>
    <row r="17149" spans="8:8" x14ac:dyDescent="0.25">
      <c r="H17149" t="s">
        <v>1255</v>
      </c>
    </row>
    <row r="17150" spans="8:8" x14ac:dyDescent="0.25">
      <c r="H17150" t="s">
        <v>1256</v>
      </c>
    </row>
    <row r="17151" spans="8:8" x14ac:dyDescent="0.25">
      <c r="H17151" t="s">
        <v>135</v>
      </c>
    </row>
    <row r="17152" spans="8:8" x14ac:dyDescent="0.25">
      <c r="H17152" t="s">
        <v>1972</v>
      </c>
    </row>
    <row r="17153" spans="8:8" x14ac:dyDescent="0.25">
      <c r="H17153" t="s">
        <v>30</v>
      </c>
    </row>
    <row r="17155" spans="8:8" x14ac:dyDescent="0.25">
      <c r="H17155" t="s">
        <v>1258</v>
      </c>
    </row>
    <row r="17156" spans="8:8" x14ac:dyDescent="0.25">
      <c r="H17156" t="s">
        <v>1259</v>
      </c>
    </row>
    <row r="17157" spans="8:8" x14ac:dyDescent="0.25">
      <c r="H17157" t="s">
        <v>135</v>
      </c>
    </row>
    <row r="17158" spans="8:8" x14ac:dyDescent="0.25">
      <c r="H17158" t="s">
        <v>1973</v>
      </c>
    </row>
    <row r="17159" spans="8:8" x14ac:dyDescent="0.25">
      <c r="H17159" t="s">
        <v>30</v>
      </c>
    </row>
    <row r="17161" spans="8:8" x14ac:dyDescent="0.25">
      <c r="H17161" t="s">
        <v>1261</v>
      </c>
    </row>
    <row r="17162" spans="8:8" x14ac:dyDescent="0.25">
      <c r="H17162" t="s">
        <v>1262</v>
      </c>
    </row>
    <row r="17163" spans="8:8" x14ac:dyDescent="0.25">
      <c r="H17163" t="s">
        <v>135</v>
      </c>
    </row>
    <row r="17164" spans="8:8" x14ac:dyDescent="0.25">
      <c r="H17164" t="s">
        <v>1974</v>
      </c>
    </row>
    <row r="17165" spans="8:8" x14ac:dyDescent="0.25">
      <c r="H17165" t="s">
        <v>30</v>
      </c>
    </row>
    <row r="17166" spans="8:8" x14ac:dyDescent="0.25">
      <c r="H17166" t="s">
        <v>136</v>
      </c>
    </row>
    <row r="17167" spans="8:8" x14ac:dyDescent="0.25">
      <c r="H17167" t="s">
        <v>1975</v>
      </c>
    </row>
    <row r="17168" spans="8:8" x14ac:dyDescent="0.25">
      <c r="H17168" t="s">
        <v>30</v>
      </c>
    </row>
    <row r="17169" spans="8:8" x14ac:dyDescent="0.25">
      <c r="H17169" t="s">
        <v>137</v>
      </c>
    </row>
    <row r="17170" spans="8:8" x14ac:dyDescent="0.25">
      <c r="H17170" t="s">
        <v>1976</v>
      </c>
    </row>
    <row r="17171" spans="8:8" x14ac:dyDescent="0.25">
      <c r="H17171" t="s">
        <v>30</v>
      </c>
    </row>
    <row r="17173" spans="8:8" x14ac:dyDescent="0.25">
      <c r="H17173" t="s">
        <v>1266</v>
      </c>
    </row>
    <row r="17174" spans="8:8" x14ac:dyDescent="0.25">
      <c r="H17174" t="s">
        <v>1267</v>
      </c>
    </row>
    <row r="17175" spans="8:8" x14ac:dyDescent="0.25">
      <c r="H17175" t="s">
        <v>135</v>
      </c>
    </row>
    <row r="17176" spans="8:8" x14ac:dyDescent="0.25">
      <c r="H17176" t="s">
        <v>2279</v>
      </c>
    </row>
    <row r="17177" spans="8:8" x14ac:dyDescent="0.25">
      <c r="H17177" t="s">
        <v>30</v>
      </c>
    </row>
    <row r="17179" spans="8:8" x14ac:dyDescent="0.25">
      <c r="H17179" t="s">
        <v>1268</v>
      </c>
    </row>
    <row r="17180" spans="8:8" x14ac:dyDescent="0.25">
      <c r="H17180" t="s">
        <v>1269</v>
      </c>
    </row>
    <row r="17181" spans="8:8" x14ac:dyDescent="0.25">
      <c r="H17181" t="s">
        <v>135</v>
      </c>
    </row>
    <row r="17182" spans="8:8" x14ac:dyDescent="0.25">
      <c r="H17182" t="s">
        <v>1977</v>
      </c>
    </row>
    <row r="17183" spans="8:8" x14ac:dyDescent="0.25">
      <c r="H17183" t="s">
        <v>30</v>
      </c>
    </row>
    <row r="17185" spans="8:8" x14ac:dyDescent="0.25">
      <c r="H17185" t="s">
        <v>1271</v>
      </c>
    </row>
    <row r="17186" spans="8:8" x14ac:dyDescent="0.25">
      <c r="H17186" t="s">
        <v>1272</v>
      </c>
    </row>
    <row r="17187" spans="8:8" x14ac:dyDescent="0.25">
      <c r="H17187" t="s">
        <v>135</v>
      </c>
    </row>
    <row r="17188" spans="8:8" x14ac:dyDescent="0.25">
      <c r="H17188" t="s">
        <v>1978</v>
      </c>
    </row>
    <row r="17189" spans="8:8" x14ac:dyDescent="0.25">
      <c r="H17189" t="s">
        <v>30</v>
      </c>
    </row>
    <row r="17191" spans="8:8" x14ac:dyDescent="0.25">
      <c r="H17191" t="s">
        <v>1274</v>
      </c>
    </row>
    <row r="17192" spans="8:8" x14ac:dyDescent="0.25">
      <c r="H17192" t="s">
        <v>1275</v>
      </c>
    </row>
    <row r="17193" spans="8:8" x14ac:dyDescent="0.25">
      <c r="H17193" t="s">
        <v>135</v>
      </c>
    </row>
    <row r="17194" spans="8:8" x14ac:dyDescent="0.25">
      <c r="H17194" t="s">
        <v>1979</v>
      </c>
    </row>
    <row r="17195" spans="8:8" x14ac:dyDescent="0.25">
      <c r="H17195" t="s">
        <v>30</v>
      </c>
    </row>
    <row r="17197" spans="8:8" x14ac:dyDescent="0.25">
      <c r="H17197" t="s">
        <v>1277</v>
      </c>
    </row>
    <row r="17198" spans="8:8" x14ac:dyDescent="0.25">
      <c r="H17198" t="s">
        <v>1278</v>
      </c>
    </row>
    <row r="17199" spans="8:8" x14ac:dyDescent="0.25">
      <c r="H17199" t="s">
        <v>135</v>
      </c>
    </row>
    <row r="17200" spans="8:8" x14ac:dyDescent="0.25">
      <c r="H17200" t="s">
        <v>1980</v>
      </c>
    </row>
    <row r="17201" spans="8:8" x14ac:dyDescent="0.25">
      <c r="H17201" t="s">
        <v>30</v>
      </c>
    </row>
    <row r="17202" spans="8:8" x14ac:dyDescent="0.25">
      <c r="H17202" t="s">
        <v>136</v>
      </c>
    </row>
    <row r="17203" spans="8:8" x14ac:dyDescent="0.25">
      <c r="H17203" t="s">
        <v>1981</v>
      </c>
    </row>
    <row r="17204" spans="8:8" x14ac:dyDescent="0.25">
      <c r="H17204" t="s">
        <v>30</v>
      </c>
    </row>
    <row r="17205" spans="8:8" x14ac:dyDescent="0.25">
      <c r="H17205" t="s">
        <v>137</v>
      </c>
    </row>
    <row r="17206" spans="8:8" x14ac:dyDescent="0.25">
      <c r="H17206" t="s">
        <v>1982</v>
      </c>
    </row>
    <row r="17207" spans="8:8" x14ac:dyDescent="0.25">
      <c r="H17207" t="s">
        <v>30</v>
      </c>
    </row>
    <row r="17209" spans="8:8" x14ac:dyDescent="0.25">
      <c r="H17209" t="s">
        <v>1282</v>
      </c>
    </row>
    <row r="17210" spans="8:8" x14ac:dyDescent="0.25">
      <c r="H17210" t="s">
        <v>1283</v>
      </c>
    </row>
    <row r="17211" spans="8:8" x14ac:dyDescent="0.25">
      <c r="H17211" t="s">
        <v>135</v>
      </c>
    </row>
    <row r="17212" spans="8:8" x14ac:dyDescent="0.25">
      <c r="H17212" t="s">
        <v>2280</v>
      </c>
    </row>
    <row r="17213" spans="8:8" x14ac:dyDescent="0.25">
      <c r="H17213" t="s">
        <v>30</v>
      </c>
    </row>
    <row r="17215" spans="8:8" x14ac:dyDescent="0.25">
      <c r="H17215" t="s">
        <v>1284</v>
      </c>
    </row>
    <row r="17216" spans="8:8" x14ac:dyDescent="0.25">
      <c r="H17216" t="s">
        <v>1285</v>
      </c>
    </row>
    <row r="17217" spans="8:8" x14ac:dyDescent="0.25">
      <c r="H17217" t="s">
        <v>135</v>
      </c>
    </row>
    <row r="17218" spans="8:8" x14ac:dyDescent="0.25">
      <c r="H17218" t="s">
        <v>1983</v>
      </c>
    </row>
    <row r="17219" spans="8:8" x14ac:dyDescent="0.25">
      <c r="H17219" t="s">
        <v>30</v>
      </c>
    </row>
    <row r="17221" spans="8:8" x14ac:dyDescent="0.25">
      <c r="H17221" t="s">
        <v>1287</v>
      </c>
    </row>
    <row r="17222" spans="8:8" x14ac:dyDescent="0.25">
      <c r="H17222" t="s">
        <v>1288</v>
      </c>
    </row>
    <row r="17223" spans="8:8" x14ac:dyDescent="0.25">
      <c r="H17223" t="s">
        <v>135</v>
      </c>
    </row>
    <row r="17224" spans="8:8" x14ac:dyDescent="0.25">
      <c r="H17224" t="s">
        <v>1984</v>
      </c>
    </row>
    <row r="17225" spans="8:8" x14ac:dyDescent="0.25">
      <c r="H17225" t="s">
        <v>30</v>
      </c>
    </row>
    <row r="17227" spans="8:8" x14ac:dyDescent="0.25">
      <c r="H17227" t="s">
        <v>1290</v>
      </c>
    </row>
    <row r="17228" spans="8:8" x14ac:dyDescent="0.25">
      <c r="H17228" t="s">
        <v>1291</v>
      </c>
    </row>
    <row r="17229" spans="8:8" x14ac:dyDescent="0.25">
      <c r="H17229" t="s">
        <v>135</v>
      </c>
    </row>
    <row r="17230" spans="8:8" x14ac:dyDescent="0.25">
      <c r="H17230" t="s">
        <v>1985</v>
      </c>
    </row>
    <row r="17231" spans="8:8" x14ac:dyDescent="0.25">
      <c r="H17231" t="s">
        <v>30</v>
      </c>
    </row>
    <row r="17233" spans="8:8" x14ac:dyDescent="0.25">
      <c r="H17233" t="s">
        <v>1293</v>
      </c>
    </row>
    <row r="17234" spans="8:8" x14ac:dyDescent="0.25">
      <c r="H17234" t="s">
        <v>1294</v>
      </c>
    </row>
    <row r="17235" spans="8:8" x14ac:dyDescent="0.25">
      <c r="H17235" t="s">
        <v>135</v>
      </c>
    </row>
    <row r="17236" spans="8:8" x14ac:dyDescent="0.25">
      <c r="H17236" t="s">
        <v>1986</v>
      </c>
    </row>
    <row r="17237" spans="8:8" x14ac:dyDescent="0.25">
      <c r="H17237" t="s">
        <v>30</v>
      </c>
    </row>
    <row r="17238" spans="8:8" x14ac:dyDescent="0.25">
      <c r="H17238" t="s">
        <v>136</v>
      </c>
    </row>
    <row r="17239" spans="8:8" x14ac:dyDescent="0.25">
      <c r="H17239" t="s">
        <v>1987</v>
      </c>
    </row>
    <row r="17240" spans="8:8" x14ac:dyDescent="0.25">
      <c r="H17240" t="s">
        <v>30</v>
      </c>
    </row>
    <row r="17241" spans="8:8" x14ac:dyDescent="0.25">
      <c r="H17241" t="s">
        <v>137</v>
      </c>
    </row>
    <row r="17242" spans="8:8" x14ac:dyDescent="0.25">
      <c r="H17242" t="s">
        <v>1988</v>
      </c>
    </row>
    <row r="17243" spans="8:8" x14ac:dyDescent="0.25">
      <c r="H17243" t="s">
        <v>30</v>
      </c>
    </row>
    <row r="17245" spans="8:8" x14ac:dyDescent="0.25">
      <c r="H17245" t="s">
        <v>1298</v>
      </c>
    </row>
    <row r="17246" spans="8:8" x14ac:dyDescent="0.25">
      <c r="H17246" t="s">
        <v>1299</v>
      </c>
    </row>
    <row r="17247" spans="8:8" x14ac:dyDescent="0.25">
      <c r="H17247" t="s">
        <v>135</v>
      </c>
    </row>
    <row r="17248" spans="8:8" x14ac:dyDescent="0.25">
      <c r="H17248" t="s">
        <v>2281</v>
      </c>
    </row>
    <row r="17249" spans="8:8" x14ac:dyDescent="0.25">
      <c r="H17249" t="s">
        <v>30</v>
      </c>
    </row>
    <row r="17251" spans="8:8" x14ac:dyDescent="0.25">
      <c r="H17251" t="s">
        <v>1300</v>
      </c>
    </row>
    <row r="17252" spans="8:8" x14ac:dyDescent="0.25">
      <c r="H17252" t="s">
        <v>1301</v>
      </c>
    </row>
    <row r="17253" spans="8:8" x14ac:dyDescent="0.25">
      <c r="H17253" t="s">
        <v>135</v>
      </c>
    </row>
    <row r="17254" spans="8:8" x14ac:dyDescent="0.25">
      <c r="H17254" t="s">
        <v>1989</v>
      </c>
    </row>
    <row r="17255" spans="8:8" x14ac:dyDescent="0.25">
      <c r="H17255" t="s">
        <v>30</v>
      </c>
    </row>
    <row r="17257" spans="8:8" x14ac:dyDescent="0.25">
      <c r="H17257" t="s">
        <v>1303</v>
      </c>
    </row>
    <row r="17258" spans="8:8" x14ac:dyDescent="0.25">
      <c r="H17258" t="s">
        <v>1304</v>
      </c>
    </row>
    <row r="17259" spans="8:8" x14ac:dyDescent="0.25">
      <c r="H17259" t="s">
        <v>135</v>
      </c>
    </row>
    <row r="17260" spans="8:8" x14ac:dyDescent="0.25">
      <c r="H17260" t="s">
        <v>1990</v>
      </c>
    </row>
    <row r="17261" spans="8:8" x14ac:dyDescent="0.25">
      <c r="H17261" t="s">
        <v>30</v>
      </c>
    </row>
    <row r="17263" spans="8:8" x14ac:dyDescent="0.25">
      <c r="H17263" t="s">
        <v>1306</v>
      </c>
    </row>
    <row r="17264" spans="8:8" x14ac:dyDescent="0.25">
      <c r="H17264" t="s">
        <v>1307</v>
      </c>
    </row>
    <row r="17265" spans="8:8" x14ac:dyDescent="0.25">
      <c r="H17265" t="s">
        <v>135</v>
      </c>
    </row>
    <row r="17266" spans="8:8" x14ac:dyDescent="0.25">
      <c r="H17266" t="s">
        <v>1991</v>
      </c>
    </row>
    <row r="17267" spans="8:8" x14ac:dyDescent="0.25">
      <c r="H17267" t="s">
        <v>30</v>
      </c>
    </row>
    <row r="17269" spans="8:8" x14ac:dyDescent="0.25">
      <c r="H17269" t="s">
        <v>1309</v>
      </c>
    </row>
    <row r="17270" spans="8:8" x14ac:dyDescent="0.25">
      <c r="H17270" t="s">
        <v>1310</v>
      </c>
    </row>
    <row r="17271" spans="8:8" x14ac:dyDescent="0.25">
      <c r="H17271" t="s">
        <v>135</v>
      </c>
    </row>
    <row r="17272" spans="8:8" x14ac:dyDescent="0.25">
      <c r="H17272" t="s">
        <v>1992</v>
      </c>
    </row>
    <row r="17273" spans="8:8" x14ac:dyDescent="0.25">
      <c r="H17273" t="s">
        <v>30</v>
      </c>
    </row>
    <row r="17274" spans="8:8" x14ac:dyDescent="0.25">
      <c r="H17274" t="s">
        <v>136</v>
      </c>
    </row>
    <row r="17275" spans="8:8" x14ac:dyDescent="0.25">
      <c r="H17275" t="s">
        <v>1993</v>
      </c>
    </row>
    <row r="17276" spans="8:8" x14ac:dyDescent="0.25">
      <c r="H17276" t="s">
        <v>30</v>
      </c>
    </row>
    <row r="17277" spans="8:8" x14ac:dyDescent="0.25">
      <c r="H17277" t="s">
        <v>137</v>
      </c>
    </row>
    <row r="17278" spans="8:8" x14ac:dyDescent="0.25">
      <c r="H17278" t="s">
        <v>1994</v>
      </c>
    </row>
    <row r="17279" spans="8:8" x14ac:dyDescent="0.25">
      <c r="H17279" t="s">
        <v>30</v>
      </c>
    </row>
    <row r="17281" spans="8:8" x14ac:dyDescent="0.25">
      <c r="H17281" t="s">
        <v>1314</v>
      </c>
    </row>
    <row r="17282" spans="8:8" x14ac:dyDescent="0.25">
      <c r="H17282" t="s">
        <v>1315</v>
      </c>
    </row>
    <row r="17283" spans="8:8" x14ac:dyDescent="0.25">
      <c r="H17283" t="s">
        <v>135</v>
      </c>
    </row>
    <row r="17284" spans="8:8" x14ac:dyDescent="0.25">
      <c r="H17284" t="s">
        <v>2282</v>
      </c>
    </row>
    <row r="17285" spans="8:8" x14ac:dyDescent="0.25">
      <c r="H17285" t="s">
        <v>30</v>
      </c>
    </row>
    <row r="17287" spans="8:8" x14ac:dyDescent="0.25">
      <c r="H17287" t="s">
        <v>1316</v>
      </c>
    </row>
    <row r="17288" spans="8:8" x14ac:dyDescent="0.25">
      <c r="H17288" t="s">
        <v>1317</v>
      </c>
    </row>
    <row r="17289" spans="8:8" x14ac:dyDescent="0.25">
      <c r="H17289" t="s">
        <v>135</v>
      </c>
    </row>
    <row r="17290" spans="8:8" x14ac:dyDescent="0.25">
      <c r="H17290" t="s">
        <v>1995</v>
      </c>
    </row>
    <row r="17291" spans="8:8" x14ac:dyDescent="0.25">
      <c r="H17291" t="s">
        <v>30</v>
      </c>
    </row>
    <row r="17293" spans="8:8" x14ac:dyDescent="0.25">
      <c r="H17293" t="s">
        <v>1319</v>
      </c>
    </row>
    <row r="17294" spans="8:8" x14ac:dyDescent="0.25">
      <c r="H17294" t="s">
        <v>1320</v>
      </c>
    </row>
    <row r="17295" spans="8:8" x14ac:dyDescent="0.25">
      <c r="H17295" t="s">
        <v>135</v>
      </c>
    </row>
    <row r="17296" spans="8:8" x14ac:dyDescent="0.25">
      <c r="H17296" t="s">
        <v>1996</v>
      </c>
    </row>
    <row r="17297" spans="8:8" x14ac:dyDescent="0.25">
      <c r="H17297" t="s">
        <v>30</v>
      </c>
    </row>
    <row r="17299" spans="8:8" x14ac:dyDescent="0.25">
      <c r="H17299" t="s">
        <v>1322</v>
      </c>
    </row>
    <row r="17300" spans="8:8" x14ac:dyDescent="0.25">
      <c r="H17300" t="s">
        <v>1323</v>
      </c>
    </row>
    <row r="17301" spans="8:8" x14ac:dyDescent="0.25">
      <c r="H17301" t="s">
        <v>135</v>
      </c>
    </row>
    <row r="17302" spans="8:8" x14ac:dyDescent="0.25">
      <c r="H17302" t="s">
        <v>1997</v>
      </c>
    </row>
    <row r="17303" spans="8:8" x14ac:dyDescent="0.25">
      <c r="H17303" t="s">
        <v>30</v>
      </c>
    </row>
    <row r="17305" spans="8:8" x14ac:dyDescent="0.25">
      <c r="H17305" t="s">
        <v>1325</v>
      </c>
    </row>
    <row r="17306" spans="8:8" x14ac:dyDescent="0.25">
      <c r="H17306" t="s">
        <v>1326</v>
      </c>
    </row>
    <row r="17307" spans="8:8" x14ac:dyDescent="0.25">
      <c r="H17307" t="s">
        <v>135</v>
      </c>
    </row>
    <row r="17308" spans="8:8" x14ac:dyDescent="0.25">
      <c r="H17308" t="s">
        <v>1998</v>
      </c>
    </row>
    <row r="17309" spans="8:8" x14ac:dyDescent="0.25">
      <c r="H17309" t="s">
        <v>30</v>
      </c>
    </row>
    <row r="17310" spans="8:8" x14ac:dyDescent="0.25">
      <c r="H17310" t="s">
        <v>136</v>
      </c>
    </row>
    <row r="17311" spans="8:8" x14ac:dyDescent="0.25">
      <c r="H17311" t="s">
        <v>1999</v>
      </c>
    </row>
    <row r="17312" spans="8:8" x14ac:dyDescent="0.25">
      <c r="H17312" t="s">
        <v>30</v>
      </c>
    </row>
    <row r="17313" spans="8:8" x14ac:dyDescent="0.25">
      <c r="H17313" t="s">
        <v>137</v>
      </c>
    </row>
    <row r="17314" spans="8:8" x14ac:dyDescent="0.25">
      <c r="H17314" t="s">
        <v>2000</v>
      </c>
    </row>
    <row r="17315" spans="8:8" x14ac:dyDescent="0.25">
      <c r="H17315" t="s">
        <v>30</v>
      </c>
    </row>
    <row r="17317" spans="8:8" x14ac:dyDescent="0.25">
      <c r="H17317" t="s">
        <v>1330</v>
      </c>
    </row>
    <row r="17318" spans="8:8" x14ac:dyDescent="0.25">
      <c r="H17318" t="s">
        <v>1331</v>
      </c>
    </row>
    <row r="17319" spans="8:8" x14ac:dyDescent="0.25">
      <c r="H17319" t="s">
        <v>135</v>
      </c>
    </row>
    <row r="17320" spans="8:8" x14ac:dyDescent="0.25">
      <c r="H17320" t="s">
        <v>2283</v>
      </c>
    </row>
    <row r="17321" spans="8:8" x14ac:dyDescent="0.25">
      <c r="H17321" t="s">
        <v>30</v>
      </c>
    </row>
    <row r="17323" spans="8:8" x14ac:dyDescent="0.25">
      <c r="H17323" t="s">
        <v>1332</v>
      </c>
    </row>
    <row r="17324" spans="8:8" x14ac:dyDescent="0.25">
      <c r="H17324" t="s">
        <v>1333</v>
      </c>
    </row>
    <row r="17325" spans="8:8" x14ac:dyDescent="0.25">
      <c r="H17325" t="s">
        <v>135</v>
      </c>
    </row>
    <row r="17326" spans="8:8" x14ac:dyDescent="0.25">
      <c r="H17326" t="s">
        <v>2001</v>
      </c>
    </row>
    <row r="17327" spans="8:8" x14ac:dyDescent="0.25">
      <c r="H17327" t="s">
        <v>30</v>
      </c>
    </row>
    <row r="17329" spans="8:8" x14ac:dyDescent="0.25">
      <c r="H17329" t="s">
        <v>1335</v>
      </c>
    </row>
    <row r="17330" spans="8:8" x14ac:dyDescent="0.25">
      <c r="H17330" t="s">
        <v>1336</v>
      </c>
    </row>
    <row r="17331" spans="8:8" x14ac:dyDescent="0.25">
      <c r="H17331" t="s">
        <v>135</v>
      </c>
    </row>
    <row r="17332" spans="8:8" x14ac:dyDescent="0.25">
      <c r="H17332" t="s">
        <v>2002</v>
      </c>
    </row>
    <row r="17333" spans="8:8" x14ac:dyDescent="0.25">
      <c r="H17333" t="s">
        <v>30</v>
      </c>
    </row>
    <row r="17335" spans="8:8" x14ac:dyDescent="0.25">
      <c r="H17335" t="s">
        <v>1338</v>
      </c>
    </row>
    <row r="17336" spans="8:8" x14ac:dyDescent="0.25">
      <c r="H17336" t="s">
        <v>1339</v>
      </c>
    </row>
    <row r="17337" spans="8:8" x14ac:dyDescent="0.25">
      <c r="H17337" t="s">
        <v>135</v>
      </c>
    </row>
    <row r="17338" spans="8:8" x14ac:dyDescent="0.25">
      <c r="H17338" t="s">
        <v>2003</v>
      </c>
    </row>
    <row r="17339" spans="8:8" x14ac:dyDescent="0.25">
      <c r="H17339" t="s">
        <v>30</v>
      </c>
    </row>
    <row r="17340" spans="8:8" x14ac:dyDescent="0.25">
      <c r="H17340" t="s">
        <v>1341</v>
      </c>
    </row>
    <row r="17341" spans="8:8" x14ac:dyDescent="0.25">
      <c r="H17341" t="s">
        <v>136</v>
      </c>
    </row>
    <row r="17342" spans="8:8" x14ac:dyDescent="0.25">
      <c r="H17342" t="s">
        <v>2004</v>
      </c>
    </row>
    <row r="17343" spans="8:8" x14ac:dyDescent="0.25">
      <c r="H17343" t="s">
        <v>30</v>
      </c>
    </row>
    <row r="17345" spans="8:8" x14ac:dyDescent="0.25">
      <c r="H17345" t="s">
        <v>1343</v>
      </c>
    </row>
    <row r="17346" spans="8:8" x14ac:dyDescent="0.25">
      <c r="H17346" t="s">
        <v>1344</v>
      </c>
    </row>
    <row r="17347" spans="8:8" x14ac:dyDescent="0.25">
      <c r="H17347" t="s">
        <v>135</v>
      </c>
    </row>
    <row r="17348" spans="8:8" x14ac:dyDescent="0.25">
      <c r="H17348" t="s">
        <v>2005</v>
      </c>
    </row>
    <row r="17349" spans="8:8" x14ac:dyDescent="0.25">
      <c r="H17349" t="s">
        <v>30</v>
      </c>
    </row>
    <row r="17351" spans="8:8" x14ac:dyDescent="0.25">
      <c r="H17351" t="s">
        <v>1346</v>
      </c>
    </row>
    <row r="17352" spans="8:8" x14ac:dyDescent="0.25">
      <c r="H17352" t="s">
        <v>1347</v>
      </c>
    </row>
    <row r="17353" spans="8:8" x14ac:dyDescent="0.25">
      <c r="H17353" t="s">
        <v>135</v>
      </c>
    </row>
    <row r="17354" spans="8:8" x14ac:dyDescent="0.25">
      <c r="H17354" t="s">
        <v>2006</v>
      </c>
    </row>
    <row r="17355" spans="8:8" x14ac:dyDescent="0.25">
      <c r="H17355" t="s">
        <v>30</v>
      </c>
    </row>
    <row r="17357" spans="8:8" x14ac:dyDescent="0.25">
      <c r="H17357" t="s">
        <v>1349</v>
      </c>
    </row>
    <row r="17358" spans="8:8" x14ac:dyDescent="0.25">
      <c r="H17358" t="s">
        <v>1350</v>
      </c>
    </row>
    <row r="17359" spans="8:8" x14ac:dyDescent="0.25">
      <c r="H17359" t="s">
        <v>135</v>
      </c>
    </row>
    <row r="17360" spans="8:8" x14ac:dyDescent="0.25">
      <c r="H17360" t="s">
        <v>2007</v>
      </c>
    </row>
    <row r="17361" spans="8:8" x14ac:dyDescent="0.25">
      <c r="H17361" t="s">
        <v>30</v>
      </c>
    </row>
    <row r="17363" spans="8:8" x14ac:dyDescent="0.25">
      <c r="H17363" t="s">
        <v>1352</v>
      </c>
    </row>
    <row r="17364" spans="8:8" x14ac:dyDescent="0.25">
      <c r="H17364" t="s">
        <v>1353</v>
      </c>
    </row>
    <row r="17365" spans="8:8" x14ac:dyDescent="0.25">
      <c r="H17365" t="s">
        <v>135</v>
      </c>
    </row>
    <row r="17366" spans="8:8" x14ac:dyDescent="0.25">
      <c r="H17366" t="s">
        <v>2008</v>
      </c>
    </row>
    <row r="17367" spans="8:8" x14ac:dyDescent="0.25">
      <c r="H17367" t="s">
        <v>30</v>
      </c>
    </row>
    <row r="17369" spans="8:8" x14ac:dyDescent="0.25">
      <c r="H17369" t="s">
        <v>1355</v>
      </c>
    </row>
    <row r="17370" spans="8:8" x14ac:dyDescent="0.25">
      <c r="H17370" t="s">
        <v>1356</v>
      </c>
    </row>
    <row r="17371" spans="8:8" x14ac:dyDescent="0.25">
      <c r="H17371" t="s">
        <v>135</v>
      </c>
    </row>
    <row r="17372" spans="8:8" x14ac:dyDescent="0.25">
      <c r="H17372" t="s">
        <v>2009</v>
      </c>
    </row>
    <row r="17373" spans="8:8" x14ac:dyDescent="0.25">
      <c r="H17373" t="s">
        <v>30</v>
      </c>
    </row>
    <row r="17375" spans="8:8" x14ac:dyDescent="0.25">
      <c r="H17375" t="s">
        <v>1358</v>
      </c>
    </row>
    <row r="17376" spans="8:8" x14ac:dyDescent="0.25">
      <c r="H17376" t="s">
        <v>1359</v>
      </c>
    </row>
    <row r="17377" spans="8:8" x14ac:dyDescent="0.25">
      <c r="H17377" t="s">
        <v>135</v>
      </c>
    </row>
    <row r="17378" spans="8:8" x14ac:dyDescent="0.25">
      <c r="H17378" t="s">
        <v>2010</v>
      </c>
    </row>
    <row r="17379" spans="8:8" x14ac:dyDescent="0.25">
      <c r="H17379" t="s">
        <v>30</v>
      </c>
    </row>
    <row r="17381" spans="8:8" x14ac:dyDescent="0.25">
      <c r="H17381" t="s">
        <v>1361</v>
      </c>
    </row>
    <row r="17382" spans="8:8" x14ac:dyDescent="0.25">
      <c r="H17382" t="s">
        <v>1362</v>
      </c>
    </row>
    <row r="17383" spans="8:8" x14ac:dyDescent="0.25">
      <c r="H17383" t="s">
        <v>135</v>
      </c>
    </row>
    <row r="17384" spans="8:8" x14ac:dyDescent="0.25">
      <c r="H17384" t="s">
        <v>2011</v>
      </c>
    </row>
    <row r="17385" spans="8:8" x14ac:dyDescent="0.25">
      <c r="H17385" t="s">
        <v>30</v>
      </c>
    </row>
    <row r="17387" spans="8:8" x14ac:dyDescent="0.25">
      <c r="H17387" t="s">
        <v>1364</v>
      </c>
    </row>
    <row r="17388" spans="8:8" x14ac:dyDescent="0.25">
      <c r="H17388" t="s">
        <v>1365</v>
      </c>
    </row>
    <row r="17389" spans="8:8" x14ac:dyDescent="0.25">
      <c r="H17389" t="s">
        <v>135</v>
      </c>
    </row>
    <row r="17390" spans="8:8" x14ac:dyDescent="0.25">
      <c r="H17390" t="s">
        <v>2012</v>
      </c>
    </row>
    <row r="17391" spans="8:8" x14ac:dyDescent="0.25">
      <c r="H17391" t="s">
        <v>30</v>
      </c>
    </row>
    <row r="17393" spans="8:8" x14ac:dyDescent="0.25">
      <c r="H17393" t="s">
        <v>1367</v>
      </c>
    </row>
    <row r="17394" spans="8:8" x14ac:dyDescent="0.25">
      <c r="H17394" t="s">
        <v>1368</v>
      </c>
    </row>
    <row r="17395" spans="8:8" x14ac:dyDescent="0.25">
      <c r="H17395" t="s">
        <v>135</v>
      </c>
    </row>
    <row r="17396" spans="8:8" x14ac:dyDescent="0.25">
      <c r="H17396" t="s">
        <v>2013</v>
      </c>
    </row>
    <row r="17397" spans="8:8" x14ac:dyDescent="0.25">
      <c r="H17397" t="s">
        <v>30</v>
      </c>
    </row>
    <row r="17399" spans="8:8" x14ac:dyDescent="0.25">
      <c r="H17399" t="s">
        <v>1370</v>
      </c>
    </row>
    <row r="17400" spans="8:8" x14ac:dyDescent="0.25">
      <c r="H17400" t="s">
        <v>1371</v>
      </c>
    </row>
    <row r="17401" spans="8:8" x14ac:dyDescent="0.25">
      <c r="H17401" t="s">
        <v>135</v>
      </c>
    </row>
    <row r="17402" spans="8:8" x14ac:dyDescent="0.25">
      <c r="H17402" t="s">
        <v>2014</v>
      </c>
    </row>
    <row r="17403" spans="8:8" x14ac:dyDescent="0.25">
      <c r="H17403" t="s">
        <v>30</v>
      </c>
    </row>
    <row r="17405" spans="8:8" x14ac:dyDescent="0.25">
      <c r="H17405" t="s">
        <v>1373</v>
      </c>
    </row>
    <row r="17406" spans="8:8" x14ac:dyDescent="0.25">
      <c r="H17406" t="s">
        <v>1374</v>
      </c>
    </row>
    <row r="17407" spans="8:8" x14ac:dyDescent="0.25">
      <c r="H17407" t="s">
        <v>135</v>
      </c>
    </row>
    <row r="17408" spans="8:8" x14ac:dyDescent="0.25">
      <c r="H17408" t="s">
        <v>2015</v>
      </c>
    </row>
    <row r="17409" spans="8:8" x14ac:dyDescent="0.25">
      <c r="H17409" t="s">
        <v>30</v>
      </c>
    </row>
    <row r="17411" spans="8:8" x14ac:dyDescent="0.25">
      <c r="H17411" t="s">
        <v>1376</v>
      </c>
    </row>
    <row r="17412" spans="8:8" x14ac:dyDescent="0.25">
      <c r="H17412" t="s">
        <v>1377</v>
      </c>
    </row>
    <row r="17413" spans="8:8" x14ac:dyDescent="0.25">
      <c r="H17413" t="s">
        <v>135</v>
      </c>
    </row>
    <row r="17414" spans="8:8" x14ac:dyDescent="0.25">
      <c r="H17414" t="s">
        <v>2016</v>
      </c>
    </row>
    <row r="17415" spans="8:8" x14ac:dyDescent="0.25">
      <c r="H17415" t="s">
        <v>30</v>
      </c>
    </row>
    <row r="17417" spans="8:8" x14ac:dyDescent="0.25">
      <c r="H17417" t="s">
        <v>1379</v>
      </c>
    </row>
    <row r="17418" spans="8:8" x14ac:dyDescent="0.25">
      <c r="H17418" t="s">
        <v>1380</v>
      </c>
    </row>
    <row r="17419" spans="8:8" x14ac:dyDescent="0.25">
      <c r="H17419" t="s">
        <v>135</v>
      </c>
    </row>
    <row r="17420" spans="8:8" x14ac:dyDescent="0.25">
      <c r="H17420" t="s">
        <v>2017</v>
      </c>
    </row>
    <row r="17421" spans="8:8" x14ac:dyDescent="0.25">
      <c r="H17421" t="s">
        <v>30</v>
      </c>
    </row>
    <row r="17423" spans="8:8" x14ac:dyDescent="0.25">
      <c r="H17423" t="s">
        <v>1382</v>
      </c>
    </row>
    <row r="17424" spans="8:8" x14ac:dyDescent="0.25">
      <c r="H17424" t="s">
        <v>1383</v>
      </c>
    </row>
    <row r="17425" spans="8:8" x14ac:dyDescent="0.25">
      <c r="H17425" t="s">
        <v>135</v>
      </c>
    </row>
    <row r="17426" spans="8:8" x14ac:dyDescent="0.25">
      <c r="H17426" t="s">
        <v>2018</v>
      </c>
    </row>
    <row r="17427" spans="8:8" x14ac:dyDescent="0.25">
      <c r="H17427" t="s">
        <v>30</v>
      </c>
    </row>
    <row r="17429" spans="8:8" x14ac:dyDescent="0.25">
      <c r="H17429" t="s">
        <v>1385</v>
      </c>
    </row>
    <row r="17430" spans="8:8" x14ac:dyDescent="0.25">
      <c r="H17430" t="s">
        <v>1386</v>
      </c>
    </row>
    <row r="17431" spans="8:8" x14ac:dyDescent="0.25">
      <c r="H17431" t="s">
        <v>135</v>
      </c>
    </row>
    <row r="17432" spans="8:8" x14ac:dyDescent="0.25">
      <c r="H17432" t="s">
        <v>2019</v>
      </c>
    </row>
    <row r="17433" spans="8:8" x14ac:dyDescent="0.25">
      <c r="H17433" t="s">
        <v>30</v>
      </c>
    </row>
    <row r="17435" spans="8:8" x14ac:dyDescent="0.25">
      <c r="H17435" t="s">
        <v>1388</v>
      </c>
    </row>
    <row r="17436" spans="8:8" x14ac:dyDescent="0.25">
      <c r="H17436" t="s">
        <v>1389</v>
      </c>
    </row>
    <row r="17437" spans="8:8" x14ac:dyDescent="0.25">
      <c r="H17437" t="s">
        <v>135</v>
      </c>
    </row>
    <row r="17438" spans="8:8" x14ac:dyDescent="0.25">
      <c r="H17438" t="s">
        <v>2020</v>
      </c>
    </row>
    <row r="17439" spans="8:8" x14ac:dyDescent="0.25">
      <c r="H17439" t="s">
        <v>30</v>
      </c>
    </row>
    <row r="17441" spans="8:8" x14ac:dyDescent="0.25">
      <c r="H17441" t="s">
        <v>1391</v>
      </c>
    </row>
    <row r="17442" spans="8:8" x14ac:dyDescent="0.25">
      <c r="H17442" t="s">
        <v>1392</v>
      </c>
    </row>
    <row r="17443" spans="8:8" x14ac:dyDescent="0.25">
      <c r="H17443" t="s">
        <v>135</v>
      </c>
    </row>
    <row r="17444" spans="8:8" x14ac:dyDescent="0.25">
      <c r="H17444" t="s">
        <v>2021</v>
      </c>
    </row>
    <row r="17445" spans="8:8" x14ac:dyDescent="0.25">
      <c r="H17445" t="s">
        <v>30</v>
      </c>
    </row>
    <row r="17447" spans="8:8" x14ac:dyDescent="0.25">
      <c r="H17447" t="s">
        <v>1394</v>
      </c>
    </row>
    <row r="17448" spans="8:8" x14ac:dyDescent="0.25">
      <c r="H17448" t="s">
        <v>1395</v>
      </c>
    </row>
    <row r="17449" spans="8:8" x14ac:dyDescent="0.25">
      <c r="H17449" t="s">
        <v>135</v>
      </c>
    </row>
    <row r="17450" spans="8:8" x14ac:dyDescent="0.25">
      <c r="H17450" t="s">
        <v>2022</v>
      </c>
    </row>
    <row r="17451" spans="8:8" x14ac:dyDescent="0.25">
      <c r="H17451" t="s">
        <v>30</v>
      </c>
    </row>
    <row r="17453" spans="8:8" x14ac:dyDescent="0.25">
      <c r="H17453" t="s">
        <v>1397</v>
      </c>
    </row>
    <row r="17454" spans="8:8" x14ac:dyDescent="0.25">
      <c r="H17454" t="s">
        <v>1398</v>
      </c>
    </row>
    <row r="17455" spans="8:8" x14ac:dyDescent="0.25">
      <c r="H17455" t="s">
        <v>135</v>
      </c>
    </row>
    <row r="17456" spans="8:8" x14ac:dyDescent="0.25">
      <c r="H17456" t="s">
        <v>2023</v>
      </c>
    </row>
    <row r="17457" spans="8:8" x14ac:dyDescent="0.25">
      <c r="H17457" t="s">
        <v>30</v>
      </c>
    </row>
    <row r="17459" spans="8:8" x14ac:dyDescent="0.25">
      <c r="H17459" t="s">
        <v>1400</v>
      </c>
    </row>
    <row r="17460" spans="8:8" x14ac:dyDescent="0.25">
      <c r="H17460" t="s">
        <v>1401</v>
      </c>
    </row>
    <row r="17461" spans="8:8" x14ac:dyDescent="0.25">
      <c r="H17461" t="s">
        <v>135</v>
      </c>
    </row>
    <row r="17462" spans="8:8" x14ac:dyDescent="0.25">
      <c r="H17462" t="s">
        <v>2024</v>
      </c>
    </row>
    <row r="17463" spans="8:8" x14ac:dyDescent="0.25">
      <c r="H17463" t="s">
        <v>30</v>
      </c>
    </row>
    <row r="17465" spans="8:8" x14ac:dyDescent="0.25">
      <c r="H17465" t="s">
        <v>1403</v>
      </c>
    </row>
    <row r="17466" spans="8:8" x14ac:dyDescent="0.25">
      <c r="H17466" t="s">
        <v>1404</v>
      </c>
    </row>
    <row r="17467" spans="8:8" x14ac:dyDescent="0.25">
      <c r="H17467" t="s">
        <v>135</v>
      </c>
    </row>
    <row r="17468" spans="8:8" x14ac:dyDescent="0.25">
      <c r="H17468" t="s">
        <v>2025</v>
      </c>
    </row>
    <row r="17469" spans="8:8" x14ac:dyDescent="0.25">
      <c r="H17469" t="s">
        <v>30</v>
      </c>
    </row>
    <row r="17471" spans="8:8" x14ac:dyDescent="0.25">
      <c r="H17471" t="s">
        <v>1406</v>
      </c>
    </row>
    <row r="17472" spans="8:8" x14ac:dyDescent="0.25">
      <c r="H17472" t="s">
        <v>1407</v>
      </c>
    </row>
    <row r="17473" spans="8:8" x14ac:dyDescent="0.25">
      <c r="H17473" t="s">
        <v>135</v>
      </c>
    </row>
    <row r="17474" spans="8:8" x14ac:dyDescent="0.25">
      <c r="H17474" t="s">
        <v>2026</v>
      </c>
    </row>
    <row r="17475" spans="8:8" x14ac:dyDescent="0.25">
      <c r="H17475" t="s">
        <v>30</v>
      </c>
    </row>
    <row r="17477" spans="8:8" x14ac:dyDescent="0.25">
      <c r="H17477" t="s">
        <v>1409</v>
      </c>
    </row>
    <row r="17478" spans="8:8" x14ac:dyDescent="0.25">
      <c r="H17478" t="s">
        <v>1410</v>
      </c>
    </row>
    <row r="17479" spans="8:8" x14ac:dyDescent="0.25">
      <c r="H17479" t="s">
        <v>135</v>
      </c>
    </row>
    <row r="17480" spans="8:8" x14ac:dyDescent="0.25">
      <c r="H17480" t="s">
        <v>2027</v>
      </c>
    </row>
    <row r="17481" spans="8:8" x14ac:dyDescent="0.25">
      <c r="H17481" t="s">
        <v>30</v>
      </c>
    </row>
    <row r="17483" spans="8:8" x14ac:dyDescent="0.25">
      <c r="H17483" t="s">
        <v>1412</v>
      </c>
    </row>
    <row r="17484" spans="8:8" x14ac:dyDescent="0.25">
      <c r="H17484" t="s">
        <v>1413</v>
      </c>
    </row>
    <row r="17485" spans="8:8" x14ac:dyDescent="0.25">
      <c r="H17485" t="s">
        <v>135</v>
      </c>
    </row>
    <row r="17486" spans="8:8" x14ac:dyDescent="0.25">
      <c r="H17486" t="s">
        <v>2028</v>
      </c>
    </row>
    <row r="17487" spans="8:8" x14ac:dyDescent="0.25">
      <c r="H17487" t="s">
        <v>30</v>
      </c>
    </row>
    <row r="17489" spans="8:8" x14ac:dyDescent="0.25">
      <c r="H17489" t="s">
        <v>1415</v>
      </c>
    </row>
    <row r="17490" spans="8:8" x14ac:dyDescent="0.25">
      <c r="H17490" t="s">
        <v>1416</v>
      </c>
    </row>
    <row r="17491" spans="8:8" x14ac:dyDescent="0.25">
      <c r="H17491" t="s">
        <v>135</v>
      </c>
    </row>
    <row r="17492" spans="8:8" x14ac:dyDescent="0.25">
      <c r="H17492" t="s">
        <v>2029</v>
      </c>
    </row>
    <row r="17493" spans="8:8" x14ac:dyDescent="0.25">
      <c r="H17493" t="s">
        <v>30</v>
      </c>
    </row>
    <row r="17495" spans="8:8" x14ac:dyDescent="0.25">
      <c r="H17495" t="s">
        <v>1418</v>
      </c>
    </row>
    <row r="17496" spans="8:8" x14ac:dyDescent="0.25">
      <c r="H17496" t="s">
        <v>1419</v>
      </c>
    </row>
    <row r="17497" spans="8:8" x14ac:dyDescent="0.25">
      <c r="H17497" t="s">
        <v>135</v>
      </c>
    </row>
    <row r="17498" spans="8:8" x14ac:dyDescent="0.25">
      <c r="H17498" t="s">
        <v>2030</v>
      </c>
    </row>
    <row r="17499" spans="8:8" x14ac:dyDescent="0.25">
      <c r="H17499" t="s">
        <v>30</v>
      </c>
    </row>
    <row r="17501" spans="8:8" x14ac:dyDescent="0.25">
      <c r="H17501" t="s">
        <v>1421</v>
      </c>
    </row>
    <row r="17502" spans="8:8" x14ac:dyDescent="0.25">
      <c r="H17502" t="s">
        <v>1422</v>
      </c>
    </row>
    <row r="17503" spans="8:8" x14ac:dyDescent="0.25">
      <c r="H17503" t="s">
        <v>135</v>
      </c>
    </row>
    <row r="17504" spans="8:8" x14ac:dyDescent="0.25">
      <c r="H17504" t="s">
        <v>2031</v>
      </c>
    </row>
    <row r="17505" spans="8:8" x14ac:dyDescent="0.25">
      <c r="H17505" t="s">
        <v>30</v>
      </c>
    </row>
    <row r="17507" spans="8:8" x14ac:dyDescent="0.25">
      <c r="H17507" t="s">
        <v>1424</v>
      </c>
    </row>
    <row r="17508" spans="8:8" x14ac:dyDescent="0.25">
      <c r="H17508" t="s">
        <v>1425</v>
      </c>
    </row>
    <row r="17509" spans="8:8" x14ac:dyDescent="0.25">
      <c r="H17509" t="s">
        <v>135</v>
      </c>
    </row>
    <row r="17510" spans="8:8" x14ac:dyDescent="0.25">
      <c r="H17510" t="s">
        <v>2032</v>
      </c>
    </row>
    <row r="17511" spans="8:8" x14ac:dyDescent="0.25">
      <c r="H17511" t="s">
        <v>30</v>
      </c>
    </row>
    <row r="17513" spans="8:8" x14ac:dyDescent="0.25">
      <c r="H17513" t="s">
        <v>1427</v>
      </c>
    </row>
    <row r="17514" spans="8:8" x14ac:dyDescent="0.25">
      <c r="H17514" t="s">
        <v>1428</v>
      </c>
    </row>
    <row r="17515" spans="8:8" x14ac:dyDescent="0.25">
      <c r="H17515" t="s">
        <v>135</v>
      </c>
    </row>
    <row r="17516" spans="8:8" x14ac:dyDescent="0.25">
      <c r="H17516" t="s">
        <v>2033</v>
      </c>
    </row>
    <row r="17517" spans="8:8" x14ac:dyDescent="0.25">
      <c r="H17517" t="s">
        <v>30</v>
      </c>
    </row>
    <row r="17519" spans="8:8" x14ac:dyDescent="0.25">
      <c r="H17519" t="s">
        <v>1430</v>
      </c>
    </row>
    <row r="17520" spans="8:8" x14ac:dyDescent="0.25">
      <c r="H17520" t="s">
        <v>1431</v>
      </c>
    </row>
    <row r="17521" spans="8:8" x14ac:dyDescent="0.25">
      <c r="H17521" t="s">
        <v>135</v>
      </c>
    </row>
    <row r="17522" spans="8:8" x14ac:dyDescent="0.25">
      <c r="H17522" t="s">
        <v>2034</v>
      </c>
    </row>
    <row r="17523" spans="8:8" x14ac:dyDescent="0.25">
      <c r="H17523" t="s">
        <v>30</v>
      </c>
    </row>
    <row r="17525" spans="8:8" x14ac:dyDescent="0.25">
      <c r="H17525" t="s">
        <v>1433</v>
      </c>
    </row>
    <row r="17526" spans="8:8" x14ac:dyDescent="0.25">
      <c r="H17526" t="s">
        <v>1434</v>
      </c>
    </row>
    <row r="17527" spans="8:8" x14ac:dyDescent="0.25">
      <c r="H17527" t="s">
        <v>135</v>
      </c>
    </row>
    <row r="17528" spans="8:8" x14ac:dyDescent="0.25">
      <c r="H17528" t="s">
        <v>2035</v>
      </c>
    </row>
    <row r="17529" spans="8:8" x14ac:dyDescent="0.25">
      <c r="H17529" t="s">
        <v>30</v>
      </c>
    </row>
    <row r="17531" spans="8:8" x14ac:dyDescent="0.25">
      <c r="H17531" t="s">
        <v>1436</v>
      </c>
    </row>
    <row r="17532" spans="8:8" x14ac:dyDescent="0.25">
      <c r="H17532" t="s">
        <v>1437</v>
      </c>
    </row>
    <row r="17533" spans="8:8" x14ac:dyDescent="0.25">
      <c r="H17533" t="s">
        <v>135</v>
      </c>
    </row>
    <row r="17534" spans="8:8" x14ac:dyDescent="0.25">
      <c r="H17534" t="s">
        <v>2036</v>
      </c>
    </row>
    <row r="17535" spans="8:8" x14ac:dyDescent="0.25">
      <c r="H17535" t="s">
        <v>30</v>
      </c>
    </row>
    <row r="17537" spans="8:8" x14ac:dyDescent="0.25">
      <c r="H17537" t="s">
        <v>1439</v>
      </c>
    </row>
    <row r="17538" spans="8:8" x14ac:dyDescent="0.25">
      <c r="H17538" t="s">
        <v>1440</v>
      </c>
    </row>
    <row r="17539" spans="8:8" x14ac:dyDescent="0.25">
      <c r="H17539" t="s">
        <v>135</v>
      </c>
    </row>
    <row r="17540" spans="8:8" x14ac:dyDescent="0.25">
      <c r="H17540" t="s">
        <v>2037</v>
      </c>
    </row>
    <row r="17541" spans="8:8" x14ac:dyDescent="0.25">
      <c r="H17541" t="s">
        <v>30</v>
      </c>
    </row>
    <row r="17543" spans="8:8" x14ac:dyDescent="0.25">
      <c r="H17543" t="s">
        <v>1442</v>
      </c>
    </row>
    <row r="17544" spans="8:8" x14ac:dyDescent="0.25">
      <c r="H17544" t="s">
        <v>1443</v>
      </c>
    </row>
    <row r="17545" spans="8:8" x14ac:dyDescent="0.25">
      <c r="H17545" t="s">
        <v>135</v>
      </c>
    </row>
    <row r="17546" spans="8:8" x14ac:dyDescent="0.25">
      <c r="H17546" t="s">
        <v>2038</v>
      </c>
    </row>
    <row r="17547" spans="8:8" x14ac:dyDescent="0.25">
      <c r="H17547" t="s">
        <v>30</v>
      </c>
    </row>
    <row r="17549" spans="8:8" x14ac:dyDescent="0.25">
      <c r="H17549" t="s">
        <v>1445</v>
      </c>
    </row>
    <row r="17550" spans="8:8" x14ac:dyDescent="0.25">
      <c r="H17550" t="s">
        <v>1446</v>
      </c>
    </row>
    <row r="17551" spans="8:8" x14ac:dyDescent="0.25">
      <c r="H17551" t="s">
        <v>135</v>
      </c>
    </row>
    <row r="17552" spans="8:8" x14ac:dyDescent="0.25">
      <c r="H17552" t="s">
        <v>2039</v>
      </c>
    </row>
    <row r="17553" spans="8:8" x14ac:dyDescent="0.25">
      <c r="H17553" t="s">
        <v>30</v>
      </c>
    </row>
    <row r="17555" spans="8:8" x14ac:dyDescent="0.25">
      <c r="H17555" t="s">
        <v>1448</v>
      </c>
    </row>
    <row r="17556" spans="8:8" x14ac:dyDescent="0.25">
      <c r="H17556" t="s">
        <v>1449</v>
      </c>
    </row>
    <row r="17557" spans="8:8" x14ac:dyDescent="0.25">
      <c r="H17557" t="s">
        <v>135</v>
      </c>
    </row>
    <row r="17558" spans="8:8" x14ac:dyDescent="0.25">
      <c r="H17558" t="s">
        <v>2040</v>
      </c>
    </row>
    <row r="17559" spans="8:8" x14ac:dyDescent="0.25">
      <c r="H17559" t="s">
        <v>30</v>
      </c>
    </row>
    <row r="17561" spans="8:8" x14ac:dyDescent="0.25">
      <c r="H17561" t="s">
        <v>1451</v>
      </c>
    </row>
    <row r="17562" spans="8:8" x14ac:dyDescent="0.25">
      <c r="H17562" t="s">
        <v>1452</v>
      </c>
    </row>
    <row r="17563" spans="8:8" x14ac:dyDescent="0.25">
      <c r="H17563" t="s">
        <v>135</v>
      </c>
    </row>
    <row r="17564" spans="8:8" x14ac:dyDescent="0.25">
      <c r="H17564" t="s">
        <v>2041</v>
      </c>
    </row>
    <row r="17565" spans="8:8" x14ac:dyDescent="0.25">
      <c r="H17565" t="s">
        <v>30</v>
      </c>
    </row>
    <row r="17567" spans="8:8" x14ac:dyDescent="0.25">
      <c r="H17567" t="s">
        <v>1454</v>
      </c>
    </row>
    <row r="17568" spans="8:8" x14ac:dyDescent="0.25">
      <c r="H17568" t="s">
        <v>1455</v>
      </c>
    </row>
    <row r="17569" spans="8:8" x14ac:dyDescent="0.25">
      <c r="H17569" t="s">
        <v>135</v>
      </c>
    </row>
    <row r="17570" spans="8:8" x14ac:dyDescent="0.25">
      <c r="H17570" t="s">
        <v>2042</v>
      </c>
    </row>
    <row r="17571" spans="8:8" x14ac:dyDescent="0.25">
      <c r="H17571" t="s">
        <v>30</v>
      </c>
    </row>
    <row r="17573" spans="8:8" x14ac:dyDescent="0.25">
      <c r="H17573" t="s">
        <v>1457</v>
      </c>
    </row>
    <row r="17574" spans="8:8" x14ac:dyDescent="0.25">
      <c r="H17574" t="s">
        <v>1458</v>
      </c>
    </row>
    <row r="17575" spans="8:8" x14ac:dyDescent="0.25">
      <c r="H17575" t="s">
        <v>135</v>
      </c>
    </row>
    <row r="17576" spans="8:8" x14ac:dyDescent="0.25">
      <c r="H17576" t="s">
        <v>2043</v>
      </c>
    </row>
    <row r="17577" spans="8:8" x14ac:dyDescent="0.25">
      <c r="H17577" t="s">
        <v>30</v>
      </c>
    </row>
    <row r="17579" spans="8:8" x14ac:dyDescent="0.25">
      <c r="H17579" t="s">
        <v>1460</v>
      </c>
    </row>
    <row r="17580" spans="8:8" x14ac:dyDescent="0.25">
      <c r="H17580" t="s">
        <v>1461</v>
      </c>
    </row>
    <row r="17581" spans="8:8" x14ac:dyDescent="0.25">
      <c r="H17581" t="s">
        <v>135</v>
      </c>
    </row>
    <row r="17582" spans="8:8" x14ac:dyDescent="0.25">
      <c r="H17582" t="s">
        <v>2044</v>
      </c>
    </row>
    <row r="17583" spans="8:8" x14ac:dyDescent="0.25">
      <c r="H17583" t="s">
        <v>30</v>
      </c>
    </row>
    <row r="17585" spans="8:8" x14ac:dyDescent="0.25">
      <c r="H17585" t="s">
        <v>1463</v>
      </c>
    </row>
    <row r="17586" spans="8:8" x14ac:dyDescent="0.25">
      <c r="H17586" t="s">
        <v>1464</v>
      </c>
    </row>
    <row r="17587" spans="8:8" x14ac:dyDescent="0.25">
      <c r="H17587" t="s">
        <v>135</v>
      </c>
    </row>
    <row r="17588" spans="8:8" x14ac:dyDescent="0.25">
      <c r="H17588" t="s">
        <v>2045</v>
      </c>
    </row>
    <row r="17589" spans="8:8" x14ac:dyDescent="0.25">
      <c r="H17589" t="s">
        <v>30</v>
      </c>
    </row>
    <row r="17591" spans="8:8" x14ac:dyDescent="0.25">
      <c r="H17591" t="s">
        <v>1466</v>
      </c>
    </row>
    <row r="17592" spans="8:8" x14ac:dyDescent="0.25">
      <c r="H17592" t="s">
        <v>1467</v>
      </c>
    </row>
    <row r="17593" spans="8:8" x14ac:dyDescent="0.25">
      <c r="H17593" t="s">
        <v>135</v>
      </c>
    </row>
    <row r="17594" spans="8:8" x14ac:dyDescent="0.25">
      <c r="H17594" t="s">
        <v>2046</v>
      </c>
    </row>
    <row r="17595" spans="8:8" x14ac:dyDescent="0.25">
      <c r="H17595" t="s">
        <v>30</v>
      </c>
    </row>
    <row r="17597" spans="8:8" x14ac:dyDescent="0.25">
      <c r="H17597" t="s">
        <v>1469</v>
      </c>
    </row>
    <row r="17598" spans="8:8" x14ac:dyDescent="0.25">
      <c r="H17598" t="s">
        <v>1470</v>
      </c>
    </row>
    <row r="17599" spans="8:8" x14ac:dyDescent="0.25">
      <c r="H17599" t="s">
        <v>135</v>
      </c>
    </row>
    <row r="17600" spans="8:8" x14ac:dyDescent="0.25">
      <c r="H17600" t="s">
        <v>2047</v>
      </c>
    </row>
    <row r="17601" spans="8:8" x14ac:dyDescent="0.25">
      <c r="H17601" t="s">
        <v>30</v>
      </c>
    </row>
    <row r="17603" spans="8:8" x14ac:dyDescent="0.25">
      <c r="H17603" t="s">
        <v>1472</v>
      </c>
    </row>
    <row r="17604" spans="8:8" x14ac:dyDescent="0.25">
      <c r="H17604" t="s">
        <v>1473</v>
      </c>
    </row>
    <row r="17605" spans="8:8" x14ac:dyDescent="0.25">
      <c r="H17605" t="s">
        <v>135</v>
      </c>
    </row>
    <row r="17606" spans="8:8" x14ac:dyDescent="0.25">
      <c r="H17606" t="s">
        <v>2048</v>
      </c>
    </row>
    <row r="17607" spans="8:8" x14ac:dyDescent="0.25">
      <c r="H17607" t="s">
        <v>30</v>
      </c>
    </row>
    <row r="17609" spans="8:8" x14ac:dyDescent="0.25">
      <c r="H17609" t="s">
        <v>1475</v>
      </c>
    </row>
    <row r="17610" spans="8:8" x14ac:dyDescent="0.25">
      <c r="H17610" t="s">
        <v>1476</v>
      </c>
    </row>
    <row r="17611" spans="8:8" x14ac:dyDescent="0.25">
      <c r="H17611" t="s">
        <v>135</v>
      </c>
    </row>
    <row r="17612" spans="8:8" x14ac:dyDescent="0.25">
      <c r="H17612" t="s">
        <v>2049</v>
      </c>
    </row>
    <row r="17613" spans="8:8" x14ac:dyDescent="0.25">
      <c r="H17613" t="s">
        <v>30</v>
      </c>
    </row>
    <row r="17615" spans="8:8" x14ac:dyDescent="0.25">
      <c r="H17615" t="s">
        <v>1478</v>
      </c>
    </row>
    <row r="17616" spans="8:8" x14ac:dyDescent="0.25">
      <c r="H17616" t="s">
        <v>1479</v>
      </c>
    </row>
    <row r="17617" spans="8:8" x14ac:dyDescent="0.25">
      <c r="H17617" t="s">
        <v>135</v>
      </c>
    </row>
    <row r="17618" spans="8:8" x14ac:dyDescent="0.25">
      <c r="H17618" t="s">
        <v>2050</v>
      </c>
    </row>
    <row r="17619" spans="8:8" x14ac:dyDescent="0.25">
      <c r="H17619" t="s">
        <v>30</v>
      </c>
    </row>
    <row r="17621" spans="8:8" x14ac:dyDescent="0.25">
      <c r="H17621" t="s">
        <v>1481</v>
      </c>
    </row>
    <row r="17622" spans="8:8" x14ac:dyDescent="0.25">
      <c r="H17622" t="s">
        <v>1482</v>
      </c>
    </row>
    <row r="17623" spans="8:8" x14ac:dyDescent="0.25">
      <c r="H17623" t="s">
        <v>135</v>
      </c>
    </row>
    <row r="17624" spans="8:8" x14ac:dyDescent="0.25">
      <c r="H17624" t="s">
        <v>2051</v>
      </c>
    </row>
    <row r="17625" spans="8:8" x14ac:dyDescent="0.25">
      <c r="H17625" t="s">
        <v>30</v>
      </c>
    </row>
    <row r="17627" spans="8:8" x14ac:dyDescent="0.25">
      <c r="H17627" t="s">
        <v>1484</v>
      </c>
    </row>
    <row r="17628" spans="8:8" x14ac:dyDescent="0.25">
      <c r="H17628" t="s">
        <v>1485</v>
      </c>
    </row>
    <row r="17629" spans="8:8" x14ac:dyDescent="0.25">
      <c r="H17629" t="s">
        <v>135</v>
      </c>
    </row>
    <row r="17630" spans="8:8" x14ac:dyDescent="0.25">
      <c r="H17630" t="s">
        <v>2052</v>
      </c>
    </row>
    <row r="17631" spans="8:8" x14ac:dyDescent="0.25">
      <c r="H17631" t="s">
        <v>30</v>
      </c>
    </row>
    <row r="17633" spans="8:8" x14ac:dyDescent="0.25">
      <c r="H17633" t="s">
        <v>1487</v>
      </c>
    </row>
    <row r="17634" spans="8:8" x14ac:dyDescent="0.25">
      <c r="H17634" t="s">
        <v>1488</v>
      </c>
    </row>
    <row r="17635" spans="8:8" x14ac:dyDescent="0.25">
      <c r="H17635" t="s">
        <v>135</v>
      </c>
    </row>
    <row r="17636" spans="8:8" x14ac:dyDescent="0.25">
      <c r="H17636" t="s">
        <v>2053</v>
      </c>
    </row>
    <row r="17637" spans="8:8" x14ac:dyDescent="0.25">
      <c r="H17637" t="s">
        <v>30</v>
      </c>
    </row>
    <row r="17639" spans="8:8" x14ac:dyDescent="0.25">
      <c r="H17639" t="s">
        <v>1490</v>
      </c>
    </row>
    <row r="17640" spans="8:8" x14ac:dyDescent="0.25">
      <c r="H17640" t="s">
        <v>1491</v>
      </c>
    </row>
    <row r="17641" spans="8:8" x14ac:dyDescent="0.25">
      <c r="H17641" t="s">
        <v>135</v>
      </c>
    </row>
    <row r="17642" spans="8:8" x14ac:dyDescent="0.25">
      <c r="H17642" t="s">
        <v>2054</v>
      </c>
    </row>
    <row r="17643" spans="8:8" x14ac:dyDescent="0.25">
      <c r="H17643" t="s">
        <v>30</v>
      </c>
    </row>
    <row r="17645" spans="8:8" x14ac:dyDescent="0.25">
      <c r="H17645" t="s">
        <v>1493</v>
      </c>
    </row>
    <row r="17646" spans="8:8" x14ac:dyDescent="0.25">
      <c r="H17646" t="s">
        <v>1494</v>
      </c>
    </row>
    <row r="17647" spans="8:8" x14ac:dyDescent="0.25">
      <c r="H17647" t="s">
        <v>135</v>
      </c>
    </row>
    <row r="17648" spans="8:8" x14ac:dyDescent="0.25">
      <c r="H17648" t="s">
        <v>2055</v>
      </c>
    </row>
    <row r="17649" spans="8:8" x14ac:dyDescent="0.25">
      <c r="H17649" t="s">
        <v>30</v>
      </c>
    </row>
    <row r="17651" spans="8:8" x14ac:dyDescent="0.25">
      <c r="H17651" t="s">
        <v>1496</v>
      </c>
    </row>
    <row r="17652" spans="8:8" x14ac:dyDescent="0.25">
      <c r="H17652" t="s">
        <v>1497</v>
      </c>
    </row>
    <row r="17653" spans="8:8" x14ac:dyDescent="0.25">
      <c r="H17653" t="s">
        <v>135</v>
      </c>
    </row>
    <row r="17654" spans="8:8" x14ac:dyDescent="0.25">
      <c r="H17654" t="s">
        <v>2056</v>
      </c>
    </row>
    <row r="17655" spans="8:8" x14ac:dyDescent="0.25">
      <c r="H17655" t="s">
        <v>30</v>
      </c>
    </row>
    <row r="17657" spans="8:8" x14ac:dyDescent="0.25">
      <c r="H17657" t="s">
        <v>1499</v>
      </c>
    </row>
    <row r="17658" spans="8:8" x14ac:dyDescent="0.25">
      <c r="H17658" t="s">
        <v>1500</v>
      </c>
    </row>
    <row r="17659" spans="8:8" x14ac:dyDescent="0.25">
      <c r="H17659" t="s">
        <v>135</v>
      </c>
    </row>
    <row r="17660" spans="8:8" x14ac:dyDescent="0.25">
      <c r="H17660" t="s">
        <v>2057</v>
      </c>
    </row>
    <row r="17661" spans="8:8" x14ac:dyDescent="0.25">
      <c r="H17661" t="s">
        <v>30</v>
      </c>
    </row>
    <row r="17663" spans="8:8" x14ac:dyDescent="0.25">
      <c r="H17663" t="s">
        <v>1502</v>
      </c>
    </row>
    <row r="17664" spans="8:8" x14ac:dyDescent="0.25">
      <c r="H17664" t="s">
        <v>1503</v>
      </c>
    </row>
    <row r="17665" spans="8:8" x14ac:dyDescent="0.25">
      <c r="H17665" t="s">
        <v>135</v>
      </c>
    </row>
    <row r="17666" spans="8:8" x14ac:dyDescent="0.25">
      <c r="H17666" t="s">
        <v>2058</v>
      </c>
    </row>
    <row r="17667" spans="8:8" x14ac:dyDescent="0.25">
      <c r="H17667" t="s">
        <v>30</v>
      </c>
    </row>
    <row r="17669" spans="8:8" x14ac:dyDescent="0.25">
      <c r="H17669" t="s">
        <v>1505</v>
      </c>
    </row>
    <row r="17670" spans="8:8" x14ac:dyDescent="0.25">
      <c r="H17670" t="s">
        <v>1506</v>
      </c>
    </row>
    <row r="17671" spans="8:8" x14ac:dyDescent="0.25">
      <c r="H17671" t="s">
        <v>135</v>
      </c>
    </row>
    <row r="17672" spans="8:8" x14ac:dyDescent="0.25">
      <c r="H17672" t="s">
        <v>2059</v>
      </c>
    </row>
    <row r="17673" spans="8:8" x14ac:dyDescent="0.25">
      <c r="H17673" t="s">
        <v>30</v>
      </c>
    </row>
    <row r="17675" spans="8:8" x14ac:dyDescent="0.25">
      <c r="H17675" t="s">
        <v>1508</v>
      </c>
    </row>
    <row r="17676" spans="8:8" x14ac:dyDescent="0.25">
      <c r="H17676" t="s">
        <v>1509</v>
      </c>
    </row>
    <row r="17677" spans="8:8" x14ac:dyDescent="0.25">
      <c r="H17677" t="s">
        <v>135</v>
      </c>
    </row>
    <row r="17678" spans="8:8" x14ac:dyDescent="0.25">
      <c r="H17678" t="s">
        <v>2060</v>
      </c>
    </row>
    <row r="17679" spans="8:8" x14ac:dyDescent="0.25">
      <c r="H17679" t="s">
        <v>30</v>
      </c>
    </row>
    <row r="17681" spans="8:8" x14ac:dyDescent="0.25">
      <c r="H17681" t="s">
        <v>1511</v>
      </c>
    </row>
    <row r="17682" spans="8:8" x14ac:dyDescent="0.25">
      <c r="H17682" t="s">
        <v>1512</v>
      </c>
    </row>
    <row r="17683" spans="8:8" x14ac:dyDescent="0.25">
      <c r="H17683" t="s">
        <v>135</v>
      </c>
    </row>
    <row r="17684" spans="8:8" x14ac:dyDescent="0.25">
      <c r="H17684" t="s">
        <v>2061</v>
      </c>
    </row>
    <row r="17685" spans="8:8" x14ac:dyDescent="0.25">
      <c r="H17685" t="s">
        <v>30</v>
      </c>
    </row>
    <row r="17687" spans="8:8" x14ac:dyDescent="0.25">
      <c r="H17687" t="s">
        <v>1514</v>
      </c>
    </row>
    <row r="17688" spans="8:8" x14ac:dyDescent="0.25">
      <c r="H17688" t="s">
        <v>1515</v>
      </c>
    </row>
    <row r="17689" spans="8:8" x14ac:dyDescent="0.25">
      <c r="H17689" t="s">
        <v>135</v>
      </c>
    </row>
    <row r="17690" spans="8:8" x14ac:dyDescent="0.25">
      <c r="H17690" t="s">
        <v>2062</v>
      </c>
    </row>
    <row r="17691" spans="8:8" x14ac:dyDescent="0.25">
      <c r="H17691" t="s">
        <v>30</v>
      </c>
    </row>
    <row r="17693" spans="8:8" x14ac:dyDescent="0.25">
      <c r="H17693" t="s">
        <v>1517</v>
      </c>
    </row>
    <row r="17694" spans="8:8" x14ac:dyDescent="0.25">
      <c r="H17694" t="s">
        <v>1518</v>
      </c>
    </row>
    <row r="17695" spans="8:8" x14ac:dyDescent="0.25">
      <c r="H17695" t="s">
        <v>135</v>
      </c>
    </row>
    <row r="17696" spans="8:8" x14ac:dyDescent="0.25">
      <c r="H17696" t="s">
        <v>2063</v>
      </c>
    </row>
    <row r="17697" spans="8:8" x14ac:dyDescent="0.25">
      <c r="H17697" t="s">
        <v>30</v>
      </c>
    </row>
    <row r="17699" spans="8:8" x14ac:dyDescent="0.25">
      <c r="H17699" t="s">
        <v>1520</v>
      </c>
    </row>
    <row r="17700" spans="8:8" x14ac:dyDescent="0.25">
      <c r="H17700" t="s">
        <v>1521</v>
      </c>
    </row>
    <row r="17701" spans="8:8" x14ac:dyDescent="0.25">
      <c r="H17701" t="s">
        <v>135</v>
      </c>
    </row>
    <row r="17702" spans="8:8" x14ac:dyDescent="0.25">
      <c r="H17702" t="s">
        <v>2064</v>
      </c>
    </row>
    <row r="17703" spans="8:8" x14ac:dyDescent="0.25">
      <c r="H17703" t="s">
        <v>30</v>
      </c>
    </row>
    <row r="17705" spans="8:8" x14ac:dyDescent="0.25">
      <c r="H17705" t="s">
        <v>1523</v>
      </c>
    </row>
    <row r="17706" spans="8:8" x14ac:dyDescent="0.25">
      <c r="H17706" t="s">
        <v>1524</v>
      </c>
    </row>
    <row r="17707" spans="8:8" x14ac:dyDescent="0.25">
      <c r="H17707" t="s">
        <v>135</v>
      </c>
    </row>
    <row r="17708" spans="8:8" x14ac:dyDescent="0.25">
      <c r="H17708" t="s">
        <v>2065</v>
      </c>
    </row>
    <row r="17709" spans="8:8" x14ac:dyDescent="0.25">
      <c r="H17709" t="s">
        <v>30</v>
      </c>
    </row>
    <row r="17711" spans="8:8" x14ac:dyDescent="0.25">
      <c r="H17711" t="s">
        <v>1526</v>
      </c>
    </row>
    <row r="17712" spans="8:8" x14ac:dyDescent="0.25">
      <c r="H17712" t="s">
        <v>1527</v>
      </c>
    </row>
    <row r="17713" spans="8:8" x14ac:dyDescent="0.25">
      <c r="H17713" t="s">
        <v>135</v>
      </c>
    </row>
    <row r="17714" spans="8:8" x14ac:dyDescent="0.25">
      <c r="H17714" t="s">
        <v>2066</v>
      </c>
    </row>
    <row r="17715" spans="8:8" x14ac:dyDescent="0.25">
      <c r="H17715" t="s">
        <v>30</v>
      </c>
    </row>
    <row r="17717" spans="8:8" x14ac:dyDescent="0.25">
      <c r="H17717" t="s">
        <v>1529</v>
      </c>
    </row>
    <row r="17718" spans="8:8" x14ac:dyDescent="0.25">
      <c r="H17718" t="s">
        <v>1530</v>
      </c>
    </row>
    <row r="17719" spans="8:8" x14ac:dyDescent="0.25">
      <c r="H17719" t="s">
        <v>135</v>
      </c>
    </row>
    <row r="17720" spans="8:8" x14ac:dyDescent="0.25">
      <c r="H17720" t="s">
        <v>2067</v>
      </c>
    </row>
    <row r="17721" spans="8:8" x14ac:dyDescent="0.25">
      <c r="H17721" t="s">
        <v>30</v>
      </c>
    </row>
    <row r="17723" spans="8:8" x14ac:dyDescent="0.25">
      <c r="H17723" t="s">
        <v>1532</v>
      </c>
    </row>
    <row r="17724" spans="8:8" x14ac:dyDescent="0.25">
      <c r="H17724" t="s">
        <v>1533</v>
      </c>
    </row>
    <row r="17725" spans="8:8" x14ac:dyDescent="0.25">
      <c r="H17725" t="s">
        <v>135</v>
      </c>
    </row>
    <row r="17726" spans="8:8" x14ac:dyDescent="0.25">
      <c r="H17726" t="s">
        <v>2068</v>
      </c>
    </row>
    <row r="17727" spans="8:8" x14ac:dyDescent="0.25">
      <c r="H17727" t="s">
        <v>30</v>
      </c>
    </row>
    <row r="17729" spans="8:8" x14ac:dyDescent="0.25">
      <c r="H17729" t="s">
        <v>1535</v>
      </c>
    </row>
    <row r="17730" spans="8:8" x14ac:dyDescent="0.25">
      <c r="H17730" t="s">
        <v>1536</v>
      </c>
    </row>
    <row r="17731" spans="8:8" x14ac:dyDescent="0.25">
      <c r="H17731" t="s">
        <v>135</v>
      </c>
    </row>
    <row r="17732" spans="8:8" x14ac:dyDescent="0.25">
      <c r="H17732" t="s">
        <v>2069</v>
      </c>
    </row>
    <row r="17733" spans="8:8" x14ac:dyDescent="0.25">
      <c r="H17733" t="s">
        <v>30</v>
      </c>
    </row>
    <row r="17735" spans="8:8" x14ac:dyDescent="0.25">
      <c r="H17735" t="s">
        <v>1538</v>
      </c>
    </row>
    <row r="17736" spans="8:8" x14ac:dyDescent="0.25">
      <c r="H17736" t="s">
        <v>1539</v>
      </c>
    </row>
    <row r="17737" spans="8:8" x14ac:dyDescent="0.25">
      <c r="H17737" t="s">
        <v>135</v>
      </c>
    </row>
    <row r="17738" spans="8:8" x14ac:dyDescent="0.25">
      <c r="H17738" t="s">
        <v>2070</v>
      </c>
    </row>
    <row r="17739" spans="8:8" x14ac:dyDescent="0.25">
      <c r="H17739" t="s">
        <v>30</v>
      </c>
    </row>
    <row r="17741" spans="8:8" x14ac:dyDescent="0.25">
      <c r="H17741" t="s">
        <v>1541</v>
      </c>
    </row>
    <row r="17742" spans="8:8" x14ac:dyDescent="0.25">
      <c r="H17742" t="s">
        <v>1542</v>
      </c>
    </row>
    <row r="17743" spans="8:8" x14ac:dyDescent="0.25">
      <c r="H17743" t="s">
        <v>135</v>
      </c>
    </row>
    <row r="17744" spans="8:8" x14ac:dyDescent="0.25">
      <c r="H17744" t="s">
        <v>2071</v>
      </c>
    </row>
    <row r="17745" spans="8:8" x14ac:dyDescent="0.25">
      <c r="H17745" t="s">
        <v>30</v>
      </c>
    </row>
    <row r="17747" spans="8:8" x14ac:dyDescent="0.25">
      <c r="H17747" t="s">
        <v>1544</v>
      </c>
    </row>
    <row r="17748" spans="8:8" x14ac:dyDescent="0.25">
      <c r="H17748" t="s">
        <v>1545</v>
      </c>
    </row>
    <row r="17749" spans="8:8" x14ac:dyDescent="0.25">
      <c r="H17749" t="s">
        <v>135</v>
      </c>
    </row>
    <row r="17750" spans="8:8" x14ac:dyDescent="0.25">
      <c r="H17750" t="s">
        <v>2072</v>
      </c>
    </row>
    <row r="17751" spans="8:8" x14ac:dyDescent="0.25">
      <c r="H17751" t="s">
        <v>30</v>
      </c>
    </row>
    <row r="17753" spans="8:8" x14ac:dyDescent="0.25">
      <c r="H17753" t="s">
        <v>1547</v>
      </c>
    </row>
    <row r="17754" spans="8:8" x14ac:dyDescent="0.25">
      <c r="H17754" t="s">
        <v>1548</v>
      </c>
    </row>
    <row r="17755" spans="8:8" x14ac:dyDescent="0.25">
      <c r="H17755" t="s">
        <v>135</v>
      </c>
    </row>
    <row r="17756" spans="8:8" x14ac:dyDescent="0.25">
      <c r="H17756" t="s">
        <v>2073</v>
      </c>
    </row>
    <row r="17757" spans="8:8" x14ac:dyDescent="0.25">
      <c r="H17757" t="s">
        <v>30</v>
      </c>
    </row>
    <row r="17759" spans="8:8" x14ac:dyDescent="0.25">
      <c r="H17759" t="s">
        <v>1550</v>
      </c>
    </row>
    <row r="17760" spans="8:8" x14ac:dyDescent="0.25">
      <c r="H17760" t="s">
        <v>1551</v>
      </c>
    </row>
    <row r="17761" spans="8:8" x14ac:dyDescent="0.25">
      <c r="H17761" t="s">
        <v>135</v>
      </c>
    </row>
    <row r="17762" spans="8:8" x14ac:dyDescent="0.25">
      <c r="H17762" t="s">
        <v>2074</v>
      </c>
    </row>
    <row r="17763" spans="8:8" x14ac:dyDescent="0.25">
      <c r="H17763" t="s">
        <v>30</v>
      </c>
    </row>
    <row r="17765" spans="8:8" x14ac:dyDescent="0.25">
      <c r="H17765" t="s">
        <v>1553</v>
      </c>
    </row>
    <row r="17766" spans="8:8" x14ac:dyDescent="0.25">
      <c r="H17766" t="s">
        <v>1554</v>
      </c>
    </row>
    <row r="17767" spans="8:8" x14ac:dyDescent="0.25">
      <c r="H17767" t="s">
        <v>135</v>
      </c>
    </row>
    <row r="17768" spans="8:8" x14ac:dyDescent="0.25">
      <c r="H17768" t="s">
        <v>2075</v>
      </c>
    </row>
    <row r="17769" spans="8:8" x14ac:dyDescent="0.25">
      <c r="H17769" t="s">
        <v>30</v>
      </c>
    </row>
    <row r="17771" spans="8:8" x14ac:dyDescent="0.25">
      <c r="H17771" t="s">
        <v>1556</v>
      </c>
    </row>
    <row r="17772" spans="8:8" x14ac:dyDescent="0.25">
      <c r="H17772" t="s">
        <v>1557</v>
      </c>
    </row>
    <row r="17773" spans="8:8" x14ac:dyDescent="0.25">
      <c r="H17773" t="s">
        <v>135</v>
      </c>
    </row>
    <row r="17774" spans="8:8" x14ac:dyDescent="0.25">
      <c r="H17774" t="s">
        <v>2076</v>
      </c>
    </row>
    <row r="17775" spans="8:8" x14ac:dyDescent="0.25">
      <c r="H17775" t="s">
        <v>30</v>
      </c>
    </row>
    <row r="17777" spans="8:8" x14ac:dyDescent="0.25">
      <c r="H17777" t="s">
        <v>1559</v>
      </c>
    </row>
    <row r="17778" spans="8:8" x14ac:dyDescent="0.25">
      <c r="H17778" t="s">
        <v>1560</v>
      </c>
    </row>
    <row r="17779" spans="8:8" x14ac:dyDescent="0.25">
      <c r="H17779" t="s">
        <v>135</v>
      </c>
    </row>
    <row r="17780" spans="8:8" x14ac:dyDescent="0.25">
      <c r="H17780" t="s">
        <v>2077</v>
      </c>
    </row>
    <row r="17781" spans="8:8" x14ac:dyDescent="0.25">
      <c r="H17781" t="s">
        <v>30</v>
      </c>
    </row>
    <row r="17783" spans="8:8" x14ac:dyDescent="0.25">
      <c r="H17783" t="s">
        <v>1562</v>
      </c>
    </row>
    <row r="17784" spans="8:8" x14ac:dyDescent="0.25">
      <c r="H17784" t="s">
        <v>1563</v>
      </c>
    </row>
    <row r="17785" spans="8:8" x14ac:dyDescent="0.25">
      <c r="H17785" t="s">
        <v>135</v>
      </c>
    </row>
    <row r="17786" spans="8:8" x14ac:dyDescent="0.25">
      <c r="H17786" t="s">
        <v>2078</v>
      </c>
    </row>
    <row r="17787" spans="8:8" x14ac:dyDescent="0.25">
      <c r="H17787" t="s">
        <v>30</v>
      </c>
    </row>
    <row r="17789" spans="8:8" x14ac:dyDescent="0.25">
      <c r="H17789" t="s">
        <v>1565</v>
      </c>
    </row>
    <row r="17790" spans="8:8" x14ac:dyDescent="0.25">
      <c r="H17790" t="s">
        <v>1566</v>
      </c>
    </row>
    <row r="17791" spans="8:8" x14ac:dyDescent="0.25">
      <c r="H17791" t="s">
        <v>135</v>
      </c>
    </row>
    <row r="17792" spans="8:8" x14ac:dyDescent="0.25">
      <c r="H17792" t="s">
        <v>2079</v>
      </c>
    </row>
    <row r="17793" spans="8:8" x14ac:dyDescent="0.25">
      <c r="H17793" t="s">
        <v>30</v>
      </c>
    </row>
    <row r="17795" spans="8:8" x14ac:dyDescent="0.25">
      <c r="H17795" t="s">
        <v>1568</v>
      </c>
    </row>
    <row r="17796" spans="8:8" x14ac:dyDescent="0.25">
      <c r="H17796" t="s">
        <v>1569</v>
      </c>
    </row>
    <row r="17797" spans="8:8" x14ac:dyDescent="0.25">
      <c r="H17797" t="s">
        <v>135</v>
      </c>
    </row>
    <row r="17798" spans="8:8" x14ac:dyDescent="0.25">
      <c r="H17798" t="s">
        <v>2080</v>
      </c>
    </row>
    <row r="17799" spans="8:8" x14ac:dyDescent="0.25">
      <c r="H17799" t="s">
        <v>30</v>
      </c>
    </row>
    <row r="17801" spans="8:8" x14ac:dyDescent="0.25">
      <c r="H17801" t="s">
        <v>1571</v>
      </c>
    </row>
    <row r="17802" spans="8:8" x14ac:dyDescent="0.25">
      <c r="H17802" t="s">
        <v>1572</v>
      </c>
    </row>
    <row r="17803" spans="8:8" x14ac:dyDescent="0.25">
      <c r="H17803" t="s">
        <v>135</v>
      </c>
    </row>
    <row r="17804" spans="8:8" x14ac:dyDescent="0.25">
      <c r="H17804" t="s">
        <v>2081</v>
      </c>
    </row>
    <row r="17805" spans="8:8" x14ac:dyDescent="0.25">
      <c r="H17805" t="s">
        <v>30</v>
      </c>
    </row>
    <row r="17807" spans="8:8" x14ac:dyDescent="0.25">
      <c r="H17807" t="s">
        <v>1574</v>
      </c>
    </row>
    <row r="17808" spans="8:8" x14ac:dyDescent="0.25">
      <c r="H17808" t="s">
        <v>1575</v>
      </c>
    </row>
    <row r="17809" spans="8:8" x14ac:dyDescent="0.25">
      <c r="H17809" t="s">
        <v>135</v>
      </c>
    </row>
    <row r="17810" spans="8:8" x14ac:dyDescent="0.25">
      <c r="H17810" t="s">
        <v>2082</v>
      </c>
    </row>
    <row r="17811" spans="8:8" x14ac:dyDescent="0.25">
      <c r="H17811" t="s">
        <v>30</v>
      </c>
    </row>
    <row r="17813" spans="8:8" x14ac:dyDescent="0.25">
      <c r="H17813" t="s">
        <v>1577</v>
      </c>
    </row>
    <row r="17814" spans="8:8" x14ac:dyDescent="0.25">
      <c r="H17814" t="s">
        <v>1578</v>
      </c>
    </row>
    <row r="17815" spans="8:8" x14ac:dyDescent="0.25">
      <c r="H17815" t="s">
        <v>135</v>
      </c>
    </row>
    <row r="17816" spans="8:8" x14ac:dyDescent="0.25">
      <c r="H17816" t="s">
        <v>2083</v>
      </c>
    </row>
    <row r="17817" spans="8:8" x14ac:dyDescent="0.25">
      <c r="H17817" t="s">
        <v>30</v>
      </c>
    </row>
    <row r="17819" spans="8:8" x14ac:dyDescent="0.25">
      <c r="H17819" t="s">
        <v>1580</v>
      </c>
    </row>
    <row r="17820" spans="8:8" x14ac:dyDescent="0.25">
      <c r="H17820" t="s">
        <v>1581</v>
      </c>
    </row>
    <row r="17821" spans="8:8" x14ac:dyDescent="0.25">
      <c r="H17821" t="s">
        <v>135</v>
      </c>
    </row>
    <row r="17822" spans="8:8" x14ac:dyDescent="0.25">
      <c r="H17822" t="s">
        <v>2084</v>
      </c>
    </row>
    <row r="17823" spans="8:8" x14ac:dyDescent="0.25">
      <c r="H17823" t="s">
        <v>30</v>
      </c>
    </row>
    <row r="17825" spans="8:8" x14ac:dyDescent="0.25">
      <c r="H17825" t="s">
        <v>1583</v>
      </c>
    </row>
    <row r="17826" spans="8:8" x14ac:dyDescent="0.25">
      <c r="H17826" t="s">
        <v>1584</v>
      </c>
    </row>
    <row r="17827" spans="8:8" x14ac:dyDescent="0.25">
      <c r="H17827" t="s">
        <v>135</v>
      </c>
    </row>
    <row r="17828" spans="8:8" x14ac:dyDescent="0.25">
      <c r="H17828" t="s">
        <v>2085</v>
      </c>
    </row>
    <row r="17829" spans="8:8" x14ac:dyDescent="0.25">
      <c r="H17829" t="s">
        <v>30</v>
      </c>
    </row>
    <row r="17831" spans="8:8" x14ac:dyDescent="0.25">
      <c r="H17831" t="s">
        <v>1586</v>
      </c>
    </row>
    <row r="17832" spans="8:8" x14ac:dyDescent="0.25">
      <c r="H17832" t="s">
        <v>1587</v>
      </c>
    </row>
    <row r="17833" spans="8:8" x14ac:dyDescent="0.25">
      <c r="H17833" t="s">
        <v>135</v>
      </c>
    </row>
    <row r="17834" spans="8:8" x14ac:dyDescent="0.25">
      <c r="H17834" t="s">
        <v>2086</v>
      </c>
    </row>
    <row r="17835" spans="8:8" x14ac:dyDescent="0.25">
      <c r="H17835" t="s">
        <v>30</v>
      </c>
    </row>
    <row r="17837" spans="8:8" x14ac:dyDescent="0.25">
      <c r="H17837" t="s">
        <v>1589</v>
      </c>
    </row>
    <row r="17838" spans="8:8" x14ac:dyDescent="0.25">
      <c r="H17838" t="s">
        <v>1590</v>
      </c>
    </row>
    <row r="17839" spans="8:8" x14ac:dyDescent="0.25">
      <c r="H17839" t="s">
        <v>135</v>
      </c>
    </row>
    <row r="17840" spans="8:8" x14ac:dyDescent="0.25">
      <c r="H17840" t="s">
        <v>2087</v>
      </c>
    </row>
    <row r="17841" spans="8:8" x14ac:dyDescent="0.25">
      <c r="H17841" t="s">
        <v>30</v>
      </c>
    </row>
    <row r="17843" spans="8:8" x14ac:dyDescent="0.25">
      <c r="H17843" t="s">
        <v>1592</v>
      </c>
    </row>
    <row r="17844" spans="8:8" x14ac:dyDescent="0.25">
      <c r="H17844" t="s">
        <v>1593</v>
      </c>
    </row>
    <row r="17845" spans="8:8" x14ac:dyDescent="0.25">
      <c r="H17845" t="s">
        <v>135</v>
      </c>
    </row>
    <row r="17846" spans="8:8" x14ac:dyDescent="0.25">
      <c r="H17846" t="s">
        <v>2088</v>
      </c>
    </row>
    <row r="17847" spans="8:8" x14ac:dyDescent="0.25">
      <c r="H17847" t="s">
        <v>30</v>
      </c>
    </row>
    <row r="17849" spans="8:8" x14ac:dyDescent="0.25">
      <c r="H17849" t="s">
        <v>1595</v>
      </c>
    </row>
    <row r="17850" spans="8:8" x14ac:dyDescent="0.25">
      <c r="H17850" t="s">
        <v>1596</v>
      </c>
    </row>
    <row r="17851" spans="8:8" x14ac:dyDescent="0.25">
      <c r="H17851" t="s">
        <v>135</v>
      </c>
    </row>
    <row r="17852" spans="8:8" x14ac:dyDescent="0.25">
      <c r="H17852" t="s">
        <v>2089</v>
      </c>
    </row>
    <row r="17853" spans="8:8" x14ac:dyDescent="0.25">
      <c r="H17853" t="s">
        <v>30</v>
      </c>
    </row>
    <row r="17855" spans="8:8" x14ac:dyDescent="0.25">
      <c r="H17855" t="s">
        <v>1598</v>
      </c>
    </row>
    <row r="17856" spans="8:8" x14ac:dyDescent="0.25">
      <c r="H17856" t="s">
        <v>1599</v>
      </c>
    </row>
    <row r="17857" spans="8:8" x14ac:dyDescent="0.25">
      <c r="H17857" t="s">
        <v>135</v>
      </c>
    </row>
    <row r="17858" spans="8:8" x14ac:dyDescent="0.25">
      <c r="H17858" t="s">
        <v>2090</v>
      </c>
    </row>
    <row r="17859" spans="8:8" x14ac:dyDescent="0.25">
      <c r="H17859" t="s">
        <v>30</v>
      </c>
    </row>
    <row r="17861" spans="8:8" x14ac:dyDescent="0.25">
      <c r="H17861" t="s">
        <v>1601</v>
      </c>
    </row>
    <row r="17862" spans="8:8" x14ac:dyDescent="0.25">
      <c r="H17862" t="s">
        <v>1602</v>
      </c>
    </row>
    <row r="17863" spans="8:8" x14ac:dyDescent="0.25">
      <c r="H17863" t="s">
        <v>135</v>
      </c>
    </row>
    <row r="17864" spans="8:8" x14ac:dyDescent="0.25">
      <c r="H17864" t="s">
        <v>2091</v>
      </c>
    </row>
    <row r="17865" spans="8:8" x14ac:dyDescent="0.25">
      <c r="H17865" t="s">
        <v>30</v>
      </c>
    </row>
    <row r="17867" spans="8:8" x14ac:dyDescent="0.25">
      <c r="H17867" t="s">
        <v>1604</v>
      </c>
    </row>
    <row r="17868" spans="8:8" x14ac:dyDescent="0.25">
      <c r="H17868" t="s">
        <v>1605</v>
      </c>
    </row>
    <row r="17869" spans="8:8" x14ac:dyDescent="0.25">
      <c r="H17869" t="s">
        <v>135</v>
      </c>
    </row>
    <row r="17870" spans="8:8" x14ac:dyDescent="0.25">
      <c r="H17870" t="s">
        <v>2092</v>
      </c>
    </row>
    <row r="17871" spans="8:8" x14ac:dyDescent="0.25">
      <c r="H17871" t="s">
        <v>30</v>
      </c>
    </row>
    <row r="17873" spans="8:8" x14ac:dyDescent="0.25">
      <c r="H17873" t="s">
        <v>1607</v>
      </c>
    </row>
    <row r="17874" spans="8:8" x14ac:dyDescent="0.25">
      <c r="H17874" t="s">
        <v>1608</v>
      </c>
    </row>
    <row r="17875" spans="8:8" x14ac:dyDescent="0.25">
      <c r="H17875" t="s">
        <v>135</v>
      </c>
    </row>
    <row r="17876" spans="8:8" x14ac:dyDescent="0.25">
      <c r="H17876" t="s">
        <v>2093</v>
      </c>
    </row>
    <row r="17877" spans="8:8" x14ac:dyDescent="0.25">
      <c r="H17877" t="s">
        <v>30</v>
      </c>
    </row>
    <row r="17879" spans="8:8" x14ac:dyDescent="0.25">
      <c r="H17879" t="s">
        <v>1610</v>
      </c>
    </row>
    <row r="17880" spans="8:8" x14ac:dyDescent="0.25">
      <c r="H17880" t="s">
        <v>1611</v>
      </c>
    </row>
    <row r="17881" spans="8:8" x14ac:dyDescent="0.25">
      <c r="H17881" t="s">
        <v>135</v>
      </c>
    </row>
    <row r="17882" spans="8:8" x14ac:dyDescent="0.25">
      <c r="H17882" t="s">
        <v>2094</v>
      </c>
    </row>
    <row r="17883" spans="8:8" x14ac:dyDescent="0.25">
      <c r="H17883" t="s">
        <v>30</v>
      </c>
    </row>
    <row r="17885" spans="8:8" x14ac:dyDescent="0.25">
      <c r="H17885" t="s">
        <v>1613</v>
      </c>
    </row>
    <row r="17886" spans="8:8" x14ac:dyDescent="0.25">
      <c r="H17886" t="s">
        <v>1614</v>
      </c>
    </row>
    <row r="17887" spans="8:8" x14ac:dyDescent="0.25">
      <c r="H17887" t="s">
        <v>135</v>
      </c>
    </row>
    <row r="17888" spans="8:8" x14ac:dyDescent="0.25">
      <c r="H17888" t="s">
        <v>2095</v>
      </c>
    </row>
    <row r="17889" spans="8:8" x14ac:dyDescent="0.25">
      <c r="H17889" t="s">
        <v>30</v>
      </c>
    </row>
    <row r="17891" spans="8:8" x14ac:dyDescent="0.25">
      <c r="H17891" t="s">
        <v>1616</v>
      </c>
    </row>
    <row r="17892" spans="8:8" x14ac:dyDescent="0.25">
      <c r="H17892" t="s">
        <v>1617</v>
      </c>
    </row>
    <row r="17893" spans="8:8" x14ac:dyDescent="0.25">
      <c r="H17893" t="s">
        <v>135</v>
      </c>
    </row>
    <row r="17894" spans="8:8" x14ac:dyDescent="0.25">
      <c r="H17894" t="s">
        <v>2096</v>
      </c>
    </row>
    <row r="17895" spans="8:8" x14ac:dyDescent="0.25">
      <c r="H17895" t="s">
        <v>30</v>
      </c>
    </row>
    <row r="17897" spans="8:8" x14ac:dyDescent="0.25">
      <c r="H17897" t="s">
        <v>1619</v>
      </c>
    </row>
    <row r="17898" spans="8:8" x14ac:dyDescent="0.25">
      <c r="H17898" t="s">
        <v>1620</v>
      </c>
    </row>
    <row r="17899" spans="8:8" x14ac:dyDescent="0.25">
      <c r="H17899" t="s">
        <v>135</v>
      </c>
    </row>
    <row r="17900" spans="8:8" x14ac:dyDescent="0.25">
      <c r="H17900" t="s">
        <v>2097</v>
      </c>
    </row>
    <row r="17901" spans="8:8" x14ac:dyDescent="0.25">
      <c r="H17901" t="s">
        <v>30</v>
      </c>
    </row>
    <row r="17903" spans="8:8" x14ac:dyDescent="0.25">
      <c r="H17903" t="s">
        <v>1622</v>
      </c>
    </row>
    <row r="17904" spans="8:8" x14ac:dyDescent="0.25">
      <c r="H17904" t="s">
        <v>1623</v>
      </c>
    </row>
    <row r="17905" spans="8:8" x14ac:dyDescent="0.25">
      <c r="H17905" t="s">
        <v>135</v>
      </c>
    </row>
    <row r="17906" spans="8:8" x14ac:dyDescent="0.25">
      <c r="H17906" t="s">
        <v>2098</v>
      </c>
    </row>
    <row r="17907" spans="8:8" x14ac:dyDescent="0.25">
      <c r="H17907" t="s">
        <v>30</v>
      </c>
    </row>
    <row r="17909" spans="8:8" x14ac:dyDescent="0.25">
      <c r="H17909" t="s">
        <v>1625</v>
      </c>
    </row>
    <row r="17910" spans="8:8" x14ac:dyDescent="0.25">
      <c r="H17910" t="s">
        <v>1626</v>
      </c>
    </row>
    <row r="17911" spans="8:8" x14ac:dyDescent="0.25">
      <c r="H17911" t="s">
        <v>135</v>
      </c>
    </row>
    <row r="17912" spans="8:8" x14ac:dyDescent="0.25">
      <c r="H17912" t="s">
        <v>2099</v>
      </c>
    </row>
    <row r="17913" spans="8:8" x14ac:dyDescent="0.25">
      <c r="H17913" t="s">
        <v>30</v>
      </c>
    </row>
    <row r="17915" spans="8:8" x14ac:dyDescent="0.25">
      <c r="H17915" t="s">
        <v>1628</v>
      </c>
    </row>
    <row r="17916" spans="8:8" x14ac:dyDescent="0.25">
      <c r="H17916" t="s">
        <v>1629</v>
      </c>
    </row>
    <row r="17917" spans="8:8" x14ac:dyDescent="0.25">
      <c r="H17917" t="s">
        <v>135</v>
      </c>
    </row>
    <row r="17918" spans="8:8" x14ac:dyDescent="0.25">
      <c r="H17918" t="s">
        <v>2100</v>
      </c>
    </row>
    <row r="17919" spans="8:8" x14ac:dyDescent="0.25">
      <c r="H17919" t="s">
        <v>30</v>
      </c>
    </row>
    <row r="17921" spans="8:8" x14ac:dyDescent="0.25">
      <c r="H17921" t="s">
        <v>1631</v>
      </c>
    </row>
    <row r="17922" spans="8:8" x14ac:dyDescent="0.25">
      <c r="H17922" t="s">
        <v>1632</v>
      </c>
    </row>
    <row r="17923" spans="8:8" x14ac:dyDescent="0.25">
      <c r="H17923" t="s">
        <v>135</v>
      </c>
    </row>
    <row r="17924" spans="8:8" x14ac:dyDescent="0.25">
      <c r="H17924" t="s">
        <v>2101</v>
      </c>
    </row>
    <row r="17925" spans="8:8" x14ac:dyDescent="0.25">
      <c r="H17925" t="s">
        <v>30</v>
      </c>
    </row>
    <row r="17927" spans="8:8" x14ac:dyDescent="0.25">
      <c r="H17927" t="s">
        <v>1634</v>
      </c>
    </row>
    <row r="17928" spans="8:8" x14ac:dyDescent="0.25">
      <c r="H17928" t="s">
        <v>1635</v>
      </c>
    </row>
    <row r="17929" spans="8:8" x14ac:dyDescent="0.25">
      <c r="H17929" t="s">
        <v>135</v>
      </c>
    </row>
    <row r="17930" spans="8:8" x14ac:dyDescent="0.25">
      <c r="H17930" t="s">
        <v>2102</v>
      </c>
    </row>
    <row r="17931" spans="8:8" x14ac:dyDescent="0.25">
      <c r="H17931" t="s">
        <v>30</v>
      </c>
    </row>
    <row r="17933" spans="8:8" x14ac:dyDescent="0.25">
      <c r="H17933" t="s">
        <v>1637</v>
      </c>
    </row>
    <row r="17934" spans="8:8" x14ac:dyDescent="0.25">
      <c r="H17934" t="s">
        <v>1638</v>
      </c>
    </row>
    <row r="17935" spans="8:8" x14ac:dyDescent="0.25">
      <c r="H17935" t="s">
        <v>135</v>
      </c>
    </row>
    <row r="17936" spans="8:8" x14ac:dyDescent="0.25">
      <c r="H17936" t="s">
        <v>2103</v>
      </c>
    </row>
    <row r="17937" spans="8:8" x14ac:dyDescent="0.25">
      <c r="H17937" t="s">
        <v>30</v>
      </c>
    </row>
    <row r="17939" spans="8:8" x14ac:dyDescent="0.25">
      <c r="H17939" t="s">
        <v>1640</v>
      </c>
    </row>
    <row r="17940" spans="8:8" x14ac:dyDescent="0.25">
      <c r="H17940" t="s">
        <v>1641</v>
      </c>
    </row>
    <row r="17941" spans="8:8" x14ac:dyDescent="0.25">
      <c r="H17941" t="s">
        <v>135</v>
      </c>
    </row>
    <row r="17942" spans="8:8" x14ac:dyDescent="0.25">
      <c r="H17942" t="s">
        <v>2104</v>
      </c>
    </row>
    <row r="17943" spans="8:8" x14ac:dyDescent="0.25">
      <c r="H17943" t="s">
        <v>30</v>
      </c>
    </row>
    <row r="17945" spans="8:8" x14ac:dyDescent="0.25">
      <c r="H17945" t="s">
        <v>1643</v>
      </c>
    </row>
    <row r="17946" spans="8:8" x14ac:dyDescent="0.25">
      <c r="H17946" t="s">
        <v>1644</v>
      </c>
    </row>
    <row r="17947" spans="8:8" x14ac:dyDescent="0.25">
      <c r="H17947" t="s">
        <v>135</v>
      </c>
    </row>
    <row r="17948" spans="8:8" x14ac:dyDescent="0.25">
      <c r="H17948" t="s">
        <v>2105</v>
      </c>
    </row>
    <row r="17949" spans="8:8" x14ac:dyDescent="0.25">
      <c r="H17949" t="s">
        <v>30</v>
      </c>
    </row>
    <row r="17951" spans="8:8" x14ac:dyDescent="0.25">
      <c r="H17951" t="s">
        <v>1646</v>
      </c>
    </row>
    <row r="17952" spans="8:8" x14ac:dyDescent="0.25">
      <c r="H17952" t="s">
        <v>1647</v>
      </c>
    </row>
    <row r="17953" spans="8:8" x14ac:dyDescent="0.25">
      <c r="H17953" t="s">
        <v>135</v>
      </c>
    </row>
    <row r="17954" spans="8:8" x14ac:dyDescent="0.25">
      <c r="H17954" t="s">
        <v>2106</v>
      </c>
    </row>
    <row r="17955" spans="8:8" x14ac:dyDescent="0.25">
      <c r="H17955" t="s">
        <v>30</v>
      </c>
    </row>
    <row r="17957" spans="8:8" x14ac:dyDescent="0.25">
      <c r="H17957" t="s">
        <v>1649</v>
      </c>
    </row>
    <row r="17958" spans="8:8" x14ac:dyDescent="0.25">
      <c r="H17958" t="s">
        <v>1650</v>
      </c>
    </row>
    <row r="17959" spans="8:8" x14ac:dyDescent="0.25">
      <c r="H17959" t="s">
        <v>135</v>
      </c>
    </row>
    <row r="17960" spans="8:8" x14ac:dyDescent="0.25">
      <c r="H17960" t="s">
        <v>2107</v>
      </c>
    </row>
    <row r="17961" spans="8:8" x14ac:dyDescent="0.25">
      <c r="H17961" t="s">
        <v>30</v>
      </c>
    </row>
    <row r="17963" spans="8:8" x14ac:dyDescent="0.25">
      <c r="H17963" t="s">
        <v>1652</v>
      </c>
    </row>
    <row r="17964" spans="8:8" x14ac:dyDescent="0.25">
      <c r="H17964" t="s">
        <v>1653</v>
      </c>
    </row>
    <row r="17965" spans="8:8" x14ac:dyDescent="0.25">
      <c r="H17965" t="s">
        <v>135</v>
      </c>
    </row>
    <row r="17966" spans="8:8" x14ac:dyDescent="0.25">
      <c r="H17966" t="s">
        <v>2108</v>
      </c>
    </row>
    <row r="17967" spans="8:8" x14ac:dyDescent="0.25">
      <c r="H17967" t="s">
        <v>30</v>
      </c>
    </row>
    <row r="17969" spans="8:8" x14ac:dyDescent="0.25">
      <c r="H17969" t="s">
        <v>1655</v>
      </c>
    </row>
    <row r="17970" spans="8:8" x14ac:dyDescent="0.25">
      <c r="H17970" t="s">
        <v>1656</v>
      </c>
    </row>
    <row r="17971" spans="8:8" x14ac:dyDescent="0.25">
      <c r="H17971" t="s">
        <v>135</v>
      </c>
    </row>
    <row r="17972" spans="8:8" x14ac:dyDescent="0.25">
      <c r="H17972" t="s">
        <v>2109</v>
      </c>
    </row>
    <row r="17973" spans="8:8" x14ac:dyDescent="0.25">
      <c r="H17973" t="s">
        <v>30</v>
      </c>
    </row>
    <row r="17975" spans="8:8" x14ac:dyDescent="0.25">
      <c r="H17975" t="s">
        <v>1658</v>
      </c>
    </row>
    <row r="17976" spans="8:8" x14ac:dyDescent="0.25">
      <c r="H17976" t="s">
        <v>1659</v>
      </c>
    </row>
    <row r="17977" spans="8:8" x14ac:dyDescent="0.25">
      <c r="H17977" t="s">
        <v>135</v>
      </c>
    </row>
    <row r="17978" spans="8:8" x14ac:dyDescent="0.25">
      <c r="H17978" t="s">
        <v>2110</v>
      </c>
    </row>
    <row r="17979" spans="8:8" x14ac:dyDescent="0.25">
      <c r="H17979" t="s">
        <v>30</v>
      </c>
    </row>
    <row r="17981" spans="8:8" x14ac:dyDescent="0.25">
      <c r="H17981" t="s">
        <v>1661</v>
      </c>
    </row>
    <row r="17982" spans="8:8" x14ac:dyDescent="0.25">
      <c r="H17982" t="s">
        <v>1662</v>
      </c>
    </row>
    <row r="17983" spans="8:8" x14ac:dyDescent="0.25">
      <c r="H17983" t="s">
        <v>135</v>
      </c>
    </row>
    <row r="17984" spans="8:8" x14ac:dyDescent="0.25">
      <c r="H17984" t="s">
        <v>2111</v>
      </c>
    </row>
    <row r="17985" spans="8:8" x14ac:dyDescent="0.25">
      <c r="H17985" t="s">
        <v>30</v>
      </c>
    </row>
    <row r="17987" spans="8:8" x14ac:dyDescent="0.25">
      <c r="H17987" t="s">
        <v>1664</v>
      </c>
    </row>
    <row r="17988" spans="8:8" x14ac:dyDescent="0.25">
      <c r="H17988" t="s">
        <v>1665</v>
      </c>
    </row>
    <row r="17989" spans="8:8" x14ac:dyDescent="0.25">
      <c r="H17989" t="s">
        <v>135</v>
      </c>
    </row>
    <row r="17990" spans="8:8" x14ac:dyDescent="0.25">
      <c r="H17990" t="s">
        <v>2112</v>
      </c>
    </row>
    <row r="17991" spans="8:8" x14ac:dyDescent="0.25">
      <c r="H17991" t="s">
        <v>30</v>
      </c>
    </row>
    <row r="17993" spans="8:8" x14ac:dyDescent="0.25">
      <c r="H17993" t="s">
        <v>1667</v>
      </c>
    </row>
    <row r="17994" spans="8:8" x14ac:dyDescent="0.25">
      <c r="H17994" t="s">
        <v>1668</v>
      </c>
    </row>
    <row r="17995" spans="8:8" x14ac:dyDescent="0.25">
      <c r="H17995" t="s">
        <v>135</v>
      </c>
    </row>
    <row r="17996" spans="8:8" x14ac:dyDescent="0.25">
      <c r="H17996" t="s">
        <v>2113</v>
      </c>
    </row>
    <row r="17997" spans="8:8" x14ac:dyDescent="0.25">
      <c r="H17997" t="s">
        <v>30</v>
      </c>
    </row>
    <row r="17999" spans="8:8" x14ac:dyDescent="0.25">
      <c r="H17999" t="s">
        <v>1670</v>
      </c>
    </row>
    <row r="18000" spans="8:8" x14ac:dyDescent="0.25">
      <c r="H18000" t="s">
        <v>1671</v>
      </c>
    </row>
    <row r="18001" spans="8:8" x14ac:dyDescent="0.25">
      <c r="H18001" t="s">
        <v>135</v>
      </c>
    </row>
    <row r="18002" spans="8:8" x14ac:dyDescent="0.25">
      <c r="H18002" t="s">
        <v>2114</v>
      </c>
    </row>
    <row r="18003" spans="8:8" x14ac:dyDescent="0.25">
      <c r="H18003" t="s">
        <v>30</v>
      </c>
    </row>
    <row r="18005" spans="8:8" x14ac:dyDescent="0.25">
      <c r="H18005" t="s">
        <v>1673</v>
      </c>
    </row>
    <row r="18006" spans="8:8" x14ac:dyDescent="0.25">
      <c r="H18006" t="s">
        <v>1674</v>
      </c>
    </row>
    <row r="18007" spans="8:8" x14ac:dyDescent="0.25">
      <c r="H18007" t="s">
        <v>135</v>
      </c>
    </row>
    <row r="18008" spans="8:8" x14ac:dyDescent="0.25">
      <c r="H18008" t="s">
        <v>2115</v>
      </c>
    </row>
    <row r="18009" spans="8:8" x14ac:dyDescent="0.25">
      <c r="H18009" t="s">
        <v>30</v>
      </c>
    </row>
    <row r="18011" spans="8:8" x14ac:dyDescent="0.25">
      <c r="H18011" t="s">
        <v>1676</v>
      </c>
    </row>
    <row r="18012" spans="8:8" x14ac:dyDescent="0.25">
      <c r="H18012" t="s">
        <v>1677</v>
      </c>
    </row>
    <row r="18013" spans="8:8" x14ac:dyDescent="0.25">
      <c r="H18013" t="s">
        <v>135</v>
      </c>
    </row>
    <row r="18014" spans="8:8" x14ac:dyDescent="0.25">
      <c r="H18014" t="s">
        <v>2116</v>
      </c>
    </row>
    <row r="18015" spans="8:8" x14ac:dyDescent="0.25">
      <c r="H18015" t="s">
        <v>30</v>
      </c>
    </row>
    <row r="18017" spans="8:8" x14ac:dyDescent="0.25">
      <c r="H18017" t="s">
        <v>1679</v>
      </c>
    </row>
    <row r="18018" spans="8:8" x14ac:dyDescent="0.25">
      <c r="H18018" t="s">
        <v>1680</v>
      </c>
    </row>
    <row r="18019" spans="8:8" x14ac:dyDescent="0.25">
      <c r="H18019" t="s">
        <v>135</v>
      </c>
    </row>
    <row r="18020" spans="8:8" x14ac:dyDescent="0.25">
      <c r="H18020" t="s">
        <v>2117</v>
      </c>
    </row>
    <row r="18021" spans="8:8" x14ac:dyDescent="0.25">
      <c r="H18021" t="s">
        <v>30</v>
      </c>
    </row>
    <row r="18023" spans="8:8" x14ac:dyDescent="0.25">
      <c r="H18023" t="s">
        <v>1682</v>
      </c>
    </row>
    <row r="18024" spans="8:8" x14ac:dyDescent="0.25">
      <c r="H18024" t="s">
        <v>1683</v>
      </c>
    </row>
    <row r="18025" spans="8:8" x14ac:dyDescent="0.25">
      <c r="H18025" t="s">
        <v>135</v>
      </c>
    </row>
    <row r="18026" spans="8:8" x14ac:dyDescent="0.25">
      <c r="H18026" t="s">
        <v>2118</v>
      </c>
    </row>
    <row r="18027" spans="8:8" x14ac:dyDescent="0.25">
      <c r="H18027" t="s">
        <v>30</v>
      </c>
    </row>
    <row r="18029" spans="8:8" x14ac:dyDescent="0.25">
      <c r="H18029" t="s">
        <v>1685</v>
      </c>
    </row>
    <row r="18030" spans="8:8" x14ac:dyDescent="0.25">
      <c r="H18030" t="s">
        <v>1686</v>
      </c>
    </row>
    <row r="18031" spans="8:8" x14ac:dyDescent="0.25">
      <c r="H18031" t="s">
        <v>135</v>
      </c>
    </row>
    <row r="18032" spans="8:8" x14ac:dyDescent="0.25">
      <c r="H18032" t="s">
        <v>2119</v>
      </c>
    </row>
    <row r="18033" spans="8:8" x14ac:dyDescent="0.25">
      <c r="H18033" t="s">
        <v>30</v>
      </c>
    </row>
    <row r="18035" spans="8:8" x14ac:dyDescent="0.25">
      <c r="H18035" t="s">
        <v>1688</v>
      </c>
    </row>
    <row r="18036" spans="8:8" x14ac:dyDescent="0.25">
      <c r="H18036" t="s">
        <v>1689</v>
      </c>
    </row>
    <row r="18037" spans="8:8" x14ac:dyDescent="0.25">
      <c r="H18037" t="s">
        <v>135</v>
      </c>
    </row>
    <row r="18038" spans="8:8" x14ac:dyDescent="0.25">
      <c r="H18038" t="s">
        <v>2120</v>
      </c>
    </row>
    <row r="18039" spans="8:8" x14ac:dyDescent="0.25">
      <c r="H18039" t="s">
        <v>30</v>
      </c>
    </row>
    <row r="18041" spans="8:8" x14ac:dyDescent="0.25">
      <c r="H18041" t="s">
        <v>1691</v>
      </c>
    </row>
    <row r="18042" spans="8:8" x14ac:dyDescent="0.25">
      <c r="H18042" t="s">
        <v>1692</v>
      </c>
    </row>
    <row r="18043" spans="8:8" x14ac:dyDescent="0.25">
      <c r="H18043" t="s">
        <v>135</v>
      </c>
    </row>
    <row r="18044" spans="8:8" x14ac:dyDescent="0.25">
      <c r="H18044" t="s">
        <v>2121</v>
      </c>
    </row>
    <row r="18045" spans="8:8" x14ac:dyDescent="0.25">
      <c r="H18045" t="s">
        <v>30</v>
      </c>
    </row>
    <row r="18047" spans="8:8" x14ac:dyDescent="0.25">
      <c r="H18047" t="s">
        <v>1694</v>
      </c>
    </row>
    <row r="18048" spans="8:8" x14ac:dyDescent="0.25">
      <c r="H18048" t="s">
        <v>1695</v>
      </c>
    </row>
    <row r="18049" spans="8:8" x14ac:dyDescent="0.25">
      <c r="H18049" t="s">
        <v>135</v>
      </c>
    </row>
    <row r="18050" spans="8:8" x14ac:dyDescent="0.25">
      <c r="H18050" t="s">
        <v>2122</v>
      </c>
    </row>
    <row r="18051" spans="8:8" x14ac:dyDescent="0.25">
      <c r="H18051" t="s">
        <v>30</v>
      </c>
    </row>
    <row r="18053" spans="8:8" x14ac:dyDescent="0.25">
      <c r="H18053" t="s">
        <v>1697</v>
      </c>
    </row>
    <row r="18054" spans="8:8" x14ac:dyDescent="0.25">
      <c r="H18054" t="s">
        <v>1698</v>
      </c>
    </row>
    <row r="18055" spans="8:8" x14ac:dyDescent="0.25">
      <c r="H18055" t="s">
        <v>135</v>
      </c>
    </row>
    <row r="18056" spans="8:8" x14ac:dyDescent="0.25">
      <c r="H18056" t="s">
        <v>2123</v>
      </c>
    </row>
    <row r="18057" spans="8:8" x14ac:dyDescent="0.25">
      <c r="H18057" t="s">
        <v>30</v>
      </c>
    </row>
    <row r="18059" spans="8:8" x14ac:dyDescent="0.25">
      <c r="H18059" t="s">
        <v>1700</v>
      </c>
    </row>
    <row r="18060" spans="8:8" x14ac:dyDescent="0.25">
      <c r="H18060" t="s">
        <v>1701</v>
      </c>
    </row>
    <row r="18061" spans="8:8" x14ac:dyDescent="0.25">
      <c r="H18061" t="s">
        <v>135</v>
      </c>
    </row>
    <row r="18062" spans="8:8" x14ac:dyDescent="0.25">
      <c r="H18062" t="s">
        <v>2124</v>
      </c>
    </row>
    <row r="18063" spans="8:8" x14ac:dyDescent="0.25">
      <c r="H18063" t="s">
        <v>30</v>
      </c>
    </row>
    <row r="18065" spans="8:8" x14ac:dyDescent="0.25">
      <c r="H18065" t="s">
        <v>1703</v>
      </c>
    </row>
    <row r="18066" spans="8:8" x14ac:dyDescent="0.25">
      <c r="H18066" t="s">
        <v>1704</v>
      </c>
    </row>
    <row r="18067" spans="8:8" x14ac:dyDescent="0.25">
      <c r="H18067" t="s">
        <v>135</v>
      </c>
    </row>
    <row r="18068" spans="8:8" x14ac:dyDescent="0.25">
      <c r="H18068" t="s">
        <v>2125</v>
      </c>
    </row>
    <row r="18069" spans="8:8" x14ac:dyDescent="0.25">
      <c r="H18069" t="s">
        <v>30</v>
      </c>
    </row>
    <row r="18071" spans="8:8" x14ac:dyDescent="0.25">
      <c r="H18071" t="s">
        <v>1706</v>
      </c>
    </row>
    <row r="18072" spans="8:8" x14ac:dyDescent="0.25">
      <c r="H18072" t="s">
        <v>1707</v>
      </c>
    </row>
    <row r="18073" spans="8:8" x14ac:dyDescent="0.25">
      <c r="H18073" t="s">
        <v>135</v>
      </c>
    </row>
    <row r="18074" spans="8:8" x14ac:dyDescent="0.25">
      <c r="H18074" t="s">
        <v>2126</v>
      </c>
    </row>
    <row r="18075" spans="8:8" x14ac:dyDescent="0.25">
      <c r="H18075" t="s">
        <v>30</v>
      </c>
    </row>
    <row r="18077" spans="8:8" x14ac:dyDescent="0.25">
      <c r="H18077" t="s">
        <v>1709</v>
      </c>
    </row>
    <row r="18078" spans="8:8" x14ac:dyDescent="0.25">
      <c r="H18078" t="s">
        <v>1710</v>
      </c>
    </row>
    <row r="18079" spans="8:8" x14ac:dyDescent="0.25">
      <c r="H18079" t="s">
        <v>135</v>
      </c>
    </row>
    <row r="18080" spans="8:8" x14ac:dyDescent="0.25">
      <c r="H18080" t="s">
        <v>2127</v>
      </c>
    </row>
    <row r="18081" spans="8:8" x14ac:dyDescent="0.25">
      <c r="H18081" t="s">
        <v>30</v>
      </c>
    </row>
    <row r="18083" spans="8:8" x14ac:dyDescent="0.25">
      <c r="H18083" t="s">
        <v>1712</v>
      </c>
    </row>
    <row r="18084" spans="8:8" x14ac:dyDescent="0.25">
      <c r="H18084" t="s">
        <v>1713</v>
      </c>
    </row>
    <row r="18085" spans="8:8" x14ac:dyDescent="0.25">
      <c r="H18085" t="s">
        <v>135</v>
      </c>
    </row>
    <row r="18086" spans="8:8" x14ac:dyDescent="0.25">
      <c r="H18086" t="s">
        <v>2128</v>
      </c>
    </row>
    <row r="18087" spans="8:8" x14ac:dyDescent="0.25">
      <c r="H18087" t="s">
        <v>30</v>
      </c>
    </row>
    <row r="18089" spans="8:8" x14ac:dyDescent="0.25">
      <c r="H18089" t="s">
        <v>1715</v>
      </c>
    </row>
    <row r="18090" spans="8:8" x14ac:dyDescent="0.25">
      <c r="H18090" t="s">
        <v>1716</v>
      </c>
    </row>
    <row r="18091" spans="8:8" x14ac:dyDescent="0.25">
      <c r="H18091" t="s">
        <v>135</v>
      </c>
    </row>
    <row r="18092" spans="8:8" x14ac:dyDescent="0.25">
      <c r="H18092" t="s">
        <v>2129</v>
      </c>
    </row>
    <row r="18093" spans="8:8" x14ac:dyDescent="0.25">
      <c r="H18093" t="s">
        <v>30</v>
      </c>
    </row>
    <row r="18095" spans="8:8" x14ac:dyDescent="0.25">
      <c r="H18095" t="s">
        <v>1718</v>
      </c>
    </row>
    <row r="18096" spans="8:8" x14ac:dyDescent="0.25">
      <c r="H18096" t="s">
        <v>1719</v>
      </c>
    </row>
    <row r="18097" spans="8:8" x14ac:dyDescent="0.25">
      <c r="H18097" t="s">
        <v>135</v>
      </c>
    </row>
    <row r="18098" spans="8:8" x14ac:dyDescent="0.25">
      <c r="H18098" t="s">
        <v>2130</v>
      </c>
    </row>
    <row r="18099" spans="8:8" x14ac:dyDescent="0.25">
      <c r="H18099" t="s">
        <v>30</v>
      </c>
    </row>
    <row r="18101" spans="8:8" x14ac:dyDescent="0.25">
      <c r="H18101" t="s">
        <v>1721</v>
      </c>
    </row>
    <row r="18102" spans="8:8" x14ac:dyDescent="0.25">
      <c r="H18102" t="s">
        <v>1722</v>
      </c>
    </row>
    <row r="18103" spans="8:8" x14ac:dyDescent="0.25">
      <c r="H18103" t="s">
        <v>135</v>
      </c>
    </row>
    <row r="18104" spans="8:8" x14ac:dyDescent="0.25">
      <c r="H18104" t="s">
        <v>2131</v>
      </c>
    </row>
    <row r="18105" spans="8:8" x14ac:dyDescent="0.25">
      <c r="H18105" t="s">
        <v>30</v>
      </c>
    </row>
    <row r="18107" spans="8:8" x14ac:dyDescent="0.25">
      <c r="H18107" t="s">
        <v>1724</v>
      </c>
    </row>
    <row r="18108" spans="8:8" x14ac:dyDescent="0.25">
      <c r="H18108" t="s">
        <v>1725</v>
      </c>
    </row>
    <row r="18109" spans="8:8" x14ac:dyDescent="0.25">
      <c r="H18109" t="s">
        <v>135</v>
      </c>
    </row>
    <row r="18110" spans="8:8" x14ac:dyDescent="0.25">
      <c r="H18110" t="s">
        <v>2132</v>
      </c>
    </row>
    <row r="18111" spans="8:8" x14ac:dyDescent="0.25">
      <c r="H18111" t="s">
        <v>30</v>
      </c>
    </row>
    <row r="18113" spans="8:8" x14ac:dyDescent="0.25">
      <c r="H18113" t="s">
        <v>1727</v>
      </c>
    </row>
    <row r="18114" spans="8:8" x14ac:dyDescent="0.25">
      <c r="H18114" t="s">
        <v>1728</v>
      </c>
    </row>
    <row r="18115" spans="8:8" x14ac:dyDescent="0.25">
      <c r="H18115" t="s">
        <v>135</v>
      </c>
    </row>
    <row r="18116" spans="8:8" x14ac:dyDescent="0.25">
      <c r="H18116" t="s">
        <v>2133</v>
      </c>
    </row>
    <row r="18117" spans="8:8" x14ac:dyDescent="0.25">
      <c r="H18117" t="s">
        <v>30</v>
      </c>
    </row>
    <row r="18119" spans="8:8" x14ac:dyDescent="0.25">
      <c r="H18119" t="s">
        <v>1730</v>
      </c>
    </row>
    <row r="18120" spans="8:8" x14ac:dyDescent="0.25">
      <c r="H18120" t="s">
        <v>1731</v>
      </c>
    </row>
    <row r="18121" spans="8:8" x14ac:dyDescent="0.25">
      <c r="H18121" t="s">
        <v>135</v>
      </c>
    </row>
    <row r="18122" spans="8:8" x14ac:dyDescent="0.25">
      <c r="H18122" t="s">
        <v>2134</v>
      </c>
    </row>
    <row r="18123" spans="8:8" x14ac:dyDescent="0.25">
      <c r="H18123" t="s">
        <v>30</v>
      </c>
    </row>
    <row r="18125" spans="8:8" x14ac:dyDescent="0.25">
      <c r="H18125" t="s">
        <v>1733</v>
      </c>
    </row>
    <row r="18126" spans="8:8" x14ac:dyDescent="0.25">
      <c r="H18126" t="s">
        <v>1734</v>
      </c>
    </row>
    <row r="18127" spans="8:8" x14ac:dyDescent="0.25">
      <c r="H18127" t="s">
        <v>135</v>
      </c>
    </row>
    <row r="18128" spans="8:8" x14ac:dyDescent="0.25">
      <c r="H18128" t="s">
        <v>2135</v>
      </c>
    </row>
    <row r="18129" spans="8:8" x14ac:dyDescent="0.25">
      <c r="H18129" t="s">
        <v>30</v>
      </c>
    </row>
    <row r="18131" spans="8:8" x14ac:dyDescent="0.25">
      <c r="H18131" t="s">
        <v>1736</v>
      </c>
    </row>
    <row r="18132" spans="8:8" x14ac:dyDescent="0.25">
      <c r="H18132" t="s">
        <v>1737</v>
      </c>
    </row>
    <row r="18133" spans="8:8" x14ac:dyDescent="0.25">
      <c r="H18133" t="s">
        <v>135</v>
      </c>
    </row>
    <row r="18134" spans="8:8" x14ac:dyDescent="0.25">
      <c r="H18134" t="s">
        <v>2136</v>
      </c>
    </row>
    <row r="18135" spans="8:8" x14ac:dyDescent="0.25">
      <c r="H18135" t="s">
        <v>30</v>
      </c>
    </row>
    <row r="18137" spans="8:8" x14ac:dyDescent="0.25">
      <c r="H18137" t="s">
        <v>1739</v>
      </c>
    </row>
    <row r="18138" spans="8:8" x14ac:dyDescent="0.25">
      <c r="H18138" t="s">
        <v>1740</v>
      </c>
    </row>
    <row r="18139" spans="8:8" x14ac:dyDescent="0.25">
      <c r="H18139" t="s">
        <v>135</v>
      </c>
    </row>
    <row r="18140" spans="8:8" x14ac:dyDescent="0.25">
      <c r="H18140" t="s">
        <v>2137</v>
      </c>
    </row>
    <row r="18141" spans="8:8" x14ac:dyDescent="0.25">
      <c r="H18141" t="s">
        <v>30</v>
      </c>
    </row>
    <row r="18143" spans="8:8" x14ac:dyDescent="0.25">
      <c r="H18143" t="s">
        <v>1742</v>
      </c>
    </row>
    <row r="18144" spans="8:8" x14ac:dyDescent="0.25">
      <c r="H18144" t="s">
        <v>1743</v>
      </c>
    </row>
    <row r="18145" spans="8:8" x14ac:dyDescent="0.25">
      <c r="H18145" t="s">
        <v>135</v>
      </c>
    </row>
    <row r="18146" spans="8:8" x14ac:dyDescent="0.25">
      <c r="H18146" t="s">
        <v>2138</v>
      </c>
    </row>
    <row r="18147" spans="8:8" x14ac:dyDescent="0.25">
      <c r="H18147" t="s">
        <v>30</v>
      </c>
    </row>
    <row r="18149" spans="8:8" x14ac:dyDescent="0.25">
      <c r="H18149" t="s">
        <v>1745</v>
      </c>
    </row>
    <row r="18150" spans="8:8" x14ac:dyDescent="0.25">
      <c r="H18150" t="s">
        <v>1746</v>
      </c>
    </row>
    <row r="18151" spans="8:8" x14ac:dyDescent="0.25">
      <c r="H18151" t="s">
        <v>135</v>
      </c>
    </row>
    <row r="18152" spans="8:8" x14ac:dyDescent="0.25">
      <c r="H18152" t="s">
        <v>2139</v>
      </c>
    </row>
    <row r="18153" spans="8:8" x14ac:dyDescent="0.25">
      <c r="H18153" t="s">
        <v>30</v>
      </c>
    </row>
    <row r="18154" spans="8:8" x14ac:dyDescent="0.25">
      <c r="H18154" t="s">
        <v>1748</v>
      </c>
    </row>
    <row r="18155" spans="8:8" x14ac:dyDescent="0.25">
      <c r="H18155" t="s">
        <v>136</v>
      </c>
    </row>
    <row r="18156" spans="8:8" x14ac:dyDescent="0.25">
      <c r="H18156" t="s">
        <v>2140</v>
      </c>
    </row>
    <row r="18157" spans="8:8" x14ac:dyDescent="0.25">
      <c r="H18157" t="s">
        <v>30</v>
      </c>
    </row>
    <row r="18158" spans="8:8" x14ac:dyDescent="0.25">
      <c r="H18158" t="s">
        <v>1750</v>
      </c>
    </row>
    <row r="18159" spans="8:8" x14ac:dyDescent="0.25">
      <c r="H18159" t="s">
        <v>137</v>
      </c>
    </row>
    <row r="18160" spans="8:8" x14ac:dyDescent="0.25">
      <c r="H18160" t="s">
        <v>2141</v>
      </c>
    </row>
    <row r="18161" spans="8:8" x14ac:dyDescent="0.25">
      <c r="H18161" t="s">
        <v>30</v>
      </c>
    </row>
    <row r="18162" spans="8:8" x14ac:dyDescent="0.25">
      <c r="H18162" t="s">
        <v>138</v>
      </c>
    </row>
    <row r="18163" spans="8:8" x14ac:dyDescent="0.25">
      <c r="H18163" t="s">
        <v>2142</v>
      </c>
    </row>
    <row r="18164" spans="8:8" x14ac:dyDescent="0.25">
      <c r="H18164" t="s">
        <v>30</v>
      </c>
    </row>
    <row r="18166" spans="8:8" x14ac:dyDescent="0.25">
      <c r="H18166" t="s">
        <v>1753</v>
      </c>
    </row>
    <row r="18167" spans="8:8" x14ac:dyDescent="0.25">
      <c r="H18167" t="s">
        <v>1754</v>
      </c>
    </row>
    <row r="18168" spans="8:8" x14ac:dyDescent="0.25">
      <c r="H18168" t="s">
        <v>135</v>
      </c>
    </row>
    <row r="18169" spans="8:8" x14ac:dyDescent="0.25">
      <c r="H18169" t="s">
        <v>2143</v>
      </c>
    </row>
    <row r="18170" spans="8:8" x14ac:dyDescent="0.25">
      <c r="H18170" t="s">
        <v>30</v>
      </c>
    </row>
    <row r="18171" spans="8:8" x14ac:dyDescent="0.25">
      <c r="H18171" t="s">
        <v>136</v>
      </c>
    </row>
    <row r="18172" spans="8:8" x14ac:dyDescent="0.25">
      <c r="H18172" t="s">
        <v>2144</v>
      </c>
    </row>
    <row r="18173" spans="8:8" x14ac:dyDescent="0.25">
      <c r="H18173" t="s">
        <v>30</v>
      </c>
    </row>
    <row r="18174" spans="8:8" x14ac:dyDescent="0.25">
      <c r="H18174" t="s">
        <v>1757</v>
      </c>
    </row>
    <row r="18175" spans="8:8" x14ac:dyDescent="0.25">
      <c r="H18175" t="s">
        <v>137</v>
      </c>
    </row>
    <row r="18176" spans="8:8" x14ac:dyDescent="0.25">
      <c r="H18176" t="s">
        <v>2145</v>
      </c>
    </row>
    <row r="18177" spans="8:8" x14ac:dyDescent="0.25">
      <c r="H18177" t="s">
        <v>30</v>
      </c>
    </row>
    <row r="18178" spans="8:8" x14ac:dyDescent="0.25">
      <c r="H18178" t="s">
        <v>138</v>
      </c>
    </row>
    <row r="18179" spans="8:8" x14ac:dyDescent="0.25">
      <c r="H18179" t="s">
        <v>2146</v>
      </c>
    </row>
    <row r="18180" spans="8:8" x14ac:dyDescent="0.25">
      <c r="H18180" t="s">
        <v>30</v>
      </c>
    </row>
    <row r="18182" spans="8:8" x14ac:dyDescent="0.25">
      <c r="H18182" t="s">
        <v>1760</v>
      </c>
    </row>
    <row r="18183" spans="8:8" x14ac:dyDescent="0.25">
      <c r="H18183" t="s">
        <v>1761</v>
      </c>
    </row>
    <row r="18184" spans="8:8" x14ac:dyDescent="0.25">
      <c r="H18184" t="s">
        <v>135</v>
      </c>
    </row>
    <row r="18185" spans="8:8" x14ac:dyDescent="0.25">
      <c r="H18185" t="s">
        <v>2147</v>
      </c>
    </row>
    <row r="18186" spans="8:8" x14ac:dyDescent="0.25">
      <c r="H18186" t="s">
        <v>30</v>
      </c>
    </row>
    <row r="18187" spans="8:8" x14ac:dyDescent="0.25">
      <c r="H18187" t="s">
        <v>1763</v>
      </c>
    </row>
    <row r="18188" spans="8:8" x14ac:dyDescent="0.25">
      <c r="H18188" t="s">
        <v>137</v>
      </c>
    </row>
    <row r="18189" spans="8:8" x14ac:dyDescent="0.25">
      <c r="H18189" t="s">
        <v>2148</v>
      </c>
    </row>
    <row r="18190" spans="8:8" x14ac:dyDescent="0.25">
      <c r="H18190" t="s">
        <v>30</v>
      </c>
    </row>
    <row r="18191" spans="8:8" x14ac:dyDescent="0.25">
      <c r="H18191" t="s">
        <v>138</v>
      </c>
    </row>
    <row r="18192" spans="8:8" x14ac:dyDescent="0.25">
      <c r="H18192" t="s">
        <v>2149</v>
      </c>
    </row>
    <row r="18193" spans="8:8" x14ac:dyDescent="0.25">
      <c r="H18193" t="s">
        <v>30</v>
      </c>
    </row>
    <row r="18195" spans="8:8" x14ac:dyDescent="0.25">
      <c r="H18195" t="s">
        <v>28</v>
      </c>
    </row>
    <row r="18196" spans="8:8" x14ac:dyDescent="0.25">
      <c r="H18196" t="s">
        <v>120</v>
      </c>
    </row>
    <row r="18197" spans="8:8" x14ac:dyDescent="0.25">
      <c r="H18197" t="s">
        <v>38</v>
      </c>
    </row>
    <row r="18199" spans="8:8" x14ac:dyDescent="0.25">
      <c r="H18199" t="s">
        <v>29</v>
      </c>
    </row>
    <row r="18200" spans="8:8" x14ac:dyDescent="0.25">
      <c r="H18200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195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2913</v>
      </c>
      <c r="I5" s="6" t="s">
        <v>84</v>
      </c>
    </row>
    <row r="6" spans="2:9" x14ac:dyDescent="0.25">
      <c r="B6" t="s">
        <v>125</v>
      </c>
      <c r="H6" t="s">
        <v>2914</v>
      </c>
    </row>
    <row r="7" spans="2:9" x14ac:dyDescent="0.25">
      <c r="H7" t="s">
        <v>2150</v>
      </c>
    </row>
    <row r="8" spans="2:9" x14ac:dyDescent="0.25">
      <c r="B8" s="1" t="s">
        <v>19</v>
      </c>
      <c r="H8" t="s">
        <v>2151</v>
      </c>
    </row>
    <row r="9" spans="2:9" x14ac:dyDescent="0.25">
      <c r="B9" t="s">
        <v>126</v>
      </c>
      <c r="H9" t="s">
        <v>2152</v>
      </c>
    </row>
    <row r="10" spans="2:9" x14ac:dyDescent="0.25">
      <c r="H10" t="s">
        <v>2153</v>
      </c>
    </row>
    <row r="11" spans="2:9" x14ac:dyDescent="0.25">
      <c r="B11" s="1" t="s">
        <v>12</v>
      </c>
      <c r="H11" t="s">
        <v>2154</v>
      </c>
    </row>
    <row r="12" spans="2:9" x14ac:dyDescent="0.25">
      <c r="B12" t="s">
        <v>14</v>
      </c>
      <c r="H12" t="s">
        <v>2155</v>
      </c>
    </row>
    <row r="13" spans="2:9" x14ac:dyDescent="0.25">
      <c r="H13" t="s">
        <v>2915</v>
      </c>
    </row>
    <row r="14" spans="2:9" x14ac:dyDescent="0.25">
      <c r="B14" s="1" t="s">
        <v>35</v>
      </c>
      <c r="H14" t="s">
        <v>3101</v>
      </c>
    </row>
    <row r="15" spans="2:9" x14ac:dyDescent="0.25">
      <c r="B15" t="s">
        <v>34</v>
      </c>
      <c r="H15" t="s">
        <v>2916</v>
      </c>
    </row>
    <row r="16" spans="2:9" x14ac:dyDescent="0.25">
      <c r="H16" t="s">
        <v>3102</v>
      </c>
    </row>
    <row r="17" spans="2:8" x14ac:dyDescent="0.25">
      <c r="B17" s="1" t="s">
        <v>20</v>
      </c>
      <c r="H17" t="s">
        <v>2156</v>
      </c>
    </row>
    <row r="18" spans="2:8" x14ac:dyDescent="0.25">
      <c r="B18" t="s">
        <v>129</v>
      </c>
      <c r="H18" t="s">
        <v>2157</v>
      </c>
    </row>
    <row r="19" spans="2:8" x14ac:dyDescent="0.25">
      <c r="H19" t="s">
        <v>2917</v>
      </c>
    </row>
    <row r="20" spans="2:8" x14ac:dyDescent="0.25">
      <c r="B20" s="1"/>
      <c r="H20" t="s">
        <v>3103</v>
      </c>
    </row>
    <row r="21" spans="2:8" x14ac:dyDescent="0.25">
      <c r="H21" t="s">
        <v>2158</v>
      </c>
    </row>
    <row r="22" spans="2:8" x14ac:dyDescent="0.25">
      <c r="H22" t="s">
        <v>2159</v>
      </c>
    </row>
    <row r="23" spans="2:8" x14ac:dyDescent="0.25">
      <c r="H23" t="s">
        <v>2160</v>
      </c>
    </row>
    <row r="24" spans="2:8" x14ac:dyDescent="0.25">
      <c r="H24" t="s">
        <v>2161</v>
      </c>
    </row>
    <row r="25" spans="2:8" x14ac:dyDescent="0.25">
      <c r="H25" t="s">
        <v>2162</v>
      </c>
    </row>
    <row r="26" spans="2:8" x14ac:dyDescent="0.25">
      <c r="H26" t="s">
        <v>2284</v>
      </c>
    </row>
    <row r="27" spans="2:8" x14ac:dyDescent="0.25">
      <c r="H27" t="s">
        <v>2163</v>
      </c>
    </row>
    <row r="28" spans="2:8" x14ac:dyDescent="0.25">
      <c r="H28" t="s">
        <v>2164</v>
      </c>
    </row>
    <row r="29" spans="2:8" x14ac:dyDescent="0.25">
      <c r="H29" t="s">
        <v>2918</v>
      </c>
    </row>
    <row r="30" spans="2:8" x14ac:dyDescent="0.25">
      <c r="H30" t="s">
        <v>3104</v>
      </c>
    </row>
    <row r="31" spans="2:8" x14ac:dyDescent="0.25">
      <c r="H31" t="s">
        <v>2919</v>
      </c>
    </row>
    <row r="32" spans="2:8" x14ac:dyDescent="0.25">
      <c r="H32" t="s">
        <v>3105</v>
      </c>
    </row>
    <row r="33" spans="8:8" x14ac:dyDescent="0.25">
      <c r="H33" t="s">
        <v>2920</v>
      </c>
    </row>
    <row r="34" spans="8:8" x14ac:dyDescent="0.25">
      <c r="H34" t="s">
        <v>3106</v>
      </c>
    </row>
    <row r="35" spans="8:8" x14ac:dyDescent="0.25">
      <c r="H35" t="s">
        <v>2165</v>
      </c>
    </row>
    <row r="36" spans="8:8" x14ac:dyDescent="0.25">
      <c r="H36" t="s">
        <v>2166</v>
      </c>
    </row>
    <row r="37" spans="8:8" x14ac:dyDescent="0.25">
      <c r="H37" t="s">
        <v>2167</v>
      </c>
    </row>
    <row r="38" spans="8:8" x14ac:dyDescent="0.25">
      <c r="H38" t="s">
        <v>2168</v>
      </c>
    </row>
    <row r="39" spans="8:8" x14ac:dyDescent="0.25">
      <c r="H39" t="s">
        <v>2169</v>
      </c>
    </row>
    <row r="40" spans="8:8" x14ac:dyDescent="0.25">
      <c r="H40" t="s">
        <v>2170</v>
      </c>
    </row>
    <row r="41" spans="8:8" x14ac:dyDescent="0.25">
      <c r="H41" t="s">
        <v>2171</v>
      </c>
    </row>
    <row r="42" spans="8:8" x14ac:dyDescent="0.25">
      <c r="H42" t="s">
        <v>2172</v>
      </c>
    </row>
    <row r="43" spans="8:8" x14ac:dyDescent="0.25">
      <c r="H43" t="s">
        <v>2173</v>
      </c>
    </row>
    <row r="44" spans="8:8" x14ac:dyDescent="0.25">
      <c r="H44" t="s">
        <v>2174</v>
      </c>
    </row>
    <row r="45" spans="8:8" x14ac:dyDescent="0.25">
      <c r="H45" t="s">
        <v>2175</v>
      </c>
    </row>
    <row r="46" spans="8:8" x14ac:dyDescent="0.25">
      <c r="H46" t="s">
        <v>2176</v>
      </c>
    </row>
    <row r="47" spans="8:8" x14ac:dyDescent="0.25">
      <c r="H47" t="s">
        <v>2177</v>
      </c>
    </row>
    <row r="48" spans="8:8" x14ac:dyDescent="0.25">
      <c r="H48" t="s">
        <v>2178</v>
      </c>
    </row>
    <row r="49" spans="8:8" x14ac:dyDescent="0.25">
      <c r="H49" t="s">
        <v>2179</v>
      </c>
    </row>
    <row r="50" spans="8:8" x14ac:dyDescent="0.25">
      <c r="H50" t="s">
        <v>2180</v>
      </c>
    </row>
    <row r="51" spans="8:8" x14ac:dyDescent="0.25">
      <c r="H51" t="s">
        <v>2181</v>
      </c>
    </row>
    <row r="52" spans="8:8" x14ac:dyDescent="0.25">
      <c r="H52" t="s">
        <v>2182</v>
      </c>
    </row>
    <row r="53" spans="8:8" x14ac:dyDescent="0.25">
      <c r="H53" t="s">
        <v>2183</v>
      </c>
    </row>
    <row r="54" spans="8:8" x14ac:dyDescent="0.25">
      <c r="H54" t="s">
        <v>2184</v>
      </c>
    </row>
    <row r="55" spans="8:8" x14ac:dyDescent="0.25">
      <c r="H55" t="s">
        <v>2185</v>
      </c>
    </row>
    <row r="56" spans="8:8" x14ac:dyDescent="0.25">
      <c r="H56" t="s">
        <v>2186</v>
      </c>
    </row>
    <row r="57" spans="8:8" x14ac:dyDescent="0.25">
      <c r="H57" t="s">
        <v>2921</v>
      </c>
    </row>
    <row r="58" spans="8:8" x14ac:dyDescent="0.25">
      <c r="H58" t="s">
        <v>3107</v>
      </c>
    </row>
    <row r="59" spans="8:8" x14ac:dyDescent="0.25">
      <c r="H59" t="s">
        <v>2922</v>
      </c>
    </row>
    <row r="60" spans="8:8" x14ac:dyDescent="0.25">
      <c r="H60" t="s">
        <v>3108</v>
      </c>
    </row>
    <row r="61" spans="8:8" x14ac:dyDescent="0.25">
      <c r="H61" t="s">
        <v>2923</v>
      </c>
    </row>
    <row r="62" spans="8:8" x14ac:dyDescent="0.25">
      <c r="H62" t="s">
        <v>3109</v>
      </c>
    </row>
    <row r="63" spans="8:8" x14ac:dyDescent="0.25">
      <c r="H63" t="s">
        <v>2924</v>
      </c>
    </row>
    <row r="64" spans="8:8" x14ac:dyDescent="0.25">
      <c r="H64" t="s">
        <v>3110</v>
      </c>
    </row>
    <row r="65" spans="8:8" x14ac:dyDescent="0.25">
      <c r="H65" t="s">
        <v>2925</v>
      </c>
    </row>
    <row r="66" spans="8:8" x14ac:dyDescent="0.25">
      <c r="H66" t="s">
        <v>3111</v>
      </c>
    </row>
    <row r="67" spans="8:8" x14ac:dyDescent="0.25">
      <c r="H67" t="s">
        <v>2926</v>
      </c>
    </row>
    <row r="68" spans="8:8" x14ac:dyDescent="0.25">
      <c r="H68" t="s">
        <v>3112</v>
      </c>
    </row>
    <row r="69" spans="8:8" x14ac:dyDescent="0.25">
      <c r="H69" t="s">
        <v>2187</v>
      </c>
    </row>
    <row r="70" spans="8:8" x14ac:dyDescent="0.25">
      <c r="H70" t="s">
        <v>2188</v>
      </c>
    </row>
    <row r="71" spans="8:8" x14ac:dyDescent="0.25">
      <c r="H71" t="s">
        <v>2189</v>
      </c>
    </row>
    <row r="72" spans="8:8" x14ac:dyDescent="0.25">
      <c r="H72" t="s">
        <v>2190</v>
      </c>
    </row>
    <row r="73" spans="8:8" x14ac:dyDescent="0.25">
      <c r="H73" t="s">
        <v>2927</v>
      </c>
    </row>
    <row r="74" spans="8:8" x14ac:dyDescent="0.25">
      <c r="H74" t="s">
        <v>3113</v>
      </c>
    </row>
    <row r="75" spans="8:8" x14ac:dyDescent="0.25">
      <c r="H75" t="s">
        <v>2928</v>
      </c>
    </row>
    <row r="76" spans="8:8" x14ac:dyDescent="0.25">
      <c r="H76" t="s">
        <v>3114</v>
      </c>
    </row>
    <row r="77" spans="8:8" x14ac:dyDescent="0.25">
      <c r="H77" t="s">
        <v>2929</v>
      </c>
    </row>
    <row r="78" spans="8:8" x14ac:dyDescent="0.25">
      <c r="H78" t="s">
        <v>3115</v>
      </c>
    </row>
    <row r="79" spans="8:8" x14ac:dyDescent="0.25">
      <c r="H79" t="s">
        <v>2930</v>
      </c>
    </row>
    <row r="80" spans="8:8" x14ac:dyDescent="0.25">
      <c r="H80" t="s">
        <v>3116</v>
      </c>
    </row>
    <row r="81" spans="8:8" x14ac:dyDescent="0.25">
      <c r="H81" t="s">
        <v>2931</v>
      </c>
    </row>
    <row r="82" spans="8:8" x14ac:dyDescent="0.25">
      <c r="H82" t="s">
        <v>3117</v>
      </c>
    </row>
    <row r="83" spans="8:8" x14ac:dyDescent="0.25">
      <c r="H83" t="s">
        <v>2932</v>
      </c>
    </row>
    <row r="84" spans="8:8" x14ac:dyDescent="0.25">
      <c r="H84" t="s">
        <v>3118</v>
      </c>
    </row>
    <row r="85" spans="8:8" x14ac:dyDescent="0.25">
      <c r="H85" t="s">
        <v>2191</v>
      </c>
    </row>
    <row r="86" spans="8:8" x14ac:dyDescent="0.25">
      <c r="H86" t="s">
        <v>2192</v>
      </c>
    </row>
    <row r="87" spans="8:8" x14ac:dyDescent="0.25">
      <c r="H87" t="s">
        <v>2193</v>
      </c>
    </row>
    <row r="88" spans="8:8" x14ac:dyDescent="0.25">
      <c r="H88" t="s">
        <v>2194</v>
      </c>
    </row>
    <row r="89" spans="8:8" x14ac:dyDescent="0.25">
      <c r="H89" t="s">
        <v>2195</v>
      </c>
    </row>
    <row r="90" spans="8:8" x14ac:dyDescent="0.25">
      <c r="H90" t="s">
        <v>2196</v>
      </c>
    </row>
    <row r="91" spans="8:8" x14ac:dyDescent="0.25">
      <c r="H91" t="s">
        <v>2197</v>
      </c>
    </row>
    <row r="92" spans="8:8" x14ac:dyDescent="0.25">
      <c r="H92" t="s">
        <v>2198</v>
      </c>
    </row>
    <row r="93" spans="8:8" x14ac:dyDescent="0.25">
      <c r="H93" t="s">
        <v>2199</v>
      </c>
    </row>
    <row r="94" spans="8:8" x14ac:dyDescent="0.25">
      <c r="H94" t="s">
        <v>2200</v>
      </c>
    </row>
    <row r="95" spans="8:8" x14ac:dyDescent="0.25">
      <c r="H95" t="s">
        <v>2201</v>
      </c>
    </row>
    <row r="96" spans="8:8" x14ac:dyDescent="0.25">
      <c r="H96" t="s">
        <v>2202</v>
      </c>
    </row>
    <row r="97" spans="8:8" x14ac:dyDescent="0.25">
      <c r="H97" t="s">
        <v>2203</v>
      </c>
    </row>
    <row r="98" spans="8:8" x14ac:dyDescent="0.25">
      <c r="H98" t="s">
        <v>2204</v>
      </c>
    </row>
    <row r="99" spans="8:8" x14ac:dyDescent="0.25">
      <c r="H99" t="s">
        <v>2205</v>
      </c>
    </row>
    <row r="100" spans="8:8" x14ac:dyDescent="0.25">
      <c r="H100" t="s">
        <v>2206</v>
      </c>
    </row>
    <row r="101" spans="8:8" x14ac:dyDescent="0.25">
      <c r="H101" t="s">
        <v>2207</v>
      </c>
    </row>
    <row r="102" spans="8:8" x14ac:dyDescent="0.25">
      <c r="H102" t="s">
        <v>2208</v>
      </c>
    </row>
    <row r="103" spans="8:8" x14ac:dyDescent="0.25">
      <c r="H103" t="s">
        <v>2209</v>
      </c>
    </row>
    <row r="104" spans="8:8" x14ac:dyDescent="0.25">
      <c r="H104" t="s">
        <v>2210</v>
      </c>
    </row>
    <row r="105" spans="8:8" x14ac:dyDescent="0.25">
      <c r="H105" t="s">
        <v>2211</v>
      </c>
    </row>
    <row r="106" spans="8:8" x14ac:dyDescent="0.25">
      <c r="H106" t="s">
        <v>2212</v>
      </c>
    </row>
    <row r="107" spans="8:8" x14ac:dyDescent="0.25">
      <c r="H107" t="s">
        <v>2213</v>
      </c>
    </row>
    <row r="108" spans="8:8" x14ac:dyDescent="0.25">
      <c r="H108" t="s">
        <v>2214</v>
      </c>
    </row>
    <row r="109" spans="8:8" x14ac:dyDescent="0.25">
      <c r="H109" t="s">
        <v>2215</v>
      </c>
    </row>
    <row r="110" spans="8:8" x14ac:dyDescent="0.25">
      <c r="H110" t="s">
        <v>2216</v>
      </c>
    </row>
    <row r="111" spans="8:8" x14ac:dyDescent="0.25">
      <c r="H111" t="s">
        <v>2217</v>
      </c>
    </row>
    <row r="112" spans="8:8" x14ac:dyDescent="0.25">
      <c r="H112" t="s">
        <v>2218</v>
      </c>
    </row>
    <row r="113" spans="8:8" x14ac:dyDescent="0.25">
      <c r="H113" t="s">
        <v>2219</v>
      </c>
    </row>
    <row r="114" spans="8:8" x14ac:dyDescent="0.25">
      <c r="H114" t="s">
        <v>2220</v>
      </c>
    </row>
    <row r="115" spans="8:8" x14ac:dyDescent="0.25">
      <c r="H115" t="s">
        <v>2221</v>
      </c>
    </row>
    <row r="116" spans="8:8" x14ac:dyDescent="0.25">
      <c r="H116" t="s">
        <v>2222</v>
      </c>
    </row>
    <row r="117" spans="8:8" x14ac:dyDescent="0.25">
      <c r="H117" t="s">
        <v>2223</v>
      </c>
    </row>
    <row r="118" spans="8:8" x14ac:dyDescent="0.25">
      <c r="H118" t="s">
        <v>2224</v>
      </c>
    </row>
    <row r="119" spans="8:8" x14ac:dyDescent="0.25">
      <c r="H119" t="s">
        <v>2225</v>
      </c>
    </row>
    <row r="120" spans="8:8" x14ac:dyDescent="0.25">
      <c r="H120" t="s">
        <v>2226</v>
      </c>
    </row>
    <row r="121" spans="8:8" x14ac:dyDescent="0.25">
      <c r="H121" t="s">
        <v>2227</v>
      </c>
    </row>
    <row r="122" spans="8:8" x14ac:dyDescent="0.25">
      <c r="H122" t="s">
        <v>2228</v>
      </c>
    </row>
    <row r="123" spans="8:8" x14ac:dyDescent="0.25">
      <c r="H123" t="s">
        <v>2229</v>
      </c>
    </row>
    <row r="124" spans="8:8" x14ac:dyDescent="0.25">
      <c r="H124" t="s">
        <v>2230</v>
      </c>
    </row>
    <row r="125" spans="8:8" x14ac:dyDescent="0.25">
      <c r="H125" t="s">
        <v>2231</v>
      </c>
    </row>
    <row r="126" spans="8:8" x14ac:dyDescent="0.25">
      <c r="H126" t="s">
        <v>2232</v>
      </c>
    </row>
    <row r="127" spans="8:8" x14ac:dyDescent="0.25">
      <c r="H127" t="s">
        <v>2233</v>
      </c>
    </row>
    <row r="128" spans="8:8" x14ac:dyDescent="0.25">
      <c r="H128" t="s">
        <v>2234</v>
      </c>
    </row>
    <row r="129" spans="8:8" x14ac:dyDescent="0.25">
      <c r="H129" t="s">
        <v>2235</v>
      </c>
    </row>
    <row r="130" spans="8:8" x14ac:dyDescent="0.25">
      <c r="H130" t="s">
        <v>2236</v>
      </c>
    </row>
    <row r="131" spans="8:8" x14ac:dyDescent="0.25">
      <c r="H131" t="s">
        <v>2237</v>
      </c>
    </row>
    <row r="132" spans="8:8" x14ac:dyDescent="0.25">
      <c r="H132" t="s">
        <v>2238</v>
      </c>
    </row>
    <row r="133" spans="8:8" x14ac:dyDescent="0.25">
      <c r="H133" t="s">
        <v>2239</v>
      </c>
    </row>
    <row r="134" spans="8:8" x14ac:dyDescent="0.25">
      <c r="H134" t="s">
        <v>2240</v>
      </c>
    </row>
    <row r="135" spans="8:8" x14ac:dyDescent="0.25">
      <c r="H135" t="s">
        <v>2933</v>
      </c>
    </row>
    <row r="136" spans="8:8" x14ac:dyDescent="0.25">
      <c r="H136" t="s">
        <v>3119</v>
      </c>
    </row>
    <row r="137" spans="8:8" x14ac:dyDescent="0.25">
      <c r="H137" t="s">
        <v>3292</v>
      </c>
    </row>
    <row r="138" spans="8:8" x14ac:dyDescent="0.25">
      <c r="H138" t="s">
        <v>3293</v>
      </c>
    </row>
    <row r="139" spans="8:8" x14ac:dyDescent="0.25">
      <c r="H139" t="s">
        <v>3294</v>
      </c>
    </row>
    <row r="140" spans="8:8" x14ac:dyDescent="0.25">
      <c r="H140" t="s">
        <v>3295</v>
      </c>
    </row>
    <row r="141" spans="8:8" x14ac:dyDescent="0.25">
      <c r="H141" t="s">
        <v>3296</v>
      </c>
    </row>
    <row r="142" spans="8:8" x14ac:dyDescent="0.25">
      <c r="H142" t="s">
        <v>3297</v>
      </c>
    </row>
    <row r="143" spans="8:8" x14ac:dyDescent="0.25">
      <c r="H143" t="s">
        <v>3298</v>
      </c>
    </row>
    <row r="144" spans="8:8" x14ac:dyDescent="0.25">
      <c r="H144" t="s">
        <v>3299</v>
      </c>
    </row>
    <row r="145" spans="8:8" x14ac:dyDescent="0.25">
      <c r="H145" t="s">
        <v>3300</v>
      </c>
    </row>
    <row r="146" spans="8:8" x14ac:dyDescent="0.25">
      <c r="H146" t="s">
        <v>3301</v>
      </c>
    </row>
    <row r="147" spans="8:8" x14ac:dyDescent="0.25">
      <c r="H147" t="s">
        <v>3302</v>
      </c>
    </row>
    <row r="148" spans="8:8" x14ac:dyDescent="0.25">
      <c r="H148" t="s">
        <v>3303</v>
      </c>
    </row>
    <row r="149" spans="8:8" x14ac:dyDescent="0.25">
      <c r="H149" t="s">
        <v>3304</v>
      </c>
    </row>
    <row r="150" spans="8:8" x14ac:dyDescent="0.25">
      <c r="H150" t="s">
        <v>3305</v>
      </c>
    </row>
    <row r="151" spans="8:8" x14ac:dyDescent="0.25">
      <c r="H151" t="s">
        <v>3306</v>
      </c>
    </row>
    <row r="152" spans="8:8" x14ac:dyDescent="0.25">
      <c r="H152" t="s">
        <v>3307</v>
      </c>
    </row>
    <row r="153" spans="8:8" x14ac:dyDescent="0.25">
      <c r="H153" t="s">
        <v>3308</v>
      </c>
    </row>
    <row r="154" spans="8:8" x14ac:dyDescent="0.25">
      <c r="H154" t="s">
        <v>3309</v>
      </c>
    </row>
    <row r="155" spans="8:8" x14ac:dyDescent="0.25">
      <c r="H155" t="s">
        <v>3310</v>
      </c>
    </row>
    <row r="156" spans="8:8" x14ac:dyDescent="0.25">
      <c r="H156" t="s">
        <v>3311</v>
      </c>
    </row>
    <row r="157" spans="8:8" x14ac:dyDescent="0.25">
      <c r="H157" t="s">
        <v>3312</v>
      </c>
    </row>
    <row r="158" spans="8:8" x14ac:dyDescent="0.25">
      <c r="H158" t="s">
        <v>3313</v>
      </c>
    </row>
    <row r="159" spans="8:8" x14ac:dyDescent="0.25">
      <c r="H159" t="s">
        <v>3314</v>
      </c>
    </row>
    <row r="160" spans="8:8" x14ac:dyDescent="0.25">
      <c r="H160" t="s">
        <v>3315</v>
      </c>
    </row>
    <row r="161" spans="8:8" x14ac:dyDescent="0.25">
      <c r="H161" t="s">
        <v>3316</v>
      </c>
    </row>
    <row r="162" spans="8:8" x14ac:dyDescent="0.25">
      <c r="H162" t="s">
        <v>3317</v>
      </c>
    </row>
    <row r="163" spans="8:8" x14ac:dyDescent="0.25">
      <c r="H163" t="s">
        <v>3318</v>
      </c>
    </row>
    <row r="164" spans="8:8" x14ac:dyDescent="0.25">
      <c r="H164" t="s">
        <v>3319</v>
      </c>
    </row>
    <row r="165" spans="8:8" x14ac:dyDescent="0.25">
      <c r="H165" t="s">
        <v>3320</v>
      </c>
    </row>
    <row r="166" spans="8:8" x14ac:dyDescent="0.25">
      <c r="H166" t="s">
        <v>3321</v>
      </c>
    </row>
    <row r="167" spans="8:8" x14ac:dyDescent="0.25">
      <c r="H167" t="s">
        <v>3322</v>
      </c>
    </row>
    <row r="168" spans="8:8" x14ac:dyDescent="0.25">
      <c r="H168" t="s">
        <v>3323</v>
      </c>
    </row>
    <row r="169" spans="8:8" x14ac:dyDescent="0.25">
      <c r="H169" t="s">
        <v>3324</v>
      </c>
    </row>
    <row r="170" spans="8:8" x14ac:dyDescent="0.25">
      <c r="H170" t="s">
        <v>3325</v>
      </c>
    </row>
    <row r="171" spans="8:8" x14ac:dyDescent="0.25">
      <c r="H171" t="s">
        <v>3326</v>
      </c>
    </row>
    <row r="172" spans="8:8" x14ac:dyDescent="0.25">
      <c r="H172" t="s">
        <v>3327</v>
      </c>
    </row>
    <row r="173" spans="8:8" x14ac:dyDescent="0.25">
      <c r="H173" t="s">
        <v>3328</v>
      </c>
    </row>
    <row r="174" spans="8:8" x14ac:dyDescent="0.25">
      <c r="H174" t="s">
        <v>3329</v>
      </c>
    </row>
    <row r="175" spans="8:8" x14ac:dyDescent="0.25">
      <c r="H175" t="s">
        <v>3330</v>
      </c>
    </row>
    <row r="176" spans="8:8" x14ac:dyDescent="0.25">
      <c r="H176" t="s">
        <v>3331</v>
      </c>
    </row>
    <row r="177" spans="8:8" x14ac:dyDescent="0.25">
      <c r="H177" t="s">
        <v>3332</v>
      </c>
    </row>
    <row r="178" spans="8:8" x14ac:dyDescent="0.25">
      <c r="H178" t="s">
        <v>3333</v>
      </c>
    </row>
    <row r="179" spans="8:8" x14ac:dyDescent="0.25">
      <c r="H179" t="s">
        <v>3334</v>
      </c>
    </row>
    <row r="180" spans="8:8" x14ac:dyDescent="0.25">
      <c r="H180" t="s">
        <v>3335</v>
      </c>
    </row>
    <row r="181" spans="8:8" x14ac:dyDescent="0.25">
      <c r="H181" t="s">
        <v>3336</v>
      </c>
    </row>
    <row r="182" spans="8:8" x14ac:dyDescent="0.25">
      <c r="H182" t="s">
        <v>3337</v>
      </c>
    </row>
    <row r="183" spans="8:8" x14ac:dyDescent="0.25">
      <c r="H183" t="s">
        <v>3338</v>
      </c>
    </row>
    <row r="184" spans="8:8" x14ac:dyDescent="0.25">
      <c r="H184" t="s">
        <v>3339</v>
      </c>
    </row>
    <row r="185" spans="8:8" x14ac:dyDescent="0.25">
      <c r="H185" t="s">
        <v>3340</v>
      </c>
    </row>
    <row r="186" spans="8:8" x14ac:dyDescent="0.25">
      <c r="H186" t="s">
        <v>3341</v>
      </c>
    </row>
    <row r="187" spans="8:8" x14ac:dyDescent="0.25">
      <c r="H187" t="s">
        <v>3342</v>
      </c>
    </row>
    <row r="188" spans="8:8" x14ac:dyDescent="0.25">
      <c r="H188" t="s">
        <v>3343</v>
      </c>
    </row>
    <row r="189" spans="8:8" x14ac:dyDescent="0.25">
      <c r="H189" t="s">
        <v>3344</v>
      </c>
    </row>
    <row r="190" spans="8:8" x14ac:dyDescent="0.25">
      <c r="H190" t="s">
        <v>3345</v>
      </c>
    </row>
    <row r="191" spans="8:8" x14ac:dyDescent="0.25">
      <c r="H191" t="s">
        <v>3346</v>
      </c>
    </row>
    <row r="192" spans="8:8" x14ac:dyDescent="0.25">
      <c r="H192" t="s">
        <v>3347</v>
      </c>
    </row>
    <row r="193" spans="8:8" x14ac:dyDescent="0.25">
      <c r="H193" t="s">
        <v>3348</v>
      </c>
    </row>
    <row r="194" spans="8:8" x14ac:dyDescent="0.25">
      <c r="H194" t="s">
        <v>3349</v>
      </c>
    </row>
    <row r="195" spans="8:8" x14ac:dyDescent="0.25">
      <c r="H195" s="6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56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2241</v>
      </c>
    </row>
    <row r="4" spans="2:8" x14ac:dyDescent="0.25">
      <c r="H4" t="s">
        <v>2397</v>
      </c>
    </row>
    <row r="5" spans="2:8" x14ac:dyDescent="0.25">
      <c r="B5" s="1"/>
      <c r="H5" t="s">
        <v>2934</v>
      </c>
    </row>
    <row r="6" spans="2:8" x14ac:dyDescent="0.25">
      <c r="H6" t="s">
        <v>2714</v>
      </c>
    </row>
    <row r="7" spans="2:8" x14ac:dyDescent="0.25">
      <c r="H7" t="s">
        <v>2399</v>
      </c>
    </row>
    <row r="8" spans="2:8" x14ac:dyDescent="0.25">
      <c r="B8" s="1"/>
      <c r="H8" t="s">
        <v>2400</v>
      </c>
    </row>
    <row r="9" spans="2:8" x14ac:dyDescent="0.25">
      <c r="H9" t="s">
        <v>2935</v>
      </c>
    </row>
    <row r="10" spans="2:8" x14ac:dyDescent="0.25">
      <c r="H10" t="s">
        <v>2402</v>
      </c>
    </row>
    <row r="11" spans="2:8" x14ac:dyDescent="0.25">
      <c r="B11" s="1"/>
    </row>
    <row r="12" spans="2:8" x14ac:dyDescent="0.25">
      <c r="H12" t="s">
        <v>2403</v>
      </c>
    </row>
    <row r="13" spans="2:8" x14ac:dyDescent="0.25">
      <c r="H13" t="s">
        <v>2404</v>
      </c>
    </row>
    <row r="14" spans="2:8" x14ac:dyDescent="0.25">
      <c r="B14" s="1"/>
      <c r="H14" t="s">
        <v>2936</v>
      </c>
    </row>
    <row r="15" spans="2:8" x14ac:dyDescent="0.25">
      <c r="H15" t="s">
        <v>2406</v>
      </c>
    </row>
    <row r="17" spans="2:8" x14ac:dyDescent="0.25">
      <c r="B17" s="1"/>
      <c r="H17" t="s">
        <v>2407</v>
      </c>
    </row>
    <row r="18" spans="2:8" x14ac:dyDescent="0.25">
      <c r="H18" t="s">
        <v>2408</v>
      </c>
    </row>
    <row r="19" spans="2:8" x14ac:dyDescent="0.25">
      <c r="H19" t="s">
        <v>2409</v>
      </c>
    </row>
    <row r="20" spans="2:8" x14ac:dyDescent="0.25">
      <c r="B20" s="1"/>
      <c r="H20" t="s">
        <v>2410</v>
      </c>
    </row>
    <row r="22" spans="2:8" x14ac:dyDescent="0.25">
      <c r="H22" t="s">
        <v>2411</v>
      </c>
    </row>
    <row r="23" spans="2:8" x14ac:dyDescent="0.25">
      <c r="H23" t="s">
        <v>2412</v>
      </c>
    </row>
    <row r="24" spans="2:8" x14ac:dyDescent="0.25">
      <c r="H24" t="s">
        <v>2937</v>
      </c>
    </row>
    <row r="25" spans="2:8" x14ac:dyDescent="0.25">
      <c r="H25" t="s">
        <v>2414</v>
      </c>
    </row>
    <row r="27" spans="2:8" x14ac:dyDescent="0.25">
      <c r="H27" t="s">
        <v>2415</v>
      </c>
    </row>
    <row r="28" spans="2:8" x14ac:dyDescent="0.25">
      <c r="H28" t="s">
        <v>2416</v>
      </c>
    </row>
    <row r="29" spans="2:8" x14ac:dyDescent="0.25">
      <c r="H29" t="s">
        <v>2417</v>
      </c>
    </row>
    <row r="30" spans="2:8" x14ac:dyDescent="0.25">
      <c r="H30" t="s">
        <v>2418</v>
      </c>
    </row>
    <row r="31" spans="2:8" x14ac:dyDescent="0.25">
      <c r="H31" t="s">
        <v>2419</v>
      </c>
    </row>
    <row r="32" spans="2:8" x14ac:dyDescent="0.25">
      <c r="H32" t="s">
        <v>2420</v>
      </c>
    </row>
    <row r="33" spans="8:8" x14ac:dyDescent="0.25">
      <c r="H33" t="s">
        <v>2421</v>
      </c>
    </row>
    <row r="35" spans="8:8" x14ac:dyDescent="0.25">
      <c r="H35" t="s">
        <v>2422</v>
      </c>
    </row>
    <row r="36" spans="8:8" x14ac:dyDescent="0.25">
      <c r="H36" t="s">
        <v>2423</v>
      </c>
    </row>
    <row r="37" spans="8:8" x14ac:dyDescent="0.25">
      <c r="H37" t="s">
        <v>2938</v>
      </c>
    </row>
    <row r="38" spans="8:8" x14ac:dyDescent="0.25">
      <c r="H38" t="s">
        <v>2424</v>
      </c>
    </row>
    <row r="40" spans="8:8" x14ac:dyDescent="0.25">
      <c r="H40" t="s">
        <v>2425</v>
      </c>
    </row>
    <row r="41" spans="8:8" x14ac:dyDescent="0.25">
      <c r="H41" t="s">
        <v>2426</v>
      </c>
    </row>
    <row r="42" spans="8:8" x14ac:dyDescent="0.25">
      <c r="H42" t="s">
        <v>2939</v>
      </c>
    </row>
    <row r="43" spans="8:8" x14ac:dyDescent="0.25">
      <c r="H43" t="s">
        <v>2427</v>
      </c>
    </row>
    <row r="45" spans="8:8" x14ac:dyDescent="0.25">
      <c r="H45" t="s">
        <v>2428</v>
      </c>
    </row>
    <row r="46" spans="8:8" x14ac:dyDescent="0.25">
      <c r="H46" t="s">
        <v>2429</v>
      </c>
    </row>
    <row r="47" spans="8:8" x14ac:dyDescent="0.25">
      <c r="H47" t="s">
        <v>2940</v>
      </c>
    </row>
    <row r="48" spans="8:8" x14ac:dyDescent="0.25">
      <c r="H48" t="s">
        <v>2430</v>
      </c>
    </row>
    <row r="50" spans="8:8" x14ac:dyDescent="0.25">
      <c r="H50" t="s">
        <v>2431</v>
      </c>
    </row>
    <row r="51" spans="8:8" x14ac:dyDescent="0.25">
      <c r="H51" t="s">
        <v>2432</v>
      </c>
    </row>
    <row r="52" spans="8:8" x14ac:dyDescent="0.25">
      <c r="H52" t="s">
        <v>2433</v>
      </c>
    </row>
    <row r="53" spans="8:8" x14ac:dyDescent="0.25">
      <c r="H53" t="s">
        <v>2434</v>
      </c>
    </row>
    <row r="55" spans="8:8" x14ac:dyDescent="0.25">
      <c r="H55" t="s">
        <v>2435</v>
      </c>
    </row>
    <row r="56" spans="8:8" x14ac:dyDescent="0.25">
      <c r="H56" t="s">
        <v>2436</v>
      </c>
    </row>
    <row r="57" spans="8:8" x14ac:dyDescent="0.25">
      <c r="H57" t="s">
        <v>2437</v>
      </c>
    </row>
    <row r="58" spans="8:8" x14ac:dyDescent="0.25">
      <c r="H58" t="s">
        <v>2438</v>
      </c>
    </row>
    <row r="59" spans="8:8" x14ac:dyDescent="0.25">
      <c r="H59" t="s">
        <v>2439</v>
      </c>
    </row>
    <row r="60" spans="8:8" x14ac:dyDescent="0.25">
      <c r="H60" t="s">
        <v>2440</v>
      </c>
    </row>
    <row r="61" spans="8:8" x14ac:dyDescent="0.25">
      <c r="H61" t="s">
        <v>2441</v>
      </c>
    </row>
    <row r="63" spans="8:8" x14ac:dyDescent="0.25">
      <c r="H63" t="s">
        <v>2442</v>
      </c>
    </row>
    <row r="64" spans="8:8" x14ac:dyDescent="0.25">
      <c r="H64" t="s">
        <v>2443</v>
      </c>
    </row>
    <row r="65" spans="8:8" x14ac:dyDescent="0.25">
      <c r="H65" t="s">
        <v>2444</v>
      </c>
    </row>
    <row r="66" spans="8:8" x14ac:dyDescent="0.25">
      <c r="H66" t="s">
        <v>2445</v>
      </c>
    </row>
    <row r="67" spans="8:8" x14ac:dyDescent="0.25">
      <c r="H67" t="s">
        <v>2446</v>
      </c>
    </row>
    <row r="68" spans="8:8" x14ac:dyDescent="0.25">
      <c r="H68" t="s">
        <v>2447</v>
      </c>
    </row>
    <row r="69" spans="8:8" x14ac:dyDescent="0.25">
      <c r="H69" t="s">
        <v>2448</v>
      </c>
    </row>
    <row r="71" spans="8:8" x14ac:dyDescent="0.25">
      <c r="H71" t="s">
        <v>2449</v>
      </c>
    </row>
    <row r="72" spans="8:8" x14ac:dyDescent="0.25">
      <c r="H72" t="s">
        <v>2450</v>
      </c>
    </row>
    <row r="73" spans="8:8" x14ac:dyDescent="0.25">
      <c r="H73" t="s">
        <v>2451</v>
      </c>
    </row>
    <row r="74" spans="8:8" x14ac:dyDescent="0.25">
      <c r="H74" t="s">
        <v>2452</v>
      </c>
    </row>
    <row r="75" spans="8:8" x14ac:dyDescent="0.25">
      <c r="H75" t="s">
        <v>2453</v>
      </c>
    </row>
    <row r="77" spans="8:8" x14ac:dyDescent="0.25">
      <c r="H77" t="s">
        <v>2454</v>
      </c>
    </row>
    <row r="78" spans="8:8" x14ac:dyDescent="0.25">
      <c r="H78" t="s">
        <v>2455</v>
      </c>
    </row>
    <row r="79" spans="8:8" x14ac:dyDescent="0.25">
      <c r="H79" t="s">
        <v>2941</v>
      </c>
    </row>
    <row r="80" spans="8:8" x14ac:dyDescent="0.25">
      <c r="H80" t="s">
        <v>2456</v>
      </c>
    </row>
    <row r="82" spans="8:8" x14ac:dyDescent="0.25">
      <c r="H82" t="s">
        <v>2457</v>
      </c>
    </row>
    <row r="83" spans="8:8" x14ac:dyDescent="0.25">
      <c r="H83" t="s">
        <v>2458</v>
      </c>
    </row>
    <row r="84" spans="8:8" x14ac:dyDescent="0.25">
      <c r="H84" t="s">
        <v>2942</v>
      </c>
    </row>
    <row r="85" spans="8:8" x14ac:dyDescent="0.25">
      <c r="H85" t="s">
        <v>2459</v>
      </c>
    </row>
    <row r="87" spans="8:8" x14ac:dyDescent="0.25">
      <c r="H87" t="s">
        <v>2460</v>
      </c>
    </row>
    <row r="88" spans="8:8" x14ac:dyDescent="0.25">
      <c r="H88" t="s">
        <v>2461</v>
      </c>
    </row>
    <row r="89" spans="8:8" x14ac:dyDescent="0.25">
      <c r="H89" t="s">
        <v>2943</v>
      </c>
    </row>
    <row r="90" spans="8:8" x14ac:dyDescent="0.25">
      <c r="H90" t="s">
        <v>2462</v>
      </c>
    </row>
    <row r="92" spans="8:8" x14ac:dyDescent="0.25">
      <c r="H92" t="s">
        <v>2463</v>
      </c>
    </row>
    <row r="93" spans="8:8" x14ac:dyDescent="0.25">
      <c r="H93" t="s">
        <v>2464</v>
      </c>
    </row>
    <row r="94" spans="8:8" x14ac:dyDescent="0.25">
      <c r="H94" t="s">
        <v>2941</v>
      </c>
    </row>
    <row r="95" spans="8:8" x14ac:dyDescent="0.25">
      <c r="H95" t="s">
        <v>2465</v>
      </c>
    </row>
    <row r="97" spans="8:8" x14ac:dyDescent="0.25">
      <c r="H97" t="s">
        <v>2466</v>
      </c>
    </row>
    <row r="98" spans="8:8" x14ac:dyDescent="0.25">
      <c r="H98" t="s">
        <v>2467</v>
      </c>
    </row>
    <row r="99" spans="8:8" x14ac:dyDescent="0.25">
      <c r="H99" t="s">
        <v>2942</v>
      </c>
    </row>
    <row r="100" spans="8:8" x14ac:dyDescent="0.25">
      <c r="H100" t="s">
        <v>2468</v>
      </c>
    </row>
    <row r="102" spans="8:8" x14ac:dyDescent="0.25">
      <c r="H102" t="s">
        <v>2469</v>
      </c>
    </row>
    <row r="103" spans="8:8" x14ac:dyDescent="0.25">
      <c r="H103" t="s">
        <v>2470</v>
      </c>
    </row>
    <row r="104" spans="8:8" x14ac:dyDescent="0.25">
      <c r="H104" t="s">
        <v>2943</v>
      </c>
    </row>
    <row r="105" spans="8:8" x14ac:dyDescent="0.25">
      <c r="H105" t="s">
        <v>2471</v>
      </c>
    </row>
    <row r="107" spans="8:8" x14ac:dyDescent="0.25">
      <c r="H107" t="s">
        <v>2472</v>
      </c>
    </row>
    <row r="108" spans="8:8" x14ac:dyDescent="0.25">
      <c r="H108" t="s">
        <v>2473</v>
      </c>
    </row>
    <row r="109" spans="8:8" x14ac:dyDescent="0.25">
      <c r="H109" t="s">
        <v>2433</v>
      </c>
    </row>
    <row r="110" spans="8:8" x14ac:dyDescent="0.25">
      <c r="H110" t="s">
        <v>2474</v>
      </c>
    </row>
    <row r="112" spans="8:8" x14ac:dyDescent="0.25">
      <c r="H112" t="s">
        <v>2475</v>
      </c>
    </row>
    <row r="113" spans="8:8" x14ac:dyDescent="0.25">
      <c r="H113" t="s">
        <v>2476</v>
      </c>
    </row>
    <row r="114" spans="8:8" x14ac:dyDescent="0.25">
      <c r="H114" t="s">
        <v>2433</v>
      </c>
    </row>
    <row r="115" spans="8:8" x14ac:dyDescent="0.25">
      <c r="H115" t="s">
        <v>2477</v>
      </c>
    </row>
    <row r="117" spans="8:8" x14ac:dyDescent="0.25">
      <c r="H117" t="s">
        <v>2478</v>
      </c>
    </row>
    <row r="118" spans="8:8" x14ac:dyDescent="0.25">
      <c r="H118" t="s">
        <v>2479</v>
      </c>
    </row>
    <row r="119" spans="8:8" x14ac:dyDescent="0.25">
      <c r="H119" t="s">
        <v>2944</v>
      </c>
    </row>
    <row r="120" spans="8:8" x14ac:dyDescent="0.25">
      <c r="H120" t="s">
        <v>2480</v>
      </c>
    </row>
    <row r="122" spans="8:8" x14ac:dyDescent="0.25">
      <c r="H122" t="s">
        <v>2481</v>
      </c>
    </row>
    <row r="123" spans="8:8" x14ac:dyDescent="0.25">
      <c r="H123" t="s">
        <v>2482</v>
      </c>
    </row>
    <row r="124" spans="8:8" x14ac:dyDescent="0.25">
      <c r="H124" t="s">
        <v>2945</v>
      </c>
    </row>
    <row r="125" spans="8:8" x14ac:dyDescent="0.25">
      <c r="H125" t="s">
        <v>2483</v>
      </c>
    </row>
    <row r="127" spans="8:8" x14ac:dyDescent="0.25">
      <c r="H127" t="s">
        <v>2484</v>
      </c>
    </row>
    <row r="128" spans="8:8" x14ac:dyDescent="0.25">
      <c r="H128" t="s">
        <v>2485</v>
      </c>
    </row>
    <row r="129" spans="8:8" x14ac:dyDescent="0.25">
      <c r="H129" t="s">
        <v>2946</v>
      </c>
    </row>
    <row r="130" spans="8:8" x14ac:dyDescent="0.25">
      <c r="H130" t="s">
        <v>2486</v>
      </c>
    </row>
    <row r="132" spans="8:8" x14ac:dyDescent="0.25">
      <c r="H132" t="s">
        <v>2487</v>
      </c>
    </row>
    <row r="133" spans="8:8" x14ac:dyDescent="0.25">
      <c r="H133" t="s">
        <v>2488</v>
      </c>
    </row>
    <row r="134" spans="8:8" x14ac:dyDescent="0.25">
      <c r="H134" t="s">
        <v>2947</v>
      </c>
    </row>
    <row r="135" spans="8:8" x14ac:dyDescent="0.25">
      <c r="H135" t="s">
        <v>2489</v>
      </c>
    </row>
    <row r="137" spans="8:8" x14ac:dyDescent="0.25">
      <c r="H137" t="s">
        <v>2490</v>
      </c>
    </row>
    <row r="138" spans="8:8" x14ac:dyDescent="0.25">
      <c r="H138" t="s">
        <v>2491</v>
      </c>
    </row>
    <row r="139" spans="8:8" x14ac:dyDescent="0.25">
      <c r="H139" t="s">
        <v>2948</v>
      </c>
    </row>
    <row r="140" spans="8:8" x14ac:dyDescent="0.25">
      <c r="H140" t="s">
        <v>2493</v>
      </c>
    </row>
    <row r="142" spans="8:8" x14ac:dyDescent="0.25">
      <c r="H142" t="s">
        <v>2494</v>
      </c>
    </row>
    <row r="143" spans="8:8" x14ac:dyDescent="0.25">
      <c r="H143" t="s">
        <v>2495</v>
      </c>
    </row>
    <row r="144" spans="8:8" x14ac:dyDescent="0.25">
      <c r="H144" t="s">
        <v>2949</v>
      </c>
    </row>
    <row r="145" spans="8:8" x14ac:dyDescent="0.25">
      <c r="H145" t="s">
        <v>2496</v>
      </c>
    </row>
    <row r="147" spans="8:8" x14ac:dyDescent="0.25">
      <c r="H147" t="s">
        <v>2497</v>
      </c>
    </row>
    <row r="148" spans="8:8" x14ac:dyDescent="0.25">
      <c r="H148" t="s">
        <v>2498</v>
      </c>
    </row>
    <row r="149" spans="8:8" x14ac:dyDescent="0.25">
      <c r="H149" t="s">
        <v>2433</v>
      </c>
    </row>
    <row r="150" spans="8:8" x14ac:dyDescent="0.25">
      <c r="H150" t="s">
        <v>2499</v>
      </c>
    </row>
    <row r="152" spans="8:8" x14ac:dyDescent="0.25">
      <c r="H152" t="s">
        <v>2500</v>
      </c>
    </row>
    <row r="153" spans="8:8" x14ac:dyDescent="0.25">
      <c r="H153" t="s">
        <v>2501</v>
      </c>
    </row>
    <row r="154" spans="8:8" x14ac:dyDescent="0.25">
      <c r="H154" t="s">
        <v>2433</v>
      </c>
    </row>
    <row r="155" spans="8:8" x14ac:dyDescent="0.25">
      <c r="H155" t="s">
        <v>2502</v>
      </c>
    </row>
    <row r="157" spans="8:8" x14ac:dyDescent="0.25">
      <c r="H157" t="s">
        <v>2503</v>
      </c>
    </row>
    <row r="158" spans="8:8" x14ac:dyDescent="0.25">
      <c r="H158" t="s">
        <v>2504</v>
      </c>
    </row>
    <row r="159" spans="8:8" x14ac:dyDescent="0.25">
      <c r="H159" t="s">
        <v>2405</v>
      </c>
    </row>
    <row r="160" spans="8:8" x14ac:dyDescent="0.25">
      <c r="H160" t="s">
        <v>2505</v>
      </c>
    </row>
    <row r="161" spans="8:8" x14ac:dyDescent="0.25">
      <c r="H161" t="s">
        <v>2506</v>
      </c>
    </row>
    <row r="162" spans="8:8" x14ac:dyDescent="0.25">
      <c r="H162" t="s">
        <v>2413</v>
      </c>
    </row>
    <row r="163" spans="8:8" x14ac:dyDescent="0.25">
      <c r="H163" t="s">
        <v>2507</v>
      </c>
    </row>
    <row r="164" spans="8:8" x14ac:dyDescent="0.25">
      <c r="H164" t="s">
        <v>2508</v>
      </c>
    </row>
    <row r="166" spans="8:8" x14ac:dyDescent="0.25">
      <c r="H166" t="s">
        <v>2509</v>
      </c>
    </row>
    <row r="167" spans="8:8" x14ac:dyDescent="0.25">
      <c r="H167" t="s">
        <v>2510</v>
      </c>
    </row>
    <row r="168" spans="8:8" x14ac:dyDescent="0.25">
      <c r="H168" t="s">
        <v>2511</v>
      </c>
    </row>
    <row r="169" spans="8:8" x14ac:dyDescent="0.25">
      <c r="H169" t="s">
        <v>2398</v>
      </c>
    </row>
    <row r="170" spans="8:8" x14ac:dyDescent="0.25">
      <c r="H170" t="s">
        <v>2512</v>
      </c>
    </row>
    <row r="171" spans="8:8" x14ac:dyDescent="0.25">
      <c r="H171" t="s">
        <v>2513</v>
      </c>
    </row>
    <row r="172" spans="8:8" x14ac:dyDescent="0.25">
      <c r="H172" t="s">
        <v>2413</v>
      </c>
    </row>
    <row r="173" spans="8:8" x14ac:dyDescent="0.25">
      <c r="H173" t="s">
        <v>2514</v>
      </c>
    </row>
    <row r="174" spans="8:8" x14ac:dyDescent="0.25">
      <c r="H174" t="s">
        <v>2515</v>
      </c>
    </row>
    <row r="176" spans="8:8" x14ac:dyDescent="0.25">
      <c r="H176" t="s">
        <v>2516</v>
      </c>
    </row>
    <row r="177" spans="8:8" x14ac:dyDescent="0.25">
      <c r="H177" t="s">
        <v>2517</v>
      </c>
    </row>
    <row r="178" spans="8:8" x14ac:dyDescent="0.25">
      <c r="H178" t="s">
        <v>2518</v>
      </c>
    </row>
    <row r="179" spans="8:8" x14ac:dyDescent="0.25">
      <c r="H179" t="s">
        <v>2492</v>
      </c>
    </row>
    <row r="180" spans="8:8" x14ac:dyDescent="0.25">
      <c r="H180" t="s">
        <v>2519</v>
      </c>
    </row>
    <row r="181" spans="8:8" x14ac:dyDescent="0.25">
      <c r="H181" t="s">
        <v>2520</v>
      </c>
    </row>
    <row r="182" spans="8:8" x14ac:dyDescent="0.25">
      <c r="H182" t="s">
        <v>2521</v>
      </c>
    </row>
    <row r="184" spans="8:8" x14ac:dyDescent="0.25">
      <c r="H184" t="s">
        <v>2522</v>
      </c>
    </row>
    <row r="185" spans="8:8" x14ac:dyDescent="0.25">
      <c r="H185" t="s">
        <v>2523</v>
      </c>
    </row>
    <row r="186" spans="8:8" x14ac:dyDescent="0.25">
      <c r="H186" t="s">
        <v>2524</v>
      </c>
    </row>
    <row r="187" spans="8:8" x14ac:dyDescent="0.25">
      <c r="H187" t="s">
        <v>2525</v>
      </c>
    </row>
    <row r="188" spans="8:8" x14ac:dyDescent="0.25">
      <c r="H188" t="s">
        <v>2492</v>
      </c>
    </row>
    <row r="189" spans="8:8" x14ac:dyDescent="0.25">
      <c r="H189" t="s">
        <v>2526</v>
      </c>
    </row>
    <row r="190" spans="8:8" x14ac:dyDescent="0.25">
      <c r="H190" t="s">
        <v>2527</v>
      </c>
    </row>
    <row r="192" spans="8:8" x14ac:dyDescent="0.25">
      <c r="H192" t="s">
        <v>2528</v>
      </c>
    </row>
    <row r="193" spans="8:8" x14ac:dyDescent="0.25">
      <c r="H193" t="s">
        <v>2529</v>
      </c>
    </row>
    <row r="194" spans="8:8" x14ac:dyDescent="0.25">
      <c r="H194" t="s">
        <v>2405</v>
      </c>
    </row>
    <row r="195" spans="8:8" x14ac:dyDescent="0.25">
      <c r="H195" t="s">
        <v>2530</v>
      </c>
    </row>
    <row r="196" spans="8:8" x14ac:dyDescent="0.25">
      <c r="H196" t="s">
        <v>2401</v>
      </c>
    </row>
    <row r="197" spans="8:8" x14ac:dyDescent="0.25">
      <c r="H197" t="s">
        <v>2531</v>
      </c>
    </row>
    <row r="198" spans="8:8" x14ac:dyDescent="0.25">
      <c r="H198" t="s">
        <v>2532</v>
      </c>
    </row>
    <row r="200" spans="8:8" x14ac:dyDescent="0.25">
      <c r="H200" t="s">
        <v>2533</v>
      </c>
    </row>
    <row r="201" spans="8:8" x14ac:dyDescent="0.25">
      <c r="H201" t="s">
        <v>2534</v>
      </c>
    </row>
    <row r="202" spans="8:8" x14ac:dyDescent="0.25">
      <c r="H202" t="s">
        <v>2950</v>
      </c>
    </row>
    <row r="203" spans="8:8" x14ac:dyDescent="0.25">
      <c r="H203" t="s">
        <v>2535</v>
      </c>
    </row>
    <row r="205" spans="8:8" x14ac:dyDescent="0.25">
      <c r="H205" t="s">
        <v>2536</v>
      </c>
    </row>
    <row r="206" spans="8:8" x14ac:dyDescent="0.25">
      <c r="H206" t="s">
        <v>2537</v>
      </c>
    </row>
    <row r="207" spans="8:8" x14ac:dyDescent="0.25">
      <c r="H207" t="s">
        <v>2538</v>
      </c>
    </row>
    <row r="208" spans="8:8" x14ac:dyDescent="0.25">
      <c r="H208" t="s">
        <v>2951</v>
      </c>
    </row>
    <row r="209" spans="8:8" x14ac:dyDescent="0.25">
      <c r="H209" t="s">
        <v>2952</v>
      </c>
    </row>
    <row r="210" spans="8:8" x14ac:dyDescent="0.25">
      <c r="H210" t="s">
        <v>2539</v>
      </c>
    </row>
    <row r="212" spans="8:8" x14ac:dyDescent="0.25">
      <c r="H212" t="s">
        <v>2540</v>
      </c>
    </row>
    <row r="213" spans="8:8" x14ac:dyDescent="0.25">
      <c r="H213" t="s">
        <v>2541</v>
      </c>
    </row>
    <row r="214" spans="8:8" x14ac:dyDescent="0.25">
      <c r="H214" t="s">
        <v>2542</v>
      </c>
    </row>
    <row r="215" spans="8:8" x14ac:dyDescent="0.25">
      <c r="H215" t="s">
        <v>2543</v>
      </c>
    </row>
    <row r="217" spans="8:8" x14ac:dyDescent="0.25">
      <c r="H217" t="s">
        <v>2544</v>
      </c>
    </row>
    <row r="218" spans="8:8" x14ac:dyDescent="0.25">
      <c r="H218" t="s">
        <v>2545</v>
      </c>
    </row>
    <row r="219" spans="8:8" x14ac:dyDescent="0.25">
      <c r="H219" t="s">
        <v>2546</v>
      </c>
    </row>
    <row r="220" spans="8:8" x14ac:dyDescent="0.25">
      <c r="H220" t="s">
        <v>2547</v>
      </c>
    </row>
    <row r="222" spans="8:8" x14ac:dyDescent="0.25">
      <c r="H222" t="s">
        <v>2548</v>
      </c>
    </row>
    <row r="223" spans="8:8" x14ac:dyDescent="0.25">
      <c r="H223" t="s">
        <v>2549</v>
      </c>
    </row>
    <row r="224" spans="8:8" x14ac:dyDescent="0.25">
      <c r="H224" t="s">
        <v>2953</v>
      </c>
    </row>
    <row r="225" spans="8:8" x14ac:dyDescent="0.25">
      <c r="H225" t="s">
        <v>2550</v>
      </c>
    </row>
    <row r="227" spans="8:8" x14ac:dyDescent="0.25">
      <c r="H227" t="s">
        <v>2551</v>
      </c>
    </row>
    <row r="228" spans="8:8" x14ac:dyDescent="0.25">
      <c r="H228" t="s">
        <v>2552</v>
      </c>
    </row>
    <row r="229" spans="8:8" x14ac:dyDescent="0.25">
      <c r="H229" t="s">
        <v>2954</v>
      </c>
    </row>
    <row r="230" spans="8:8" x14ac:dyDescent="0.25">
      <c r="H230" t="s">
        <v>2553</v>
      </c>
    </row>
    <row r="232" spans="8:8" x14ac:dyDescent="0.25">
      <c r="H232" t="s">
        <v>2554</v>
      </c>
    </row>
    <row r="233" spans="8:8" x14ac:dyDescent="0.25">
      <c r="H233" t="s">
        <v>2555</v>
      </c>
    </row>
    <row r="234" spans="8:8" x14ac:dyDescent="0.25">
      <c r="H234" t="s">
        <v>2955</v>
      </c>
    </row>
    <row r="235" spans="8:8" x14ac:dyDescent="0.25">
      <c r="H235" t="s">
        <v>2556</v>
      </c>
    </row>
    <row r="237" spans="8:8" x14ac:dyDescent="0.25">
      <c r="H237" t="s">
        <v>2557</v>
      </c>
    </row>
    <row r="238" spans="8:8" x14ac:dyDescent="0.25">
      <c r="H238" t="s">
        <v>2558</v>
      </c>
    </row>
    <row r="239" spans="8:8" x14ac:dyDescent="0.25">
      <c r="H239" t="s">
        <v>2956</v>
      </c>
    </row>
    <row r="240" spans="8:8" x14ac:dyDescent="0.25">
      <c r="H240" t="s">
        <v>2559</v>
      </c>
    </row>
    <row r="242" spans="8:8" x14ac:dyDescent="0.25">
      <c r="H242" t="s">
        <v>2560</v>
      </c>
    </row>
    <row r="243" spans="8:8" x14ac:dyDescent="0.25">
      <c r="H243" t="s">
        <v>2561</v>
      </c>
    </row>
    <row r="244" spans="8:8" x14ac:dyDescent="0.25">
      <c r="H244" t="s">
        <v>2957</v>
      </c>
    </row>
    <row r="245" spans="8:8" x14ac:dyDescent="0.25">
      <c r="H245" t="s">
        <v>2562</v>
      </c>
    </row>
    <row r="247" spans="8:8" x14ac:dyDescent="0.25">
      <c r="H247" t="s">
        <v>2563</v>
      </c>
    </row>
    <row r="248" spans="8:8" x14ac:dyDescent="0.25">
      <c r="H248" t="s">
        <v>2564</v>
      </c>
    </row>
    <row r="249" spans="8:8" x14ac:dyDescent="0.25">
      <c r="H249" t="s">
        <v>2958</v>
      </c>
    </row>
    <row r="250" spans="8:8" x14ac:dyDescent="0.25">
      <c r="H250" t="s">
        <v>2565</v>
      </c>
    </row>
    <row r="252" spans="8:8" x14ac:dyDescent="0.25">
      <c r="H252" t="s">
        <v>2566</v>
      </c>
    </row>
    <row r="253" spans="8:8" x14ac:dyDescent="0.25">
      <c r="H253" t="s">
        <v>2567</v>
      </c>
    </row>
    <row r="254" spans="8:8" x14ac:dyDescent="0.25">
      <c r="H254" t="s">
        <v>2959</v>
      </c>
    </row>
    <row r="255" spans="8:8" x14ac:dyDescent="0.25">
      <c r="H255" t="s">
        <v>2568</v>
      </c>
    </row>
    <row r="257" spans="8:8" x14ac:dyDescent="0.25">
      <c r="H257" t="s">
        <v>2569</v>
      </c>
    </row>
    <row r="258" spans="8:8" x14ac:dyDescent="0.25">
      <c r="H258" t="s">
        <v>2570</v>
      </c>
    </row>
    <row r="259" spans="8:8" x14ac:dyDescent="0.25">
      <c r="H259" t="s">
        <v>2960</v>
      </c>
    </row>
    <row r="260" spans="8:8" x14ac:dyDescent="0.25">
      <c r="H260" t="s">
        <v>2571</v>
      </c>
    </row>
    <row r="262" spans="8:8" x14ac:dyDescent="0.25">
      <c r="H262" t="s">
        <v>2572</v>
      </c>
    </row>
    <row r="263" spans="8:8" x14ac:dyDescent="0.25">
      <c r="H263" t="s">
        <v>2573</v>
      </c>
    </row>
    <row r="264" spans="8:8" x14ac:dyDescent="0.25">
      <c r="H264" t="s">
        <v>2961</v>
      </c>
    </row>
    <row r="265" spans="8:8" x14ac:dyDescent="0.25">
      <c r="H265" t="s">
        <v>2574</v>
      </c>
    </row>
    <row r="267" spans="8:8" x14ac:dyDescent="0.25">
      <c r="H267" t="s">
        <v>2575</v>
      </c>
    </row>
    <row r="268" spans="8:8" x14ac:dyDescent="0.25">
      <c r="H268" t="s">
        <v>2576</v>
      </c>
    </row>
    <row r="269" spans="8:8" x14ac:dyDescent="0.25">
      <c r="H269" t="s">
        <v>2962</v>
      </c>
    </row>
    <row r="270" spans="8:8" x14ac:dyDescent="0.25">
      <c r="H270" t="s">
        <v>2577</v>
      </c>
    </row>
    <row r="272" spans="8:8" x14ac:dyDescent="0.25">
      <c r="H272" t="s">
        <v>2578</v>
      </c>
    </row>
    <row r="273" spans="8:8" x14ac:dyDescent="0.25">
      <c r="H273" t="s">
        <v>2579</v>
      </c>
    </row>
    <row r="274" spans="8:8" x14ac:dyDescent="0.25">
      <c r="H274" t="s">
        <v>2963</v>
      </c>
    </row>
    <row r="275" spans="8:8" x14ac:dyDescent="0.25">
      <c r="H275" t="s">
        <v>2580</v>
      </c>
    </row>
    <row r="277" spans="8:8" x14ac:dyDescent="0.25">
      <c r="H277" t="s">
        <v>2581</v>
      </c>
    </row>
    <row r="278" spans="8:8" x14ac:dyDescent="0.25">
      <c r="H278" t="s">
        <v>2582</v>
      </c>
    </row>
    <row r="279" spans="8:8" x14ac:dyDescent="0.25">
      <c r="H279" t="s">
        <v>2964</v>
      </c>
    </row>
    <row r="280" spans="8:8" x14ac:dyDescent="0.25">
      <c r="H280" t="s">
        <v>2583</v>
      </c>
    </row>
    <row r="282" spans="8:8" x14ac:dyDescent="0.25">
      <c r="H282" t="s">
        <v>2584</v>
      </c>
    </row>
    <row r="283" spans="8:8" x14ac:dyDescent="0.25">
      <c r="H283" t="s">
        <v>2585</v>
      </c>
    </row>
    <row r="284" spans="8:8" x14ac:dyDescent="0.25">
      <c r="H284" t="s">
        <v>2965</v>
      </c>
    </row>
    <row r="285" spans="8:8" x14ac:dyDescent="0.25">
      <c r="H285" t="s">
        <v>2586</v>
      </c>
    </row>
    <row r="287" spans="8:8" x14ac:dyDescent="0.25">
      <c r="H287" t="s">
        <v>2587</v>
      </c>
    </row>
    <row r="288" spans="8:8" x14ac:dyDescent="0.25">
      <c r="H288" t="s">
        <v>2588</v>
      </c>
    </row>
    <row r="289" spans="8:8" x14ac:dyDescent="0.25">
      <c r="H289" t="s">
        <v>2966</v>
      </c>
    </row>
    <row r="290" spans="8:8" x14ac:dyDescent="0.25">
      <c r="H290" t="s">
        <v>2589</v>
      </c>
    </row>
    <row r="292" spans="8:8" x14ac:dyDescent="0.25">
      <c r="H292" t="s">
        <v>2590</v>
      </c>
    </row>
    <row r="293" spans="8:8" x14ac:dyDescent="0.25">
      <c r="H293" t="s">
        <v>2591</v>
      </c>
    </row>
    <row r="294" spans="8:8" x14ac:dyDescent="0.25">
      <c r="H294" t="s">
        <v>2967</v>
      </c>
    </row>
    <row r="295" spans="8:8" x14ac:dyDescent="0.25">
      <c r="H295" t="s">
        <v>2592</v>
      </c>
    </row>
    <row r="297" spans="8:8" x14ac:dyDescent="0.25">
      <c r="H297" t="s">
        <v>2593</v>
      </c>
    </row>
    <row r="298" spans="8:8" x14ac:dyDescent="0.25">
      <c r="H298" t="s">
        <v>2594</v>
      </c>
    </row>
    <row r="299" spans="8:8" x14ac:dyDescent="0.25">
      <c r="H299" t="s">
        <v>2968</v>
      </c>
    </row>
    <row r="300" spans="8:8" x14ac:dyDescent="0.25">
      <c r="H300" t="s">
        <v>2595</v>
      </c>
    </row>
    <row r="302" spans="8:8" x14ac:dyDescent="0.25">
      <c r="H302" t="s">
        <v>2596</v>
      </c>
    </row>
    <row r="303" spans="8:8" x14ac:dyDescent="0.25">
      <c r="H303" t="s">
        <v>2597</v>
      </c>
    </row>
    <row r="304" spans="8:8" x14ac:dyDescent="0.25">
      <c r="H304" t="s">
        <v>2969</v>
      </c>
    </row>
    <row r="305" spans="8:8" x14ac:dyDescent="0.25">
      <c r="H305" t="s">
        <v>2598</v>
      </c>
    </row>
    <row r="307" spans="8:8" x14ac:dyDescent="0.25">
      <c r="H307" t="s">
        <v>2599</v>
      </c>
    </row>
    <row r="308" spans="8:8" x14ac:dyDescent="0.25">
      <c r="H308" t="s">
        <v>2600</v>
      </c>
    </row>
    <row r="309" spans="8:8" x14ac:dyDescent="0.25">
      <c r="H309" t="s">
        <v>2970</v>
      </c>
    </row>
    <row r="310" spans="8:8" x14ac:dyDescent="0.25">
      <c r="H310" t="s">
        <v>2601</v>
      </c>
    </row>
    <row r="312" spans="8:8" x14ac:dyDescent="0.25">
      <c r="H312" t="s">
        <v>2602</v>
      </c>
    </row>
    <row r="313" spans="8:8" x14ac:dyDescent="0.25">
      <c r="H313" t="s">
        <v>2603</v>
      </c>
    </row>
    <row r="314" spans="8:8" x14ac:dyDescent="0.25">
      <c r="H314" t="s">
        <v>2971</v>
      </c>
    </row>
    <row r="315" spans="8:8" x14ac:dyDescent="0.25">
      <c r="H315" t="s">
        <v>2604</v>
      </c>
    </row>
    <row r="317" spans="8:8" x14ac:dyDescent="0.25">
      <c r="H317" t="s">
        <v>2605</v>
      </c>
    </row>
    <row r="318" spans="8:8" x14ac:dyDescent="0.25">
      <c r="H318" t="s">
        <v>2606</v>
      </c>
    </row>
    <row r="319" spans="8:8" x14ac:dyDescent="0.25">
      <c r="H319" t="s">
        <v>2972</v>
      </c>
    </row>
    <row r="320" spans="8:8" x14ac:dyDescent="0.25">
      <c r="H320" t="s">
        <v>2607</v>
      </c>
    </row>
    <row r="322" spans="8:8" x14ac:dyDescent="0.25">
      <c r="H322" t="s">
        <v>2608</v>
      </c>
    </row>
    <row r="323" spans="8:8" x14ac:dyDescent="0.25">
      <c r="H323" t="s">
        <v>2609</v>
      </c>
    </row>
    <row r="324" spans="8:8" x14ac:dyDescent="0.25">
      <c r="H324" t="s">
        <v>2973</v>
      </c>
    </row>
    <row r="325" spans="8:8" x14ac:dyDescent="0.25">
      <c r="H325" t="s">
        <v>2610</v>
      </c>
    </row>
    <row r="327" spans="8:8" x14ac:dyDescent="0.25">
      <c r="H327" t="s">
        <v>2611</v>
      </c>
    </row>
    <row r="328" spans="8:8" x14ac:dyDescent="0.25">
      <c r="H328" t="s">
        <v>2612</v>
      </c>
    </row>
    <row r="329" spans="8:8" x14ac:dyDescent="0.25">
      <c r="H329" t="s">
        <v>2974</v>
      </c>
    </row>
    <row r="330" spans="8:8" x14ac:dyDescent="0.25">
      <c r="H330" t="s">
        <v>2975</v>
      </c>
    </row>
    <row r="331" spans="8:8" x14ac:dyDescent="0.25">
      <c r="H331" t="s">
        <v>2613</v>
      </c>
    </row>
    <row r="333" spans="8:8" x14ac:dyDescent="0.25">
      <c r="H333" t="s">
        <v>2614</v>
      </c>
    </row>
    <row r="334" spans="8:8" x14ac:dyDescent="0.25">
      <c r="H334" t="s">
        <v>2615</v>
      </c>
    </row>
    <row r="335" spans="8:8" x14ac:dyDescent="0.25">
      <c r="H335" t="s">
        <v>2976</v>
      </c>
    </row>
    <row r="336" spans="8:8" x14ac:dyDescent="0.25">
      <c r="H336" t="s">
        <v>2977</v>
      </c>
    </row>
    <row r="337" spans="8:8" x14ac:dyDescent="0.25">
      <c r="H337" t="s">
        <v>2978</v>
      </c>
    </row>
    <row r="338" spans="8:8" x14ac:dyDescent="0.25">
      <c r="H338" t="s">
        <v>2616</v>
      </c>
    </row>
    <row r="340" spans="8:8" x14ac:dyDescent="0.25">
      <c r="H340" t="s">
        <v>2617</v>
      </c>
    </row>
    <row r="341" spans="8:8" x14ac:dyDescent="0.25">
      <c r="H341" t="s">
        <v>2618</v>
      </c>
    </row>
    <row r="342" spans="8:8" x14ac:dyDescent="0.25">
      <c r="H342" t="s">
        <v>2979</v>
      </c>
    </row>
    <row r="343" spans="8:8" x14ac:dyDescent="0.25">
      <c r="H343" t="s">
        <v>2619</v>
      </c>
    </row>
    <row r="345" spans="8:8" x14ac:dyDescent="0.25">
      <c r="H345" t="s">
        <v>2620</v>
      </c>
    </row>
    <row r="346" spans="8:8" x14ac:dyDescent="0.25">
      <c r="H346" t="s">
        <v>2621</v>
      </c>
    </row>
    <row r="347" spans="8:8" x14ac:dyDescent="0.25">
      <c r="H347" t="s">
        <v>2974</v>
      </c>
    </row>
    <row r="348" spans="8:8" x14ac:dyDescent="0.25">
      <c r="H348" t="s">
        <v>2975</v>
      </c>
    </row>
    <row r="349" spans="8:8" x14ac:dyDescent="0.25">
      <c r="H349" t="s">
        <v>2622</v>
      </c>
    </row>
    <row r="351" spans="8:8" x14ac:dyDescent="0.25">
      <c r="H351" t="s">
        <v>2623</v>
      </c>
    </row>
    <row r="352" spans="8:8" x14ac:dyDescent="0.25">
      <c r="H352" t="s">
        <v>2624</v>
      </c>
    </row>
    <row r="353" spans="8:8" x14ac:dyDescent="0.25">
      <c r="H353" t="s">
        <v>2976</v>
      </c>
    </row>
    <row r="354" spans="8:8" x14ac:dyDescent="0.25">
      <c r="H354" t="s">
        <v>2977</v>
      </c>
    </row>
    <row r="355" spans="8:8" x14ac:dyDescent="0.25">
      <c r="H355" t="s">
        <v>2978</v>
      </c>
    </row>
    <row r="356" spans="8:8" x14ac:dyDescent="0.25">
      <c r="H356" t="s">
        <v>2625</v>
      </c>
    </row>
    <row r="358" spans="8:8" x14ac:dyDescent="0.25">
      <c r="H358" t="s">
        <v>2626</v>
      </c>
    </row>
    <row r="359" spans="8:8" x14ac:dyDescent="0.25">
      <c r="H359" t="s">
        <v>2627</v>
      </c>
    </row>
    <row r="360" spans="8:8" x14ac:dyDescent="0.25">
      <c r="H360" t="s">
        <v>2979</v>
      </c>
    </row>
    <row r="361" spans="8:8" x14ac:dyDescent="0.25">
      <c r="H361" t="s">
        <v>2628</v>
      </c>
    </row>
    <row r="363" spans="8:8" x14ac:dyDescent="0.25">
      <c r="H363" t="s">
        <v>2629</v>
      </c>
    </row>
    <row r="364" spans="8:8" x14ac:dyDescent="0.25">
      <c r="H364" t="s">
        <v>2630</v>
      </c>
    </row>
    <row r="365" spans="8:8" x14ac:dyDescent="0.25">
      <c r="H365" t="s">
        <v>2980</v>
      </c>
    </row>
    <row r="366" spans="8:8" x14ac:dyDescent="0.25">
      <c r="H366" t="s">
        <v>2631</v>
      </c>
    </row>
    <row r="368" spans="8:8" x14ac:dyDescent="0.25">
      <c r="H368" t="s">
        <v>2632</v>
      </c>
    </row>
    <row r="369" spans="8:8" x14ac:dyDescent="0.25">
      <c r="H369" t="s">
        <v>2633</v>
      </c>
    </row>
    <row r="370" spans="8:8" x14ac:dyDescent="0.25">
      <c r="H370" t="s">
        <v>2981</v>
      </c>
    </row>
    <row r="371" spans="8:8" x14ac:dyDescent="0.25">
      <c r="H371" t="s">
        <v>2634</v>
      </c>
    </row>
    <row r="373" spans="8:8" x14ac:dyDescent="0.25">
      <c r="H373" t="s">
        <v>2635</v>
      </c>
    </row>
    <row r="374" spans="8:8" x14ac:dyDescent="0.25">
      <c r="H374" t="s">
        <v>2636</v>
      </c>
    </row>
    <row r="375" spans="8:8" x14ac:dyDescent="0.25">
      <c r="H375" t="s">
        <v>2982</v>
      </c>
    </row>
    <row r="376" spans="8:8" x14ac:dyDescent="0.25">
      <c r="H376" t="s">
        <v>2637</v>
      </c>
    </row>
    <row r="378" spans="8:8" x14ac:dyDescent="0.25">
      <c r="H378" t="s">
        <v>121</v>
      </c>
    </row>
    <row r="379" spans="8:8" x14ac:dyDescent="0.25">
      <c r="H379" t="s">
        <v>2638</v>
      </c>
    </row>
    <row r="380" spans="8:8" x14ac:dyDescent="0.25">
      <c r="H380" t="s">
        <v>2639</v>
      </c>
    </row>
    <row r="381" spans="8:8" x14ac:dyDescent="0.25">
      <c r="H381" t="s">
        <v>2640</v>
      </c>
    </row>
    <row r="382" spans="8:8" x14ac:dyDescent="0.25">
      <c r="H382" t="s">
        <v>2641</v>
      </c>
    </row>
    <row r="383" spans="8:8" x14ac:dyDescent="0.25">
      <c r="H383" t="s">
        <v>2642</v>
      </c>
    </row>
    <row r="384" spans="8:8" x14ac:dyDescent="0.25">
      <c r="H384" t="s">
        <v>2643</v>
      </c>
    </row>
    <row r="385" spans="8:8" x14ac:dyDescent="0.25">
      <c r="H385" t="s">
        <v>2644</v>
      </c>
    </row>
    <row r="386" spans="8:8" x14ac:dyDescent="0.25">
      <c r="H386" t="s">
        <v>2645</v>
      </c>
    </row>
    <row r="387" spans="8:8" x14ac:dyDescent="0.25">
      <c r="H387" t="s">
        <v>2646</v>
      </c>
    </row>
    <row r="388" spans="8:8" x14ac:dyDescent="0.25">
      <c r="H388" t="s">
        <v>2647</v>
      </c>
    </row>
    <row r="389" spans="8:8" x14ac:dyDescent="0.25">
      <c r="H389" t="s">
        <v>2648</v>
      </c>
    </row>
    <row r="390" spans="8:8" x14ac:dyDescent="0.25">
      <c r="H390" t="s">
        <v>2649</v>
      </c>
    </row>
    <row r="391" spans="8:8" x14ac:dyDescent="0.25">
      <c r="H391" t="s">
        <v>2650</v>
      </c>
    </row>
    <row r="392" spans="8:8" x14ac:dyDescent="0.25">
      <c r="H392" t="s">
        <v>2651</v>
      </c>
    </row>
    <row r="394" spans="8:8" x14ac:dyDescent="0.25">
      <c r="H394" t="s">
        <v>121</v>
      </c>
    </row>
    <row r="395" spans="8:8" x14ac:dyDescent="0.25">
      <c r="H395" t="s">
        <v>2652</v>
      </c>
    </row>
    <row r="396" spans="8:8" x14ac:dyDescent="0.25">
      <c r="H396" t="s">
        <v>2653</v>
      </c>
    </row>
    <row r="397" spans="8:8" x14ac:dyDescent="0.25">
      <c r="H397" t="s">
        <v>2654</v>
      </c>
    </row>
    <row r="398" spans="8:8" x14ac:dyDescent="0.25">
      <c r="H398" t="s">
        <v>2655</v>
      </c>
    </row>
    <row r="399" spans="8:8" x14ac:dyDescent="0.25">
      <c r="H399" t="s">
        <v>2656</v>
      </c>
    </row>
    <row r="400" spans="8:8" x14ac:dyDescent="0.25">
      <c r="H400" t="s">
        <v>2657</v>
      </c>
    </row>
    <row r="401" spans="8:8" x14ac:dyDescent="0.25">
      <c r="H401" t="s">
        <v>2658</v>
      </c>
    </row>
    <row r="402" spans="8:8" x14ac:dyDescent="0.25">
      <c r="H402" t="s">
        <v>2659</v>
      </c>
    </row>
    <row r="403" spans="8:8" x14ac:dyDescent="0.25">
      <c r="H403" t="s">
        <v>2660</v>
      </c>
    </row>
    <row r="404" spans="8:8" x14ac:dyDescent="0.25">
      <c r="H404" t="s">
        <v>2661</v>
      </c>
    </row>
    <row r="405" spans="8:8" x14ac:dyDescent="0.25">
      <c r="H405" t="s">
        <v>2662</v>
      </c>
    </row>
    <row r="406" spans="8:8" x14ac:dyDescent="0.25">
      <c r="H406" t="s">
        <v>2663</v>
      </c>
    </row>
    <row r="407" spans="8:8" x14ac:dyDescent="0.25">
      <c r="H407" t="s">
        <v>2664</v>
      </c>
    </row>
    <row r="408" spans="8:8" x14ac:dyDescent="0.25">
      <c r="H408" t="s">
        <v>2665</v>
      </c>
    </row>
    <row r="409" spans="8:8" x14ac:dyDescent="0.25">
      <c r="H409" t="s">
        <v>2666</v>
      </c>
    </row>
    <row r="410" spans="8:8" x14ac:dyDescent="0.25">
      <c r="H410" t="s">
        <v>2667</v>
      </c>
    </row>
    <row r="411" spans="8:8" x14ac:dyDescent="0.25">
      <c r="H411" t="s">
        <v>2668</v>
      </c>
    </row>
    <row r="412" spans="8:8" x14ac:dyDescent="0.25">
      <c r="H412" t="s">
        <v>2669</v>
      </c>
    </row>
    <row r="413" spans="8:8" x14ac:dyDescent="0.25">
      <c r="H413" t="s">
        <v>2670</v>
      </c>
    </row>
    <row r="414" spans="8:8" x14ac:dyDescent="0.25">
      <c r="H414" t="s">
        <v>2671</v>
      </c>
    </row>
    <row r="415" spans="8:8" x14ac:dyDescent="0.25">
      <c r="H415" t="s">
        <v>2672</v>
      </c>
    </row>
    <row r="416" spans="8:8" x14ac:dyDescent="0.25">
      <c r="H416" t="s">
        <v>2673</v>
      </c>
    </row>
    <row r="417" spans="8:8" x14ac:dyDescent="0.25">
      <c r="H417" t="s">
        <v>2674</v>
      </c>
    </row>
    <row r="418" spans="8:8" x14ac:dyDescent="0.25">
      <c r="H418" t="s">
        <v>2675</v>
      </c>
    </row>
    <row r="420" spans="8:8" x14ac:dyDescent="0.25">
      <c r="H420" t="s">
        <v>121</v>
      </c>
    </row>
    <row r="421" spans="8:8" x14ac:dyDescent="0.25">
      <c r="H421" t="s">
        <v>2676</v>
      </c>
    </row>
    <row r="422" spans="8:8" x14ac:dyDescent="0.25">
      <c r="H422" t="s">
        <v>2677</v>
      </c>
    </row>
    <row r="423" spans="8:8" x14ac:dyDescent="0.25">
      <c r="H423" t="s">
        <v>2678</v>
      </c>
    </row>
    <row r="424" spans="8:8" x14ac:dyDescent="0.25">
      <c r="H424" t="s">
        <v>2679</v>
      </c>
    </row>
    <row r="425" spans="8:8" x14ac:dyDescent="0.25">
      <c r="H425" t="s">
        <v>2680</v>
      </c>
    </row>
    <row r="426" spans="8:8" x14ac:dyDescent="0.25">
      <c r="H426" t="s">
        <v>2681</v>
      </c>
    </row>
    <row r="427" spans="8:8" x14ac:dyDescent="0.25">
      <c r="H427" t="s">
        <v>2682</v>
      </c>
    </row>
    <row r="428" spans="8:8" x14ac:dyDescent="0.25">
      <c r="H428" t="s">
        <v>2683</v>
      </c>
    </row>
    <row r="429" spans="8:8" x14ac:dyDescent="0.25">
      <c r="H429" t="s">
        <v>2684</v>
      </c>
    </row>
    <row r="430" spans="8:8" x14ac:dyDescent="0.25">
      <c r="H430" t="s">
        <v>2685</v>
      </c>
    </row>
    <row r="431" spans="8:8" x14ac:dyDescent="0.25">
      <c r="H431" t="s">
        <v>2686</v>
      </c>
    </row>
    <row r="432" spans="8:8" x14ac:dyDescent="0.25">
      <c r="H432" t="s">
        <v>2687</v>
      </c>
    </row>
    <row r="433" spans="8:8" x14ac:dyDescent="0.25">
      <c r="H433" t="s">
        <v>2688</v>
      </c>
    </row>
    <row r="434" spans="8:8" x14ac:dyDescent="0.25">
      <c r="H434" t="s">
        <v>2689</v>
      </c>
    </row>
    <row r="435" spans="8:8" x14ac:dyDescent="0.25">
      <c r="H435" t="s">
        <v>2690</v>
      </c>
    </row>
    <row r="436" spans="8:8" x14ac:dyDescent="0.25">
      <c r="H436" t="s">
        <v>2691</v>
      </c>
    </row>
    <row r="437" spans="8:8" x14ac:dyDescent="0.25">
      <c r="H437" t="s">
        <v>2692</v>
      </c>
    </row>
    <row r="438" spans="8:8" x14ac:dyDescent="0.25">
      <c r="H438" t="s">
        <v>2693</v>
      </c>
    </row>
    <row r="439" spans="8:8" x14ac:dyDescent="0.25">
      <c r="H439" t="s">
        <v>2694</v>
      </c>
    </row>
    <row r="440" spans="8:8" x14ac:dyDescent="0.25">
      <c r="H440" t="s">
        <v>2695</v>
      </c>
    </row>
    <row r="441" spans="8:8" x14ac:dyDescent="0.25">
      <c r="H441" t="s">
        <v>2696</v>
      </c>
    </row>
    <row r="442" spans="8:8" x14ac:dyDescent="0.25">
      <c r="H442" t="s">
        <v>2697</v>
      </c>
    </row>
    <row r="443" spans="8:8" x14ac:dyDescent="0.25">
      <c r="H443" t="s">
        <v>2698</v>
      </c>
    </row>
    <row r="444" spans="8:8" x14ac:dyDescent="0.25">
      <c r="H444" t="s">
        <v>2699</v>
      </c>
    </row>
    <row r="445" spans="8:8" x14ac:dyDescent="0.25">
      <c r="H445" t="s">
        <v>2700</v>
      </c>
    </row>
    <row r="446" spans="8:8" x14ac:dyDescent="0.25">
      <c r="H446" t="s">
        <v>2701</v>
      </c>
    </row>
    <row r="447" spans="8:8" x14ac:dyDescent="0.25">
      <c r="H447" t="s">
        <v>2702</v>
      </c>
    </row>
    <row r="448" spans="8:8" x14ac:dyDescent="0.25">
      <c r="H448" t="s">
        <v>2703</v>
      </c>
    </row>
    <row r="449" spans="8:8" x14ac:dyDescent="0.25">
      <c r="H449" t="s">
        <v>2704</v>
      </c>
    </row>
    <row r="450" spans="8:8" x14ac:dyDescent="0.25">
      <c r="H450" t="s">
        <v>2705</v>
      </c>
    </row>
    <row r="451" spans="8:8" x14ac:dyDescent="0.25">
      <c r="H451" t="s">
        <v>2706</v>
      </c>
    </row>
    <row r="452" spans="8:8" x14ac:dyDescent="0.25">
      <c r="H452" t="s">
        <v>2707</v>
      </c>
    </row>
    <row r="453" spans="8:8" x14ac:dyDescent="0.25">
      <c r="H453" t="s">
        <v>2708</v>
      </c>
    </row>
    <row r="454" spans="8:8" x14ac:dyDescent="0.25">
      <c r="H454" t="s">
        <v>2709</v>
      </c>
    </row>
    <row r="455" spans="8:8" x14ac:dyDescent="0.25">
      <c r="H455" t="s">
        <v>2710</v>
      </c>
    </row>
    <row r="456" spans="8:8" x14ac:dyDescent="0.25">
      <c r="H456" s="6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10"/>
    </sheetView>
  </sheetViews>
  <sheetFormatPr defaultRowHeight="15" x14ac:dyDescent="0.25"/>
  <sheetData/>
  <sortState xmlns:xlrd2="http://schemas.microsoft.com/office/spreadsheetml/2017/richdata2" ref="B4:AH110">
    <sortCondition ref="S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2020-10-20T15:36:25Z</dcterms:modified>
</cp:coreProperties>
</file>